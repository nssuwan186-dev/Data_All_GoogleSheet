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Master" sheetId="2" r:id="rId6"/>
  </sheets>
  <definedNames>
    <definedName name="Trans">Template!$C$60:$AW$121</definedName>
  </definedNames>
  <calcPr/>
</workbook>
</file>

<file path=xl/sharedStrings.xml><?xml version="1.0" encoding="utf-8"?>
<sst xmlns="http://schemas.openxmlformats.org/spreadsheetml/2006/main" count="229" uniqueCount="112">
  <si>
    <t>B U D G E T   P L A N N E R
&amp;   E X P E N S E   T R A C K E R</t>
  </si>
  <si>
    <t>I N C O M E</t>
  </si>
  <si>
    <t>LEFT TO SPEND</t>
  </si>
  <si>
    <t>฿</t>
  </si>
  <si>
    <t>YEAR</t>
  </si>
  <si>
    <t>MONTH</t>
  </si>
  <si>
    <t>Spending breakdown</t>
  </si>
  <si>
    <t>Actual Cashflow</t>
  </si>
  <si>
    <t>Cashflow Chart</t>
  </si>
  <si>
    <t>💧 Cashflow</t>
  </si>
  <si>
    <t>Custom progress bar</t>
  </si>
  <si>
    <t>Value</t>
  </si>
  <si>
    <t>HexCode</t>
  </si>
  <si>
    <t>Show</t>
  </si>
  <si>
    <t>Do not change any values. This table is for graph display purposes only.</t>
  </si>
  <si>
    <t>Feb</t>
  </si>
  <si>
    <t>type</t>
  </si>
  <si>
    <t>actual</t>
  </si>
  <si>
    <t>budget</t>
  </si>
  <si>
    <t>Grater than or equal to</t>
  </si>
  <si>
    <t>#93B4A2</t>
  </si>
  <si>
    <t>Flow1</t>
  </si>
  <si>
    <t>Income</t>
  </si>
  <si>
    <t>🟢</t>
  </si>
  <si>
    <t>previous</t>
  </si>
  <si>
    <t>Lower than</t>
  </si>
  <si>
    <t>#FD9B87</t>
  </si>
  <si>
    <t>Name</t>
  </si>
  <si>
    <t>Actual</t>
  </si>
  <si>
    <t>value</t>
  </si>
  <si>
    <t>👇 Scroll down to fill the Transactions List</t>
  </si>
  <si>
    <t>income</t>
  </si>
  <si>
    <t>#F0C894</t>
  </si>
  <si>
    <t>🔴</t>
  </si>
  <si>
    <t>expenses</t>
  </si>
  <si>
    <t>bills</t>
  </si>
  <si>
    <t>BUDGET ALLOWCATION</t>
  </si>
  <si>
    <t>savings</t>
  </si>
  <si>
    <t>EXPENSES :</t>
  </si>
  <si>
    <t>depts</t>
  </si>
  <si>
    <t>SAVING :</t>
  </si>
  <si>
    <t>PREVIOUS BALANCE</t>
  </si>
  <si>
    <t>BILLS :</t>
  </si>
  <si>
    <t>difference</t>
  </si>
  <si>
    <t>DEPTS :</t>
  </si>
  <si>
    <t>👉 Custom your progress bar</t>
  </si>
  <si>
    <t>💰 INCOME</t>
  </si>
  <si>
    <t>Left to Allocate :</t>
  </si>
  <si>
    <t>Flow2</t>
  </si>
  <si>
    <t>Flow3</t>
  </si>
  <si>
    <t>Total</t>
  </si>
  <si>
    <t>💸 TRANSACTIONS</t>
  </si>
  <si>
    <t>🔎</t>
  </si>
  <si>
    <t>Type :</t>
  </si>
  <si>
    <t xml:space="preserve">- Select - </t>
  </si>
  <si>
    <t>Category :</t>
  </si>
  <si>
    <t>Date</t>
  </si>
  <si>
    <t>Type</t>
  </si>
  <si>
    <t>Category</t>
  </si>
  <si>
    <t>Amount</t>
  </si>
  <si>
    <t>Budget</t>
  </si>
  <si>
    <t>Note</t>
  </si>
  <si>
    <t>Expenses</t>
  </si>
  <si>
    <t>Clothing</t>
  </si>
  <si>
    <t>Bills</t>
  </si>
  <si>
    <t>Netflix</t>
  </si>
  <si>
    <t>จ่ายก่อนวันที่ 10 Jan</t>
  </si>
  <si>
    <t>Groceries</t>
  </si>
  <si>
    <t>Savings</t>
  </si>
  <si>
    <t>Stocks</t>
  </si>
  <si>
    <t>Salary</t>
  </si>
  <si>
    <t>Spotify</t>
  </si>
  <si>
    <t>Hobby</t>
  </si>
  <si>
    <t>Debts</t>
  </si>
  <si>
    <t>Student Loan</t>
  </si>
  <si>
    <t>Rentals</t>
  </si>
  <si>
    <t>Dinning Out</t>
  </si>
  <si>
    <t>Crypto</t>
  </si>
  <si>
    <t>Blue Apron</t>
  </si>
  <si>
    <t>Freelance</t>
  </si>
  <si>
    <t>Gadgets</t>
  </si>
  <si>
    <t>House Insurance</t>
  </si>
  <si>
    <t>Pet</t>
  </si>
  <si>
    <t>Health Insurance</t>
  </si>
  <si>
    <t>Household</t>
  </si>
  <si>
    <t>Real Estate</t>
  </si>
  <si>
    <t>Water</t>
  </si>
  <si>
    <t>Education</t>
  </si>
  <si>
    <t>Mutual Funds</t>
  </si>
  <si>
    <t>Cinema</t>
  </si>
  <si>
    <t>Credit Card</t>
  </si>
  <si>
    <t>Shopping</t>
  </si>
  <si>
    <t>Fuel</t>
  </si>
  <si>
    <t>Beauty</t>
  </si>
  <si>
    <t>Health</t>
  </si>
  <si>
    <t>Self-Devlopment</t>
  </si>
  <si>
    <t>Internet</t>
  </si>
  <si>
    <t>Electricity</t>
  </si>
  <si>
    <t>Heating</t>
  </si>
  <si>
    <t>Year</t>
  </si>
  <si>
    <t>Month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</si>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</sst>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฿-809]* #,##0.00_);_([$฿-809]* \(#,##0.00\);_([$฿-809]* &quot;-&quot;??_);_(@_)"/>
    <numFmt numFmtId="165" formatCode="d&quot; &quot;mmm&quot; &quot;"/>
    <numFmt numFmtId="166" formatCode="yyyy&quot;-&quot;mm&quot;-&quot;dd"/>
  </numFmts>
  <fonts count="14">
    <font>
      <sz val="10.0"/>
      <color rgb="FF000000"/>
      <name val="Arial"/>
      <scheme val="minor"/>
    </font>
    <font>
      <sz val="11.0"/>
      <color rgb="FF000000"/>
      <name val="Work Sans"/>
    </font>
    <font>
      <b/>
      <sz val="18.0"/>
      <color rgb="FF000000"/>
      <name val="Work Sans"/>
    </font>
    <font/>
    <font>
      <color rgb="FF000000"/>
      <name val="Work Sans"/>
    </font>
    <font>
      <b/>
      <sz val="11.0"/>
      <color rgb="FF000000"/>
      <name val="Work Sans"/>
    </font>
    <font>
      <sz val="15.0"/>
      <color rgb="FF000000"/>
      <name val="Work Sans"/>
    </font>
    <font>
      <b/>
      <sz val="15.0"/>
      <color rgb="FF000000"/>
      <name val="Work Sans"/>
    </font>
    <font>
      <sz val="10.0"/>
      <color rgb="FF000000"/>
      <name val="Work Sans"/>
    </font>
    <font>
      <b/>
      <i/>
      <sz val="11.0"/>
      <color rgb="FF000000"/>
      <name val="Work Sans"/>
    </font>
    <font>
      <b/>
      <sz val="11.0"/>
      <color theme="1"/>
      <name val="Work Sans"/>
    </font>
    <font>
      <color rgb="FF000000"/>
      <name val="Arial"/>
      <scheme val="minor"/>
    </font>
    <font>
      <b/>
      <sz val="12.0"/>
      <color rgb="FF000000"/>
      <name val="Work Sans"/>
    </font>
    <font>
      <sz val="11.0"/>
      <color theme="1"/>
      <name val="Work Sans"/>
    </font>
  </fonts>
  <fills count="14">
    <fill>
      <patternFill patternType="none"/>
    </fill>
    <fill>
      <patternFill patternType="lightGray"/>
    </fill>
    <fill>
      <patternFill patternType="solid">
        <fgColor rgb="FFECF0F9"/>
        <bgColor rgb="FFECF0F9"/>
      </patternFill>
    </fill>
    <fill>
      <patternFill patternType="solid">
        <fgColor rgb="FFE6F3E2"/>
        <bgColor rgb="FFE6F3E2"/>
      </patternFill>
    </fill>
    <fill>
      <patternFill patternType="solid">
        <fgColor rgb="FFF8E8E8"/>
        <bgColor rgb="FFF8E8E8"/>
      </patternFill>
    </fill>
    <fill>
      <patternFill patternType="solid">
        <fgColor rgb="FFFCE5CD"/>
        <bgColor rgb="FFFCE5CD"/>
      </patternFill>
    </fill>
    <fill>
      <patternFill patternType="solid">
        <fgColor rgb="FFFFD552"/>
        <bgColor rgb="FFFFD55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AD6"/>
        <bgColor rgb="FFFFFAD6"/>
      </patternFill>
    </fill>
    <fill>
      <patternFill patternType="solid">
        <fgColor rgb="FFFD9B87"/>
        <bgColor rgb="FFFD9B87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71">
    <border/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434343"/>
      </left>
    </border>
    <border>
      <right style="thin">
        <color rgb="FF434343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right style="thin">
        <color rgb="FF666666"/>
      </right>
      <top style="thin">
        <color rgb="FF434343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bottom style="thin">
        <color rgb="FF434343"/>
      </bottom>
    </border>
    <border>
      <left style="thin">
        <color rgb="FF434343"/>
      </left>
      <bottom style="hair">
        <color rgb="FF434343"/>
      </bottom>
    </border>
    <border>
      <bottom style="hair">
        <color rgb="FF434343"/>
      </bottom>
    </border>
    <border>
      <right style="hair">
        <color rgb="FF434343"/>
      </right>
      <bottom style="hair">
        <color rgb="FF434343"/>
      </bottom>
    </border>
    <border>
      <left style="hair">
        <color rgb="FF434343"/>
      </left>
      <bottom style="hair">
        <color rgb="FF434343"/>
      </bottom>
    </border>
    <border>
      <top style="thin">
        <color rgb="FF434343"/>
      </top>
      <bottom style="hair">
        <color rgb="FF434343"/>
      </bottom>
    </border>
    <border>
      <right style="thin">
        <color rgb="FF434343"/>
      </right>
      <bottom style="hair">
        <color rgb="FF434343"/>
      </bottom>
    </border>
    <border>
      <top style="hair">
        <color rgb="FF434343"/>
      </top>
      <bottom style="hair">
        <color rgb="FF434343"/>
      </bottom>
    </border>
    <border>
      <right style="thin">
        <color rgb="FF434343"/>
      </right>
      <top style="hair">
        <color rgb="FF434343"/>
      </top>
      <bottom style="hair">
        <color rgb="FF434343"/>
      </bottom>
    </border>
    <border>
      <left style="thin">
        <color rgb="FF434343"/>
      </left>
      <top style="hair">
        <color rgb="FF434343"/>
      </top>
      <bottom style="hair">
        <color rgb="FF434343"/>
      </bottom>
    </border>
    <border>
      <right style="hair">
        <color rgb="FF434343"/>
      </right>
      <top style="hair">
        <color rgb="FF434343"/>
      </top>
      <bottom style="hair">
        <color rgb="FF434343"/>
      </bottom>
    </border>
    <border>
      <left style="hair">
        <color rgb="FF434343"/>
      </left>
      <top style="hair">
        <color rgb="FF434343"/>
      </top>
      <bottom style="hair">
        <color rgb="FF434343"/>
      </bottom>
    </border>
    <border>
      <left style="thin">
        <color rgb="FF434343"/>
      </left>
      <top style="hair">
        <color rgb="FF434343"/>
      </top>
      <bottom style="thin">
        <color rgb="FF434343"/>
      </bottom>
    </border>
    <border>
      <top style="hair">
        <color rgb="FF434343"/>
      </top>
      <bottom style="thin">
        <color rgb="FF434343"/>
      </bottom>
    </border>
    <border>
      <right style="hair">
        <color rgb="FF434343"/>
      </right>
      <top style="hair">
        <color rgb="FF434343"/>
      </top>
      <bottom style="thin">
        <color rgb="FF434343"/>
      </bottom>
    </border>
    <border>
      <left style="hair">
        <color rgb="FF434343"/>
      </left>
      <top style="hair">
        <color rgb="FF434343"/>
      </top>
      <bottom style="thin">
        <color rgb="FF434343"/>
      </bottom>
    </border>
    <border>
      <right style="thin">
        <color rgb="FF434343"/>
      </right>
      <top style="hair">
        <color rgb="FF434343"/>
      </top>
      <bottom style="thin">
        <color rgb="FF434343"/>
      </bottom>
    </border>
    <border>
      <left style="thin">
        <color rgb="FF434343"/>
      </left>
      <top style="hair">
        <color rgb="FF434343"/>
      </top>
    </border>
    <border>
      <left style="hair">
        <color rgb="FF434343"/>
      </left>
      <top style="hair">
        <color rgb="FF434343"/>
      </top>
    </border>
    <border>
      <top style="hair">
        <color rgb="FF434343"/>
      </top>
    </border>
    <border>
      <right style="hair">
        <color rgb="FF434343"/>
      </right>
      <top style="hair">
        <color rgb="FF434343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434343"/>
      </bottom>
    </border>
    <border>
      <right style="thin">
        <color rgb="FF000000"/>
      </right>
      <bottom style="thin">
        <color rgb="FF434343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434343"/>
      </top>
      <bottom style="thin">
        <color rgb="FF000000"/>
      </bottom>
    </border>
    <border>
      <top style="thin">
        <color rgb="FF434343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Border="1" applyFill="1" applyFont="1"/>
    <xf borderId="5" fillId="3" fontId="1" numFmtId="0" xfId="0" applyBorder="1" applyFont="1"/>
    <xf borderId="6" fillId="3" fontId="1" numFmtId="0" xfId="0" applyBorder="1" applyFont="1"/>
    <xf borderId="0" fillId="0" fontId="4" numFmtId="0" xfId="0" applyFont="1"/>
    <xf borderId="4" fillId="4" fontId="1" numFmtId="0" xfId="0" applyBorder="1" applyFill="1" applyFont="1"/>
    <xf borderId="5" fillId="4" fontId="1" numFmtId="0" xfId="0" applyBorder="1" applyFont="1"/>
    <xf borderId="6" fillId="4" fontId="1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1" numFmtId="0" xfId="0" applyBorder="1" applyFont="1"/>
    <xf borderId="0" fillId="3" fontId="5" numFmtId="0" xfId="0" applyAlignment="1" applyFont="1">
      <alignment horizontal="center" readingOrder="0"/>
    </xf>
    <xf borderId="10" fillId="3" fontId="1" numFmtId="0" xfId="0" applyBorder="1" applyFont="1"/>
    <xf borderId="0" fillId="3" fontId="1" numFmtId="0" xfId="0" applyFont="1"/>
    <xf borderId="9" fillId="4" fontId="1" numFmtId="0" xfId="0" applyBorder="1" applyFont="1"/>
    <xf borderId="0" fillId="4" fontId="5" numFmtId="0" xfId="0" applyAlignment="1" applyFont="1">
      <alignment horizontal="center" readingOrder="0"/>
    </xf>
    <xf borderId="10" fillId="4" fontId="1" numFmtId="0" xfId="0" applyBorder="1" applyFon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9" fillId="3" fontId="6" numFmtId="0" xfId="0" applyBorder="1" applyFont="1"/>
    <xf borderId="0" fillId="3" fontId="7" numFmtId="0" xfId="0" applyAlignment="1" applyFont="1">
      <alignment horizontal="center" readingOrder="0"/>
    </xf>
    <xf borderId="0" fillId="3" fontId="7" numFmtId="4" xfId="0" applyAlignment="1" applyFont="1" applyNumberFormat="1">
      <alignment horizontal="center" readingOrder="0"/>
    </xf>
    <xf borderId="10" fillId="3" fontId="6" numFmtId="0" xfId="0" applyBorder="1" applyFont="1"/>
    <xf borderId="0" fillId="3" fontId="6" numFmtId="0" xfId="0" applyFont="1"/>
    <xf borderId="0" fillId="0" fontId="6" numFmtId="0" xfId="0" applyFont="1"/>
    <xf borderId="9" fillId="4" fontId="6" numFmtId="0" xfId="0" applyBorder="1" applyFont="1"/>
    <xf borderId="0" fillId="4" fontId="7" numFmtId="0" xfId="0" applyAlignment="1" applyFont="1">
      <alignment horizontal="center" readingOrder="0"/>
    </xf>
    <xf borderId="0" fillId="4" fontId="7" numFmtId="4" xfId="0" applyAlignment="1" applyFont="1" applyNumberFormat="1">
      <alignment horizontal="center" readingOrder="0"/>
    </xf>
    <xf borderId="10" fillId="4" fontId="6" numFmtId="0" xfId="0" applyBorder="1" applyFont="1"/>
    <xf borderId="0" fillId="3" fontId="8" numFmtId="0" xfId="0" applyAlignment="1" applyFont="1">
      <alignment horizontal="center" readingOrder="0"/>
    </xf>
    <xf borderId="10" fillId="3" fontId="8" numFmtId="0" xfId="0" applyBorder="1" applyFont="1"/>
    <xf borderId="0" fillId="3" fontId="8" numFmtId="0" xfId="0" applyFont="1"/>
    <xf borderId="9" fillId="4" fontId="8" numFmtId="0" xfId="0" applyBorder="1" applyFont="1"/>
    <xf borderId="0" fillId="4" fontId="8" numFmtId="0" xfId="0" applyFont="1"/>
    <xf borderId="10" fillId="4" fontId="8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3" fontId="1" numFmtId="0" xfId="0" applyBorder="1" applyFont="1"/>
    <xf borderId="15" fillId="3" fontId="1" numFmtId="0" xfId="0" applyBorder="1" applyFont="1"/>
    <xf borderId="16" fillId="3" fontId="1" numFmtId="0" xfId="0" applyBorder="1" applyFont="1"/>
    <xf borderId="14" fillId="4" fontId="1" numFmtId="0" xfId="0" applyBorder="1" applyFont="1"/>
    <xf borderId="15" fillId="4" fontId="1" numFmtId="0" xfId="0" applyBorder="1" applyFont="1"/>
    <xf borderId="16" fillId="4" fontId="1" numFmtId="0" xfId="0" applyBorder="1" applyFont="1"/>
    <xf borderId="1" fillId="0" fontId="1" numFmtId="0" xfId="0" applyBorder="1" applyFont="1"/>
    <xf borderId="2" fillId="0" fontId="5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3" fontId="1" numFmtId="0" xfId="0" applyAlignment="1" applyBorder="1" applyFont="1">
      <alignment readingOrder="0"/>
    </xf>
    <xf borderId="5" fillId="3" fontId="5" numFmtId="0" xfId="0" applyAlignment="1" applyBorder="1" applyFont="1">
      <alignment horizontal="center" readingOrder="0"/>
    </xf>
    <xf borderId="5" fillId="0" fontId="3" numFmtId="0" xfId="0" applyBorder="1" applyFont="1"/>
    <xf borderId="5" fillId="3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 readingOrder="0" vertical="center"/>
    </xf>
    <xf borderId="5" fillId="4" fontId="4" numFmtId="0" xfId="0" applyBorder="1" applyFont="1"/>
    <xf borderId="17" fillId="4" fontId="4" numFmtId="0" xfId="0" applyBorder="1" applyFont="1"/>
    <xf borderId="5" fillId="5" fontId="4" numFmtId="0" xfId="0" applyBorder="1" applyFill="1" applyFont="1"/>
    <xf borderId="5" fillId="5" fontId="1" numFmtId="0" xfId="0" applyBorder="1" applyFont="1"/>
    <xf borderId="5" fillId="5" fontId="1" numFmtId="0" xfId="0" applyAlignment="1" applyBorder="1" applyFont="1">
      <alignment horizontal="center" readingOrder="0" vertical="center"/>
    </xf>
    <xf borderId="17" fillId="5" fontId="1" numFmtId="0" xfId="0" applyBorder="1" applyFont="1"/>
    <xf borderId="5" fillId="3" fontId="1" numFmtId="0" xfId="0" applyAlignment="1" applyBorder="1" applyFont="1">
      <alignment readingOrder="0"/>
    </xf>
    <xf borderId="5" fillId="3" fontId="5" numFmtId="0" xfId="0" applyAlignment="1" applyBorder="1" applyFont="1">
      <alignment horizontal="center" readingOrder="0" vertical="center"/>
    </xf>
    <xf borderId="4" fillId="6" fontId="5" numFmtId="0" xfId="0" applyBorder="1" applyFill="1" applyFont="1"/>
    <xf borderId="5" fillId="6" fontId="5" numFmtId="0" xfId="0" applyAlignment="1" applyBorder="1" applyFont="1">
      <alignment readingOrder="0" vertical="center"/>
    </xf>
    <xf borderId="5" fillId="6" fontId="5" numFmtId="0" xfId="0" applyBorder="1" applyFont="1"/>
    <xf borderId="6" fillId="6" fontId="5" numFmtId="0" xfId="0" applyBorder="1" applyFont="1"/>
    <xf borderId="7" fillId="0" fontId="1" numFmtId="0" xfId="0" applyBorder="1" applyFont="1"/>
    <xf borderId="0" fillId="0" fontId="5" numFmtId="0" xfId="0" applyAlignment="1" applyFont="1">
      <alignment horizontal="center" readingOrder="0"/>
    </xf>
    <xf borderId="8" fillId="0" fontId="1" numFmtId="0" xfId="0" applyBorder="1" applyFont="1"/>
    <xf borderId="0" fillId="0" fontId="9" numFmtId="0" xfId="0" applyAlignment="1" applyFont="1">
      <alignment readingOrder="0"/>
    </xf>
    <xf borderId="9" fillId="3" fontId="1" numFmtId="0" xfId="0" applyAlignment="1" applyBorder="1" applyFont="1">
      <alignment horizontal="center"/>
    </xf>
    <xf borderId="18" fillId="7" fontId="1" numFmtId="0" xfId="0" applyAlignment="1" applyBorder="1" applyFill="1" applyFont="1">
      <alignment horizontal="center" readingOrder="0"/>
    </xf>
    <xf borderId="19" fillId="0" fontId="3" numFmtId="0" xfId="0" applyBorder="1" applyFont="1"/>
    <xf borderId="20" fillId="0" fontId="3" numFmtId="0" xfId="0" applyBorder="1" applyFont="1"/>
    <xf borderId="0" fillId="3" fontId="1" numFmtId="0" xfId="0" applyAlignment="1" applyFont="1">
      <alignment horizontal="center"/>
    </xf>
    <xf borderId="10" fillId="3" fontId="1" numFmtId="0" xfId="0" applyAlignment="1" applyBorder="1" applyFont="1">
      <alignment horizontal="center"/>
    </xf>
    <xf borderId="9" fillId="7" fontId="1" numFmtId="0" xfId="0" applyBorder="1" applyFont="1"/>
    <xf borderId="0" fillId="7" fontId="1" numFmtId="0" xfId="0" applyFont="1"/>
    <xf borderId="0" fillId="7" fontId="1" numFmtId="0" xfId="0" applyAlignment="1" applyFont="1">
      <alignment readingOrder="0"/>
    </xf>
    <xf borderId="0" fillId="7" fontId="4" numFmtId="0" xfId="0" applyFont="1"/>
    <xf borderId="8" fillId="7" fontId="4" numFmtId="0" xfId="0" applyBorder="1" applyFont="1"/>
    <xf borderId="10" fillId="0" fontId="1" numFmtId="0" xfId="0" applyBorder="1" applyFont="1"/>
    <xf borderId="14" fillId="3" fontId="5" numFmtId="0" xfId="0" applyAlignment="1" applyBorder="1" applyFont="1">
      <alignment horizontal="center" readingOrder="0"/>
    </xf>
    <xf borderId="15" fillId="0" fontId="3" numFmtId="0" xfId="0" applyBorder="1" applyFont="1"/>
    <xf borderId="15" fillId="3" fontId="5" numFmtId="0" xfId="0" applyAlignment="1" applyBorder="1" applyFont="1">
      <alignment horizontal="center" readingOrder="0"/>
    </xf>
    <xf borderId="16" fillId="0" fontId="3" numFmtId="0" xfId="0" applyBorder="1" applyFont="1"/>
    <xf borderId="0" fillId="0" fontId="1" numFmtId="0" xfId="0" applyAlignment="1" applyFont="1">
      <alignment horizontal="right" readingOrder="0"/>
    </xf>
    <xf borderId="21" fillId="0" fontId="1" numFmtId="9" xfId="0" applyAlignment="1" applyBorder="1" applyFont="1" applyNumberFormat="1">
      <alignment horizontal="center" readingOrder="0"/>
    </xf>
    <xf borderId="21" fillId="0" fontId="1" numFmtId="0" xfId="0" applyAlignment="1" applyBorder="1" applyFont="1">
      <alignment horizontal="center" readingOrder="0"/>
    </xf>
    <xf borderId="0" fillId="8" fontId="5" numFmtId="0" xfId="0" applyAlignment="1" applyFill="1" applyFont="1">
      <alignment readingOrder="0"/>
    </xf>
    <xf borderId="0" fillId="8" fontId="1" numFmtId="0" xfId="0" applyFont="1"/>
    <xf borderId="9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9" fillId="9" fontId="1" numFmtId="0" xfId="0" applyAlignment="1" applyBorder="1" applyFill="1" applyFont="1">
      <alignment readingOrder="0"/>
    </xf>
    <xf borderId="0" fillId="9" fontId="1" numFmtId="0" xfId="0" applyAlignment="1" applyFont="1">
      <alignment readingOrder="0"/>
    </xf>
    <xf borderId="0" fillId="9" fontId="1" numFmtId="164" xfId="0" applyFont="1" applyNumberFormat="1"/>
    <xf borderId="10" fillId="0" fontId="3" numFmtId="0" xfId="0" applyBorder="1" applyFont="1"/>
    <xf borderId="0" fillId="8" fontId="5" numFmtId="0" xfId="0" applyAlignment="1" applyFont="1">
      <alignment horizontal="center"/>
    </xf>
    <xf borderId="0" fillId="8" fontId="5" numFmtId="0" xfId="0" applyAlignment="1" applyFont="1">
      <alignment horizontal="center" readingOrder="0"/>
    </xf>
    <xf borderId="0" fillId="8" fontId="5" numFmtId="0" xfId="0" applyFont="1"/>
    <xf borderId="22" fillId="3" fontId="5" numFmtId="0" xfId="0" applyAlignment="1" applyBorder="1" applyFont="1">
      <alignment horizontal="center" readingOrder="0"/>
    </xf>
    <xf borderId="23" fillId="0" fontId="3" numFmtId="0" xfId="0" applyBorder="1" applyFont="1"/>
    <xf borderId="24" fillId="0" fontId="3" numFmtId="0" xfId="0" applyBorder="1" applyFont="1"/>
    <xf borderId="0" fillId="0" fontId="1" numFmtId="0" xfId="0" applyAlignment="1" applyFont="1">
      <alignment horizontal="right"/>
    </xf>
    <xf borderId="0" fillId="8" fontId="1" numFmtId="164" xfId="0" applyFont="1" applyNumberFormat="1"/>
    <xf borderId="0" fillId="3" fontId="4" numFmtId="0" xfId="0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0" fillId="3" fontId="1" numFmtId="9" xfId="0" applyAlignment="1" applyFont="1" applyNumberFormat="1">
      <alignment readingOrder="0"/>
    </xf>
    <xf borderId="8" fillId="3" fontId="1" numFmtId="0" xfId="0" applyBorder="1" applyFont="1"/>
    <xf borderId="0" fillId="3" fontId="5" numFmtId="0" xfId="0" applyAlignment="1" applyFont="1">
      <alignment horizontal="right" readingOrder="0"/>
    </xf>
    <xf borderId="18" fillId="7" fontId="1" numFmtId="9" xfId="0" applyAlignment="1" applyBorder="1" applyFont="1" applyNumberFormat="1">
      <alignment horizontal="center" readingOrder="0"/>
    </xf>
    <xf borderId="0" fillId="3" fontId="8" numFmtId="3" xfId="0" applyAlignment="1" applyFont="1" applyNumberFormat="1">
      <alignment horizontal="center"/>
    </xf>
    <xf borderId="18" fillId="6" fontId="5" numFmtId="0" xfId="0" applyAlignment="1" applyBorder="1" applyFont="1">
      <alignment readingOrder="0"/>
    </xf>
    <xf borderId="19" fillId="6" fontId="5" numFmtId="164" xfId="0" applyBorder="1" applyFont="1" applyNumberFormat="1"/>
    <xf borderId="12" fillId="8" fontId="5" numFmtId="0" xfId="0" applyBorder="1" applyFont="1"/>
    <xf borderId="12" fillId="8" fontId="1" numFmtId="164" xfId="0" applyBorder="1" applyFont="1" applyNumberFormat="1"/>
    <xf borderId="18" fillId="7" fontId="1" numFmtId="164" xfId="0" applyAlignment="1" applyBorder="1" applyFont="1" applyNumberFormat="1">
      <alignment readingOrder="0"/>
    </xf>
    <xf borderId="14" fillId="7" fontId="1" numFmtId="0" xfId="0" applyBorder="1" applyFont="1"/>
    <xf borderId="15" fillId="7" fontId="1" numFmtId="0" xfId="0" applyBorder="1" applyFont="1"/>
    <xf borderId="15" fillId="7" fontId="4" numFmtId="0" xfId="0" applyBorder="1" applyFont="1"/>
    <xf borderId="25" fillId="7" fontId="4" numFmtId="0" xfId="0" applyBorder="1" applyFont="1"/>
    <xf borderId="15" fillId="0" fontId="4" numFmtId="0" xfId="0" applyBorder="1" applyFont="1"/>
    <xf borderId="15" fillId="0" fontId="1" numFmtId="0" xfId="0" applyBorder="1" applyFont="1"/>
    <xf borderId="25" fillId="0" fontId="1" numFmtId="0" xfId="0" applyBorder="1" applyFont="1"/>
    <xf borderId="16" fillId="0" fontId="1" numFmtId="0" xfId="0" applyBorder="1" applyFont="1"/>
    <xf borderId="18" fillId="4" fontId="10" numFmtId="0" xfId="0" applyAlignment="1" applyBorder="1" applyFont="1">
      <alignment horizontal="center" readingOrder="0"/>
    </xf>
    <xf borderId="0" fillId="0" fontId="11" numFmtId="0" xfId="0" applyFont="1"/>
    <xf borderId="4" fillId="2" fontId="1" numFmtId="0" xfId="0" applyAlignment="1" applyBorder="1" applyFont="1">
      <alignment readingOrder="0" vertical="center"/>
    </xf>
    <xf borderId="5" fillId="2" fontId="12" numFmtId="0" xfId="0" applyAlignment="1" applyBorder="1" applyFont="1">
      <alignment readingOrder="0"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4" fillId="2" fontId="1" numFmtId="0" xfId="0" applyBorder="1" applyFont="1"/>
    <xf borderId="5" fillId="2" fontId="12" numFmtId="0" xfId="0" applyAlignment="1" applyBorder="1" applyFont="1">
      <alignment vertical="center"/>
    </xf>
    <xf borderId="5" fillId="2" fontId="1" numFmtId="0" xfId="0" applyBorder="1" applyFont="1"/>
    <xf borderId="5" fillId="2" fontId="12" numFmtId="0" xfId="0" applyAlignment="1" applyBorder="1" applyFont="1">
      <alignment horizontal="right" readingOrder="0" vertical="center"/>
    </xf>
    <xf borderId="5" fillId="2" fontId="12" numFmtId="4" xfId="0" applyAlignment="1" applyBorder="1" applyFont="1" applyNumberFormat="1">
      <alignment horizontal="center" vertical="center"/>
    </xf>
    <xf borderId="6" fillId="0" fontId="3" numFmtId="0" xfId="0" applyBorder="1" applyFont="1"/>
    <xf borderId="14" fillId="10" fontId="5" numFmtId="0" xfId="0" applyAlignment="1" applyBorder="1" applyFill="1" applyFont="1">
      <alignment horizontal="center" readingOrder="0"/>
    </xf>
    <xf borderId="15" fillId="10" fontId="5" numFmtId="0" xfId="0" applyAlignment="1" applyBorder="1" applyFont="1">
      <alignment horizontal="center" readingOrder="0"/>
    </xf>
    <xf borderId="15" fillId="10" fontId="5" numFmtId="0" xfId="0" applyAlignment="1" applyBorder="1" applyFont="1">
      <alignment horizontal="center"/>
    </xf>
    <xf borderId="14" fillId="10" fontId="1" numFmtId="0" xfId="0" applyBorder="1" applyFont="1"/>
    <xf borderId="26" fillId="7" fontId="1" numFmtId="0" xfId="0" applyAlignment="1" applyBorder="1" applyFont="1">
      <alignment readingOrder="0"/>
    </xf>
    <xf borderId="27" fillId="0" fontId="3" numFmtId="0" xfId="0" applyBorder="1" applyFont="1"/>
    <xf borderId="28" fillId="0" fontId="3" numFmtId="0" xfId="0" applyBorder="1" applyFont="1"/>
    <xf borderId="29" fillId="7" fontId="1" numFmtId="165" xfId="0" applyAlignment="1" applyBorder="1" applyFont="1" applyNumberFormat="1">
      <alignment readingOrder="0"/>
    </xf>
    <xf borderId="29" fillId="7" fontId="1" numFmtId="164" xfId="0" applyBorder="1" applyFont="1" applyNumberFormat="1"/>
    <xf borderId="29" fillId="7" fontId="1" numFmtId="164" xfId="0" applyAlignment="1" applyBorder="1" applyFont="1" applyNumberFormat="1">
      <alignment horizontal="center" readingOrder="0"/>
    </xf>
    <xf borderId="30" fillId="7" fontId="1" numFmtId="9" xfId="0" applyAlignment="1" applyBorder="1" applyFont="1" applyNumberFormat="1">
      <alignment horizontal="center" readingOrder="0"/>
    </xf>
    <xf borderId="30" fillId="0" fontId="3" numFmtId="0" xfId="0" applyBorder="1" applyFont="1"/>
    <xf borderId="27" fillId="7" fontId="1" numFmtId="0" xfId="0" applyAlignment="1" applyBorder="1" applyFont="1">
      <alignment horizontal="center" readingOrder="0"/>
    </xf>
    <xf borderId="31" fillId="0" fontId="3" numFmtId="0" xfId="0" applyBorder="1" applyFont="1"/>
    <xf borderId="29" fillId="7" fontId="1" numFmtId="0" xfId="0" applyBorder="1" applyFont="1"/>
    <xf borderId="27" fillId="7" fontId="1" numFmtId="9" xfId="0" applyBorder="1" applyFont="1" applyNumberFormat="1"/>
    <xf borderId="27" fillId="7" fontId="1" numFmtId="0" xfId="0" applyBorder="1" applyFont="1"/>
    <xf borderId="26" fillId="0" fontId="1" numFmtId="0" xfId="0" applyAlignment="1" applyBorder="1" applyFont="1">
      <alignment readingOrder="0"/>
    </xf>
    <xf borderId="29" fillId="0" fontId="1" numFmtId="0" xfId="0" applyBorder="1" applyFont="1"/>
    <xf borderId="29" fillId="0" fontId="1" numFmtId="165" xfId="0" applyBorder="1" applyFont="1" applyNumberFormat="1"/>
    <xf borderId="29" fillId="0" fontId="1" numFmtId="164" xfId="0" applyBorder="1" applyFont="1" applyNumberFormat="1"/>
    <xf borderId="27" fillId="0" fontId="1" numFmtId="9" xfId="0" applyBorder="1" applyFont="1" applyNumberFormat="1"/>
    <xf borderId="32" fillId="7" fontId="1" numFmtId="0" xfId="0" applyAlignment="1" applyBorder="1" applyFont="1">
      <alignment horizontal="center" readingOrder="0"/>
    </xf>
    <xf borderId="32" fillId="0" fontId="3" numFmtId="0" xfId="0" applyBorder="1" applyFont="1"/>
    <xf borderId="33" fillId="0" fontId="3" numFmtId="0" xfId="0" applyBorder="1" applyFont="1"/>
    <xf borderId="0" fillId="11" fontId="5" numFmtId="0" xfId="0" applyAlignment="1" applyFill="1" applyFont="1">
      <alignment readingOrder="0"/>
    </xf>
    <xf borderId="0" fillId="11" fontId="1" numFmtId="0" xfId="0" applyFont="1"/>
    <xf borderId="34" fillId="7" fontId="1" numFmtId="0" xfId="0" applyAlignment="1" applyBorder="1" applyFont="1">
      <alignment readingOrder="0"/>
    </xf>
    <xf borderId="35" fillId="0" fontId="3" numFmtId="0" xfId="0" applyBorder="1" applyFont="1"/>
    <xf borderId="36" fillId="7" fontId="1" numFmtId="165" xfId="0" applyAlignment="1" applyBorder="1" applyFont="1" applyNumberFormat="1">
      <alignment readingOrder="0"/>
    </xf>
    <xf borderId="36" fillId="7" fontId="1" numFmtId="164" xfId="0" applyAlignment="1" applyBorder="1" applyFont="1" applyNumberFormat="1">
      <alignment readingOrder="0"/>
    </xf>
    <xf borderId="36" fillId="7" fontId="1" numFmtId="164" xfId="0" applyAlignment="1" applyBorder="1" applyFont="1" applyNumberFormat="1">
      <alignment horizontal="center" readingOrder="0"/>
    </xf>
    <xf borderId="32" fillId="7" fontId="1" numFmtId="9" xfId="0" applyAlignment="1" applyBorder="1" applyFont="1" applyNumberFormat="1">
      <alignment horizontal="center" readingOrder="0"/>
    </xf>
    <xf borderId="36" fillId="7" fontId="1" numFmtId="0" xfId="0" applyBorder="1" applyFont="1"/>
    <xf borderId="36" fillId="7" fontId="1" numFmtId="164" xfId="0" applyBorder="1" applyFont="1" applyNumberFormat="1"/>
    <xf borderId="32" fillId="7" fontId="1" numFmtId="9" xfId="0" applyBorder="1" applyFont="1" applyNumberFormat="1"/>
    <xf borderId="34" fillId="0" fontId="1" numFmtId="0" xfId="0" applyAlignment="1" applyBorder="1" applyFont="1">
      <alignment readingOrder="0"/>
    </xf>
    <xf borderId="36" fillId="0" fontId="1" numFmtId="0" xfId="0" applyBorder="1" applyFont="1"/>
    <xf borderId="36" fillId="0" fontId="1" numFmtId="165" xfId="0" applyBorder="1" applyFont="1" applyNumberFormat="1"/>
    <xf borderId="36" fillId="0" fontId="1" numFmtId="164" xfId="0" applyBorder="1" applyFont="1" applyNumberFormat="1"/>
    <xf borderId="32" fillId="0" fontId="1" numFmtId="9" xfId="0" applyBorder="1" applyFont="1" applyNumberFormat="1"/>
    <xf borderId="0" fillId="11" fontId="5" numFmtId="0" xfId="0" applyAlignment="1" applyFont="1">
      <alignment horizontal="center"/>
    </xf>
    <xf borderId="0" fillId="11" fontId="5" numFmtId="0" xfId="0" applyAlignment="1" applyFont="1">
      <alignment horizontal="center" readingOrder="0"/>
    </xf>
    <xf borderId="34" fillId="0" fontId="1" numFmtId="0" xfId="0" applyBorder="1" applyFont="1"/>
    <xf borderId="0" fillId="11" fontId="5" numFmtId="0" xfId="0" applyFont="1"/>
    <xf borderId="0" fillId="11" fontId="1" numFmtId="164" xfId="0" applyFont="1" applyNumberFormat="1"/>
    <xf borderId="36" fillId="7" fontId="5" numFmtId="164" xfId="0" applyAlignment="1" applyBorder="1" applyFont="1" applyNumberFormat="1">
      <alignment horizontal="center" readingOrder="0"/>
    </xf>
    <xf borderId="34" fillId="7" fontId="1" numFmtId="0" xfId="0" applyBorder="1" applyFont="1"/>
    <xf borderId="12" fillId="11" fontId="5" numFmtId="0" xfId="0" applyBorder="1" applyFont="1"/>
    <xf borderId="12" fillId="11" fontId="1" numFmtId="164" xfId="0" applyBorder="1" applyFont="1" applyNumberFormat="1"/>
    <xf borderId="0" fillId="12" fontId="5" numFmtId="0" xfId="0" applyAlignment="1" applyFill="1" applyFont="1">
      <alignment readingOrder="0"/>
    </xf>
    <xf borderId="0" fillId="12" fontId="1" numFmtId="0" xfId="0" applyFont="1"/>
    <xf borderId="37" fillId="7" fontId="1" numFmtId="0" xfId="0" applyAlignment="1" applyBorder="1" applyFont="1">
      <alignment readingOrder="0"/>
    </xf>
    <xf borderId="38" fillId="0" fontId="3" numFmtId="0" xfId="0" applyBorder="1" applyFont="1"/>
    <xf borderId="39" fillId="0" fontId="3" numFmtId="0" xfId="0" applyBorder="1" applyFont="1"/>
    <xf borderId="40" fillId="7" fontId="1" numFmtId="165" xfId="0" applyAlignment="1" applyBorder="1" applyFont="1" applyNumberFormat="1">
      <alignment readingOrder="0"/>
    </xf>
    <xf borderId="40" fillId="7" fontId="1" numFmtId="164" xfId="0" applyAlignment="1" applyBorder="1" applyFont="1" applyNumberFormat="1">
      <alignment readingOrder="0"/>
    </xf>
    <xf borderId="40" fillId="7" fontId="5" numFmtId="164" xfId="0" applyAlignment="1" applyBorder="1" applyFont="1" applyNumberFormat="1">
      <alignment horizontal="center" readingOrder="0"/>
    </xf>
    <xf borderId="38" fillId="7" fontId="1" numFmtId="9" xfId="0" applyAlignment="1" applyBorder="1" applyFont="1" applyNumberFormat="1">
      <alignment horizontal="center" readingOrder="0"/>
    </xf>
    <xf borderId="38" fillId="7" fontId="1" numFmtId="0" xfId="0" applyAlignment="1" applyBorder="1" applyFont="1">
      <alignment horizontal="center" readingOrder="0"/>
    </xf>
    <xf borderId="41" fillId="0" fontId="3" numFmtId="0" xfId="0" applyBorder="1" applyFont="1"/>
    <xf borderId="0" fillId="12" fontId="5" numFmtId="0" xfId="0" applyAlignment="1" applyFont="1">
      <alignment horizontal="center" readingOrder="0"/>
    </xf>
    <xf borderId="0" fillId="12" fontId="5" numFmtId="0" xfId="0" applyAlignment="1" applyFont="1">
      <alignment horizontal="left" readingOrder="0"/>
    </xf>
    <xf borderId="14" fillId="2" fontId="5" numFmtId="0" xfId="0" applyAlignment="1" applyBorder="1" applyFont="1">
      <alignment readingOrder="0"/>
    </xf>
    <xf borderId="15" fillId="2" fontId="5" numFmtId="164" xfId="0" applyAlignment="1" applyBorder="1" applyFont="1" applyNumberFormat="1">
      <alignment readingOrder="0"/>
    </xf>
    <xf borderId="15" fillId="2" fontId="5" numFmtId="164" xfId="0" applyAlignment="1" applyBorder="1" applyFont="1" applyNumberFormat="1">
      <alignment horizontal="center" readingOrder="0"/>
    </xf>
    <xf borderId="15" fillId="2" fontId="5" numFmtId="9" xfId="0" applyAlignment="1" applyBorder="1" applyFont="1" applyNumberFormat="1">
      <alignment horizontal="center" readingOrder="0"/>
    </xf>
    <xf borderId="15" fillId="2" fontId="1" numFmtId="0" xfId="0" applyAlignment="1" applyBorder="1" applyFont="1">
      <alignment horizontal="center" readingOrder="0"/>
    </xf>
    <xf borderId="0" fillId="12" fontId="5" numFmtId="0" xfId="0" applyFont="1"/>
    <xf borderId="0" fillId="12" fontId="1" numFmtId="164" xfId="0" applyFont="1" applyNumberFormat="1"/>
    <xf borderId="0" fillId="12" fontId="1" numFmtId="164" xfId="0" applyAlignment="1" applyFont="1" applyNumberFormat="1">
      <alignment horizontal="left"/>
    </xf>
    <xf borderId="0" fillId="12" fontId="1" numFmtId="0" xfId="0" applyAlignment="1" applyFont="1">
      <alignment horizontal="left"/>
    </xf>
    <xf borderId="4" fillId="2" fontId="4" numFmtId="0" xfId="0" applyBorder="1" applyFont="1"/>
    <xf borderId="9" fillId="2" fontId="4" numFmtId="0" xfId="0" applyBorder="1" applyFont="1"/>
    <xf borderId="0" fillId="2" fontId="1" numFmtId="0" xfId="0" applyAlignment="1" applyFont="1">
      <alignment vertical="center"/>
    </xf>
    <xf borderId="14" fillId="10" fontId="5" numFmtId="0" xfId="0" applyBorder="1" applyFont="1"/>
    <xf borderId="27" fillId="7" fontId="4" numFmtId="0" xfId="0" applyBorder="1" applyFont="1"/>
    <xf borderId="42" fillId="7" fontId="1" numFmtId="0" xfId="0" applyBorder="1" applyFont="1"/>
    <xf borderId="43" fillId="7" fontId="1" numFmtId="0" xfId="0" applyBorder="1" applyFont="1"/>
    <xf borderId="44" fillId="0" fontId="3" numFmtId="0" xfId="0" applyBorder="1" applyFont="1"/>
    <xf borderId="45" fillId="0" fontId="3" numFmtId="0" xfId="0" applyBorder="1" applyFont="1"/>
    <xf borderId="43" fillId="7" fontId="1" numFmtId="164" xfId="0" applyBorder="1" applyFont="1" applyNumberFormat="1"/>
    <xf borderId="44" fillId="7" fontId="1" numFmtId="9" xfId="0" applyBorder="1" applyFont="1" applyNumberFormat="1"/>
    <xf borderId="42" fillId="0" fontId="1" numFmtId="0" xfId="0" applyAlignment="1" applyBorder="1" applyFont="1">
      <alignment readingOrder="0"/>
    </xf>
    <xf borderId="43" fillId="0" fontId="1" numFmtId="0" xfId="0" applyBorder="1" applyFont="1"/>
    <xf borderId="43" fillId="0" fontId="1" numFmtId="165" xfId="0" applyBorder="1" applyFont="1" applyNumberFormat="1"/>
    <xf borderId="43" fillId="0" fontId="1" numFmtId="164" xfId="0" applyBorder="1" applyFont="1" applyNumberFormat="1"/>
    <xf borderId="44" fillId="0" fontId="1" numFmtId="9" xfId="0" applyBorder="1" applyFont="1" applyNumberFormat="1"/>
    <xf borderId="18" fillId="2" fontId="5" numFmtId="0" xfId="0" applyAlignment="1" applyBorder="1" applyFont="1">
      <alignment readingOrder="0"/>
    </xf>
    <xf borderId="19" fillId="2" fontId="5" numFmtId="164" xfId="0" applyBorder="1" applyFont="1" applyNumberFormat="1"/>
    <xf borderId="19" fillId="2" fontId="5" numFmtId="9" xfId="0" applyBorder="1" applyFont="1" applyNumberFormat="1"/>
    <xf borderId="15" fillId="2" fontId="4" numFmtId="0" xfId="0" applyBorder="1" applyFont="1"/>
    <xf borderId="15" fillId="2" fontId="1" numFmtId="0" xfId="0" applyBorder="1" applyFont="1"/>
    <xf borderId="4" fillId="2" fontId="1" numFmtId="0" xfId="0" applyAlignment="1" applyBorder="1" applyFont="1">
      <alignment readingOrder="0"/>
    </xf>
    <xf borderId="5" fillId="2" fontId="4" numFmtId="0" xfId="0" applyBorder="1" applyFont="1"/>
    <xf borderId="5" fillId="2" fontId="1" numFmtId="0" xfId="0" applyAlignment="1" applyBorder="1" applyFont="1">
      <alignment readingOrder="0" vertical="center"/>
    </xf>
    <xf borderId="5" fillId="2" fontId="5" numFmtId="0" xfId="0" applyAlignment="1" applyBorder="1" applyFont="1">
      <alignment horizontal="right" readingOrder="0"/>
    </xf>
    <xf borderId="5" fillId="7" fontId="1" numFmtId="0" xfId="0" applyAlignment="1" applyBorder="1" applyFont="1">
      <alignment readingOrder="0"/>
    </xf>
    <xf borderId="5" fillId="9" fontId="1" numFmtId="0" xfId="0" applyBorder="1" applyFont="1"/>
    <xf borderId="6" fillId="2" fontId="1" numFmtId="0" xfId="0" applyBorder="1" applyFont="1"/>
    <xf borderId="46" fillId="2" fontId="1" numFmtId="0" xfId="0" applyBorder="1" applyFont="1"/>
    <xf borderId="47" fillId="2" fontId="5" numFmtId="0" xfId="0" applyAlignment="1" applyBorder="1" applyFont="1">
      <alignment horizontal="left" vertical="center"/>
    </xf>
    <xf borderId="47" fillId="0" fontId="3" numFmtId="0" xfId="0" applyBorder="1" applyFont="1"/>
    <xf borderId="47" fillId="2" fontId="5" numFmtId="0" xfId="0" applyAlignment="1" applyBorder="1" applyFont="1">
      <alignment horizontal="center"/>
    </xf>
    <xf borderId="47" fillId="2" fontId="5" numFmtId="0" xfId="0" applyAlignment="1" applyBorder="1" applyFont="1">
      <alignment horizontal="right" readingOrder="0" vertical="center"/>
    </xf>
    <xf borderId="47" fillId="2" fontId="5" numFmtId="4" xfId="0" applyAlignment="1" applyBorder="1" applyFont="1" applyNumberFormat="1">
      <alignment horizontal="center" vertical="center"/>
    </xf>
    <xf borderId="48" fillId="0" fontId="3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Alignment="1" applyFont="1">
      <alignment horizontal="right" readingOrder="0"/>
    </xf>
    <xf borderId="0" fillId="13" fontId="1" numFmtId="0" xfId="0" applyFill="1" applyFont="1"/>
    <xf borderId="10" fillId="2" fontId="1" numFmtId="0" xfId="0" applyBorder="1" applyFont="1"/>
    <xf borderId="49" fillId="2" fontId="1" numFmtId="0" xfId="0" applyAlignment="1" applyBorder="1" applyFont="1">
      <alignment readingOrder="0"/>
    </xf>
    <xf borderId="0" fillId="2" fontId="5" numFmtId="0" xfId="0" applyAlignment="1" applyFont="1">
      <alignment horizontal="center"/>
    </xf>
    <xf borderId="50" fillId="0" fontId="3" numFmtId="0" xfId="0" applyBorder="1" applyFont="1"/>
    <xf borderId="0" fillId="0" fontId="1" numFmtId="0" xfId="0" applyAlignment="1" applyFont="1">
      <alignment horizontal="left"/>
    </xf>
    <xf borderId="9" fillId="10" fontId="4" numFmtId="0" xfId="0" applyAlignment="1" applyBorder="1" applyFont="1">
      <alignment horizontal="left"/>
    </xf>
    <xf borderId="0" fillId="10" fontId="5" numFmtId="0" xfId="0" applyAlignment="1" applyFont="1">
      <alignment horizontal="center" readingOrder="0"/>
    </xf>
    <xf borderId="0" fillId="10" fontId="5" numFmtId="164" xfId="0" applyAlignment="1" applyFont="1" applyNumberFormat="1">
      <alignment horizontal="center" readingOrder="0"/>
    </xf>
    <xf borderId="51" fillId="10" fontId="1" numFmtId="0" xfId="0" applyAlignment="1" applyBorder="1" applyFont="1">
      <alignment readingOrder="0"/>
    </xf>
    <xf borderId="52" fillId="0" fontId="3" numFmtId="0" xfId="0" applyBorder="1" applyFont="1"/>
    <xf borderId="0" fillId="0" fontId="5" numFmtId="0" xfId="0" applyFont="1"/>
    <xf borderId="26" fillId="7" fontId="4" numFmtId="0" xfId="0" applyAlignment="1" applyBorder="1" applyFont="1">
      <alignment readingOrder="0"/>
    </xf>
    <xf borderId="27" fillId="7" fontId="1" numFmtId="166" xfId="0" applyAlignment="1" applyBorder="1" applyFont="1" applyNumberFormat="1">
      <alignment horizontal="center" readingOrder="0"/>
    </xf>
    <xf borderId="27" fillId="7" fontId="1" numFmtId="0" xfId="0" applyAlignment="1" applyBorder="1" applyFont="1">
      <alignment readingOrder="0"/>
    </xf>
    <xf borderId="27" fillId="7" fontId="1" numFmtId="164" xfId="0" applyAlignment="1" applyBorder="1" applyFont="1" applyNumberFormat="1">
      <alignment readingOrder="0"/>
    </xf>
    <xf borderId="53" fillId="7" fontId="1" numFmtId="0" xfId="0" applyAlignment="1" applyBorder="1" applyFont="1">
      <alignment readingOrder="0"/>
    </xf>
    <xf borderId="54" fillId="7" fontId="1" numFmtId="0" xfId="0" applyBorder="1" applyFont="1"/>
    <xf borderId="55" fillId="0" fontId="3" numFmtId="0" xfId="0" applyBorder="1" applyFont="1"/>
    <xf borderId="56" fillId="0" fontId="3" numFmtId="0" xfId="0" applyBorder="1" applyFont="1"/>
    <xf borderId="54" fillId="7" fontId="1" numFmtId="165" xfId="0" applyBorder="1" applyFont="1" applyNumberFormat="1"/>
    <xf borderId="54" fillId="7" fontId="1" numFmtId="164" xfId="0" applyBorder="1" applyFont="1" applyNumberFormat="1"/>
    <xf borderId="55" fillId="7" fontId="1" numFmtId="9" xfId="0" applyBorder="1" applyFont="1" applyNumberFormat="1"/>
    <xf borderId="55" fillId="7" fontId="1" numFmtId="0" xfId="0" applyAlignment="1" applyBorder="1" applyFont="1">
      <alignment horizontal="center" readingOrder="0"/>
    </xf>
    <xf borderId="57" fillId="0" fontId="3" numFmtId="0" xfId="0" applyBorder="1" applyFont="1"/>
    <xf borderId="0" fillId="0" fontId="1" numFmtId="164" xfId="0" applyAlignment="1" applyFont="1" applyNumberFormat="1">
      <alignment horizontal="left"/>
    </xf>
    <xf borderId="0" fillId="0" fontId="1" numFmtId="9" xfId="0" applyAlignment="1" applyFont="1" applyNumberFormat="1">
      <alignment horizontal="left"/>
    </xf>
    <xf borderId="34" fillId="7" fontId="4" numFmtId="0" xfId="0" applyAlignment="1" applyBorder="1" applyFont="1">
      <alignment readingOrder="0"/>
    </xf>
    <xf borderId="32" fillId="7" fontId="1" numFmtId="166" xfId="0" applyAlignment="1" applyBorder="1" applyFont="1" applyNumberFormat="1">
      <alignment horizontal="center" readingOrder="0"/>
    </xf>
    <xf borderId="32" fillId="7" fontId="1" numFmtId="0" xfId="0" applyAlignment="1" applyBorder="1" applyFont="1">
      <alignment readingOrder="0"/>
    </xf>
    <xf borderId="32" fillId="7" fontId="1" numFmtId="164" xfId="0" applyAlignment="1" applyBorder="1" applyFont="1" applyNumberFormat="1">
      <alignment readingOrder="0"/>
    </xf>
    <xf borderId="58" fillId="7" fontId="1" numFmtId="0" xfId="0" applyAlignment="1" applyBorder="1" applyFont="1">
      <alignment readingOrder="0"/>
    </xf>
    <xf borderId="59" fillId="7" fontId="1" numFmtId="0" xfId="0" applyBorder="1" applyFont="1"/>
    <xf borderId="60" fillId="0" fontId="3" numFmtId="0" xfId="0" applyBorder="1" applyFont="1"/>
    <xf borderId="61" fillId="0" fontId="3" numFmtId="0" xfId="0" applyBorder="1" applyFont="1"/>
    <xf borderId="59" fillId="7" fontId="1" numFmtId="165" xfId="0" applyBorder="1" applyFont="1" applyNumberFormat="1"/>
    <xf borderId="59" fillId="7" fontId="1" numFmtId="164" xfId="0" applyBorder="1" applyFont="1" applyNumberFormat="1"/>
    <xf borderId="60" fillId="7" fontId="1" numFmtId="9" xfId="0" applyBorder="1" applyFont="1" applyNumberFormat="1"/>
    <xf borderId="0" fillId="0" fontId="1" numFmtId="164" xfId="0" applyFont="1" applyNumberFormat="1"/>
    <xf borderId="0" fillId="0" fontId="1" numFmtId="9" xfId="0" applyFont="1" applyNumberFormat="1"/>
    <xf borderId="58" fillId="7" fontId="1" numFmtId="0" xfId="0" applyBorder="1" applyFont="1"/>
    <xf borderId="34" fillId="7" fontId="4" numFmtId="0" xfId="0" applyBorder="1" applyFont="1"/>
    <xf borderId="62" fillId="7" fontId="1" numFmtId="0" xfId="0" applyBorder="1" applyFont="1"/>
    <xf borderId="63" fillId="7" fontId="1" numFmtId="0" xfId="0" applyBorder="1" applyFont="1"/>
    <xf borderId="64" fillId="0" fontId="3" numFmtId="0" xfId="0" applyBorder="1" applyFont="1"/>
    <xf borderId="65" fillId="0" fontId="3" numFmtId="0" xfId="0" applyBorder="1" applyFont="1"/>
    <xf borderId="63" fillId="7" fontId="1" numFmtId="165" xfId="0" applyBorder="1" applyFont="1" applyNumberFormat="1"/>
    <xf borderId="63" fillId="7" fontId="1" numFmtId="164" xfId="0" applyBorder="1" applyFont="1" applyNumberFormat="1"/>
    <xf borderId="64" fillId="7" fontId="1" numFmtId="9" xfId="0" applyBorder="1" applyFont="1" applyNumberFormat="1"/>
    <xf borderId="15" fillId="7" fontId="1" numFmtId="0" xfId="0" applyAlignment="1" applyBorder="1" applyFont="1">
      <alignment horizontal="center" readingOrder="0"/>
    </xf>
    <xf borderId="66" fillId="2" fontId="5" numFmtId="0" xfId="0" applyAlignment="1" applyBorder="1" applyFont="1">
      <alignment readingOrder="0"/>
    </xf>
    <xf borderId="67" fillId="0" fontId="3" numFmtId="0" xfId="0" applyBorder="1" applyFont="1"/>
    <xf borderId="67" fillId="2" fontId="5" numFmtId="164" xfId="0" applyBorder="1" applyFont="1" applyNumberFormat="1"/>
    <xf borderId="67" fillId="2" fontId="5" numFmtId="9" xfId="0" applyBorder="1" applyFont="1" applyNumberFormat="1"/>
    <xf borderId="46" fillId="0" fontId="1" numFmtId="0" xfId="0" applyBorder="1" applyFont="1"/>
    <xf borderId="47" fillId="0" fontId="5" numFmtId="0" xfId="0" applyAlignment="1" applyBorder="1" applyFont="1">
      <alignment horizontal="center" readingOrder="0" vertical="center"/>
    </xf>
    <xf borderId="48" fillId="0" fontId="1" numFmtId="0" xfId="0" applyBorder="1" applyFont="1"/>
    <xf borderId="49" fillId="0" fontId="1" numFmtId="0" xfId="0" applyBorder="1" applyFont="1"/>
    <xf borderId="50" fillId="0" fontId="1" numFmtId="0" xfId="0" applyBorder="1" applyFont="1"/>
    <xf borderId="55" fillId="0" fontId="1" numFmtId="0" xfId="0" applyBorder="1" applyFont="1"/>
    <xf borderId="55" fillId="0" fontId="1" numFmtId="0" xfId="0" applyAlignment="1" applyBorder="1" applyFont="1">
      <alignment readingOrder="0"/>
    </xf>
    <xf borderId="55" fillId="0" fontId="1" numFmtId="164" xfId="0" applyBorder="1" applyFont="1" applyNumberFormat="1"/>
    <xf borderId="55" fillId="0" fontId="1" numFmtId="9" xfId="0" applyAlignment="1" applyBorder="1" applyFont="1" applyNumberFormat="1">
      <alignment readingOrder="0"/>
    </xf>
    <xf borderId="60" fillId="0" fontId="1" numFmtId="0" xfId="0" applyBorder="1" applyFont="1"/>
    <xf borderId="60" fillId="0" fontId="1" numFmtId="164" xfId="0" applyBorder="1" applyFont="1" applyNumberFormat="1"/>
    <xf borderId="60" fillId="0" fontId="1" numFmtId="9" xfId="0" applyAlignment="1" applyBorder="1" applyFont="1" applyNumberFormat="1">
      <alignment readingOrder="0"/>
    </xf>
    <xf borderId="60" fillId="0" fontId="1" numFmtId="0" xfId="0" applyAlignment="1" applyBorder="1" applyFont="1">
      <alignment readingOrder="0"/>
    </xf>
    <xf borderId="50" fillId="0" fontId="1" numFmtId="0" xfId="0" applyAlignment="1" applyBorder="1" applyFont="1">
      <alignment readingOrder="0"/>
    </xf>
    <xf borderId="64" fillId="0" fontId="1" numFmtId="0" xfId="0" applyBorder="1" applyFont="1"/>
    <xf borderId="16" fillId="7" fontId="1" numFmtId="0" xfId="0" applyBorder="1" applyFont="1"/>
    <xf borderId="68" fillId="0" fontId="1" numFmtId="0" xfId="0" applyBorder="1" applyFont="1"/>
    <xf borderId="69" fillId="0" fontId="1" numFmtId="0" xfId="0" applyBorder="1" applyFont="1"/>
    <xf borderId="70" fillId="0" fontId="1" numFmtId="0" xfId="0" applyBorder="1" applyFont="1"/>
    <xf borderId="0" fillId="0" fontId="10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0" numFmtId="0" xfId="0" applyFont="1"/>
  </cellXfs>
  <cellStyles count="1">
    <cellStyle xfId="0" name="Normal" builtinId="0"/>
  </cellStyles>
  <dxfs count="6">
    <dxf>
      <font>
        <strike/>
      </font>
      <fill>
        <patternFill patternType="solid">
          <fgColor rgb="FF38761D"/>
          <bgColor rgb="FF38761D"/>
        </patternFill>
      </fill>
      <border/>
    </dxf>
    <dxf>
      <font>
        <i/>
        <strike/>
        <color rgb="FF666666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i/>
        <strike/>
        <color rgb="FF666666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FD9B87"/>
              </a:solidFill>
            </c:spPr>
          </c:dPt>
          <c:dPt>
            <c:idx val="2"/>
            <c:spPr>
              <a:solidFill>
                <a:srgbClr val="FFFAD6"/>
              </a:solidFill>
            </c:spPr>
          </c:dPt>
          <c:dPt>
            <c:idx val="3"/>
            <c:spPr>
              <a:solidFill>
                <a:srgbClr val="ECF0F9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Template!$CM$11:$CM$20</c:f>
            </c:strRef>
          </c:cat>
          <c:val>
            <c:numRef>
              <c:f>Template!$CN$11:$CN$20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FD9B87"/>
              </a:solidFill>
            </c:spPr>
          </c:dPt>
          <c:dPt>
            <c:idx val="2"/>
            <c:spPr>
              <a:solidFill>
                <a:srgbClr val="FFFAD6"/>
              </a:solidFill>
            </c:spPr>
          </c:dPt>
          <c:dPt>
            <c:idx val="3"/>
            <c:spPr>
              <a:solidFill>
                <a:srgbClr val="ECF0F9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Template!$CJ$24:$CJ$29</c:f>
            </c:strRef>
          </c:cat>
          <c:val>
            <c:numRef>
              <c:f>Template!$CK$24:$CK$29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Template!$CH$32</c:f>
            </c:strRef>
          </c:tx>
          <c:spPr>
            <a:solidFill>
              <a:srgbClr val="FD9B87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Template!$CG$33:$CG$38</c:f>
            </c:strRef>
          </c:cat>
          <c:val>
            <c:numRef>
              <c:f>Template!$CH$33:$CH$38</c:f>
              <c:numCache/>
            </c:numRef>
          </c:val>
        </c:ser>
        <c:ser>
          <c:idx val="1"/>
          <c:order val="1"/>
          <c:tx>
            <c:strRef>
              <c:f>Template!$CI$32</c:f>
            </c:strRef>
          </c:tx>
          <c:spPr>
            <a:solidFill>
              <a:srgbClr val="93B4A2"/>
            </a:solidFill>
            <a:ln cmpd="sng">
              <a:solidFill>
                <a:srgbClr val="000000"/>
              </a:solidFill>
            </a:ln>
          </c:spPr>
          <c:cat>
            <c:strRef>
              <c:f>Template!$CG$33:$CG$38</c:f>
            </c:strRef>
          </c:cat>
          <c:val>
            <c:numRef>
              <c:f>Template!$CI$33:$CI$38</c:f>
              <c:numCache/>
            </c:numRef>
          </c:val>
        </c:ser>
        <c:axId val="278604484"/>
        <c:axId val="1355464845"/>
      </c:barChart>
      <c:catAx>
        <c:axId val="278604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5464845"/>
      </c:catAx>
      <c:valAx>
        <c:axId val="135546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8604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285750</xdr:colOff>
      <xdr:row>8</xdr:row>
      <xdr:rowOff>0</xdr:rowOff>
    </xdr:from>
    <xdr:ext cx="3048000" cy="2457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276225</xdr:colOff>
      <xdr:row>8</xdr:row>
      <xdr:rowOff>0</xdr:rowOff>
    </xdr:from>
    <xdr:ext cx="3048000" cy="2457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43</xdr:col>
      <xdr:colOff>266700</xdr:colOff>
      <xdr:row>8</xdr:row>
      <xdr:rowOff>0</xdr:rowOff>
    </xdr:from>
    <xdr:ext cx="4895850" cy="2457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7" width="4.0"/>
    <col customWidth="1" min="78" max="78" width="23.0"/>
    <col customWidth="1" min="79" max="79" width="7.38"/>
    <col customWidth="1" min="80" max="80" width="11.5"/>
    <col customWidth="1" min="81" max="81" width="15.0"/>
    <col customWidth="1" min="82" max="84" width="3.75"/>
    <col customWidth="1" min="85" max="86" width="13.0"/>
    <col customWidth="1" min="87" max="87" width="3.63"/>
    <col customWidth="1" min="88" max="89" width="13.0"/>
    <col customWidth="1" min="90" max="90" width="3.75"/>
    <col customWidth="1" min="91" max="92" width="13.0"/>
    <col customWidth="1" min="93" max="93" width="3.38"/>
    <col customWidth="1" min="94" max="99" width="13.0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ht="19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7"/>
      <c r="BM2" s="8"/>
      <c r="BN2" s="9"/>
      <c r="BO2" s="10"/>
      <c r="BP2" s="10"/>
      <c r="BQ2" s="10"/>
      <c r="BR2" s="10"/>
      <c r="BS2" s="10"/>
      <c r="BT2" s="10"/>
      <c r="BU2" s="10"/>
      <c r="BV2" s="1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ht="19.5" customHeight="1">
      <c r="A3" s="1"/>
      <c r="B3" s="12"/>
      <c r="R3" s="13"/>
      <c r="S3" s="1"/>
      <c r="T3" s="14"/>
      <c r="U3" s="15" t="s">
        <v>1</v>
      </c>
      <c r="AB3" s="16"/>
      <c r="AC3" s="17"/>
      <c r="AD3" s="15" t="str">
        <f>IF(AE4=0, "E X P E N S E S", CONCATENATE("E X P E N S E S    ", ROUND((AE4/V4)*100, 1), "%"))</f>
        <v>E X P E N S E S    35.3%</v>
      </c>
      <c r="AK3" s="16"/>
      <c r="AL3" s="17"/>
      <c r="AM3" s="15" t="str">
        <f>IF(AN4=0,"B I L L S", CONCATENATE("B I L L S    ", ROUND((AN4/V4)*100, 1), "%"))</f>
        <v>B I L L S    23.1%</v>
      </c>
      <c r="AT3" s="16"/>
      <c r="AU3" s="17"/>
      <c r="AV3" s="15" t="str">
        <f>IF(AW4=0,"S A V I N G S", CONCATENATE("S A V I N G S    ", ROUND((AW4/V4)*100, 1), "%"))</f>
        <v>S A V I N G S    16.3%</v>
      </c>
      <c r="BC3" s="16"/>
      <c r="BD3" s="17"/>
      <c r="BE3" s="15" t="str">
        <f>IF(BF4=0, "D E P T S", CONCATENATE("D E P T S    ", ROUND((BF4/V4)*100, 1), "%"))</f>
        <v>D E P T S    8.7%</v>
      </c>
      <c r="BL3" s="16"/>
      <c r="BM3" s="8"/>
      <c r="BN3" s="18"/>
      <c r="BO3" s="19" t="s">
        <v>2</v>
      </c>
      <c r="BV3" s="20"/>
      <c r="BW3" s="1"/>
      <c r="BX3" s="1"/>
      <c r="BY3" s="1"/>
      <c r="BZ3" s="21"/>
      <c r="CA3" s="22"/>
      <c r="CB3" s="21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</row>
    <row r="4" ht="26.25" customHeight="1">
      <c r="A4" s="1"/>
      <c r="B4" s="12"/>
      <c r="R4" s="13"/>
      <c r="S4" s="1"/>
      <c r="T4" s="23"/>
      <c r="U4" s="24" t="s">
        <v>3</v>
      </c>
      <c r="V4" s="25">
        <f>$K$33</f>
        <v>5750</v>
      </c>
      <c r="AB4" s="26"/>
      <c r="AC4" s="27"/>
      <c r="AD4" s="24" t="s">
        <v>3</v>
      </c>
      <c r="AE4" s="25">
        <f>$AJ$56</f>
        <v>2031</v>
      </c>
      <c r="AK4" s="26"/>
      <c r="AL4" s="27"/>
      <c r="AM4" s="24" t="s">
        <v>3</v>
      </c>
      <c r="AN4" s="25">
        <f>$BI$56</f>
        <v>1330.99</v>
      </c>
      <c r="AT4" s="26"/>
      <c r="AU4" s="27"/>
      <c r="AV4" s="24" t="s">
        <v>3</v>
      </c>
      <c r="AW4" s="25">
        <f>$K$56</f>
        <v>940</v>
      </c>
      <c r="BC4" s="26"/>
      <c r="BD4" s="27"/>
      <c r="BE4" s="24" t="s">
        <v>3</v>
      </c>
      <c r="BF4" s="25">
        <f>$BI$84</f>
        <v>500</v>
      </c>
      <c r="BL4" s="26"/>
      <c r="BM4" s="28"/>
      <c r="BN4" s="29"/>
      <c r="BO4" s="30" t="s">
        <v>3</v>
      </c>
      <c r="BP4" s="31">
        <f>V4-(AE4+AN4+AW4+BF4)</f>
        <v>948.01</v>
      </c>
      <c r="BV4" s="32"/>
      <c r="BW4" s="1"/>
      <c r="BX4" s="1"/>
      <c r="BY4" s="1"/>
      <c r="BZ4" s="21"/>
      <c r="CA4" s="21"/>
      <c r="CB4" s="2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ht="19.5" customHeight="1">
      <c r="A5" s="1"/>
      <c r="B5" s="12"/>
      <c r="R5" s="13"/>
      <c r="S5" s="1"/>
      <c r="T5" s="14"/>
      <c r="U5" s="33" t="str">
        <f>IF(K33&gt;O33, CONCATENATE("Over Budget by ฿", K33-O33), "In Budget")</f>
        <v>Over Budget by ฿50</v>
      </c>
      <c r="AB5" s="34"/>
      <c r="AC5" s="35"/>
      <c r="AD5" s="33" t="str">
        <f>IF(AJ56&gt;(K33*N14), CONCATENATE("Over Budget by ฿", ABS((K33*N14)-AJ56)), "In Budget")</f>
        <v>Over Budget by ฿306</v>
      </c>
      <c r="AK5" s="34"/>
      <c r="AL5" s="35"/>
      <c r="AM5" s="33" t="str">
        <f>IF(BI56&gt;(K33*N16), CONCATENATE("Over Budget by ฿", ABS((K33*N16)-BI56)), "In Budget")</f>
        <v>In Budget</v>
      </c>
      <c r="AT5" s="34"/>
      <c r="AU5" s="35"/>
      <c r="AV5" s="33" t="str">
        <f>IF(K56&gt;(K33*N15), CONCATENATE("Over Budget by ฿", ABS((K33*N15)-K56)), "In Budget")</f>
        <v>In Budget</v>
      </c>
      <c r="BC5" s="34"/>
      <c r="BD5" s="35"/>
      <c r="BE5" s="33" t="str">
        <f>IF(BI84&gt;(K33*N17), CONCATENATE("Over Budget by ฿", ABS((K33*N17)-BI84)), "In Budget")</f>
        <v>In Budget</v>
      </c>
      <c r="BL5" s="34"/>
      <c r="BM5" s="8"/>
      <c r="BN5" s="36"/>
      <c r="BO5" s="37"/>
      <c r="BP5" s="37"/>
      <c r="BQ5" s="37"/>
      <c r="BR5" s="37"/>
      <c r="BS5" s="37"/>
      <c r="BT5" s="37"/>
      <c r="BU5" s="37"/>
      <c r="BV5" s="38"/>
      <c r="BW5" s="1"/>
      <c r="BX5" s="1"/>
      <c r="BY5" s="1"/>
      <c r="BZ5" s="1"/>
      <c r="CA5" s="21"/>
      <c r="CB5" s="2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ht="19.5" customHeight="1">
      <c r="A6" s="1"/>
      <c r="B6" s="39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  <c r="S6" s="1"/>
      <c r="T6" s="42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4"/>
      <c r="BM6" s="8"/>
      <c r="BN6" s="45"/>
      <c r="BO6" s="46"/>
      <c r="BP6" s="46"/>
      <c r="BQ6" s="46"/>
      <c r="BR6" s="46"/>
      <c r="BS6" s="46"/>
      <c r="BT6" s="46"/>
      <c r="BU6" s="46"/>
      <c r="BV6" s="47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ht="19.5" customHeight="1">
      <c r="A7" s="1"/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48"/>
      <c r="BZ7" s="49"/>
      <c r="CA7" s="50"/>
      <c r="CB7" s="50"/>
      <c r="CC7" s="50"/>
      <c r="CD7" s="51"/>
      <c r="CE7" s="1"/>
      <c r="CF7" s="48"/>
      <c r="CG7" s="50"/>
      <c r="CH7" s="50"/>
      <c r="CI7" s="50"/>
      <c r="CJ7" s="50"/>
      <c r="CK7" s="50"/>
      <c r="CL7" s="50"/>
      <c r="CM7" s="50"/>
      <c r="CN7" s="50"/>
      <c r="CO7" s="51"/>
      <c r="CP7" s="1"/>
      <c r="CQ7" s="1"/>
      <c r="CR7" s="1"/>
      <c r="CS7" s="1"/>
      <c r="CT7" s="1"/>
      <c r="CU7" s="1"/>
    </row>
    <row r="8" ht="27.75" customHeight="1">
      <c r="A8" s="1"/>
      <c r="B8" s="52"/>
      <c r="C8" s="53" t="s">
        <v>4</v>
      </c>
      <c r="D8" s="54"/>
      <c r="E8" s="54"/>
      <c r="F8" s="54"/>
      <c r="G8" s="54"/>
      <c r="H8" s="54"/>
      <c r="I8" s="54"/>
      <c r="J8" s="55"/>
      <c r="K8" s="53" t="s">
        <v>5</v>
      </c>
      <c r="L8" s="54"/>
      <c r="M8" s="54"/>
      <c r="N8" s="54"/>
      <c r="O8" s="54"/>
      <c r="P8" s="54"/>
      <c r="Q8" s="54"/>
      <c r="R8" s="7"/>
      <c r="S8" s="1"/>
      <c r="T8" s="9"/>
      <c r="U8" s="10"/>
      <c r="V8" s="56" t="s">
        <v>6</v>
      </c>
      <c r="W8" s="54"/>
      <c r="X8" s="54"/>
      <c r="Y8" s="54"/>
      <c r="Z8" s="54"/>
      <c r="AA8" s="54"/>
      <c r="AB8" s="54"/>
      <c r="AC8" s="54"/>
      <c r="AD8" s="57"/>
      <c r="AE8" s="58"/>
      <c r="AF8" s="59"/>
      <c r="AG8" s="60"/>
      <c r="AH8" s="61" t="s">
        <v>7</v>
      </c>
      <c r="AI8" s="54"/>
      <c r="AJ8" s="54"/>
      <c r="AK8" s="54"/>
      <c r="AL8" s="54"/>
      <c r="AM8" s="54"/>
      <c r="AN8" s="54"/>
      <c r="AO8" s="54"/>
      <c r="AP8" s="60"/>
      <c r="AQ8" s="62"/>
      <c r="AR8" s="6"/>
      <c r="AS8" s="63"/>
      <c r="AT8" s="64" t="s">
        <v>8</v>
      </c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6"/>
      <c r="BI8" s="7"/>
      <c r="BJ8" s="1"/>
      <c r="BK8" s="65"/>
      <c r="BL8" s="66" t="s">
        <v>9</v>
      </c>
      <c r="BM8" s="54"/>
      <c r="BN8" s="54"/>
      <c r="BO8" s="54"/>
      <c r="BP8" s="54"/>
      <c r="BQ8" s="67"/>
      <c r="BR8" s="67"/>
      <c r="BS8" s="67"/>
      <c r="BT8" s="67"/>
      <c r="BU8" s="67"/>
      <c r="BV8" s="68"/>
      <c r="BW8" s="1"/>
      <c r="BX8" s="1"/>
      <c r="BY8" s="69"/>
      <c r="BZ8" s="70" t="s">
        <v>10</v>
      </c>
      <c r="CA8" s="70" t="s">
        <v>11</v>
      </c>
      <c r="CB8" s="70" t="s">
        <v>12</v>
      </c>
      <c r="CC8" s="70" t="s">
        <v>13</v>
      </c>
      <c r="CD8" s="71"/>
      <c r="CE8" s="1"/>
      <c r="CF8" s="69"/>
      <c r="CG8" s="72" t="s">
        <v>14</v>
      </c>
      <c r="CH8" s="1"/>
      <c r="CI8" s="1"/>
      <c r="CJ8" s="1"/>
      <c r="CK8" s="1"/>
      <c r="CL8" s="1"/>
      <c r="CM8" s="1"/>
      <c r="CN8" s="1"/>
      <c r="CO8" s="71"/>
      <c r="CP8" s="1"/>
      <c r="CQ8" s="1"/>
      <c r="CR8" s="1"/>
      <c r="CS8" s="1"/>
      <c r="CT8" s="1"/>
      <c r="CU8" s="1"/>
    </row>
    <row r="9" ht="19.5" customHeight="1">
      <c r="A9" s="1"/>
      <c r="B9" s="73"/>
      <c r="C9" s="74">
        <v>2025.0</v>
      </c>
      <c r="D9" s="75"/>
      <c r="E9" s="75"/>
      <c r="F9" s="75"/>
      <c r="G9" s="75"/>
      <c r="H9" s="75"/>
      <c r="I9" s="76"/>
      <c r="J9" s="77"/>
      <c r="K9" s="74" t="s">
        <v>15</v>
      </c>
      <c r="L9" s="75"/>
      <c r="M9" s="75"/>
      <c r="N9" s="75"/>
      <c r="O9" s="75"/>
      <c r="P9" s="75"/>
      <c r="Q9" s="76"/>
      <c r="R9" s="78"/>
      <c r="S9" s="1"/>
      <c r="T9" s="79"/>
      <c r="U9" s="80"/>
      <c r="V9" s="81"/>
      <c r="W9" s="80"/>
      <c r="X9" s="80"/>
      <c r="Y9" s="80"/>
      <c r="Z9" s="80"/>
      <c r="AA9" s="80"/>
      <c r="AB9" s="80"/>
      <c r="AC9" s="80"/>
      <c r="AD9" s="82"/>
      <c r="AE9" s="83"/>
      <c r="AF9" s="8"/>
      <c r="AG9" s="1"/>
      <c r="AH9" s="1"/>
      <c r="AI9" s="1"/>
      <c r="AJ9" s="1"/>
      <c r="AK9" s="1"/>
      <c r="AL9" s="1"/>
      <c r="AM9" s="1"/>
      <c r="AN9" s="1"/>
      <c r="AO9" s="1"/>
      <c r="AP9" s="1"/>
      <c r="AQ9" s="7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84"/>
      <c r="BJ9" s="1"/>
      <c r="BK9" s="85" t="s">
        <v>16</v>
      </c>
      <c r="BL9" s="86"/>
      <c r="BM9" s="86"/>
      <c r="BN9" s="86"/>
      <c r="BO9" s="87" t="s">
        <v>17</v>
      </c>
      <c r="BP9" s="86"/>
      <c r="BQ9" s="86"/>
      <c r="BR9" s="86"/>
      <c r="BS9" s="87" t="s">
        <v>18</v>
      </c>
      <c r="BT9" s="86"/>
      <c r="BU9" s="86"/>
      <c r="BV9" s="88"/>
      <c r="BW9" s="1"/>
      <c r="BX9" s="1"/>
      <c r="BY9" s="69"/>
      <c r="BZ9" s="89" t="s">
        <v>19</v>
      </c>
      <c r="CA9" s="90">
        <v>1.0</v>
      </c>
      <c r="CB9" s="91" t="s">
        <v>20</v>
      </c>
      <c r="CC9" s="1" t="str">
        <f>IFERROR(__xludf.DUMMYFUNCTION("SPARKLINE(100,{""charttype"",""bar"";""max"",100; ""color1"",CB9})"),"")</f>
        <v/>
      </c>
      <c r="CD9" s="71"/>
      <c r="CE9" s="1"/>
      <c r="CF9" s="69"/>
      <c r="CG9" s="92" t="s">
        <v>21</v>
      </c>
      <c r="CH9" s="93"/>
      <c r="CI9" s="93"/>
      <c r="CJ9" s="92" t="s">
        <v>22</v>
      </c>
      <c r="CK9" s="93"/>
      <c r="CL9" s="93"/>
      <c r="CM9" s="93"/>
      <c r="CN9" s="93"/>
      <c r="CO9" s="71"/>
      <c r="CP9" s="1"/>
      <c r="CQ9" s="1"/>
      <c r="CR9" s="1"/>
      <c r="CS9" s="1"/>
      <c r="CT9" s="1"/>
      <c r="CU9" s="1"/>
    </row>
    <row r="10" ht="19.5" customHeight="1">
      <c r="A10" s="1"/>
      <c r="B10" s="94"/>
      <c r="C10" s="17"/>
      <c r="D10" s="95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/>
      <c r="S10" s="1"/>
      <c r="T10" s="79"/>
      <c r="U10" s="80"/>
      <c r="V10" s="80"/>
      <c r="W10" s="80"/>
      <c r="X10" s="80"/>
      <c r="Y10" s="80"/>
      <c r="Z10" s="80"/>
      <c r="AA10" s="80"/>
      <c r="AB10" s="80"/>
      <c r="AC10" s="80"/>
      <c r="AD10" s="82"/>
      <c r="AE10" s="83"/>
      <c r="AF10" s="8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7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84"/>
      <c r="BJ10" s="1"/>
      <c r="BK10" s="96" t="s">
        <v>23</v>
      </c>
      <c r="BL10" s="97" t="s">
        <v>24</v>
      </c>
      <c r="BO10" s="98">
        <f>$C$17</f>
        <v>200</v>
      </c>
      <c r="BS10" s="98">
        <f>$C$17</f>
        <v>200</v>
      </c>
      <c r="BV10" s="99"/>
      <c r="BW10" s="1"/>
      <c r="BX10" s="1"/>
      <c r="BY10" s="69"/>
      <c r="BZ10" s="89" t="s">
        <v>25</v>
      </c>
      <c r="CA10" s="90">
        <v>0.8</v>
      </c>
      <c r="CB10" s="91" t="s">
        <v>26</v>
      </c>
      <c r="CC10" s="1" t="str">
        <f>IFERROR(__xludf.DUMMYFUNCTION("SPARKLINE(75,{""charttype"",""bar"";""max"",100; ""color1"",CB10})"),"")</f>
        <v/>
      </c>
      <c r="CD10" s="71"/>
      <c r="CE10" s="1"/>
      <c r="CF10" s="69"/>
      <c r="CG10" s="100"/>
      <c r="CH10" s="101" t="s">
        <v>17</v>
      </c>
      <c r="CI10" s="102"/>
      <c r="CJ10" s="101" t="s">
        <v>27</v>
      </c>
      <c r="CK10" s="101" t="s">
        <v>28</v>
      </c>
      <c r="CL10" s="93"/>
      <c r="CM10" s="92" t="s">
        <v>27</v>
      </c>
      <c r="CN10" s="92" t="s">
        <v>29</v>
      </c>
      <c r="CO10" s="71"/>
      <c r="CP10" s="1"/>
      <c r="CQ10" s="1"/>
      <c r="CR10" s="1"/>
      <c r="CS10" s="1"/>
      <c r="CT10" s="1"/>
      <c r="CU10" s="1"/>
    </row>
    <row r="11" ht="19.5" customHeight="1">
      <c r="A11" s="1"/>
      <c r="B11" s="94"/>
      <c r="C11" s="103" t="s">
        <v>30</v>
      </c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5"/>
      <c r="R11" s="16"/>
      <c r="S11" s="1"/>
      <c r="T11" s="79"/>
      <c r="U11" s="80"/>
      <c r="V11" s="80"/>
      <c r="W11" s="80"/>
      <c r="X11" s="80"/>
      <c r="Y11" s="80"/>
      <c r="Z11" s="80"/>
      <c r="AA11" s="80"/>
      <c r="AB11" s="80"/>
      <c r="AC11" s="80"/>
      <c r="AD11" s="82"/>
      <c r="AE11" s="83"/>
      <c r="AF11" s="8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7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84"/>
      <c r="BJ11" s="1"/>
      <c r="BK11" s="96" t="s">
        <v>23</v>
      </c>
      <c r="BL11" s="97" t="s">
        <v>31</v>
      </c>
      <c r="BO11" s="98">
        <f>$K$33</f>
        <v>5750</v>
      </c>
      <c r="BS11" s="98">
        <f>$O$33</f>
        <v>5700</v>
      </c>
      <c r="BV11" s="99"/>
      <c r="BW11" s="1"/>
      <c r="BX11" s="1"/>
      <c r="BY11" s="69"/>
      <c r="BZ11" s="106" t="str">
        <f>CONCATENATE("Between ",CA10*100,"% to")</f>
        <v>Between 80% to</v>
      </c>
      <c r="CA11" s="90">
        <f>CA9-0.01</f>
        <v>0.99</v>
      </c>
      <c r="CB11" s="91" t="s">
        <v>32</v>
      </c>
      <c r="CC11" s="1" t="str">
        <f>IFERROR(__xludf.DUMMYFUNCTION("SPARKLINE(85,{""charttype"",""bar"";""max"",100; ""color1"",CB11})"),"")</f>
        <v/>
      </c>
      <c r="CD11" s="71"/>
      <c r="CE11" s="1"/>
      <c r="CF11" s="69"/>
      <c r="CG11" s="102" t="str">
        <f t="shared" ref="CG11:CG16" si="1">BL10</f>
        <v>previous</v>
      </c>
      <c r="CH11" s="107">
        <f t="shared" ref="CH11:CH16" si="2">BO10</f>
        <v>200</v>
      </c>
      <c r="CI11" s="93"/>
      <c r="CJ11" s="93" t="str">
        <f t="shared" ref="CJ11:CJ20" si="3">B22</f>
        <v>Freelance</v>
      </c>
      <c r="CK11" s="107">
        <f t="shared" ref="CK11:CK20" si="4">K22</f>
        <v>450</v>
      </c>
      <c r="CL11" s="93"/>
      <c r="CM11" s="93" t="str">
        <f t="array" ref="CM11:CN14">IF($V$8="Spending breakdown",CG13:CH16,CJ11:CK21)</f>
        <v>expenses</v>
      </c>
      <c r="CN11" s="107">
        <v>2031.0</v>
      </c>
      <c r="CO11" s="71"/>
      <c r="CP11" s="1"/>
      <c r="CQ11" s="1"/>
      <c r="CR11" s="1"/>
      <c r="CS11" s="1"/>
      <c r="CT11" s="1"/>
      <c r="CU11" s="1"/>
    </row>
    <row r="12" ht="19.5" customHeight="1">
      <c r="A12" s="1"/>
      <c r="B12" s="14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6"/>
      <c r="S12" s="1"/>
      <c r="T12" s="79"/>
      <c r="U12" s="80"/>
      <c r="V12" s="80"/>
      <c r="W12" s="80"/>
      <c r="X12" s="80"/>
      <c r="Y12" s="80"/>
      <c r="Z12" s="80"/>
      <c r="AA12" s="80"/>
      <c r="AB12" s="80"/>
      <c r="AC12" s="80"/>
      <c r="AD12" s="82"/>
      <c r="AE12" s="83"/>
      <c r="AF12" s="8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7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84"/>
      <c r="BJ12" s="1"/>
      <c r="BK12" s="96" t="s">
        <v>33</v>
      </c>
      <c r="BL12" s="97" t="s">
        <v>34</v>
      </c>
      <c r="BO12" s="98">
        <f>AJ56</f>
        <v>2031</v>
      </c>
      <c r="BS12" s="98">
        <f>AN56</f>
        <v>1760</v>
      </c>
      <c r="BV12" s="99"/>
      <c r="BW12" s="1"/>
      <c r="BX12" s="1"/>
      <c r="BY12" s="109"/>
      <c r="BZ12" s="110"/>
      <c r="CA12" s="110"/>
      <c r="CB12" s="110"/>
      <c r="CC12" s="110"/>
      <c r="CD12" s="111"/>
      <c r="CE12" s="1"/>
      <c r="CF12" s="69"/>
      <c r="CG12" s="102" t="str">
        <f t="shared" si="1"/>
        <v>income</v>
      </c>
      <c r="CH12" s="107">
        <f t="shared" si="2"/>
        <v>5750</v>
      </c>
      <c r="CI12" s="93"/>
      <c r="CJ12" s="93" t="str">
        <f t="shared" si="3"/>
        <v>Salary</v>
      </c>
      <c r="CK12" s="107">
        <f t="shared" si="4"/>
        <v>3400</v>
      </c>
      <c r="CL12" s="93"/>
      <c r="CM12" s="93" t="s">
        <v>35</v>
      </c>
      <c r="CN12" s="107">
        <v>1330.99</v>
      </c>
      <c r="CO12" s="71"/>
      <c r="CP12" s="1"/>
      <c r="CQ12" s="1"/>
      <c r="CR12" s="1"/>
      <c r="CS12" s="1"/>
      <c r="CT12" s="1"/>
      <c r="CU12" s="1"/>
    </row>
    <row r="13" ht="19.5" customHeight="1">
      <c r="A13" s="1"/>
      <c r="B13" s="14"/>
      <c r="C13" s="17"/>
      <c r="D13" s="95"/>
      <c r="E13" s="112"/>
      <c r="F13" s="17"/>
      <c r="G13" s="17"/>
      <c r="H13" s="17"/>
      <c r="I13" s="113"/>
      <c r="J13" s="15" t="s">
        <v>36</v>
      </c>
      <c r="R13" s="16"/>
      <c r="S13" s="1"/>
      <c r="T13" s="79"/>
      <c r="U13" s="80"/>
      <c r="V13" s="80"/>
      <c r="W13" s="80"/>
      <c r="X13" s="80"/>
      <c r="Y13" s="80"/>
      <c r="Z13" s="80"/>
      <c r="AA13" s="80"/>
      <c r="AB13" s="80"/>
      <c r="AC13" s="80"/>
      <c r="AD13" s="82"/>
      <c r="AE13" s="83"/>
      <c r="AF13" s="8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7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84"/>
      <c r="BJ13" s="1"/>
      <c r="BK13" s="96" t="s">
        <v>33</v>
      </c>
      <c r="BL13" s="97" t="s">
        <v>35</v>
      </c>
      <c r="BO13" s="98">
        <f>$BI$56</f>
        <v>1330.99</v>
      </c>
      <c r="BS13" s="98">
        <f>$BM$56</f>
        <v>1535</v>
      </c>
      <c r="BV13" s="99"/>
      <c r="BW13" s="1"/>
      <c r="BX13" s="1"/>
      <c r="BY13" s="1"/>
      <c r="BZ13" s="21"/>
      <c r="CA13" s="21"/>
      <c r="CB13" s="21"/>
      <c r="CC13" s="1"/>
      <c r="CD13" s="1"/>
      <c r="CE13" s="1"/>
      <c r="CF13" s="69"/>
      <c r="CG13" s="102" t="str">
        <f t="shared" si="1"/>
        <v>expenses</v>
      </c>
      <c r="CH13" s="107">
        <f t="shared" si="2"/>
        <v>2031</v>
      </c>
      <c r="CI13" s="93"/>
      <c r="CJ13" s="93" t="str">
        <f t="shared" si="3"/>
        <v>Rentals</v>
      </c>
      <c r="CK13" s="107">
        <f t="shared" si="4"/>
        <v>1200</v>
      </c>
      <c r="CL13" s="93"/>
      <c r="CM13" s="93" t="s">
        <v>37</v>
      </c>
      <c r="CN13" s="107">
        <v>940.0</v>
      </c>
      <c r="CO13" s="71"/>
      <c r="CP13" s="1"/>
      <c r="CQ13" s="1"/>
      <c r="CR13" s="1"/>
      <c r="CS13" s="1"/>
      <c r="CT13" s="1"/>
      <c r="CU13" s="1"/>
    </row>
    <row r="14" ht="19.5" customHeight="1">
      <c r="A14" s="1"/>
      <c r="B14" s="14"/>
      <c r="C14" s="17"/>
      <c r="D14" s="95"/>
      <c r="E14" s="112"/>
      <c r="F14" s="17"/>
      <c r="G14" s="17"/>
      <c r="H14" s="17"/>
      <c r="I14" s="113"/>
      <c r="J14" s="17"/>
      <c r="K14" s="17"/>
      <c r="L14" s="17"/>
      <c r="M14" s="114" t="s">
        <v>38</v>
      </c>
      <c r="N14" s="115">
        <v>0.3</v>
      </c>
      <c r="O14" s="76"/>
      <c r="P14" s="116">
        <f t="shared" ref="P14:P17" si="5">$K$33*N14</f>
        <v>1725</v>
      </c>
      <c r="R14" s="16"/>
      <c r="S14" s="1"/>
      <c r="T14" s="79"/>
      <c r="U14" s="80"/>
      <c r="V14" s="80"/>
      <c r="W14" s="80"/>
      <c r="X14" s="80"/>
      <c r="Y14" s="80"/>
      <c r="Z14" s="80"/>
      <c r="AA14" s="80"/>
      <c r="AB14" s="80"/>
      <c r="AC14" s="80"/>
      <c r="AD14" s="82"/>
      <c r="AE14" s="83"/>
      <c r="AF14" s="8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7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84"/>
      <c r="BJ14" s="1"/>
      <c r="BK14" s="96" t="s">
        <v>33</v>
      </c>
      <c r="BL14" s="97" t="s">
        <v>37</v>
      </c>
      <c r="BO14" s="98">
        <f>$K$56</f>
        <v>940</v>
      </c>
      <c r="BS14" s="98">
        <f>$O$56</f>
        <v>1040</v>
      </c>
      <c r="BV14" s="99"/>
      <c r="BW14" s="1"/>
      <c r="BX14" s="1"/>
      <c r="BY14" s="1"/>
      <c r="BZ14" s="1"/>
      <c r="CA14" s="1"/>
      <c r="CB14" s="1"/>
      <c r="CC14" s="1"/>
      <c r="CD14" s="1"/>
      <c r="CE14" s="1"/>
      <c r="CF14" s="69"/>
      <c r="CG14" s="102" t="str">
        <f t="shared" si="1"/>
        <v>bills</v>
      </c>
      <c r="CH14" s="107">
        <f t="shared" si="2"/>
        <v>1330.99</v>
      </c>
      <c r="CI14" s="93"/>
      <c r="CJ14" s="93" t="str">
        <f t="shared" si="3"/>
        <v>Freelance</v>
      </c>
      <c r="CK14" s="107">
        <f t="shared" si="4"/>
        <v>500</v>
      </c>
      <c r="CL14" s="93"/>
      <c r="CM14" s="93" t="s">
        <v>39</v>
      </c>
      <c r="CN14" s="107">
        <v>500.0</v>
      </c>
      <c r="CO14" s="71"/>
      <c r="CP14" s="1"/>
      <c r="CQ14" s="1"/>
      <c r="CR14" s="1"/>
      <c r="CS14" s="1"/>
      <c r="CT14" s="1"/>
      <c r="CU14" s="1"/>
    </row>
    <row r="15" ht="19.5" customHeight="1">
      <c r="A15" s="1"/>
      <c r="B15" s="14"/>
      <c r="C15" s="17"/>
      <c r="D15" s="95"/>
      <c r="E15" s="112"/>
      <c r="F15" s="17"/>
      <c r="G15" s="17"/>
      <c r="H15" s="17"/>
      <c r="I15" s="113"/>
      <c r="J15" s="17"/>
      <c r="K15" s="17"/>
      <c r="L15" s="17"/>
      <c r="M15" s="114" t="s">
        <v>40</v>
      </c>
      <c r="N15" s="115">
        <v>0.2</v>
      </c>
      <c r="O15" s="76"/>
      <c r="P15" s="116">
        <f t="shared" si="5"/>
        <v>1150</v>
      </c>
      <c r="R15" s="16"/>
      <c r="S15" s="1"/>
      <c r="T15" s="79"/>
      <c r="U15" s="80"/>
      <c r="V15" s="80"/>
      <c r="W15" s="80"/>
      <c r="X15" s="80"/>
      <c r="Y15" s="80"/>
      <c r="Z15" s="80"/>
      <c r="AA15" s="80"/>
      <c r="AB15" s="80"/>
      <c r="AC15" s="80"/>
      <c r="AD15" s="82"/>
      <c r="AE15" s="83"/>
      <c r="AF15" s="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7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84"/>
      <c r="BJ15" s="1"/>
      <c r="BK15" s="96" t="s">
        <v>33</v>
      </c>
      <c r="BL15" s="97" t="s">
        <v>39</v>
      </c>
      <c r="BO15" s="98">
        <f>$BI$84</f>
        <v>500</v>
      </c>
      <c r="BS15" s="98">
        <f>$BM$84</f>
        <v>500</v>
      </c>
      <c r="BV15" s="99"/>
      <c r="BW15" s="1"/>
      <c r="BX15" s="1"/>
      <c r="BY15" s="1"/>
      <c r="BZ15" s="8"/>
      <c r="CA15" s="8"/>
      <c r="CB15" s="1"/>
      <c r="CC15" s="1"/>
      <c r="CD15" s="1"/>
      <c r="CE15" s="1"/>
      <c r="CF15" s="69"/>
      <c r="CG15" s="102" t="str">
        <f t="shared" si="1"/>
        <v>savings</v>
      </c>
      <c r="CH15" s="107">
        <f t="shared" si="2"/>
        <v>940</v>
      </c>
      <c r="CI15" s="93"/>
      <c r="CJ15" s="93" t="str">
        <f t="shared" si="3"/>
        <v/>
      </c>
      <c r="CK15" s="107" t="str">
        <f t="shared" si="4"/>
        <v/>
      </c>
      <c r="CL15" s="93"/>
      <c r="CM15" s="93"/>
      <c r="CN15" s="93"/>
      <c r="CO15" s="71"/>
      <c r="CP15" s="1"/>
      <c r="CQ15" s="1"/>
      <c r="CR15" s="1"/>
      <c r="CS15" s="1"/>
      <c r="CT15" s="1"/>
      <c r="CU15" s="1"/>
    </row>
    <row r="16" ht="19.5" customHeight="1">
      <c r="A16" s="1"/>
      <c r="B16" s="14"/>
      <c r="C16" s="15" t="s">
        <v>41</v>
      </c>
      <c r="I16" s="113"/>
      <c r="J16" s="17"/>
      <c r="K16" s="17"/>
      <c r="L16" s="17"/>
      <c r="M16" s="114" t="s">
        <v>42</v>
      </c>
      <c r="N16" s="115">
        <v>0.4</v>
      </c>
      <c r="O16" s="76"/>
      <c r="P16" s="116">
        <f t="shared" si="5"/>
        <v>2300</v>
      </c>
      <c r="R16" s="16"/>
      <c r="S16" s="1"/>
      <c r="T16" s="79"/>
      <c r="U16" s="80"/>
      <c r="V16" s="80"/>
      <c r="W16" s="80"/>
      <c r="X16" s="80"/>
      <c r="Y16" s="80"/>
      <c r="Z16" s="80"/>
      <c r="AA16" s="80"/>
      <c r="AB16" s="80"/>
      <c r="AC16" s="80"/>
      <c r="AD16" s="82"/>
      <c r="AE16" s="83"/>
      <c r="AF16" s="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7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84"/>
      <c r="BJ16" s="1"/>
      <c r="BK16" s="117" t="s">
        <v>43</v>
      </c>
      <c r="BL16" s="75"/>
      <c r="BM16" s="75"/>
      <c r="BN16" s="75"/>
      <c r="BO16" s="118">
        <f>SUM(BO11)-SUM(BO12:BO15)</f>
        <v>948.01</v>
      </c>
      <c r="BP16" s="75"/>
      <c r="BQ16" s="75"/>
      <c r="BR16" s="75"/>
      <c r="BS16" s="118">
        <f>SUM(BS11)-SUM(BS12:BS15)</f>
        <v>865</v>
      </c>
      <c r="BT16" s="75"/>
      <c r="BU16" s="75"/>
      <c r="BV16" s="76"/>
      <c r="BW16" s="1"/>
      <c r="BX16" s="1"/>
      <c r="BY16" s="1"/>
      <c r="BZ16" s="8"/>
      <c r="CA16" s="8"/>
      <c r="CB16" s="1"/>
      <c r="CC16" s="1"/>
      <c r="CD16" s="1"/>
      <c r="CE16" s="1"/>
      <c r="CF16" s="69"/>
      <c r="CG16" s="119" t="str">
        <f t="shared" si="1"/>
        <v>depts</v>
      </c>
      <c r="CH16" s="120">
        <f t="shared" si="2"/>
        <v>500</v>
      </c>
      <c r="CI16" s="93"/>
      <c r="CJ16" s="93" t="str">
        <f t="shared" si="3"/>
        <v/>
      </c>
      <c r="CK16" s="107" t="str">
        <f t="shared" si="4"/>
        <v/>
      </c>
      <c r="CL16" s="93"/>
      <c r="CM16" s="93"/>
      <c r="CN16" s="93"/>
      <c r="CO16" s="71"/>
      <c r="CP16" s="1"/>
      <c r="CQ16" s="1"/>
      <c r="CR16" s="1"/>
      <c r="CS16" s="1"/>
      <c r="CT16" s="1"/>
      <c r="CU16" s="1"/>
    </row>
    <row r="17" ht="19.5" customHeight="1">
      <c r="A17" s="1"/>
      <c r="B17" s="14"/>
      <c r="C17" s="121">
        <v>200.0</v>
      </c>
      <c r="D17" s="75"/>
      <c r="E17" s="75"/>
      <c r="F17" s="75"/>
      <c r="G17" s="75"/>
      <c r="H17" s="76"/>
      <c r="I17" s="113"/>
      <c r="J17" s="17"/>
      <c r="K17" s="17"/>
      <c r="L17" s="17"/>
      <c r="M17" s="114" t="s">
        <v>44</v>
      </c>
      <c r="N17" s="115">
        <v>0.1</v>
      </c>
      <c r="O17" s="76"/>
      <c r="P17" s="116">
        <f t="shared" si="5"/>
        <v>575</v>
      </c>
      <c r="R17" s="16"/>
      <c r="S17" s="1"/>
      <c r="T17" s="79"/>
      <c r="U17" s="80"/>
      <c r="V17" s="80"/>
      <c r="W17" s="80"/>
      <c r="X17" s="80"/>
      <c r="Y17" s="80"/>
      <c r="Z17" s="80"/>
      <c r="AA17" s="80"/>
      <c r="AB17" s="80"/>
      <c r="AC17" s="80"/>
      <c r="AD17" s="82"/>
      <c r="AE17" s="83"/>
      <c r="AF17" s="8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7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84"/>
      <c r="BJ17" s="1"/>
      <c r="BK17" s="1"/>
      <c r="BL17" s="8"/>
      <c r="BM17" s="8"/>
      <c r="BN17" s="8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8"/>
      <c r="CA17" s="8"/>
      <c r="CB17" s="1"/>
      <c r="CC17" s="1"/>
      <c r="CD17" s="1"/>
      <c r="CE17" s="1"/>
      <c r="CF17" s="69"/>
      <c r="CG17" s="93" t="str">
        <f>Template!EM24</f>
        <v/>
      </c>
      <c r="CH17" s="93"/>
      <c r="CI17" s="93"/>
      <c r="CJ17" s="93" t="str">
        <f t="shared" si="3"/>
        <v/>
      </c>
      <c r="CK17" s="107" t="str">
        <f t="shared" si="4"/>
        <v/>
      </c>
      <c r="CL17" s="93"/>
      <c r="CM17" s="93"/>
      <c r="CN17" s="93"/>
      <c r="CO17" s="71"/>
      <c r="CP17" s="1"/>
      <c r="CQ17" s="1"/>
      <c r="CR17" s="1"/>
      <c r="CS17" s="1"/>
      <c r="CT17" s="1"/>
      <c r="CU17" s="1"/>
    </row>
    <row r="18" ht="19.5" customHeight="1">
      <c r="A18" s="1"/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1"/>
      <c r="T18" s="122"/>
      <c r="U18" s="123"/>
      <c r="V18" s="123"/>
      <c r="W18" s="123"/>
      <c r="X18" s="123"/>
      <c r="Y18" s="123"/>
      <c r="Z18" s="123"/>
      <c r="AA18" s="123"/>
      <c r="AB18" s="123"/>
      <c r="AC18" s="123"/>
      <c r="AD18" s="124"/>
      <c r="AE18" s="125"/>
      <c r="AF18" s="126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8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9"/>
      <c r="BJ18" s="1"/>
      <c r="BK18" s="130" t="s">
        <v>45</v>
      </c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6"/>
      <c r="BW18" s="1"/>
      <c r="BX18" s="1"/>
      <c r="BY18" s="1"/>
      <c r="BZ18" s="8"/>
      <c r="CA18" s="8"/>
      <c r="CB18" s="1"/>
      <c r="CC18" s="1"/>
      <c r="CD18" s="1"/>
      <c r="CE18" s="1"/>
      <c r="CF18" s="69"/>
      <c r="CG18" s="93"/>
      <c r="CH18" s="93"/>
      <c r="CI18" s="93"/>
      <c r="CJ18" s="93" t="str">
        <f t="shared" si="3"/>
        <v/>
      </c>
      <c r="CK18" s="107" t="str">
        <f t="shared" si="4"/>
        <v/>
      </c>
      <c r="CL18" s="93"/>
      <c r="CM18" s="93"/>
      <c r="CN18" s="93"/>
      <c r="CO18" s="71"/>
      <c r="CP18" s="1"/>
      <c r="CQ18" s="1"/>
      <c r="CR18" s="1"/>
      <c r="CS18" s="1"/>
      <c r="CT18" s="1"/>
      <c r="CU18" s="1"/>
    </row>
    <row r="19" ht="19.5" customHeight="1">
      <c r="A19" s="1"/>
      <c r="B19" s="1"/>
      <c r="C19" s="21"/>
      <c r="D19" s="21"/>
      <c r="E19" s="21"/>
      <c r="F19" s="21"/>
      <c r="G19" s="21"/>
      <c r="H19" s="1"/>
      <c r="I19" s="21"/>
      <c r="J19" s="21"/>
      <c r="K19" s="1"/>
      <c r="L19" s="21"/>
      <c r="M19" s="21"/>
      <c r="N19" s="21"/>
      <c r="O19" s="1"/>
      <c r="P19" s="21"/>
      <c r="Q19" s="21"/>
      <c r="R19" s="21"/>
      <c r="S19" s="21"/>
      <c r="T19" s="21"/>
      <c r="U19" s="1"/>
      <c r="V19" s="21"/>
      <c r="W19" s="21"/>
      <c r="X19" s="21"/>
      <c r="Y19" s="1"/>
      <c r="Z19" s="1"/>
      <c r="AA19" s="1"/>
      <c r="AB19" s="21"/>
      <c r="AC19" s="21"/>
      <c r="AD19" s="21"/>
      <c r="AE19" s="21"/>
      <c r="AF19" s="21"/>
      <c r="AG19" s="21"/>
      <c r="AH19" s="21"/>
      <c r="AI19" s="2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21"/>
      <c r="BB19" s="21"/>
      <c r="BC19" s="21"/>
      <c r="BD19" s="21"/>
      <c r="BE19" s="21"/>
      <c r="BF19" s="1"/>
      <c r="BG19" s="21"/>
      <c r="BH19" s="21"/>
      <c r="BI19" s="1"/>
      <c r="BJ19" s="21"/>
      <c r="BK19" s="21"/>
      <c r="BL19" s="21"/>
      <c r="BM19" s="1"/>
      <c r="BN19" s="21"/>
      <c r="BO19" s="21"/>
      <c r="BP19" s="21"/>
      <c r="BQ19" s="1"/>
      <c r="BR19" s="1"/>
      <c r="BS19" s="1"/>
      <c r="BT19" s="1"/>
      <c r="BU19" s="1"/>
      <c r="BV19" s="1"/>
      <c r="BW19" s="1"/>
      <c r="BX19" s="1"/>
      <c r="BY19" s="1"/>
      <c r="BZ19" s="8"/>
      <c r="CA19" s="8"/>
      <c r="CB19" s="131"/>
      <c r="CC19" s="1"/>
      <c r="CD19" s="1"/>
      <c r="CE19" s="1"/>
      <c r="CF19" s="69"/>
      <c r="CG19" s="93"/>
      <c r="CH19" s="93"/>
      <c r="CI19" s="93"/>
      <c r="CJ19" s="93" t="str">
        <f t="shared" si="3"/>
        <v/>
      </c>
      <c r="CK19" s="107" t="str">
        <f t="shared" si="4"/>
        <v/>
      </c>
      <c r="CL19" s="93"/>
      <c r="CM19" s="93"/>
      <c r="CN19" s="93"/>
      <c r="CO19" s="71"/>
      <c r="CP19" s="1"/>
      <c r="CQ19" s="1"/>
      <c r="CR19" s="1"/>
      <c r="CS19" s="1"/>
      <c r="CT19" s="1"/>
      <c r="CU19" s="1"/>
    </row>
    <row r="20" ht="39.0" customHeight="1">
      <c r="A20" s="1"/>
      <c r="B20" s="132"/>
      <c r="C20" s="133" t="s">
        <v>46</v>
      </c>
      <c r="D20" s="54"/>
      <c r="E20" s="54"/>
      <c r="F20" s="54"/>
      <c r="G20" s="5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5"/>
      <c r="Y20" s="1"/>
      <c r="Z20" s="136"/>
      <c r="AA20" s="137" t="str">
        <f>CONCATENATE("👛 EXPENSES (",N14*100,"%) ")</f>
        <v>👛 EXPENSES (30%) </v>
      </c>
      <c r="AB20" s="54"/>
      <c r="AC20" s="54"/>
      <c r="AD20" s="54"/>
      <c r="AE20" s="54"/>
      <c r="AF20" s="54"/>
      <c r="AG20" s="54"/>
      <c r="AH20" s="54"/>
      <c r="AI20" s="54"/>
      <c r="AJ20" s="138"/>
      <c r="AK20" s="138"/>
      <c r="AL20" s="138"/>
      <c r="AM20" s="138"/>
      <c r="AN20" s="139" t="s">
        <v>47</v>
      </c>
      <c r="AO20" s="54"/>
      <c r="AP20" s="54"/>
      <c r="AQ20" s="54"/>
      <c r="AR20" s="54"/>
      <c r="AS20" s="54"/>
      <c r="AT20" s="140">
        <f>IF((K33*N14)-AJ56&lt;0,0,(K33*N14)-AJ56)</f>
        <v>0</v>
      </c>
      <c r="AU20" s="54"/>
      <c r="AV20" s="54"/>
      <c r="AW20" s="141"/>
      <c r="AX20" s="1"/>
      <c r="AY20" s="136"/>
      <c r="AZ20" s="137" t="str">
        <f>CONCATENATE("📃 BILLS (",N16*100,"%) ")</f>
        <v>📃 BILLS (40%) </v>
      </c>
      <c r="BA20" s="54"/>
      <c r="BB20" s="54"/>
      <c r="BC20" s="54"/>
      <c r="BD20" s="54"/>
      <c r="BE20" s="54"/>
      <c r="BF20" s="138"/>
      <c r="BG20" s="138"/>
      <c r="BH20" s="138"/>
      <c r="BI20" s="138"/>
      <c r="BJ20" s="138"/>
      <c r="BK20" s="138"/>
      <c r="BL20" s="138"/>
      <c r="BM20" s="139" t="s">
        <v>47</v>
      </c>
      <c r="BN20" s="54"/>
      <c r="BO20" s="54"/>
      <c r="BP20" s="54"/>
      <c r="BQ20" s="54"/>
      <c r="BR20" s="54"/>
      <c r="BS20" s="140">
        <f>(K33*N16)-BI56</f>
        <v>969.01</v>
      </c>
      <c r="BT20" s="54"/>
      <c r="BU20" s="54"/>
      <c r="BV20" s="141"/>
      <c r="BW20" s="1"/>
      <c r="BX20" s="1"/>
      <c r="BY20" s="1"/>
      <c r="BZ20" s="1"/>
      <c r="CA20" s="21"/>
      <c r="CB20" s="21"/>
      <c r="CC20" s="1"/>
      <c r="CD20" s="1"/>
      <c r="CE20" s="1"/>
      <c r="CF20" s="69"/>
      <c r="CG20" s="93"/>
      <c r="CH20" s="93"/>
      <c r="CI20" s="93"/>
      <c r="CJ20" s="93" t="str">
        <f t="shared" si="3"/>
        <v/>
      </c>
      <c r="CK20" s="107" t="str">
        <f t="shared" si="4"/>
        <v/>
      </c>
      <c r="CL20" s="93"/>
      <c r="CM20" s="93"/>
      <c r="CN20" s="93"/>
      <c r="CO20" s="71"/>
      <c r="CP20" s="1"/>
      <c r="CQ20" s="1"/>
      <c r="CR20" s="1"/>
      <c r="CS20" s="1"/>
      <c r="CT20" s="1"/>
      <c r="CU20" s="1"/>
    </row>
    <row r="21" ht="19.5" customHeight="1">
      <c r="A21" s="1"/>
      <c r="B21" s="142" t="str">
        <f>IFERROR(__xludf.DUMMYFUNCTION("IFERROR(QUERY(C60:AW121,""SELECT M,1,2,3,4,5, C,6,7, SUM(U),8,9,10, SUM(Z),11,12,13, (SUM(U)/SUM(Z))  WHERE H = 'Income' GROUP BY M, C ORDER BY C ASC LABEL M 'Name', C 'Payday', SUM(U) 'Actual', (SUM(U)/SUM(Z)) '%', SUM(Z) 'Budget'""),"""")"),"Name")</f>
        <v>Name</v>
      </c>
      <c r="C21" s="86"/>
      <c r="D21" s="86"/>
      <c r="E21" s="86"/>
      <c r="F21" s="86"/>
      <c r="G21" s="86"/>
      <c r="H21" s="143" t="str">
        <f>IFERROR(__xludf.DUMMYFUNCTION("""COMPUTED_VALUE"""),"Payday")</f>
        <v>Payday</v>
      </c>
      <c r="I21" s="86"/>
      <c r="J21" s="86"/>
      <c r="K21" s="143" t="str">
        <f>IFERROR(__xludf.DUMMYFUNCTION("""COMPUTED_VALUE"""),"Actual")</f>
        <v>Actual</v>
      </c>
      <c r="L21" s="86"/>
      <c r="M21" s="86"/>
      <c r="N21" s="86"/>
      <c r="O21" s="143" t="str">
        <f>IFERROR(__xludf.DUMMYFUNCTION("""COMPUTED_VALUE"""),"Budget")</f>
        <v>Budget</v>
      </c>
      <c r="P21" s="86"/>
      <c r="Q21" s="86"/>
      <c r="R21" s="86"/>
      <c r="S21" s="143" t="str">
        <f>IFERROR(__xludf.DUMMYFUNCTION("""COMPUTED_VALUE"""),"%")</f>
        <v>%</v>
      </c>
      <c r="T21" s="86"/>
      <c r="U21" s="86"/>
      <c r="V21" s="86"/>
      <c r="W21" s="86"/>
      <c r="X21" s="88"/>
      <c r="Y21" s="1"/>
      <c r="Z21" s="142"/>
      <c r="AA21" s="144" t="str">
        <f>IFERROR(__xludf.DUMMYFUNCTION("IFERROR(QUERY(C60:AW121,""SELECT M,1,2,3,4,5,6,7,8, SUM(U),10,11,12, SUM(Z),13,14,15, (SUM(U)/SUM(Z))  WHERE H = 'Expenses' GROUP BY M ORDER BY M ASC LABEL M 'Name', SUM(U) 'Actual', (SUM(U)/SUM(Z)) '%', SUM(Z) 'Budget'""),"""")"),"Name")</f>
        <v>Name</v>
      </c>
      <c r="AB21" s="86"/>
      <c r="AC21" s="86"/>
      <c r="AD21" s="86"/>
      <c r="AE21" s="86"/>
      <c r="AF21" s="86"/>
      <c r="AG21" s="86"/>
      <c r="AH21" s="86"/>
      <c r="AI21" s="86"/>
      <c r="AJ21" s="144" t="str">
        <f>IFERROR(__xludf.DUMMYFUNCTION("""COMPUTED_VALUE"""),"Actual")</f>
        <v>Actual</v>
      </c>
      <c r="AK21" s="86"/>
      <c r="AL21" s="86"/>
      <c r="AM21" s="86"/>
      <c r="AN21" s="144" t="str">
        <f>IFERROR(__xludf.DUMMYFUNCTION("""COMPUTED_VALUE"""),"Budget")</f>
        <v>Budget</v>
      </c>
      <c r="AO21" s="86"/>
      <c r="AP21" s="86"/>
      <c r="AQ21" s="86"/>
      <c r="AR21" s="144" t="str">
        <f>IFERROR(__xludf.DUMMYFUNCTION("""COMPUTED_VALUE"""),"%")</f>
        <v>%</v>
      </c>
      <c r="AS21" s="86"/>
      <c r="AT21" s="86"/>
      <c r="AU21" s="86"/>
      <c r="AV21" s="86"/>
      <c r="AW21" s="88"/>
      <c r="AX21" s="1"/>
      <c r="AY21" s="145"/>
      <c r="AZ21" s="144" t="str">
        <f>IFERROR(__xludf.DUMMYFUNCTION("IFERROR(QUERY(C60:AW121,""SELECT M,1,2,3,4,5, C,6,7, SUM(U),8,9,10, SUM(Z),11,12,13, (SUM(U)/SUM(Z))  WHERE H = 'Bills' GROUP BY M, C ORDER BY C ASC LABEL M 'Name', C 'Payday', SUM(U) 'Actual', (SUM(U)/SUM(Z)) '%', SUM(Z) 'Budget'""),"""")"),"Name")</f>
        <v>Name</v>
      </c>
      <c r="BA21" s="86"/>
      <c r="BB21" s="86"/>
      <c r="BC21" s="86"/>
      <c r="BD21" s="86"/>
      <c r="BE21" s="86"/>
      <c r="BF21" s="144" t="str">
        <f>IFERROR(__xludf.DUMMYFUNCTION("""COMPUTED_VALUE"""),"Payday")</f>
        <v>Payday</v>
      </c>
      <c r="BG21" s="86"/>
      <c r="BH21" s="86"/>
      <c r="BI21" s="144" t="str">
        <f>IFERROR(__xludf.DUMMYFUNCTION("""COMPUTED_VALUE"""),"Actual")</f>
        <v>Actual</v>
      </c>
      <c r="BJ21" s="86"/>
      <c r="BK21" s="86"/>
      <c r="BL21" s="86"/>
      <c r="BM21" s="144" t="str">
        <f>IFERROR(__xludf.DUMMYFUNCTION("""COMPUTED_VALUE"""),"Budget")</f>
        <v>Budget</v>
      </c>
      <c r="BN21" s="86"/>
      <c r="BO21" s="86"/>
      <c r="BP21" s="86"/>
      <c r="BQ21" s="144" t="str">
        <f>IFERROR(__xludf.DUMMYFUNCTION("""COMPUTED_VALUE"""),"%")</f>
        <v>%</v>
      </c>
      <c r="BR21" s="86"/>
      <c r="BS21" s="86"/>
      <c r="BT21" s="86"/>
      <c r="BU21" s="86"/>
      <c r="BV21" s="88"/>
      <c r="BW21" s="1"/>
      <c r="BX21" s="1"/>
      <c r="BY21" s="1"/>
      <c r="BZ21" s="1"/>
      <c r="CA21" s="1"/>
      <c r="CB21" s="1"/>
      <c r="CC21" s="1"/>
      <c r="CD21" s="1"/>
      <c r="CE21" s="1"/>
      <c r="CF21" s="69"/>
      <c r="CG21" s="1"/>
      <c r="CH21" s="1"/>
      <c r="CI21" s="1"/>
      <c r="CJ21" s="1"/>
      <c r="CK21" s="1"/>
      <c r="CL21" s="1"/>
      <c r="CM21" s="1"/>
      <c r="CN21" s="1"/>
      <c r="CO21" s="71"/>
      <c r="CP21" s="1"/>
      <c r="CQ21" s="1"/>
      <c r="CR21" s="1"/>
      <c r="CS21" s="1"/>
      <c r="CT21" s="1"/>
      <c r="CU21" s="1"/>
    </row>
    <row r="22" ht="19.5" customHeight="1">
      <c r="A22" s="1"/>
      <c r="B22" s="146" t="str">
        <f>IFERROR(__xludf.DUMMYFUNCTION("""COMPUTED_VALUE"""),"Freelance")</f>
        <v>Freelance</v>
      </c>
      <c r="C22" s="147"/>
      <c r="D22" s="147"/>
      <c r="E22" s="147"/>
      <c r="F22" s="147"/>
      <c r="G22" s="148"/>
      <c r="H22" s="149">
        <f>IFERROR(__xludf.DUMMYFUNCTION("""COMPUTED_VALUE"""),45303.0)</f>
        <v>45303</v>
      </c>
      <c r="I22" s="147"/>
      <c r="J22" s="148"/>
      <c r="K22" s="150">
        <f>IFERROR(__xludf.DUMMYFUNCTION("""COMPUTED_VALUE"""),450.0)</f>
        <v>450</v>
      </c>
      <c r="L22" s="147"/>
      <c r="M22" s="147"/>
      <c r="N22" s="148"/>
      <c r="O22" s="151">
        <f>IFERROR(__xludf.DUMMYFUNCTION("""COMPUTED_VALUE"""),600.0)</f>
        <v>600</v>
      </c>
      <c r="P22" s="147"/>
      <c r="Q22" s="147"/>
      <c r="R22" s="148"/>
      <c r="S22" s="152">
        <f>IFERROR(__xludf.DUMMYFUNCTION("""COMPUTED_VALUE"""),0.75)</f>
        <v>0.75</v>
      </c>
      <c r="T22" s="153"/>
      <c r="U22" s="154" t="str">
        <f>IFERROR(__xludf.DUMMYFUNCTION("IF(K22="""","""", SPARKLINE(K22,{""charttype"",""bar"";""max"",O22; ""color1"",IF(S22&gt;=$CA$9,$CB$9,IF(S22&lt;$CA$10,$CB$10,$CB$11))}))"),"")</f>
        <v/>
      </c>
      <c r="V22" s="147"/>
      <c r="W22" s="147"/>
      <c r="X22" s="155"/>
      <c r="Y22" s="1"/>
      <c r="Z22" s="146" t="b">
        <v>0</v>
      </c>
      <c r="AA22" s="156" t="str">
        <f>IFERROR(__xludf.DUMMYFUNCTION("""COMPUTED_VALUE"""),"Beauty")</f>
        <v>Beauty</v>
      </c>
      <c r="AB22" s="147"/>
      <c r="AC22" s="147"/>
      <c r="AD22" s="147"/>
      <c r="AE22" s="147"/>
      <c r="AF22" s="147"/>
      <c r="AG22" s="147"/>
      <c r="AH22" s="147"/>
      <c r="AI22" s="148"/>
      <c r="AJ22" s="150">
        <f>IFERROR(__xludf.DUMMYFUNCTION("""COMPUTED_VALUE"""),233.0)</f>
        <v>233</v>
      </c>
      <c r="AK22" s="147"/>
      <c r="AL22" s="147"/>
      <c r="AM22" s="148"/>
      <c r="AN22" s="150">
        <f>IFERROR(__xludf.DUMMYFUNCTION("""COMPUTED_VALUE"""),200.0)</f>
        <v>200</v>
      </c>
      <c r="AO22" s="147"/>
      <c r="AP22" s="147"/>
      <c r="AQ22" s="148"/>
      <c r="AR22" s="157">
        <f>IFERROR(__xludf.DUMMYFUNCTION("""COMPUTED_VALUE"""),1.165)</f>
        <v>1.165</v>
      </c>
      <c r="AS22" s="147"/>
      <c r="AT22" s="158" t="str">
        <f>IFERROR(__xludf.DUMMYFUNCTION("IF(AJ22="""","""", SPARKLINE(AJ22,{""charttype"",""bar"";""max"",AN22; ""color1"",IF(AR22&gt;=$CA$9,$CB$9,IF(AR22&lt;$CA$10,$CB$10,$CB$11))}))"),"")</f>
        <v/>
      </c>
      <c r="AU22" s="147"/>
      <c r="AV22" s="147"/>
      <c r="AW22" s="155"/>
      <c r="AX22" s="1"/>
      <c r="AY22" s="159" t="b">
        <v>0</v>
      </c>
      <c r="AZ22" s="160" t="str">
        <f>IFERROR(__xludf.DUMMYFUNCTION("""COMPUTED_VALUE"""),"Heating")</f>
        <v>Heating</v>
      </c>
      <c r="BA22" s="147"/>
      <c r="BB22" s="147"/>
      <c r="BC22" s="147"/>
      <c r="BD22" s="147"/>
      <c r="BE22" s="148"/>
      <c r="BF22" s="161">
        <f>IFERROR(__xludf.DUMMYFUNCTION("""COMPUTED_VALUE"""),45659.0)</f>
        <v>45659</v>
      </c>
      <c r="BG22" s="147"/>
      <c r="BH22" s="148"/>
      <c r="BI22" s="162">
        <f>IFERROR(__xludf.DUMMYFUNCTION("""COMPUTED_VALUE"""),95.0)</f>
        <v>95</v>
      </c>
      <c r="BJ22" s="147"/>
      <c r="BK22" s="147"/>
      <c r="BL22" s="148"/>
      <c r="BM22" s="162">
        <f>IFERROR(__xludf.DUMMYFUNCTION("""COMPUTED_VALUE"""),110.0)</f>
        <v>110</v>
      </c>
      <c r="BN22" s="147"/>
      <c r="BO22" s="147"/>
      <c r="BP22" s="148"/>
      <c r="BQ22" s="163">
        <f>IFERROR(__xludf.DUMMYFUNCTION("""COMPUTED_VALUE"""),0.8636363636363636)</f>
        <v>0.8636363636</v>
      </c>
      <c r="BR22" s="147"/>
      <c r="BS22" s="164" t="str">
        <f>IFERROR(__xludf.DUMMYFUNCTION("IF(BI22="""","""", SPARKLINE(BI22,{""charttype"",""bar"";""max"",BM22; ""color1"",IF(BQ22&gt;=$CA$9,$CB$9,IF(BQ22&lt;$CA$10,$CB$10,$CB$11))}))"),"")</f>
        <v/>
      </c>
      <c r="BT22" s="165"/>
      <c r="BU22" s="165"/>
      <c r="BV22" s="166"/>
      <c r="BW22" s="1"/>
      <c r="BX22" s="1"/>
      <c r="BY22" s="1"/>
      <c r="BZ22" s="1"/>
      <c r="CA22" s="1"/>
      <c r="CB22" s="1"/>
      <c r="CC22" s="1"/>
      <c r="CD22" s="1"/>
      <c r="CE22" s="1"/>
      <c r="CF22" s="69"/>
      <c r="CG22" s="167" t="s">
        <v>48</v>
      </c>
      <c r="CH22" s="168"/>
      <c r="CI22" s="168"/>
      <c r="CJ22" s="168"/>
      <c r="CK22" s="168"/>
      <c r="CL22" s="1"/>
      <c r="CM22" s="1"/>
      <c r="CN22" s="1"/>
      <c r="CO22" s="71"/>
      <c r="CP22" s="1"/>
      <c r="CQ22" s="1"/>
      <c r="CR22" s="1"/>
      <c r="CS22" s="1"/>
      <c r="CT22" s="1"/>
      <c r="CU22" s="1"/>
    </row>
    <row r="23" ht="19.5" customHeight="1">
      <c r="A23" s="1"/>
      <c r="B23" s="169" t="str">
        <f>IFERROR(__xludf.DUMMYFUNCTION("""COMPUTED_VALUE"""),"Salary")</f>
        <v>Salary</v>
      </c>
      <c r="C23" s="165"/>
      <c r="D23" s="165"/>
      <c r="E23" s="165"/>
      <c r="F23" s="165"/>
      <c r="G23" s="170"/>
      <c r="H23" s="171">
        <f>IFERROR(__xludf.DUMMYFUNCTION("""COMPUTED_VALUE"""),45658.0)</f>
        <v>45658</v>
      </c>
      <c r="I23" s="165"/>
      <c r="J23" s="170"/>
      <c r="K23" s="172">
        <f>IFERROR(__xludf.DUMMYFUNCTION("""COMPUTED_VALUE"""),3400.0)</f>
        <v>3400</v>
      </c>
      <c r="L23" s="165"/>
      <c r="M23" s="165"/>
      <c r="N23" s="170"/>
      <c r="O23" s="173">
        <f>IFERROR(__xludf.DUMMYFUNCTION("""COMPUTED_VALUE"""),3400.0)</f>
        <v>3400</v>
      </c>
      <c r="P23" s="165"/>
      <c r="Q23" s="165"/>
      <c r="R23" s="170"/>
      <c r="S23" s="174">
        <f>IFERROR(__xludf.DUMMYFUNCTION("""COMPUTED_VALUE"""),1.0)</f>
        <v>1</v>
      </c>
      <c r="T23" s="165"/>
      <c r="U23" s="164" t="str">
        <f>IFERROR(__xludf.DUMMYFUNCTION("IF(K23="""","""", SPARKLINE(K23,{""charttype"",""bar"";""max"",O23; ""color1"",IF(S23&gt;=$CA$9,$CB$9,IF(S23&lt;$CA$10,$CB$10,$CB$11))}))"),"")</f>
        <v/>
      </c>
      <c r="V23" s="165"/>
      <c r="W23" s="165"/>
      <c r="X23" s="166"/>
      <c r="Y23" s="1"/>
      <c r="Z23" s="169" t="b">
        <v>0</v>
      </c>
      <c r="AA23" s="175" t="str">
        <f>IFERROR(__xludf.DUMMYFUNCTION("""COMPUTED_VALUE"""),"Cinema")</f>
        <v>Cinema</v>
      </c>
      <c r="AB23" s="165"/>
      <c r="AC23" s="165"/>
      <c r="AD23" s="165"/>
      <c r="AE23" s="165"/>
      <c r="AF23" s="165"/>
      <c r="AG23" s="165"/>
      <c r="AH23" s="165"/>
      <c r="AI23" s="170"/>
      <c r="AJ23" s="176">
        <f>IFERROR(__xludf.DUMMYFUNCTION("""COMPUTED_VALUE"""),28.0)</f>
        <v>28</v>
      </c>
      <c r="AK23" s="165"/>
      <c r="AL23" s="165"/>
      <c r="AM23" s="170"/>
      <c r="AN23" s="176">
        <f>IFERROR(__xludf.DUMMYFUNCTION("""COMPUTED_VALUE"""),30.0)</f>
        <v>30</v>
      </c>
      <c r="AO23" s="165"/>
      <c r="AP23" s="165"/>
      <c r="AQ23" s="170"/>
      <c r="AR23" s="177">
        <f>IFERROR(__xludf.DUMMYFUNCTION("""COMPUTED_VALUE"""),0.9333333333333333)</f>
        <v>0.9333333333</v>
      </c>
      <c r="AS23" s="165"/>
      <c r="AT23" s="158" t="str">
        <f>IFERROR(__xludf.DUMMYFUNCTION("IF(AJ23="""","""", SPARKLINE(AJ23,{""charttype"",""bar"";""max"",AN23; ""color1"",IF(AR23&gt;=$CA$9,$CB$9,IF(AR23&lt;$CA$10,$CB$10,$CB$11))}))"),"")</f>
        <v/>
      </c>
      <c r="AU23" s="147"/>
      <c r="AV23" s="147"/>
      <c r="AW23" s="155"/>
      <c r="AX23" s="1"/>
      <c r="AY23" s="178" t="b">
        <v>0</v>
      </c>
      <c r="AZ23" s="179" t="str">
        <f>IFERROR(__xludf.DUMMYFUNCTION("""COMPUTED_VALUE"""),"Water")</f>
        <v>Water</v>
      </c>
      <c r="BA23" s="165"/>
      <c r="BB23" s="165"/>
      <c r="BC23" s="165"/>
      <c r="BD23" s="165"/>
      <c r="BE23" s="170"/>
      <c r="BF23" s="180">
        <f>IFERROR(__xludf.DUMMYFUNCTION("""COMPUTED_VALUE"""),45661.0)</f>
        <v>45661</v>
      </c>
      <c r="BG23" s="165"/>
      <c r="BH23" s="170"/>
      <c r="BI23" s="181">
        <f>IFERROR(__xludf.DUMMYFUNCTION("""COMPUTED_VALUE"""),76.0)</f>
        <v>76</v>
      </c>
      <c r="BJ23" s="165"/>
      <c r="BK23" s="165"/>
      <c r="BL23" s="170"/>
      <c r="BM23" s="181">
        <f>IFERROR(__xludf.DUMMYFUNCTION("""COMPUTED_VALUE"""),120.0)</f>
        <v>120</v>
      </c>
      <c r="BN23" s="165"/>
      <c r="BO23" s="165"/>
      <c r="BP23" s="170"/>
      <c r="BQ23" s="182">
        <f>IFERROR(__xludf.DUMMYFUNCTION("""COMPUTED_VALUE"""),0.6333333333333333)</f>
        <v>0.6333333333</v>
      </c>
      <c r="BR23" s="165"/>
      <c r="BS23" s="164" t="str">
        <f>IFERROR(__xludf.DUMMYFUNCTION("IF(BI23="""","""", SPARKLINE(BI23,{""charttype"",""bar"";""max"",BM23; ""color1"",IF(BQ23&gt;=$CA$9,$CB$9,IF(BQ23&lt;$CA$10,$CB$10,$CB$11))}))"),"")</f>
        <v/>
      </c>
      <c r="BT23" s="165"/>
      <c r="BU23" s="165"/>
      <c r="BV23" s="166"/>
      <c r="BW23" s="1"/>
      <c r="BX23" s="1"/>
      <c r="BY23" s="1"/>
      <c r="BZ23" s="1"/>
      <c r="CA23" s="1"/>
      <c r="CB23" s="1"/>
      <c r="CC23" s="1"/>
      <c r="CD23" s="1"/>
      <c r="CE23" s="1"/>
      <c r="CF23" s="69"/>
      <c r="CG23" s="183"/>
      <c r="CH23" s="184" t="s">
        <v>18</v>
      </c>
      <c r="CI23" s="168"/>
      <c r="CJ23" s="167" t="s">
        <v>27</v>
      </c>
      <c r="CK23" s="167" t="s">
        <v>29</v>
      </c>
      <c r="CL23" s="1"/>
      <c r="CM23" s="1"/>
      <c r="CN23" s="1"/>
      <c r="CO23" s="71"/>
      <c r="CP23" s="1"/>
      <c r="CQ23" s="1"/>
      <c r="CR23" s="1"/>
      <c r="CS23" s="1"/>
      <c r="CT23" s="1"/>
      <c r="CU23" s="1"/>
    </row>
    <row r="24" ht="19.5" customHeight="1">
      <c r="A24" s="1"/>
      <c r="B24" s="169" t="str">
        <f>IFERROR(__xludf.DUMMYFUNCTION("""COMPUTED_VALUE"""),"Rentals")</f>
        <v>Rentals</v>
      </c>
      <c r="C24" s="165"/>
      <c r="D24" s="165"/>
      <c r="E24" s="165"/>
      <c r="F24" s="165"/>
      <c r="G24" s="170"/>
      <c r="H24" s="171">
        <f>IFERROR(__xludf.DUMMYFUNCTION("""COMPUTED_VALUE"""),45662.0)</f>
        <v>45662</v>
      </c>
      <c r="I24" s="165"/>
      <c r="J24" s="170"/>
      <c r="K24" s="172">
        <f>IFERROR(__xludf.DUMMYFUNCTION("""COMPUTED_VALUE"""),1200.0)</f>
        <v>1200</v>
      </c>
      <c r="L24" s="165"/>
      <c r="M24" s="165"/>
      <c r="N24" s="170"/>
      <c r="O24" s="173">
        <f>IFERROR(__xludf.DUMMYFUNCTION("""COMPUTED_VALUE"""),1200.0)</f>
        <v>1200</v>
      </c>
      <c r="P24" s="165"/>
      <c r="Q24" s="165"/>
      <c r="R24" s="170"/>
      <c r="S24" s="174">
        <f>IFERROR(__xludf.DUMMYFUNCTION("""COMPUTED_VALUE"""),1.0)</f>
        <v>1</v>
      </c>
      <c r="T24" s="165"/>
      <c r="U24" s="164" t="str">
        <f>IFERROR(__xludf.DUMMYFUNCTION("IF(K24="""","""", SPARKLINE(K24,{""charttype"",""bar"";""max"",O24; ""color1"",IF(S24&gt;=$CA$9,$CB$9,IF(S24&lt;$CA$10,$CB$10,$CB$11))}))"),"")</f>
        <v/>
      </c>
      <c r="V24" s="165"/>
      <c r="W24" s="165"/>
      <c r="X24" s="166"/>
      <c r="Y24" s="1"/>
      <c r="Z24" s="169" t="b">
        <v>0</v>
      </c>
      <c r="AA24" s="175" t="str">
        <f>IFERROR(__xludf.DUMMYFUNCTION("""COMPUTED_VALUE"""),"Clothing")</f>
        <v>Clothing</v>
      </c>
      <c r="AB24" s="165"/>
      <c r="AC24" s="165"/>
      <c r="AD24" s="165"/>
      <c r="AE24" s="165"/>
      <c r="AF24" s="165"/>
      <c r="AG24" s="165"/>
      <c r="AH24" s="165"/>
      <c r="AI24" s="170"/>
      <c r="AJ24" s="176">
        <f>IFERROR(__xludf.DUMMYFUNCTION("""COMPUTED_VALUE"""),60.0)</f>
        <v>60</v>
      </c>
      <c r="AK24" s="165"/>
      <c r="AL24" s="165"/>
      <c r="AM24" s="170"/>
      <c r="AN24" s="176">
        <f>IFERROR(__xludf.DUMMYFUNCTION("""COMPUTED_VALUE"""),170.0)</f>
        <v>170</v>
      </c>
      <c r="AO24" s="165"/>
      <c r="AP24" s="165"/>
      <c r="AQ24" s="170"/>
      <c r="AR24" s="177">
        <f>IFERROR(__xludf.DUMMYFUNCTION("""COMPUTED_VALUE"""),0.35294117647058826)</f>
        <v>0.3529411765</v>
      </c>
      <c r="AS24" s="165"/>
      <c r="AT24" s="158" t="str">
        <f>IFERROR(__xludf.DUMMYFUNCTION("IF(AJ24="""","""", SPARKLINE(AJ24,{""charttype"",""bar"";""max"",AN24; ""color1"",IF(AR24&gt;=$CA$9,$CB$9,IF(AR24&lt;$CA$10,$CB$10,$CB$11))}))"),"")</f>
        <v/>
      </c>
      <c r="AU24" s="147"/>
      <c r="AV24" s="147"/>
      <c r="AW24" s="155"/>
      <c r="AX24" s="1"/>
      <c r="AY24" s="185" t="b">
        <v>0</v>
      </c>
      <c r="AZ24" s="179" t="str">
        <f>IFERROR(__xludf.DUMMYFUNCTION("""COMPUTED_VALUE"""),"Netflix")</f>
        <v>Netflix</v>
      </c>
      <c r="BA24" s="165"/>
      <c r="BB24" s="165"/>
      <c r="BC24" s="165"/>
      <c r="BD24" s="165"/>
      <c r="BE24" s="170"/>
      <c r="BF24" s="180">
        <f>IFERROR(__xludf.DUMMYFUNCTION("""COMPUTED_VALUE"""),45662.0)</f>
        <v>45662</v>
      </c>
      <c r="BG24" s="165"/>
      <c r="BH24" s="170"/>
      <c r="BI24" s="181">
        <f>IFERROR(__xludf.DUMMYFUNCTION("""COMPUTED_VALUE"""),14.99)</f>
        <v>14.99</v>
      </c>
      <c r="BJ24" s="165"/>
      <c r="BK24" s="165"/>
      <c r="BL24" s="170"/>
      <c r="BM24" s="181">
        <f>IFERROR(__xludf.DUMMYFUNCTION("""COMPUTED_VALUE"""),15.0)</f>
        <v>15</v>
      </c>
      <c r="BN24" s="165"/>
      <c r="BO24" s="165"/>
      <c r="BP24" s="170"/>
      <c r="BQ24" s="182">
        <f>IFERROR(__xludf.DUMMYFUNCTION("""COMPUTED_VALUE"""),0.9993333333333333)</f>
        <v>0.9993333333</v>
      </c>
      <c r="BR24" s="165"/>
      <c r="BS24" s="164" t="str">
        <f>IFERROR(__xludf.DUMMYFUNCTION("IF(BI24="""","""", SPARKLINE(BI24,{""charttype"",""bar"";""max"",BM24; ""color1"",IF(BQ24&gt;=$CA$9,$CB$9,IF(BQ24&lt;$CA$10,$CB$10,$CB$11))}))"),"")</f>
        <v/>
      </c>
      <c r="BT24" s="165"/>
      <c r="BU24" s="165"/>
      <c r="BV24" s="166"/>
      <c r="BW24" s="1"/>
      <c r="BX24" s="1"/>
      <c r="BY24" s="1"/>
      <c r="BZ24" s="1"/>
      <c r="CA24" s="1"/>
      <c r="CB24" s="1"/>
      <c r="CC24" s="1"/>
      <c r="CD24" s="1"/>
      <c r="CE24" s="1"/>
      <c r="CF24" s="69"/>
      <c r="CG24" s="186" t="str">
        <f t="shared" ref="CG24:CG29" si="6">BL10</f>
        <v>previous</v>
      </c>
      <c r="CH24" s="187">
        <f t="shared" ref="CH24:CH29" si="7">BS10</f>
        <v>200</v>
      </c>
      <c r="CI24" s="168"/>
      <c r="CJ24" s="168" t="str">
        <f t="array" ref="CJ24:CK29">IF($AH$8="Actual Cashflow",CG11:CH16,CG24:CH29)</f>
        <v>previous</v>
      </c>
      <c r="CK24" s="187">
        <v>200.0</v>
      </c>
      <c r="CL24" s="1"/>
      <c r="CM24" s="1"/>
      <c r="CN24" s="1"/>
      <c r="CO24" s="71"/>
      <c r="CP24" s="1"/>
      <c r="CQ24" s="1"/>
      <c r="CR24" s="1"/>
      <c r="CS24" s="1"/>
      <c r="CT24" s="1"/>
      <c r="CU24" s="1"/>
    </row>
    <row r="25" ht="19.5" customHeight="1">
      <c r="A25" s="1"/>
      <c r="B25" s="169" t="str">
        <f>IFERROR(__xludf.DUMMYFUNCTION("""COMPUTED_VALUE"""),"Freelance")</f>
        <v>Freelance</v>
      </c>
      <c r="C25" s="165"/>
      <c r="D25" s="165"/>
      <c r="E25" s="165"/>
      <c r="F25" s="165"/>
      <c r="G25" s="170"/>
      <c r="H25" s="171">
        <f>IFERROR(__xludf.DUMMYFUNCTION("""COMPUTED_VALUE"""),45688.0)</f>
        <v>45688</v>
      </c>
      <c r="I25" s="165"/>
      <c r="J25" s="170"/>
      <c r="K25" s="172">
        <f>IFERROR(__xludf.DUMMYFUNCTION("""COMPUTED_VALUE"""),500.0)</f>
        <v>500</v>
      </c>
      <c r="L25" s="165"/>
      <c r="M25" s="165"/>
      <c r="N25" s="170"/>
      <c r="O25" s="173">
        <f>IFERROR(__xludf.DUMMYFUNCTION("""COMPUTED_VALUE"""),500.0)</f>
        <v>500</v>
      </c>
      <c r="P25" s="165"/>
      <c r="Q25" s="165"/>
      <c r="R25" s="170"/>
      <c r="S25" s="174">
        <f>IFERROR(__xludf.DUMMYFUNCTION("""COMPUTED_VALUE"""),1.0)</f>
        <v>1</v>
      </c>
      <c r="T25" s="165"/>
      <c r="U25" s="164" t="str">
        <f>IFERROR(__xludf.DUMMYFUNCTION("IF(K25="""","""", SPARKLINE(K25,{""charttype"",""bar"";""max"",O25; ""color1"",IF(S25&gt;=$CA$9,$CB$9,IF(S25&lt;$CA$10,$CB$10,$CB$11))}))"),"")</f>
        <v/>
      </c>
      <c r="V25" s="165"/>
      <c r="W25" s="165"/>
      <c r="X25" s="166"/>
      <c r="Y25" s="1"/>
      <c r="Z25" s="169" t="b">
        <v>0</v>
      </c>
      <c r="AA25" s="175" t="str">
        <f>IFERROR(__xludf.DUMMYFUNCTION("""COMPUTED_VALUE"""),"Dinning Out")</f>
        <v>Dinning Out</v>
      </c>
      <c r="AB25" s="165"/>
      <c r="AC25" s="165"/>
      <c r="AD25" s="165"/>
      <c r="AE25" s="165"/>
      <c r="AF25" s="165"/>
      <c r="AG25" s="165"/>
      <c r="AH25" s="165"/>
      <c r="AI25" s="170"/>
      <c r="AJ25" s="176">
        <f>IFERROR(__xludf.DUMMYFUNCTION("""COMPUTED_VALUE"""),110.0)</f>
        <v>110</v>
      </c>
      <c r="AK25" s="165"/>
      <c r="AL25" s="165"/>
      <c r="AM25" s="170"/>
      <c r="AN25" s="176">
        <f>IFERROR(__xludf.DUMMYFUNCTION("""COMPUTED_VALUE"""),100.0)</f>
        <v>100</v>
      </c>
      <c r="AO25" s="165"/>
      <c r="AP25" s="165"/>
      <c r="AQ25" s="170"/>
      <c r="AR25" s="177">
        <f>IFERROR(__xludf.DUMMYFUNCTION("""COMPUTED_VALUE"""),1.1)</f>
        <v>1.1</v>
      </c>
      <c r="AS25" s="165"/>
      <c r="AT25" s="158" t="str">
        <f>IFERROR(__xludf.DUMMYFUNCTION("IF(AJ25="""","""", SPARKLINE(AJ25,{""charttype"",""bar"";""max"",AN25; ""color1"",IF(AR25&gt;=$CA$9,$CB$9,IF(AR25&lt;$CA$10,$CB$10,$CB$11))}))"),"")</f>
        <v/>
      </c>
      <c r="AU25" s="147"/>
      <c r="AV25" s="147"/>
      <c r="AW25" s="155"/>
      <c r="AX25" s="1"/>
      <c r="AY25" s="178" t="b">
        <v>0</v>
      </c>
      <c r="AZ25" s="179" t="str">
        <f>IFERROR(__xludf.DUMMYFUNCTION("""COMPUTED_VALUE"""),"Credit Card")</f>
        <v>Credit Card</v>
      </c>
      <c r="BA25" s="165"/>
      <c r="BB25" s="165"/>
      <c r="BC25" s="165"/>
      <c r="BD25" s="165"/>
      <c r="BE25" s="170"/>
      <c r="BF25" s="180">
        <f>IFERROR(__xludf.DUMMYFUNCTION("""COMPUTED_VALUE"""),45667.0)</f>
        <v>45667</v>
      </c>
      <c r="BG25" s="165"/>
      <c r="BH25" s="170"/>
      <c r="BI25" s="181">
        <f>IFERROR(__xludf.DUMMYFUNCTION("""COMPUTED_VALUE"""),375.0)</f>
        <v>375</v>
      </c>
      <c r="BJ25" s="165"/>
      <c r="BK25" s="165"/>
      <c r="BL25" s="170"/>
      <c r="BM25" s="181">
        <f>IFERROR(__xludf.DUMMYFUNCTION("""COMPUTED_VALUE"""),375.0)</f>
        <v>375</v>
      </c>
      <c r="BN25" s="165"/>
      <c r="BO25" s="165"/>
      <c r="BP25" s="170"/>
      <c r="BQ25" s="182">
        <f>IFERROR(__xludf.DUMMYFUNCTION("""COMPUTED_VALUE"""),1.0)</f>
        <v>1</v>
      </c>
      <c r="BR25" s="165"/>
      <c r="BS25" s="164" t="str">
        <f>IFERROR(__xludf.DUMMYFUNCTION("IF(BI25="""","""", SPARKLINE(BI25,{""charttype"",""bar"";""max"",BM25; ""color1"",IF(BQ25&gt;=$CA$9,$CB$9,IF(BQ25&lt;$CA$10,$CB$10,$CB$11))}))"),"")</f>
        <v/>
      </c>
      <c r="BT25" s="165"/>
      <c r="BU25" s="165"/>
      <c r="BV25" s="166"/>
      <c r="BW25" s="1"/>
      <c r="BX25" s="1"/>
      <c r="BY25" s="1"/>
      <c r="BZ25" s="1"/>
      <c r="CA25" s="1"/>
      <c r="CB25" s="1"/>
      <c r="CC25" s="1"/>
      <c r="CD25" s="1"/>
      <c r="CE25" s="1"/>
      <c r="CF25" s="69"/>
      <c r="CG25" s="186" t="str">
        <f t="shared" si="6"/>
        <v>income</v>
      </c>
      <c r="CH25" s="187">
        <f t="shared" si="7"/>
        <v>5700</v>
      </c>
      <c r="CI25" s="168"/>
      <c r="CJ25" s="168" t="s">
        <v>31</v>
      </c>
      <c r="CK25" s="187">
        <v>5750.0</v>
      </c>
      <c r="CL25" s="1"/>
      <c r="CM25" s="1"/>
      <c r="CN25" s="1"/>
      <c r="CO25" s="71"/>
      <c r="CP25" s="1"/>
      <c r="CQ25" s="1"/>
      <c r="CR25" s="1"/>
      <c r="CS25" s="1"/>
      <c r="CT25" s="1"/>
      <c r="CU25" s="1"/>
    </row>
    <row r="26" ht="19.5" customHeight="1">
      <c r="A26" s="1"/>
      <c r="B26" s="169"/>
      <c r="C26" s="165"/>
      <c r="D26" s="165"/>
      <c r="E26" s="165"/>
      <c r="F26" s="165"/>
      <c r="G26" s="170"/>
      <c r="H26" s="171"/>
      <c r="I26" s="165"/>
      <c r="J26" s="170"/>
      <c r="K26" s="172"/>
      <c r="L26" s="165"/>
      <c r="M26" s="165"/>
      <c r="N26" s="170"/>
      <c r="O26" s="188"/>
      <c r="P26" s="165"/>
      <c r="Q26" s="165"/>
      <c r="R26" s="170"/>
      <c r="S26" s="174"/>
      <c r="T26" s="165"/>
      <c r="U26" s="164" t="str">
        <f>IFERROR(__xludf.DUMMYFUNCTION("IF(K26="""","""", SPARKLINE(K26,{""charttype"",""bar"";""max"",O26; ""color1"",IF(S26&gt;=$CA$9,$CB$9,IF(S26&lt;$CA$10,$CB$10,$CB$11))}))"),"")</f>
        <v/>
      </c>
      <c r="V26" s="165"/>
      <c r="W26" s="165"/>
      <c r="X26" s="166"/>
      <c r="Y26" s="1"/>
      <c r="Z26" s="169" t="b">
        <v>0</v>
      </c>
      <c r="AA26" s="175" t="str">
        <f>IFERROR(__xludf.DUMMYFUNCTION("""COMPUTED_VALUE"""),"Education")</f>
        <v>Education</v>
      </c>
      <c r="AB26" s="165"/>
      <c r="AC26" s="165"/>
      <c r="AD26" s="165"/>
      <c r="AE26" s="165"/>
      <c r="AF26" s="165"/>
      <c r="AG26" s="165"/>
      <c r="AH26" s="165"/>
      <c r="AI26" s="170"/>
      <c r="AJ26" s="176">
        <f>IFERROR(__xludf.DUMMYFUNCTION("""COMPUTED_VALUE"""),40.0)</f>
        <v>40</v>
      </c>
      <c r="AK26" s="165"/>
      <c r="AL26" s="165"/>
      <c r="AM26" s="170"/>
      <c r="AN26" s="176">
        <f>IFERROR(__xludf.DUMMYFUNCTION("""COMPUTED_VALUE"""),50.0)</f>
        <v>50</v>
      </c>
      <c r="AO26" s="165"/>
      <c r="AP26" s="165"/>
      <c r="AQ26" s="170"/>
      <c r="AR26" s="177">
        <f>IFERROR(__xludf.DUMMYFUNCTION("""COMPUTED_VALUE"""),0.8)</f>
        <v>0.8</v>
      </c>
      <c r="AS26" s="165"/>
      <c r="AT26" s="158" t="str">
        <f>IFERROR(__xludf.DUMMYFUNCTION("IF(AJ26="""","""", SPARKLINE(AJ26,{""charttype"",""bar"";""max"",AN26; ""color1"",IF(AR26&gt;=$CA$9,$CB$9,IF(AR26&lt;$CA$10,$CB$10,$CB$11))}))"),"")</f>
        <v/>
      </c>
      <c r="AU26" s="147"/>
      <c r="AV26" s="147"/>
      <c r="AW26" s="155"/>
      <c r="AX26" s="1"/>
      <c r="AY26" s="178" t="b">
        <v>0</v>
      </c>
      <c r="AZ26" s="179" t="str">
        <f>IFERROR(__xludf.DUMMYFUNCTION("""COMPUTED_VALUE"""),"Blue Apron")</f>
        <v>Blue Apron</v>
      </c>
      <c r="BA26" s="165"/>
      <c r="BB26" s="165"/>
      <c r="BC26" s="165"/>
      <c r="BD26" s="165"/>
      <c r="BE26" s="170"/>
      <c r="BF26" s="180">
        <f>IFERROR(__xludf.DUMMYFUNCTION("""COMPUTED_VALUE"""),45672.0)</f>
        <v>45672</v>
      </c>
      <c r="BG26" s="165"/>
      <c r="BH26" s="170"/>
      <c r="BI26" s="181">
        <f>IFERROR(__xludf.DUMMYFUNCTION("""COMPUTED_VALUE"""),40.0)</f>
        <v>40</v>
      </c>
      <c r="BJ26" s="165"/>
      <c r="BK26" s="165"/>
      <c r="BL26" s="170"/>
      <c r="BM26" s="181">
        <f>IFERROR(__xludf.DUMMYFUNCTION("""COMPUTED_VALUE"""),40.0)</f>
        <v>40</v>
      </c>
      <c r="BN26" s="165"/>
      <c r="BO26" s="165"/>
      <c r="BP26" s="170"/>
      <c r="BQ26" s="182">
        <f>IFERROR(__xludf.DUMMYFUNCTION("""COMPUTED_VALUE"""),1.0)</f>
        <v>1</v>
      </c>
      <c r="BR26" s="165"/>
      <c r="BS26" s="164" t="str">
        <f>IFERROR(__xludf.DUMMYFUNCTION("IF(BI26="""","""", SPARKLINE(BI26,{""charttype"",""bar"";""max"",BM26; ""color1"",IF(BQ26&gt;=$CA$9,$CB$9,IF(BQ26&lt;$CA$10,$CB$10,$CB$11))}))"),"")</f>
        <v/>
      </c>
      <c r="BT26" s="165"/>
      <c r="BU26" s="165"/>
      <c r="BV26" s="166"/>
      <c r="BW26" s="1"/>
      <c r="BX26" s="1"/>
      <c r="BY26" s="1"/>
      <c r="BZ26" s="1"/>
      <c r="CA26" s="1"/>
      <c r="CB26" s="1"/>
      <c r="CC26" s="1"/>
      <c r="CD26" s="1"/>
      <c r="CE26" s="1"/>
      <c r="CF26" s="69"/>
      <c r="CG26" s="186" t="str">
        <f t="shared" si="6"/>
        <v>expenses</v>
      </c>
      <c r="CH26" s="187">
        <f t="shared" si="7"/>
        <v>1760</v>
      </c>
      <c r="CI26" s="168"/>
      <c r="CJ26" s="168" t="s">
        <v>34</v>
      </c>
      <c r="CK26" s="187">
        <v>2031.0</v>
      </c>
      <c r="CL26" s="1"/>
      <c r="CM26" s="1"/>
      <c r="CN26" s="1"/>
      <c r="CO26" s="71"/>
      <c r="CP26" s="1"/>
      <c r="CQ26" s="1"/>
      <c r="CR26" s="1"/>
      <c r="CS26" s="1"/>
      <c r="CT26" s="1"/>
      <c r="CU26" s="1"/>
    </row>
    <row r="27" ht="19.5" customHeight="1">
      <c r="A27" s="1"/>
      <c r="B27" s="169"/>
      <c r="C27" s="165"/>
      <c r="D27" s="165"/>
      <c r="E27" s="165"/>
      <c r="F27" s="165"/>
      <c r="G27" s="170"/>
      <c r="H27" s="171"/>
      <c r="I27" s="165"/>
      <c r="J27" s="170"/>
      <c r="K27" s="172"/>
      <c r="L27" s="165"/>
      <c r="M27" s="165"/>
      <c r="N27" s="170"/>
      <c r="O27" s="188"/>
      <c r="P27" s="165"/>
      <c r="Q27" s="165"/>
      <c r="R27" s="170"/>
      <c r="S27" s="174"/>
      <c r="T27" s="165"/>
      <c r="U27" s="164" t="str">
        <f>IFERROR(__xludf.DUMMYFUNCTION("IF(K27="""","""", SPARKLINE(K27,{""charttype"",""bar"";""max"",O27; ""color1"",IF(S27&gt;=$CA$9,$CB$9,IF(S27&lt;$CA$10,$CB$10,$CB$11))}))"),"")</f>
        <v/>
      </c>
      <c r="V27" s="165"/>
      <c r="W27" s="165"/>
      <c r="X27" s="166"/>
      <c r="Y27" s="1"/>
      <c r="Z27" s="169" t="b">
        <v>0</v>
      </c>
      <c r="AA27" s="175" t="str">
        <f>IFERROR(__xludf.DUMMYFUNCTION("""COMPUTED_VALUE"""),"Fuel")</f>
        <v>Fuel</v>
      </c>
      <c r="AB27" s="165"/>
      <c r="AC27" s="165"/>
      <c r="AD27" s="165"/>
      <c r="AE27" s="165"/>
      <c r="AF27" s="165"/>
      <c r="AG27" s="165"/>
      <c r="AH27" s="165"/>
      <c r="AI27" s="170"/>
      <c r="AJ27" s="176">
        <f>IFERROR(__xludf.DUMMYFUNCTION("""COMPUTED_VALUE"""),75.0)</f>
        <v>75</v>
      </c>
      <c r="AK27" s="165"/>
      <c r="AL27" s="165"/>
      <c r="AM27" s="170"/>
      <c r="AN27" s="176">
        <f>IFERROR(__xludf.DUMMYFUNCTION("""COMPUTED_VALUE"""),80.0)</f>
        <v>80</v>
      </c>
      <c r="AO27" s="165"/>
      <c r="AP27" s="165"/>
      <c r="AQ27" s="170"/>
      <c r="AR27" s="177">
        <f>IFERROR(__xludf.DUMMYFUNCTION("""COMPUTED_VALUE"""),0.9375)</f>
        <v>0.9375</v>
      </c>
      <c r="AS27" s="165"/>
      <c r="AT27" s="158" t="str">
        <f>IFERROR(__xludf.DUMMYFUNCTION("IF(AJ27="""","""", SPARKLINE(AJ27,{""charttype"",""bar"";""max"",AN27; ""color1"",IF(AR27&gt;=$CA$9,$CB$9,IF(AR27&lt;$CA$10,$CB$10,$CB$11))}))"),"")</f>
        <v/>
      </c>
      <c r="AU27" s="147"/>
      <c r="AV27" s="147"/>
      <c r="AW27" s="155"/>
      <c r="AX27" s="1"/>
      <c r="AY27" s="185" t="b">
        <v>0</v>
      </c>
      <c r="AZ27" s="179" t="str">
        <f>IFERROR(__xludf.DUMMYFUNCTION("""COMPUTED_VALUE"""),"Electricity")</f>
        <v>Electricity</v>
      </c>
      <c r="BA27" s="165"/>
      <c r="BB27" s="165"/>
      <c r="BC27" s="165"/>
      <c r="BD27" s="165"/>
      <c r="BE27" s="170"/>
      <c r="BF27" s="180">
        <f>IFERROR(__xludf.DUMMYFUNCTION("""COMPUTED_VALUE"""),45675.0)</f>
        <v>45675</v>
      </c>
      <c r="BG27" s="165"/>
      <c r="BH27" s="170"/>
      <c r="BI27" s="181">
        <f>IFERROR(__xludf.DUMMYFUNCTION("""COMPUTED_VALUE"""),5.0)</f>
        <v>5</v>
      </c>
      <c r="BJ27" s="165"/>
      <c r="BK27" s="165"/>
      <c r="BL27" s="170"/>
      <c r="BM27" s="181">
        <f>IFERROR(__xludf.DUMMYFUNCTION("""COMPUTED_VALUE"""),150.0)</f>
        <v>150</v>
      </c>
      <c r="BN27" s="165"/>
      <c r="BO27" s="165"/>
      <c r="BP27" s="170"/>
      <c r="BQ27" s="182">
        <f>IFERROR(__xludf.DUMMYFUNCTION("""COMPUTED_VALUE"""),0.03333333333333333)</f>
        <v>0.03333333333</v>
      </c>
      <c r="BR27" s="165"/>
      <c r="BS27" s="164" t="str">
        <f>IFERROR(__xludf.DUMMYFUNCTION("IF(BI27="""","""", SPARKLINE(BI27,{""charttype"",""bar"";""max"",BM27; ""color1"",IF(BQ27&gt;=$CA$9,$CB$9,IF(BQ27&lt;$CA$10,$CB$10,$CB$11))}))"),"")</f>
        <v/>
      </c>
      <c r="BT27" s="165"/>
      <c r="BU27" s="165"/>
      <c r="BV27" s="166"/>
      <c r="BW27" s="1"/>
      <c r="BX27" s="1"/>
      <c r="BY27" s="1"/>
      <c r="BZ27" s="8"/>
      <c r="CA27" s="1"/>
      <c r="CB27" s="1"/>
      <c r="CC27" s="1"/>
      <c r="CD27" s="1"/>
      <c r="CE27" s="1"/>
      <c r="CF27" s="69"/>
      <c r="CG27" s="186" t="str">
        <f t="shared" si="6"/>
        <v>bills</v>
      </c>
      <c r="CH27" s="187">
        <f t="shared" si="7"/>
        <v>1535</v>
      </c>
      <c r="CI27" s="168"/>
      <c r="CJ27" s="168" t="s">
        <v>35</v>
      </c>
      <c r="CK27" s="187">
        <v>1330.99</v>
      </c>
      <c r="CL27" s="1"/>
      <c r="CM27" s="1"/>
      <c r="CN27" s="1"/>
      <c r="CO27" s="71"/>
      <c r="CP27" s="1"/>
      <c r="CQ27" s="1"/>
      <c r="CR27" s="1"/>
      <c r="CS27" s="1"/>
      <c r="CT27" s="1"/>
      <c r="CU27" s="1"/>
    </row>
    <row r="28" ht="19.5" customHeight="1">
      <c r="A28" s="1"/>
      <c r="B28" s="169"/>
      <c r="C28" s="165"/>
      <c r="D28" s="165"/>
      <c r="E28" s="165"/>
      <c r="F28" s="165"/>
      <c r="G28" s="170"/>
      <c r="H28" s="171"/>
      <c r="I28" s="165"/>
      <c r="J28" s="170"/>
      <c r="K28" s="172"/>
      <c r="L28" s="165"/>
      <c r="M28" s="165"/>
      <c r="N28" s="170"/>
      <c r="O28" s="188"/>
      <c r="P28" s="165"/>
      <c r="Q28" s="165"/>
      <c r="R28" s="170"/>
      <c r="S28" s="174"/>
      <c r="T28" s="165"/>
      <c r="U28" s="164" t="str">
        <f>IFERROR(__xludf.DUMMYFUNCTION("IF(K28="""","""", SPARKLINE(K28,{""charttype"",""bar"";""max"",O28; ""color1"",IF(S28&gt;=$CA$9,$CB$9,IF(S28&lt;$CA$10,$CB$10,$CB$11))}))"),"")</f>
        <v/>
      </c>
      <c r="V28" s="165"/>
      <c r="W28" s="165"/>
      <c r="X28" s="166"/>
      <c r="Y28" s="1"/>
      <c r="Z28" s="189" t="b">
        <v>0</v>
      </c>
      <c r="AA28" s="175" t="str">
        <f>IFERROR(__xludf.DUMMYFUNCTION("""COMPUTED_VALUE"""),"Gadgets")</f>
        <v>Gadgets</v>
      </c>
      <c r="AB28" s="165"/>
      <c r="AC28" s="165"/>
      <c r="AD28" s="165"/>
      <c r="AE28" s="165"/>
      <c r="AF28" s="165"/>
      <c r="AG28" s="165"/>
      <c r="AH28" s="165"/>
      <c r="AI28" s="170"/>
      <c r="AJ28" s="176">
        <f>IFERROR(__xludf.DUMMYFUNCTION("""COMPUTED_VALUE"""),220.0)</f>
        <v>220</v>
      </c>
      <c r="AK28" s="165"/>
      <c r="AL28" s="165"/>
      <c r="AM28" s="170"/>
      <c r="AN28" s="176">
        <f>IFERROR(__xludf.DUMMYFUNCTION("""COMPUTED_VALUE"""),300.0)</f>
        <v>300</v>
      </c>
      <c r="AO28" s="165"/>
      <c r="AP28" s="165"/>
      <c r="AQ28" s="170"/>
      <c r="AR28" s="177">
        <f>IFERROR(__xludf.DUMMYFUNCTION("""COMPUTED_VALUE"""),0.7333333333333333)</f>
        <v>0.7333333333</v>
      </c>
      <c r="AS28" s="165"/>
      <c r="AT28" s="158" t="str">
        <f>IFERROR(__xludf.DUMMYFUNCTION("IF(AJ28="""","""", SPARKLINE(AJ28,{""charttype"",""bar"";""max"",AN28; ""color1"",IF(AR28&gt;=$CA$9,$CB$9,IF(AR28&lt;$CA$10,$CB$10,$CB$11))}))"),"")</f>
        <v/>
      </c>
      <c r="AU28" s="147"/>
      <c r="AV28" s="147"/>
      <c r="AW28" s="155"/>
      <c r="AX28" s="1"/>
      <c r="AY28" s="185" t="b">
        <v>0</v>
      </c>
      <c r="AZ28" s="179" t="str">
        <f>IFERROR(__xludf.DUMMYFUNCTION("""COMPUTED_VALUE"""),"Spotify")</f>
        <v>Spotify</v>
      </c>
      <c r="BA28" s="165"/>
      <c r="BB28" s="165"/>
      <c r="BC28" s="165"/>
      <c r="BD28" s="165"/>
      <c r="BE28" s="170"/>
      <c r="BF28" s="180">
        <f>IFERROR(__xludf.DUMMYFUNCTION("""COMPUTED_VALUE"""),45675.0)</f>
        <v>45675</v>
      </c>
      <c r="BG28" s="165"/>
      <c r="BH28" s="170"/>
      <c r="BI28" s="181">
        <f>IFERROR(__xludf.DUMMYFUNCTION("""COMPUTED_VALUE"""),10.0)</f>
        <v>10</v>
      </c>
      <c r="BJ28" s="165"/>
      <c r="BK28" s="165"/>
      <c r="BL28" s="170"/>
      <c r="BM28" s="181">
        <f>IFERROR(__xludf.DUMMYFUNCTION("""COMPUTED_VALUE"""),10.0)</f>
        <v>10</v>
      </c>
      <c r="BN28" s="165"/>
      <c r="BO28" s="165"/>
      <c r="BP28" s="170"/>
      <c r="BQ28" s="182">
        <f>IFERROR(__xludf.DUMMYFUNCTION("""COMPUTED_VALUE"""),1.0)</f>
        <v>1</v>
      </c>
      <c r="BR28" s="165"/>
      <c r="BS28" s="164" t="str">
        <f>IFERROR(__xludf.DUMMYFUNCTION("IF(BI28="""","""", SPARKLINE(BI28,{""charttype"",""bar"";""max"",BM28; ""color1"",IF(BQ28&gt;=$CA$9,$CB$9,IF(BQ28&lt;$CA$10,$CB$10,$CB$11))}))"),"")</f>
        <v/>
      </c>
      <c r="BT28" s="165"/>
      <c r="BU28" s="165"/>
      <c r="BV28" s="166"/>
      <c r="BW28" s="1"/>
      <c r="BX28" s="1"/>
      <c r="BY28" s="1"/>
      <c r="BZ28" s="1"/>
      <c r="CA28" s="1"/>
      <c r="CB28" s="1"/>
      <c r="CC28" s="1"/>
      <c r="CD28" s="1"/>
      <c r="CE28" s="1"/>
      <c r="CF28" s="69"/>
      <c r="CG28" s="186" t="str">
        <f t="shared" si="6"/>
        <v>savings</v>
      </c>
      <c r="CH28" s="187">
        <f t="shared" si="7"/>
        <v>1040</v>
      </c>
      <c r="CI28" s="168"/>
      <c r="CJ28" s="168" t="s">
        <v>37</v>
      </c>
      <c r="CK28" s="187">
        <v>940.0</v>
      </c>
      <c r="CL28" s="1"/>
      <c r="CM28" s="1"/>
      <c r="CN28" s="1"/>
      <c r="CO28" s="71"/>
      <c r="CP28" s="1"/>
      <c r="CQ28" s="1"/>
      <c r="CR28" s="1"/>
      <c r="CS28" s="1"/>
      <c r="CT28" s="1"/>
      <c r="CU28" s="1"/>
    </row>
    <row r="29" ht="19.5" customHeight="1">
      <c r="A29" s="1"/>
      <c r="B29" s="169"/>
      <c r="C29" s="165"/>
      <c r="D29" s="165"/>
      <c r="E29" s="165"/>
      <c r="F29" s="165"/>
      <c r="G29" s="170"/>
      <c r="H29" s="171"/>
      <c r="I29" s="165"/>
      <c r="J29" s="170"/>
      <c r="K29" s="172"/>
      <c r="L29" s="165"/>
      <c r="M29" s="165"/>
      <c r="N29" s="170"/>
      <c r="O29" s="188"/>
      <c r="P29" s="165"/>
      <c r="Q29" s="165"/>
      <c r="R29" s="170"/>
      <c r="S29" s="174"/>
      <c r="T29" s="165"/>
      <c r="U29" s="164" t="str">
        <f>IFERROR(__xludf.DUMMYFUNCTION("IF(K29="""","""", SPARKLINE(K29,{""charttype"",""bar"";""max"",O29; ""color1"",IF(S29&gt;=$CA$9,$CB$9,IF(S29&lt;$CA$10,$CB$10,$CB$11))}))"),"")</f>
        <v/>
      </c>
      <c r="V29" s="165"/>
      <c r="W29" s="165"/>
      <c r="X29" s="166"/>
      <c r="Y29" s="1"/>
      <c r="Z29" s="169" t="b">
        <v>0</v>
      </c>
      <c r="AA29" s="175" t="str">
        <f>IFERROR(__xludf.DUMMYFUNCTION("""COMPUTED_VALUE"""),"Groceries")</f>
        <v>Groceries</v>
      </c>
      <c r="AB29" s="165"/>
      <c r="AC29" s="165"/>
      <c r="AD29" s="165"/>
      <c r="AE29" s="165"/>
      <c r="AF29" s="165"/>
      <c r="AG29" s="165"/>
      <c r="AH29" s="165"/>
      <c r="AI29" s="170"/>
      <c r="AJ29" s="176">
        <f>IFERROR(__xludf.DUMMYFUNCTION("""COMPUTED_VALUE"""),140.0)</f>
        <v>140</v>
      </c>
      <c r="AK29" s="165"/>
      <c r="AL29" s="165"/>
      <c r="AM29" s="170"/>
      <c r="AN29" s="176">
        <f>IFERROR(__xludf.DUMMYFUNCTION("""COMPUTED_VALUE"""),200.0)</f>
        <v>200</v>
      </c>
      <c r="AO29" s="165"/>
      <c r="AP29" s="165"/>
      <c r="AQ29" s="170"/>
      <c r="AR29" s="177">
        <f>IFERROR(__xludf.DUMMYFUNCTION("""COMPUTED_VALUE"""),0.7)</f>
        <v>0.7</v>
      </c>
      <c r="AS29" s="165"/>
      <c r="AT29" s="158" t="str">
        <f>IFERROR(__xludf.DUMMYFUNCTION("IF(AJ29="""","""", SPARKLINE(AJ29,{""charttype"",""bar"";""max"",AN29; ""color1"",IF(AR29&gt;=$CA$9,$CB$9,IF(AR29&lt;$CA$10,$CB$10,$CB$11))}))"),"")</f>
        <v/>
      </c>
      <c r="AU29" s="147"/>
      <c r="AV29" s="147"/>
      <c r="AW29" s="155"/>
      <c r="AX29" s="1"/>
      <c r="AY29" s="185" t="b">
        <v>0</v>
      </c>
      <c r="AZ29" s="179" t="str">
        <f>IFERROR(__xludf.DUMMYFUNCTION("""COMPUTED_VALUE"""),"Health Insurance")</f>
        <v>Health Insurance</v>
      </c>
      <c r="BA29" s="165"/>
      <c r="BB29" s="165"/>
      <c r="BC29" s="165"/>
      <c r="BD29" s="165"/>
      <c r="BE29" s="170"/>
      <c r="BF29" s="180">
        <f>IFERROR(__xludf.DUMMYFUNCTION("""COMPUTED_VALUE"""),45679.0)</f>
        <v>45679</v>
      </c>
      <c r="BG29" s="165"/>
      <c r="BH29" s="170"/>
      <c r="BI29" s="181">
        <f>IFERROR(__xludf.DUMMYFUNCTION("""COMPUTED_VALUE"""),320.0)</f>
        <v>320</v>
      </c>
      <c r="BJ29" s="165"/>
      <c r="BK29" s="165"/>
      <c r="BL29" s="170"/>
      <c r="BM29" s="181">
        <f>IFERROR(__xludf.DUMMYFUNCTION("""COMPUTED_VALUE"""),320.0)</f>
        <v>320</v>
      </c>
      <c r="BN29" s="165"/>
      <c r="BO29" s="165"/>
      <c r="BP29" s="170"/>
      <c r="BQ29" s="182">
        <f>IFERROR(__xludf.DUMMYFUNCTION("""COMPUTED_VALUE"""),1.0)</f>
        <v>1</v>
      </c>
      <c r="BR29" s="165"/>
      <c r="BS29" s="164" t="str">
        <f>IFERROR(__xludf.DUMMYFUNCTION("IF(BI29="""","""", SPARKLINE(BI29,{""charttype"",""bar"";""max"",BM29; ""color1"",IF(BQ29&gt;=$CA$9,$CB$9,IF(BQ29&lt;$CA$10,$CB$10,$CB$11))}))"),"")</f>
        <v/>
      </c>
      <c r="BT29" s="165"/>
      <c r="BU29" s="165"/>
      <c r="BV29" s="166"/>
      <c r="BW29" s="1"/>
      <c r="BX29" s="1"/>
      <c r="BY29" s="1"/>
      <c r="BZ29" s="1"/>
      <c r="CA29" s="1"/>
      <c r="CB29" s="1"/>
      <c r="CC29" s="1"/>
      <c r="CD29" s="1"/>
      <c r="CE29" s="1"/>
      <c r="CF29" s="69"/>
      <c r="CG29" s="190" t="str">
        <f t="shared" si="6"/>
        <v>depts</v>
      </c>
      <c r="CH29" s="191">
        <f t="shared" si="7"/>
        <v>500</v>
      </c>
      <c r="CI29" s="168"/>
      <c r="CJ29" s="168" t="s">
        <v>39</v>
      </c>
      <c r="CK29" s="187">
        <v>500.0</v>
      </c>
      <c r="CL29" s="1"/>
      <c r="CM29" s="1"/>
      <c r="CN29" s="1"/>
      <c r="CO29" s="71"/>
      <c r="CP29" s="1"/>
      <c r="CQ29" s="1"/>
      <c r="CR29" s="1"/>
      <c r="CS29" s="1"/>
      <c r="CT29" s="1"/>
      <c r="CU29" s="1"/>
    </row>
    <row r="30" ht="19.5" customHeight="1">
      <c r="A30" s="1"/>
      <c r="B30" s="169"/>
      <c r="C30" s="165"/>
      <c r="D30" s="165"/>
      <c r="E30" s="165"/>
      <c r="F30" s="165"/>
      <c r="G30" s="170"/>
      <c r="H30" s="171"/>
      <c r="I30" s="165"/>
      <c r="J30" s="170"/>
      <c r="K30" s="172"/>
      <c r="L30" s="165"/>
      <c r="M30" s="165"/>
      <c r="N30" s="170"/>
      <c r="O30" s="188"/>
      <c r="P30" s="165"/>
      <c r="Q30" s="165"/>
      <c r="R30" s="170"/>
      <c r="S30" s="174"/>
      <c r="T30" s="165"/>
      <c r="U30" s="164" t="str">
        <f>IFERROR(__xludf.DUMMYFUNCTION("IF(K30="""","""", SPARKLINE(K30,{""charttype"",""bar"";""max"",O30; ""color1"",IF(S30&gt;=$CA$9,$CB$9,IF(S30&lt;$CA$10,$CB$10,$CB$11))}))"),"")</f>
        <v/>
      </c>
      <c r="V30" s="165"/>
      <c r="W30" s="165"/>
      <c r="X30" s="166"/>
      <c r="Y30" s="1"/>
      <c r="Z30" s="189" t="b">
        <v>0</v>
      </c>
      <c r="AA30" s="175" t="str">
        <f>IFERROR(__xludf.DUMMYFUNCTION("""COMPUTED_VALUE"""),"Health")</f>
        <v>Health</v>
      </c>
      <c r="AB30" s="165"/>
      <c r="AC30" s="165"/>
      <c r="AD30" s="165"/>
      <c r="AE30" s="165"/>
      <c r="AF30" s="165"/>
      <c r="AG30" s="165"/>
      <c r="AH30" s="165"/>
      <c r="AI30" s="170"/>
      <c r="AJ30" s="176">
        <f>IFERROR(__xludf.DUMMYFUNCTION("""COMPUTED_VALUE"""),85.0)</f>
        <v>85</v>
      </c>
      <c r="AK30" s="165"/>
      <c r="AL30" s="165"/>
      <c r="AM30" s="170"/>
      <c r="AN30" s="176">
        <f>IFERROR(__xludf.DUMMYFUNCTION("""COMPUTED_VALUE"""),100.0)</f>
        <v>100</v>
      </c>
      <c r="AO30" s="165"/>
      <c r="AP30" s="165"/>
      <c r="AQ30" s="170"/>
      <c r="AR30" s="177">
        <f>IFERROR(__xludf.DUMMYFUNCTION("""COMPUTED_VALUE"""),0.85)</f>
        <v>0.85</v>
      </c>
      <c r="AS30" s="165"/>
      <c r="AT30" s="158" t="str">
        <f>IFERROR(__xludf.DUMMYFUNCTION("IF(AJ30="""","""", SPARKLINE(AJ30,{""charttype"",""bar"";""max"",AN30; ""color1"",IF(AR30&gt;=$CA$9,$CB$9,IF(AR30&lt;$CA$10,$CB$10,$CB$11))}))"),"")</f>
        <v/>
      </c>
      <c r="AU30" s="147"/>
      <c r="AV30" s="147"/>
      <c r="AW30" s="155"/>
      <c r="AX30" s="1"/>
      <c r="AY30" s="178" t="b">
        <v>0</v>
      </c>
      <c r="AZ30" s="179" t="str">
        <f>IFERROR(__xludf.DUMMYFUNCTION("""COMPUTED_VALUE"""),"House Insurance")</f>
        <v>House Insurance</v>
      </c>
      <c r="BA30" s="165"/>
      <c r="BB30" s="165"/>
      <c r="BC30" s="165"/>
      <c r="BD30" s="165"/>
      <c r="BE30" s="170"/>
      <c r="BF30" s="180">
        <f>IFERROR(__xludf.DUMMYFUNCTION("""COMPUTED_VALUE"""),45679.0)</f>
        <v>45679</v>
      </c>
      <c r="BG30" s="165"/>
      <c r="BH30" s="170"/>
      <c r="BI30" s="181">
        <f>IFERROR(__xludf.DUMMYFUNCTION("""COMPUTED_VALUE"""),125.0)</f>
        <v>125</v>
      </c>
      <c r="BJ30" s="165"/>
      <c r="BK30" s="165"/>
      <c r="BL30" s="170"/>
      <c r="BM30" s="181">
        <f>IFERROR(__xludf.DUMMYFUNCTION("""COMPUTED_VALUE"""),125.0)</f>
        <v>125</v>
      </c>
      <c r="BN30" s="165"/>
      <c r="BO30" s="165"/>
      <c r="BP30" s="170"/>
      <c r="BQ30" s="182">
        <f>IFERROR(__xludf.DUMMYFUNCTION("""COMPUTED_VALUE"""),1.0)</f>
        <v>1</v>
      </c>
      <c r="BR30" s="165"/>
      <c r="BS30" s="164" t="str">
        <f>IFERROR(__xludf.DUMMYFUNCTION("IF(BI30="""","""", SPARKLINE(BI30,{""charttype"",""bar"";""max"",BM30; ""color1"",IF(BQ30&gt;=$CA$9,$CB$9,IF(BQ30&lt;$CA$10,$CB$10,$CB$11))}))"),"")</f>
        <v/>
      </c>
      <c r="BT30" s="165"/>
      <c r="BU30" s="165"/>
      <c r="BV30" s="166"/>
      <c r="BW30" s="1"/>
      <c r="BX30" s="1"/>
      <c r="BY30" s="1"/>
      <c r="BZ30" s="1"/>
      <c r="CA30" s="1"/>
      <c r="CB30" s="1"/>
      <c r="CC30" s="1"/>
      <c r="CD30" s="1"/>
      <c r="CE30" s="1"/>
      <c r="CF30" s="69"/>
      <c r="CG30" s="1"/>
      <c r="CH30" s="1"/>
      <c r="CI30" s="1"/>
      <c r="CJ30" s="1"/>
      <c r="CK30" s="1"/>
      <c r="CL30" s="1"/>
      <c r="CM30" s="1"/>
      <c r="CN30" s="1"/>
      <c r="CO30" s="71"/>
      <c r="CP30" s="1"/>
      <c r="CQ30" s="1"/>
      <c r="CR30" s="1"/>
      <c r="CS30" s="1"/>
      <c r="CT30" s="1"/>
      <c r="CU30" s="1"/>
    </row>
    <row r="31" ht="19.5" customHeight="1">
      <c r="A31" s="1"/>
      <c r="B31" s="169"/>
      <c r="C31" s="165"/>
      <c r="D31" s="165"/>
      <c r="E31" s="165"/>
      <c r="F31" s="165"/>
      <c r="G31" s="170"/>
      <c r="H31" s="171"/>
      <c r="I31" s="165"/>
      <c r="J31" s="170"/>
      <c r="K31" s="172"/>
      <c r="L31" s="165"/>
      <c r="M31" s="165"/>
      <c r="N31" s="170"/>
      <c r="O31" s="188"/>
      <c r="P31" s="165"/>
      <c r="Q31" s="165"/>
      <c r="R31" s="170"/>
      <c r="S31" s="174"/>
      <c r="T31" s="165"/>
      <c r="U31" s="164" t="str">
        <f>IFERROR(__xludf.DUMMYFUNCTION("IF(K31="""","""", SPARKLINE(K31,{""charttype"",""bar"";""max"",O31; ""color1"",IF(S31&gt;=$CA$9,$CB$9,IF(S31&lt;$CA$10,$CB$10,$CB$11))}))"),"")</f>
        <v/>
      </c>
      <c r="V31" s="165"/>
      <c r="W31" s="165"/>
      <c r="X31" s="166"/>
      <c r="Y31" s="1"/>
      <c r="Z31" s="169" t="b">
        <v>0</v>
      </c>
      <c r="AA31" s="175" t="str">
        <f>IFERROR(__xludf.DUMMYFUNCTION("""COMPUTED_VALUE"""),"Hobby")</f>
        <v>Hobby</v>
      </c>
      <c r="AB31" s="165"/>
      <c r="AC31" s="165"/>
      <c r="AD31" s="165"/>
      <c r="AE31" s="165"/>
      <c r="AF31" s="165"/>
      <c r="AG31" s="165"/>
      <c r="AH31" s="165"/>
      <c r="AI31" s="170"/>
      <c r="AJ31" s="176">
        <f>IFERROR(__xludf.DUMMYFUNCTION("""COMPUTED_VALUE"""),35.0)</f>
        <v>35</v>
      </c>
      <c r="AK31" s="165"/>
      <c r="AL31" s="165"/>
      <c r="AM31" s="170"/>
      <c r="AN31" s="176">
        <f>IFERROR(__xludf.DUMMYFUNCTION("""COMPUTED_VALUE"""),75.0)</f>
        <v>75</v>
      </c>
      <c r="AO31" s="165"/>
      <c r="AP31" s="165"/>
      <c r="AQ31" s="170"/>
      <c r="AR31" s="177">
        <f>IFERROR(__xludf.DUMMYFUNCTION("""COMPUTED_VALUE"""),0.4666666666666667)</f>
        <v>0.4666666667</v>
      </c>
      <c r="AS31" s="165"/>
      <c r="AT31" s="158" t="str">
        <f>IFERROR(__xludf.DUMMYFUNCTION("IF(AJ31="""","""", SPARKLINE(AJ31,{""charttype"",""bar"";""max"",AN31; ""color1"",IF(AR31&gt;=$CA$9,$CB$9,IF(AR31&lt;$CA$10,$CB$10,$CB$11))}))"),"")</f>
        <v/>
      </c>
      <c r="AU31" s="147"/>
      <c r="AV31" s="147"/>
      <c r="AW31" s="155"/>
      <c r="AX31" s="1"/>
      <c r="AY31" s="178" t="b">
        <v>0</v>
      </c>
      <c r="AZ31" s="179" t="str">
        <f>IFERROR(__xludf.DUMMYFUNCTION("""COMPUTED_VALUE"""),"Internet")</f>
        <v>Internet</v>
      </c>
      <c r="BA31" s="165"/>
      <c r="BB31" s="165"/>
      <c r="BC31" s="165"/>
      <c r="BD31" s="165"/>
      <c r="BE31" s="170"/>
      <c r="BF31" s="180">
        <f>IFERROR(__xludf.DUMMYFUNCTION("""COMPUTED_VALUE"""),45679.0)</f>
        <v>45679</v>
      </c>
      <c r="BG31" s="165"/>
      <c r="BH31" s="170"/>
      <c r="BI31" s="181">
        <f>IFERROR(__xludf.DUMMYFUNCTION("""COMPUTED_VALUE"""),70.0)</f>
        <v>70</v>
      </c>
      <c r="BJ31" s="165"/>
      <c r="BK31" s="165"/>
      <c r="BL31" s="170"/>
      <c r="BM31" s="181">
        <f>IFERROR(__xludf.DUMMYFUNCTION("""COMPUTED_VALUE"""),70.0)</f>
        <v>70</v>
      </c>
      <c r="BN31" s="165"/>
      <c r="BO31" s="165"/>
      <c r="BP31" s="170"/>
      <c r="BQ31" s="182">
        <f>IFERROR(__xludf.DUMMYFUNCTION("""COMPUTED_VALUE"""),1.0)</f>
        <v>1</v>
      </c>
      <c r="BR31" s="165"/>
      <c r="BS31" s="164" t="str">
        <f>IFERROR(__xludf.DUMMYFUNCTION("IF(BI31="""","""", SPARKLINE(BI31,{""charttype"",""bar"";""max"",BM31; ""color1"",IF(BQ31&gt;=$CA$9,$CB$9,IF(BQ31&lt;$CA$10,$CB$10,$CB$11))}))"),"")</f>
        <v/>
      </c>
      <c r="BT31" s="165"/>
      <c r="BU31" s="165"/>
      <c r="BV31" s="166"/>
      <c r="BW31" s="1"/>
      <c r="BX31" s="1"/>
      <c r="BY31" s="1"/>
      <c r="BZ31" s="1"/>
      <c r="CA31" s="1"/>
      <c r="CB31" s="1"/>
      <c r="CC31" s="1"/>
      <c r="CD31" s="1"/>
      <c r="CE31" s="1"/>
      <c r="CF31" s="69"/>
      <c r="CG31" s="192" t="s">
        <v>49</v>
      </c>
      <c r="CH31" s="193"/>
      <c r="CI31" s="193"/>
      <c r="CJ31" s="193"/>
      <c r="CK31" s="193"/>
      <c r="CL31" s="1"/>
      <c r="CM31" s="1"/>
      <c r="CN31" s="1"/>
      <c r="CO31" s="71"/>
      <c r="CP31" s="1"/>
      <c r="CQ31" s="1"/>
      <c r="CR31" s="1"/>
      <c r="CS31" s="1"/>
      <c r="CT31" s="1"/>
      <c r="CU31" s="1"/>
    </row>
    <row r="32" ht="19.5" customHeight="1">
      <c r="A32" s="1"/>
      <c r="B32" s="194"/>
      <c r="C32" s="195"/>
      <c r="D32" s="195"/>
      <c r="E32" s="195"/>
      <c r="F32" s="195"/>
      <c r="G32" s="196"/>
      <c r="H32" s="197"/>
      <c r="I32" s="195"/>
      <c r="J32" s="196"/>
      <c r="K32" s="198"/>
      <c r="L32" s="195"/>
      <c r="M32" s="195"/>
      <c r="N32" s="196"/>
      <c r="O32" s="199"/>
      <c r="P32" s="195"/>
      <c r="Q32" s="195"/>
      <c r="R32" s="196"/>
      <c r="S32" s="200"/>
      <c r="T32" s="195"/>
      <c r="U32" s="201" t="str">
        <f>IFERROR(__xludf.DUMMYFUNCTION("IF(K32="""","""", SPARKLINE(K32,{""charttype"",""bar"";""max"",O32; ""color1"",IF(S32&gt;=$CA$9,$CB$9,IF(S32&lt;$CA$10,$CB$10,$CB$11))}))"),"")</f>
        <v/>
      </c>
      <c r="V32" s="195"/>
      <c r="W32" s="195"/>
      <c r="X32" s="202"/>
      <c r="Y32" s="1"/>
      <c r="Z32" s="169" t="b">
        <v>0</v>
      </c>
      <c r="AA32" s="175" t="str">
        <f>IFERROR(__xludf.DUMMYFUNCTION("""COMPUTED_VALUE"""),"Household")</f>
        <v>Household</v>
      </c>
      <c r="AB32" s="165"/>
      <c r="AC32" s="165"/>
      <c r="AD32" s="165"/>
      <c r="AE32" s="165"/>
      <c r="AF32" s="165"/>
      <c r="AG32" s="165"/>
      <c r="AH32" s="165"/>
      <c r="AI32" s="170"/>
      <c r="AJ32" s="176">
        <f>IFERROR(__xludf.DUMMYFUNCTION("""COMPUTED_VALUE"""),70.0)</f>
        <v>70</v>
      </c>
      <c r="AK32" s="165"/>
      <c r="AL32" s="165"/>
      <c r="AM32" s="170"/>
      <c r="AN32" s="176">
        <f>IFERROR(__xludf.DUMMYFUNCTION("""COMPUTED_VALUE"""),70.0)</f>
        <v>70</v>
      </c>
      <c r="AO32" s="165"/>
      <c r="AP32" s="165"/>
      <c r="AQ32" s="170"/>
      <c r="AR32" s="177">
        <f>IFERROR(__xludf.DUMMYFUNCTION("""COMPUTED_VALUE"""),1.0)</f>
        <v>1</v>
      </c>
      <c r="AS32" s="165"/>
      <c r="AT32" s="158" t="str">
        <f>IFERROR(__xludf.DUMMYFUNCTION("IF(AJ32="""","""", SPARKLINE(AJ32,{""charttype"",""bar"";""max"",AN32; ""color1"",IF(AR32&gt;=$CA$9,$CB$9,IF(AR32&lt;$CA$10,$CB$10,$CB$11))}))"),"")</f>
        <v/>
      </c>
      <c r="AU32" s="147"/>
      <c r="AV32" s="147"/>
      <c r="AW32" s="155"/>
      <c r="AX32" s="1"/>
      <c r="AY32" s="185" t="b">
        <v>0</v>
      </c>
      <c r="AZ32" s="179" t="str">
        <f>IFERROR(__xludf.DUMMYFUNCTION("""COMPUTED_VALUE"""),"Water")</f>
        <v>Water</v>
      </c>
      <c r="BA32" s="165"/>
      <c r="BB32" s="165"/>
      <c r="BC32" s="165"/>
      <c r="BD32" s="165"/>
      <c r="BE32" s="170"/>
      <c r="BF32" s="180">
        <f>IFERROR(__xludf.DUMMYFUNCTION("""COMPUTED_VALUE"""),45687.0)</f>
        <v>45687</v>
      </c>
      <c r="BG32" s="165"/>
      <c r="BH32" s="170"/>
      <c r="BI32" s="181">
        <f>IFERROR(__xludf.DUMMYFUNCTION("""COMPUTED_VALUE"""),200.0)</f>
        <v>200</v>
      </c>
      <c r="BJ32" s="165"/>
      <c r="BK32" s="165"/>
      <c r="BL32" s="170"/>
      <c r="BM32" s="181">
        <f>IFERROR(__xludf.DUMMYFUNCTION("""COMPUTED_VALUE"""),200.0)</f>
        <v>200</v>
      </c>
      <c r="BN32" s="165"/>
      <c r="BO32" s="165"/>
      <c r="BP32" s="170"/>
      <c r="BQ32" s="182">
        <f>IFERROR(__xludf.DUMMYFUNCTION("""COMPUTED_VALUE"""),1.0)</f>
        <v>1</v>
      </c>
      <c r="BR32" s="165"/>
      <c r="BS32" s="164" t="str">
        <f>IFERROR(__xludf.DUMMYFUNCTION("IF(BI32="""","""", SPARKLINE(BI32,{""charttype"",""bar"";""max"",BM32; ""color1"",IF(BQ32&gt;=$CA$9,$CB$9,IF(BQ32&lt;$CA$10,$CB$10,$CB$11))}))"),"")</f>
        <v/>
      </c>
      <c r="BT32" s="165"/>
      <c r="BU32" s="165"/>
      <c r="BV32" s="166"/>
      <c r="BW32" s="1"/>
      <c r="BX32" s="1"/>
      <c r="BY32" s="1"/>
      <c r="BZ32" s="1"/>
      <c r="CA32" s="1"/>
      <c r="CB32" s="1"/>
      <c r="CC32" s="1"/>
      <c r="CD32" s="1"/>
      <c r="CE32" s="1"/>
      <c r="CF32" s="69"/>
      <c r="CG32" s="192" t="s">
        <v>27</v>
      </c>
      <c r="CH32" s="203" t="s">
        <v>17</v>
      </c>
      <c r="CI32" s="204" t="s">
        <v>18</v>
      </c>
      <c r="CJ32" s="193"/>
      <c r="CK32" s="193"/>
      <c r="CL32" s="1"/>
      <c r="CM32" s="1"/>
      <c r="CN32" s="1"/>
      <c r="CO32" s="71"/>
      <c r="CP32" s="1"/>
      <c r="CQ32" s="1"/>
      <c r="CR32" s="1"/>
      <c r="CS32" s="1"/>
      <c r="CT32" s="1"/>
      <c r="CU32" s="1"/>
    </row>
    <row r="33" ht="19.5" customHeight="1">
      <c r="A33" s="1"/>
      <c r="B33" s="205" t="str">
        <f>IF(C17=0, "Total", "Total + Previous Balance")</f>
        <v>Total + Previous Balance</v>
      </c>
      <c r="C33" s="86"/>
      <c r="D33" s="86"/>
      <c r="E33" s="86"/>
      <c r="F33" s="86"/>
      <c r="G33" s="86"/>
      <c r="H33" s="86"/>
      <c r="I33" s="86"/>
      <c r="J33" s="86"/>
      <c r="K33" s="206">
        <f>IF(C17=0, SUM(K22:N32), SUM(K22:N32,C17))</f>
        <v>5750</v>
      </c>
      <c r="L33" s="86"/>
      <c r="M33" s="86"/>
      <c r="N33" s="86"/>
      <c r="O33" s="207">
        <f>SUM(O22:R32)</f>
        <v>5700</v>
      </c>
      <c r="P33" s="86"/>
      <c r="Q33" s="86"/>
      <c r="R33" s="86"/>
      <c r="S33" s="208">
        <f>K33/O33</f>
        <v>1.00877193</v>
      </c>
      <c r="T33" s="86"/>
      <c r="U33" s="209" t="str">
        <f>IFERROR(__xludf.DUMMYFUNCTION("IF(K33="""","""", SPARKLINE(K33,{""charttype"",""bar"";""max"",O33; ""color1"",IF(S33&gt;=$CA$9,$CB$9,IF(S33&lt;$CA$10,$CB$10,$CB$11))}))"),"")</f>
        <v/>
      </c>
      <c r="V33" s="86"/>
      <c r="W33" s="86"/>
      <c r="X33" s="88"/>
      <c r="Y33" s="1"/>
      <c r="Z33" s="169" t="b">
        <v>0</v>
      </c>
      <c r="AA33" s="175" t="str">
        <f>IFERROR(__xludf.DUMMYFUNCTION("""COMPUTED_VALUE"""),"Pet")</f>
        <v>Pet</v>
      </c>
      <c r="AB33" s="165"/>
      <c r="AC33" s="165"/>
      <c r="AD33" s="165"/>
      <c r="AE33" s="165"/>
      <c r="AF33" s="165"/>
      <c r="AG33" s="165"/>
      <c r="AH33" s="165"/>
      <c r="AI33" s="170"/>
      <c r="AJ33" s="176">
        <f>IFERROR(__xludf.DUMMYFUNCTION("""COMPUTED_VALUE"""),60.0)</f>
        <v>60</v>
      </c>
      <c r="AK33" s="165"/>
      <c r="AL33" s="165"/>
      <c r="AM33" s="170"/>
      <c r="AN33" s="176">
        <f>IFERROR(__xludf.DUMMYFUNCTION("""COMPUTED_VALUE"""),60.0)</f>
        <v>60</v>
      </c>
      <c r="AO33" s="165"/>
      <c r="AP33" s="165"/>
      <c r="AQ33" s="170"/>
      <c r="AR33" s="177">
        <f>IFERROR(__xludf.DUMMYFUNCTION("""COMPUTED_VALUE"""),1.0)</f>
        <v>1</v>
      </c>
      <c r="AS33" s="165"/>
      <c r="AT33" s="158" t="str">
        <f>IFERROR(__xludf.DUMMYFUNCTION("IF(AJ33="""","""", SPARKLINE(AJ33,{""charttype"",""bar"";""max"",AN33; ""color1"",IF(AR33&gt;=$CA$9,$CB$9,IF(AR33&lt;$CA$10,$CB$10,$CB$11))}))"),"")</f>
        <v/>
      </c>
      <c r="AU33" s="147"/>
      <c r="AV33" s="147"/>
      <c r="AW33" s="155"/>
      <c r="AX33" s="1"/>
      <c r="AY33" s="178" t="b">
        <v>0</v>
      </c>
      <c r="AZ33" s="179"/>
      <c r="BA33" s="165"/>
      <c r="BB33" s="165"/>
      <c r="BC33" s="165"/>
      <c r="BD33" s="165"/>
      <c r="BE33" s="170"/>
      <c r="BF33" s="180"/>
      <c r="BG33" s="165"/>
      <c r="BH33" s="170"/>
      <c r="BI33" s="181"/>
      <c r="BJ33" s="165"/>
      <c r="BK33" s="165"/>
      <c r="BL33" s="170"/>
      <c r="BM33" s="181"/>
      <c r="BN33" s="165"/>
      <c r="BO33" s="165"/>
      <c r="BP33" s="170"/>
      <c r="BQ33" s="182"/>
      <c r="BR33" s="165"/>
      <c r="BS33" s="164" t="str">
        <f>IFERROR(__xludf.DUMMYFUNCTION("IF(BI33="""","""", SPARKLINE(BI33,{""charttype"",""bar"";""max"",BM33; ""color1"",IF(BQ33&gt;=$CA$9,$CB$9,IF(BQ33&lt;$CA$10,$CB$10,$CB$11))}))"),"")</f>
        <v/>
      </c>
      <c r="BT33" s="165"/>
      <c r="BU33" s="165"/>
      <c r="BV33" s="166"/>
      <c r="BW33" s="1"/>
      <c r="BX33" s="1"/>
      <c r="BY33" s="1"/>
      <c r="BZ33" s="1"/>
      <c r="CA33" s="1"/>
      <c r="CB33" s="1"/>
      <c r="CC33" s="1"/>
      <c r="CD33" s="1"/>
      <c r="CE33" s="1"/>
      <c r="CF33" s="69"/>
      <c r="CG33" s="210" t="str">
        <f t="shared" ref="CG33:CG38" si="8">BL10</f>
        <v>previous</v>
      </c>
      <c r="CH33" s="211">
        <f t="shared" ref="CH33:CH38" si="9">BO10</f>
        <v>200</v>
      </c>
      <c r="CI33" s="212">
        <f t="shared" ref="CI33:CI38" si="10">BS10</f>
        <v>200</v>
      </c>
      <c r="CJ33" s="213"/>
      <c r="CK33" s="193"/>
      <c r="CL33" s="1"/>
      <c r="CM33" s="1"/>
      <c r="CN33" s="1"/>
      <c r="CO33" s="71"/>
      <c r="CP33" s="1"/>
      <c r="CQ33" s="1"/>
      <c r="CR33" s="1"/>
      <c r="CS33" s="1"/>
      <c r="CT33" s="1"/>
      <c r="CU33" s="1"/>
    </row>
    <row r="34" ht="19.5" customHeight="1">
      <c r="A34" s="1"/>
      <c r="B34" s="1"/>
      <c r="C34" s="1"/>
      <c r="D34" s="21"/>
      <c r="E34" s="21"/>
      <c r="F34" s="21"/>
      <c r="G34" s="21"/>
      <c r="H34" s="21"/>
      <c r="I34" s="21"/>
      <c r="J34" s="21"/>
      <c r="K34" s="1"/>
      <c r="L34" s="21"/>
      <c r="M34" s="21"/>
      <c r="N34" s="21"/>
      <c r="O34" s="1"/>
      <c r="P34" s="21"/>
      <c r="Q34" s="21"/>
      <c r="R34" s="21"/>
      <c r="S34" s="1"/>
      <c r="T34" s="21"/>
      <c r="U34" s="8"/>
      <c r="V34" s="8"/>
      <c r="W34" s="8"/>
      <c r="X34" s="8"/>
      <c r="Y34" s="8"/>
      <c r="Z34" s="169" t="b">
        <v>0</v>
      </c>
      <c r="AA34" s="175" t="str">
        <f>IFERROR(__xludf.DUMMYFUNCTION("""COMPUTED_VALUE"""),"Self-Devlopment")</f>
        <v>Self-Devlopment</v>
      </c>
      <c r="AB34" s="165"/>
      <c r="AC34" s="165"/>
      <c r="AD34" s="165"/>
      <c r="AE34" s="165"/>
      <c r="AF34" s="165"/>
      <c r="AG34" s="165"/>
      <c r="AH34" s="165"/>
      <c r="AI34" s="170"/>
      <c r="AJ34" s="176">
        <f>IFERROR(__xludf.DUMMYFUNCTION("""COMPUTED_VALUE"""),40.0)</f>
        <v>40</v>
      </c>
      <c r="AK34" s="165"/>
      <c r="AL34" s="165"/>
      <c r="AM34" s="170"/>
      <c r="AN34" s="176">
        <f>IFERROR(__xludf.DUMMYFUNCTION("""COMPUTED_VALUE"""),40.0)</f>
        <v>40</v>
      </c>
      <c r="AO34" s="165"/>
      <c r="AP34" s="165"/>
      <c r="AQ34" s="170"/>
      <c r="AR34" s="177">
        <f>IFERROR(__xludf.DUMMYFUNCTION("""COMPUTED_VALUE"""),1.0)</f>
        <v>1</v>
      </c>
      <c r="AS34" s="165"/>
      <c r="AT34" s="158" t="str">
        <f>IFERROR(__xludf.DUMMYFUNCTION("IF(AJ34="""","""", SPARKLINE(AJ34,{""charttype"",""bar"";""max"",AN34; ""color1"",IF(AR34&gt;=$CA$9,$CB$9,IF(AR34&lt;$CA$10,$CB$10,$CB$11))}))"),"")</f>
        <v/>
      </c>
      <c r="AU34" s="147"/>
      <c r="AV34" s="147"/>
      <c r="AW34" s="155"/>
      <c r="AX34" s="1"/>
      <c r="AY34" s="178" t="b">
        <v>0</v>
      </c>
      <c r="AZ34" s="179"/>
      <c r="BA34" s="165"/>
      <c r="BB34" s="165"/>
      <c r="BC34" s="165"/>
      <c r="BD34" s="165"/>
      <c r="BE34" s="170"/>
      <c r="BF34" s="180"/>
      <c r="BG34" s="165"/>
      <c r="BH34" s="170"/>
      <c r="BI34" s="181"/>
      <c r="BJ34" s="165"/>
      <c r="BK34" s="165"/>
      <c r="BL34" s="170"/>
      <c r="BM34" s="181"/>
      <c r="BN34" s="165"/>
      <c r="BO34" s="165"/>
      <c r="BP34" s="170"/>
      <c r="BQ34" s="182"/>
      <c r="BR34" s="165"/>
      <c r="BS34" s="164" t="str">
        <f>IFERROR(__xludf.DUMMYFUNCTION("IF(BI34="""","""", SPARKLINE(BI34,{""charttype"",""bar"";""max"",BM34; ""color1"",IF(BQ34&gt;=$CA$9,$CB$9,IF(BQ34&lt;$CA$10,$CB$10,$CB$11))}))"),"")</f>
        <v/>
      </c>
      <c r="BT34" s="165"/>
      <c r="BU34" s="165"/>
      <c r="BV34" s="166"/>
      <c r="BW34" s="1"/>
      <c r="BX34" s="1"/>
      <c r="BY34" s="1"/>
      <c r="BZ34" s="1"/>
      <c r="CA34" s="1"/>
      <c r="CB34" s="1"/>
      <c r="CC34" s="1"/>
      <c r="CD34" s="1"/>
      <c r="CE34" s="1"/>
      <c r="CF34" s="69"/>
      <c r="CG34" s="210" t="str">
        <f t="shared" si="8"/>
        <v>income</v>
      </c>
      <c r="CH34" s="211">
        <f t="shared" si="9"/>
        <v>5750</v>
      </c>
      <c r="CI34" s="212">
        <f t="shared" si="10"/>
        <v>5700</v>
      </c>
      <c r="CJ34" s="213"/>
      <c r="CK34" s="193"/>
      <c r="CL34" s="1"/>
      <c r="CM34" s="1"/>
      <c r="CN34" s="1"/>
      <c r="CO34" s="71"/>
      <c r="CP34" s="1"/>
      <c r="CQ34" s="1"/>
      <c r="CR34" s="1"/>
      <c r="CS34" s="1"/>
      <c r="CT34" s="1"/>
      <c r="CU34" s="1"/>
    </row>
    <row r="35" ht="19.5" customHeight="1">
      <c r="A35" s="1"/>
      <c r="B35" s="214"/>
      <c r="C35" s="133" t="str">
        <f>CONCATENATE("💴 SAVING (",N15*100,"%) ")</f>
        <v>💴 SAVING (20%) </v>
      </c>
      <c r="D35" s="54"/>
      <c r="E35" s="54"/>
      <c r="F35" s="54"/>
      <c r="G35" s="54"/>
      <c r="H35" s="54"/>
      <c r="I35" s="54"/>
      <c r="J35" s="54"/>
      <c r="K35" s="134"/>
      <c r="L35" s="134"/>
      <c r="M35" s="134"/>
      <c r="N35" s="134"/>
      <c r="O35" s="134"/>
      <c r="P35" s="139" t="s">
        <v>47</v>
      </c>
      <c r="Q35" s="54"/>
      <c r="R35" s="54"/>
      <c r="S35" s="54"/>
      <c r="T35" s="54"/>
      <c r="U35" s="140">
        <f>(K33*N15)-K56</f>
        <v>210</v>
      </c>
      <c r="V35" s="54"/>
      <c r="W35" s="54"/>
      <c r="X35" s="141"/>
      <c r="Y35" s="8"/>
      <c r="Z35" s="189" t="b">
        <v>0</v>
      </c>
      <c r="AA35" s="175" t="str">
        <f>IFERROR(__xludf.DUMMYFUNCTION("""COMPUTED_VALUE"""),"Shopping")</f>
        <v>Shopping</v>
      </c>
      <c r="AB35" s="165"/>
      <c r="AC35" s="165"/>
      <c r="AD35" s="165"/>
      <c r="AE35" s="165"/>
      <c r="AF35" s="165"/>
      <c r="AG35" s="165"/>
      <c r="AH35" s="165"/>
      <c r="AI35" s="170"/>
      <c r="AJ35" s="176">
        <f>IFERROR(__xludf.DUMMYFUNCTION("""COMPUTED_VALUE"""),585.0)</f>
        <v>585</v>
      </c>
      <c r="AK35" s="165"/>
      <c r="AL35" s="165"/>
      <c r="AM35" s="170"/>
      <c r="AN35" s="176">
        <f>IFERROR(__xludf.DUMMYFUNCTION("""COMPUTED_VALUE"""),85.0)</f>
        <v>85</v>
      </c>
      <c r="AO35" s="165"/>
      <c r="AP35" s="165"/>
      <c r="AQ35" s="170"/>
      <c r="AR35" s="177">
        <f>IFERROR(__xludf.DUMMYFUNCTION("""COMPUTED_VALUE"""),6.882352941176471)</f>
        <v>6.882352941</v>
      </c>
      <c r="AS35" s="165"/>
      <c r="AT35" s="158" t="str">
        <f>IFERROR(__xludf.DUMMYFUNCTION("IF(AJ35="""","""", SPARKLINE(AJ35,{""charttype"",""bar"";""max"",AN35; ""color1"",IF(AR35&gt;=$CA$9,$CB$9,IF(AR35&lt;$CA$10,$CB$10,$CB$11))}))"),"")</f>
        <v/>
      </c>
      <c r="AU35" s="147"/>
      <c r="AV35" s="147"/>
      <c r="AW35" s="155"/>
      <c r="AX35" s="1"/>
      <c r="AY35" s="178" t="b">
        <v>0</v>
      </c>
      <c r="AZ35" s="179"/>
      <c r="BA35" s="165"/>
      <c r="BB35" s="165"/>
      <c r="BC35" s="165"/>
      <c r="BD35" s="165"/>
      <c r="BE35" s="170"/>
      <c r="BF35" s="180"/>
      <c r="BG35" s="165"/>
      <c r="BH35" s="170"/>
      <c r="BI35" s="181"/>
      <c r="BJ35" s="165"/>
      <c r="BK35" s="165"/>
      <c r="BL35" s="170"/>
      <c r="BM35" s="181"/>
      <c r="BN35" s="165"/>
      <c r="BO35" s="165"/>
      <c r="BP35" s="170"/>
      <c r="BQ35" s="182"/>
      <c r="BR35" s="165"/>
      <c r="BS35" s="164" t="str">
        <f>IFERROR(__xludf.DUMMYFUNCTION("IF(BI35="""","""", SPARKLINE(BI35,{""charttype"",""bar"";""max"",BM35; ""color1"",IF(BQ35&gt;=$CA$9,$CB$9,IF(BQ35&lt;$CA$10,$CB$10,$CB$11))}))"),"")</f>
        <v/>
      </c>
      <c r="BT35" s="165"/>
      <c r="BU35" s="165"/>
      <c r="BV35" s="166"/>
      <c r="BW35" s="1"/>
      <c r="BX35" s="1"/>
      <c r="BY35" s="1"/>
      <c r="BZ35" s="1"/>
      <c r="CA35" s="1"/>
      <c r="CB35" s="1"/>
      <c r="CC35" s="1"/>
      <c r="CD35" s="1"/>
      <c r="CE35" s="1"/>
      <c r="CF35" s="69"/>
      <c r="CG35" s="210" t="str">
        <f t="shared" si="8"/>
        <v>expenses</v>
      </c>
      <c r="CH35" s="211">
        <f t="shared" si="9"/>
        <v>2031</v>
      </c>
      <c r="CI35" s="212">
        <f t="shared" si="10"/>
        <v>1760</v>
      </c>
      <c r="CJ35" s="213"/>
      <c r="CK35" s="193"/>
      <c r="CL35" s="1"/>
      <c r="CM35" s="1"/>
      <c r="CN35" s="1"/>
      <c r="CO35" s="71"/>
      <c r="CP35" s="1"/>
      <c r="CQ35" s="1"/>
      <c r="CR35" s="1"/>
      <c r="CS35" s="1"/>
      <c r="CT35" s="1"/>
      <c r="CU35" s="1"/>
    </row>
    <row r="36" ht="19.5" customHeight="1">
      <c r="A36" s="1"/>
      <c r="B36" s="215"/>
      <c r="K36" s="216"/>
      <c r="L36" s="216"/>
      <c r="M36" s="216"/>
      <c r="N36" s="216"/>
      <c r="O36" s="216"/>
      <c r="X36" s="99"/>
      <c r="Y36" s="8"/>
      <c r="Z36" s="189" t="b">
        <v>0</v>
      </c>
      <c r="AA36" s="175" t="str">
        <f>IFERROR(__xludf.DUMMYFUNCTION("""COMPUTED_VALUE"""),"Spotify")</f>
        <v>Spotify</v>
      </c>
      <c r="AB36" s="165"/>
      <c r="AC36" s="165"/>
      <c r="AD36" s="165"/>
      <c r="AE36" s="165"/>
      <c r="AF36" s="165"/>
      <c r="AG36" s="165"/>
      <c r="AH36" s="165"/>
      <c r="AI36" s="170"/>
      <c r="AJ36" s="176">
        <f>IFERROR(__xludf.DUMMYFUNCTION("""COMPUTED_VALUE"""),250.0)</f>
        <v>250</v>
      </c>
      <c r="AK36" s="165"/>
      <c r="AL36" s="165"/>
      <c r="AM36" s="170"/>
      <c r="AN36" s="176">
        <f>IFERROR(__xludf.DUMMYFUNCTION("""COMPUTED_VALUE"""),200.0)</f>
        <v>200</v>
      </c>
      <c r="AO36" s="165"/>
      <c r="AP36" s="165"/>
      <c r="AQ36" s="170"/>
      <c r="AR36" s="177">
        <f>IFERROR(__xludf.DUMMYFUNCTION("""COMPUTED_VALUE"""),1.25)</f>
        <v>1.25</v>
      </c>
      <c r="AS36" s="165"/>
      <c r="AT36" s="158" t="str">
        <f>IFERROR(__xludf.DUMMYFUNCTION("IF(AJ36="""","""", SPARKLINE(AJ36,{""charttype"",""bar"";""max"",AN36; ""color1"",IF(AR36&gt;=$CA$9,$CB$9,IF(AR36&lt;$CA$10,$CB$10,$CB$11))}))"),"")</f>
        <v/>
      </c>
      <c r="AU36" s="147"/>
      <c r="AV36" s="147"/>
      <c r="AW36" s="155"/>
      <c r="AX36" s="1"/>
      <c r="AY36" s="178" t="b">
        <v>0</v>
      </c>
      <c r="AZ36" s="179"/>
      <c r="BA36" s="165"/>
      <c r="BB36" s="165"/>
      <c r="BC36" s="165"/>
      <c r="BD36" s="165"/>
      <c r="BE36" s="170"/>
      <c r="BF36" s="180"/>
      <c r="BG36" s="165"/>
      <c r="BH36" s="170"/>
      <c r="BI36" s="181"/>
      <c r="BJ36" s="165"/>
      <c r="BK36" s="165"/>
      <c r="BL36" s="170"/>
      <c r="BM36" s="181"/>
      <c r="BN36" s="165"/>
      <c r="BO36" s="165"/>
      <c r="BP36" s="170"/>
      <c r="BQ36" s="182"/>
      <c r="BR36" s="165"/>
      <c r="BS36" s="164" t="str">
        <f>IFERROR(__xludf.DUMMYFUNCTION("IF(BI36="""","""", SPARKLINE(BI36,{""charttype"",""bar"";""max"",BM36; ""color1"",IF(BQ36&gt;=$CA$9,$CB$9,IF(BQ36&lt;$CA$10,$CB$10,$CB$11))}))"),"")</f>
        <v/>
      </c>
      <c r="BT36" s="165"/>
      <c r="BU36" s="165"/>
      <c r="BV36" s="166"/>
      <c r="BW36" s="1"/>
      <c r="BX36" s="1"/>
      <c r="BY36" s="1"/>
      <c r="BZ36" s="1"/>
      <c r="CA36" s="1"/>
      <c r="CB36" s="1"/>
      <c r="CC36" s="1"/>
      <c r="CD36" s="1"/>
      <c r="CE36" s="1"/>
      <c r="CF36" s="69"/>
      <c r="CG36" s="210" t="str">
        <f t="shared" si="8"/>
        <v>bills</v>
      </c>
      <c r="CH36" s="211">
        <f t="shared" si="9"/>
        <v>1330.99</v>
      </c>
      <c r="CI36" s="212">
        <f t="shared" si="10"/>
        <v>1535</v>
      </c>
      <c r="CJ36" s="213"/>
      <c r="CK36" s="193"/>
      <c r="CL36" s="1"/>
      <c r="CM36" s="1"/>
      <c r="CN36" s="1"/>
      <c r="CO36" s="71"/>
      <c r="CP36" s="1"/>
      <c r="CQ36" s="1"/>
      <c r="CR36" s="1"/>
      <c r="CS36" s="1"/>
      <c r="CT36" s="1"/>
      <c r="CU36" s="1"/>
    </row>
    <row r="37" ht="19.5" customHeight="1">
      <c r="A37" s="1"/>
      <c r="B37" s="217"/>
      <c r="C37" s="144" t="str">
        <f>IFERROR(__xludf.DUMMYFUNCTION("IFERROR(QUERY(C60:AW121,""SELECT M,1,2,3,4,5,6,7, SUM(U),8,9,10, SUM(Z),11,12,13, (SUM(U)/SUM(Z))  WHERE H = 'Savings' GROUP BY M ORDER BY M ASC LABEL M 'Name', SUM(U) 'Actual', (SUM(U)/SUM(Z)) '%', SUM(Z) 'Budget'""),"""")"),"Name")</f>
        <v>Name</v>
      </c>
      <c r="D37" s="86"/>
      <c r="E37" s="86"/>
      <c r="F37" s="86"/>
      <c r="G37" s="86"/>
      <c r="H37" s="86"/>
      <c r="I37" s="86"/>
      <c r="J37" s="86"/>
      <c r="K37" s="144" t="str">
        <f>IFERROR(__xludf.DUMMYFUNCTION("""COMPUTED_VALUE"""),"Actual")</f>
        <v>Actual</v>
      </c>
      <c r="L37" s="86"/>
      <c r="M37" s="86"/>
      <c r="N37" s="86"/>
      <c r="O37" s="144" t="str">
        <f>IFERROR(__xludf.DUMMYFUNCTION("""COMPUTED_VALUE"""),"Budget")</f>
        <v>Budget</v>
      </c>
      <c r="P37" s="86"/>
      <c r="Q37" s="86"/>
      <c r="R37" s="86"/>
      <c r="S37" s="144" t="str">
        <f>IFERROR(__xludf.DUMMYFUNCTION("""COMPUTED_VALUE"""),"%")</f>
        <v>%</v>
      </c>
      <c r="T37" s="86"/>
      <c r="U37" s="86"/>
      <c r="V37" s="86"/>
      <c r="W37" s="86"/>
      <c r="X37" s="88"/>
      <c r="Y37" s="8"/>
      <c r="Z37" s="189" t="b">
        <v>0</v>
      </c>
      <c r="AA37" s="175"/>
      <c r="AB37" s="165"/>
      <c r="AC37" s="165"/>
      <c r="AD37" s="165"/>
      <c r="AE37" s="165"/>
      <c r="AF37" s="165"/>
      <c r="AG37" s="165"/>
      <c r="AH37" s="165"/>
      <c r="AI37" s="170"/>
      <c r="AJ37" s="176"/>
      <c r="AK37" s="165"/>
      <c r="AL37" s="165"/>
      <c r="AM37" s="170"/>
      <c r="AN37" s="176"/>
      <c r="AO37" s="165"/>
      <c r="AP37" s="165"/>
      <c r="AQ37" s="170"/>
      <c r="AR37" s="177"/>
      <c r="AS37" s="165"/>
      <c r="AT37" s="158" t="str">
        <f>IFERROR(__xludf.DUMMYFUNCTION("IF(AJ37="""","""", SPARKLINE(AJ37,{""charttype"",""bar"";""max"",AN37; ""color1"",IF(AR37&gt;=$CA$9,$CB$9,IF(AR37&lt;$CA$10,$CB$10,$CB$11))}))"),"")</f>
        <v/>
      </c>
      <c r="AU37" s="147"/>
      <c r="AV37" s="147"/>
      <c r="AW37" s="155"/>
      <c r="AX37" s="1"/>
      <c r="AY37" s="178" t="b">
        <v>0</v>
      </c>
      <c r="AZ37" s="179"/>
      <c r="BA37" s="165"/>
      <c r="BB37" s="165"/>
      <c r="BC37" s="165"/>
      <c r="BD37" s="165"/>
      <c r="BE37" s="170"/>
      <c r="BF37" s="180"/>
      <c r="BG37" s="165"/>
      <c r="BH37" s="170"/>
      <c r="BI37" s="181"/>
      <c r="BJ37" s="165"/>
      <c r="BK37" s="165"/>
      <c r="BL37" s="170"/>
      <c r="BM37" s="181"/>
      <c r="BN37" s="165"/>
      <c r="BO37" s="165"/>
      <c r="BP37" s="170"/>
      <c r="BQ37" s="182"/>
      <c r="BR37" s="165"/>
      <c r="BS37" s="164" t="str">
        <f>IFERROR(__xludf.DUMMYFUNCTION("IF(BI37="""","""", SPARKLINE(BI37,{""charttype"",""bar"";""max"",BM37; ""color1"",IF(BQ37&gt;=$CA$9,$CB$9,IF(BQ37&lt;$CA$10,$CB$10,$CB$11))}))"),"")</f>
        <v/>
      </c>
      <c r="BT37" s="165"/>
      <c r="BU37" s="165"/>
      <c r="BV37" s="166"/>
      <c r="BW37" s="1"/>
      <c r="BX37" s="1"/>
      <c r="BY37" s="1"/>
      <c r="BZ37" s="1"/>
      <c r="CA37" s="1"/>
      <c r="CB37" s="1"/>
      <c r="CC37" s="1"/>
      <c r="CD37" s="1"/>
      <c r="CE37" s="1"/>
      <c r="CF37" s="69"/>
      <c r="CG37" s="210" t="str">
        <f t="shared" si="8"/>
        <v>savings</v>
      </c>
      <c r="CH37" s="211">
        <f t="shared" si="9"/>
        <v>940</v>
      </c>
      <c r="CI37" s="212">
        <f t="shared" si="10"/>
        <v>1040</v>
      </c>
      <c r="CJ37" s="213"/>
      <c r="CK37" s="193"/>
      <c r="CL37" s="1"/>
      <c r="CM37" s="1"/>
      <c r="CN37" s="1"/>
      <c r="CO37" s="71"/>
      <c r="CP37" s="1"/>
      <c r="CQ37" s="1"/>
      <c r="CR37" s="1"/>
      <c r="CS37" s="1"/>
      <c r="CT37" s="1"/>
      <c r="CU37" s="1"/>
    </row>
    <row r="38" ht="19.5" customHeight="1">
      <c r="A38" s="1"/>
      <c r="B38" s="146" t="b">
        <v>0</v>
      </c>
      <c r="C38" s="156" t="str">
        <f>IFERROR(__xludf.DUMMYFUNCTION("""COMPUTED_VALUE"""),"Crypto")</f>
        <v>Crypto</v>
      </c>
      <c r="D38" s="147"/>
      <c r="E38" s="147"/>
      <c r="F38" s="147"/>
      <c r="G38" s="147"/>
      <c r="H38" s="147"/>
      <c r="I38" s="147"/>
      <c r="J38" s="148"/>
      <c r="K38" s="150">
        <f>IFERROR(__xludf.DUMMYFUNCTION("""COMPUTED_VALUE"""),100.0)</f>
        <v>100</v>
      </c>
      <c r="L38" s="147"/>
      <c r="M38" s="147"/>
      <c r="N38" s="148"/>
      <c r="O38" s="150">
        <f>IFERROR(__xludf.DUMMYFUNCTION("""COMPUTED_VALUE"""),150.0)</f>
        <v>150</v>
      </c>
      <c r="P38" s="147"/>
      <c r="Q38" s="147"/>
      <c r="R38" s="148"/>
      <c r="S38" s="157">
        <f>IFERROR(__xludf.DUMMYFUNCTION("""COMPUTED_VALUE"""),0.6666666666666666)</f>
        <v>0.6666666667</v>
      </c>
      <c r="T38" s="147"/>
      <c r="U38" s="218" t="str">
        <f>IFERROR(__xludf.DUMMYFUNCTION("IF(K38="""","""", SPARKLINE(K38,{""charttype"",""bar"";""max"",O38; ""color1"",IF(S38&gt;=$CA$9,$CB$9,IF(S38&lt;$CA$10,$CB$10,$CB$11))}))"),"")</f>
        <v/>
      </c>
      <c r="V38" s="147"/>
      <c r="W38" s="147"/>
      <c r="X38" s="155"/>
      <c r="Y38" s="8"/>
      <c r="Z38" s="189" t="b">
        <v>0</v>
      </c>
      <c r="AA38" s="175"/>
      <c r="AB38" s="165"/>
      <c r="AC38" s="165"/>
      <c r="AD38" s="165"/>
      <c r="AE38" s="165"/>
      <c r="AF38" s="165"/>
      <c r="AG38" s="165"/>
      <c r="AH38" s="165"/>
      <c r="AI38" s="170"/>
      <c r="AJ38" s="176"/>
      <c r="AK38" s="165"/>
      <c r="AL38" s="165"/>
      <c r="AM38" s="170"/>
      <c r="AN38" s="176"/>
      <c r="AO38" s="165"/>
      <c r="AP38" s="165"/>
      <c r="AQ38" s="170"/>
      <c r="AR38" s="177"/>
      <c r="AS38" s="165"/>
      <c r="AT38" s="158" t="str">
        <f>IFERROR(__xludf.DUMMYFUNCTION("IF(AJ38="""","""", SPARKLINE(AJ38,{""charttype"",""bar"";""max"",AN38; ""color1"",IF(AR38&gt;=$CA$9,$CB$9,IF(AR38&lt;$CA$10,$CB$10,$CB$11))}))"),"")</f>
        <v/>
      </c>
      <c r="AU38" s="147"/>
      <c r="AV38" s="147"/>
      <c r="AW38" s="155"/>
      <c r="AX38" s="1"/>
      <c r="AY38" s="178" t="b">
        <v>0</v>
      </c>
      <c r="AZ38" s="179"/>
      <c r="BA38" s="165"/>
      <c r="BB38" s="165"/>
      <c r="BC38" s="165"/>
      <c r="BD38" s="165"/>
      <c r="BE38" s="170"/>
      <c r="BF38" s="180"/>
      <c r="BG38" s="165"/>
      <c r="BH38" s="170"/>
      <c r="BI38" s="181"/>
      <c r="BJ38" s="165"/>
      <c r="BK38" s="165"/>
      <c r="BL38" s="170"/>
      <c r="BM38" s="181"/>
      <c r="BN38" s="165"/>
      <c r="BO38" s="165"/>
      <c r="BP38" s="170"/>
      <c r="BQ38" s="182"/>
      <c r="BR38" s="165"/>
      <c r="BS38" s="164" t="str">
        <f>IFERROR(__xludf.DUMMYFUNCTION("IF(BI38="""","""", SPARKLINE(BI38,{""charttype"",""bar"";""max"",BM38; ""color1"",IF(BQ38&gt;=$CA$9,$CB$9,IF(BQ38&lt;$CA$10,$CB$10,$CB$11))}))"),"")</f>
        <v/>
      </c>
      <c r="BT38" s="165"/>
      <c r="BU38" s="165"/>
      <c r="BV38" s="166"/>
      <c r="BW38" s="1"/>
      <c r="BX38" s="1"/>
      <c r="BY38" s="1"/>
      <c r="BZ38" s="1"/>
      <c r="CA38" s="1"/>
      <c r="CB38" s="1"/>
      <c r="CC38" s="1"/>
      <c r="CD38" s="1"/>
      <c r="CE38" s="1"/>
      <c r="CF38" s="69"/>
      <c r="CG38" s="210" t="str">
        <f t="shared" si="8"/>
        <v>depts</v>
      </c>
      <c r="CH38" s="211">
        <f t="shared" si="9"/>
        <v>500</v>
      </c>
      <c r="CI38" s="212">
        <f t="shared" si="10"/>
        <v>500</v>
      </c>
      <c r="CJ38" s="213"/>
      <c r="CK38" s="193"/>
      <c r="CL38" s="1"/>
      <c r="CM38" s="1"/>
      <c r="CN38" s="1"/>
      <c r="CO38" s="71"/>
      <c r="CP38" s="1"/>
      <c r="CQ38" s="1"/>
      <c r="CR38" s="1"/>
      <c r="CS38" s="1"/>
      <c r="CT38" s="1"/>
      <c r="CU38" s="1"/>
    </row>
    <row r="39" ht="19.5" customHeight="1">
      <c r="A39" s="1"/>
      <c r="B39" s="169" t="b">
        <v>0</v>
      </c>
      <c r="C39" s="175" t="str">
        <f>IFERROR(__xludf.DUMMYFUNCTION("""COMPUTED_VALUE"""),"Mutual Funds")</f>
        <v>Mutual Funds</v>
      </c>
      <c r="D39" s="165"/>
      <c r="E39" s="165"/>
      <c r="F39" s="165"/>
      <c r="G39" s="165"/>
      <c r="H39" s="165"/>
      <c r="I39" s="165"/>
      <c r="J39" s="170"/>
      <c r="K39" s="176">
        <f>IFERROR(__xludf.DUMMYFUNCTION("""COMPUTED_VALUE"""),250.0)</f>
        <v>250</v>
      </c>
      <c r="L39" s="165"/>
      <c r="M39" s="165"/>
      <c r="N39" s="170"/>
      <c r="O39" s="176">
        <f>IFERROR(__xludf.DUMMYFUNCTION("""COMPUTED_VALUE"""),300.0)</f>
        <v>300</v>
      </c>
      <c r="P39" s="165"/>
      <c r="Q39" s="165"/>
      <c r="R39" s="170"/>
      <c r="S39" s="177">
        <f>IFERROR(__xludf.DUMMYFUNCTION("""COMPUTED_VALUE"""),0.8333333333333334)</f>
        <v>0.8333333333</v>
      </c>
      <c r="T39" s="165"/>
      <c r="U39" s="218" t="str">
        <f>IFERROR(__xludf.DUMMYFUNCTION("IF(K39="""","""", SPARKLINE(K39,{""charttype"",""bar"";""max"",O39; ""color1"",IF(S39&gt;=$CA$9,$CB$9,IF(S39&lt;$CA$10,$CB$10,$CB$11))}))"),"")</f>
        <v/>
      </c>
      <c r="V39" s="147"/>
      <c r="W39" s="147"/>
      <c r="X39" s="155"/>
      <c r="Y39" s="8"/>
      <c r="Z39" s="189" t="b">
        <v>0</v>
      </c>
      <c r="AA39" s="175"/>
      <c r="AB39" s="165"/>
      <c r="AC39" s="165"/>
      <c r="AD39" s="165"/>
      <c r="AE39" s="165"/>
      <c r="AF39" s="165"/>
      <c r="AG39" s="165"/>
      <c r="AH39" s="165"/>
      <c r="AI39" s="170"/>
      <c r="AJ39" s="176"/>
      <c r="AK39" s="165"/>
      <c r="AL39" s="165"/>
      <c r="AM39" s="170"/>
      <c r="AN39" s="176"/>
      <c r="AO39" s="165"/>
      <c r="AP39" s="165"/>
      <c r="AQ39" s="170"/>
      <c r="AR39" s="177"/>
      <c r="AS39" s="165"/>
      <c r="AT39" s="158" t="str">
        <f>IFERROR(__xludf.DUMMYFUNCTION("IF(AJ39="""","""", SPARKLINE(AJ39,{""charttype"",""bar"";""max"",AN39; ""color1"",IF(AR39&gt;=$CA$9,$CB$9,IF(AR39&lt;$CA$10,$CB$10,$CB$11))}))"),"")</f>
        <v/>
      </c>
      <c r="AU39" s="147"/>
      <c r="AV39" s="147"/>
      <c r="AW39" s="155"/>
      <c r="AX39" s="1"/>
      <c r="AY39" s="178" t="b">
        <v>0</v>
      </c>
      <c r="AZ39" s="179"/>
      <c r="BA39" s="165"/>
      <c r="BB39" s="165"/>
      <c r="BC39" s="165"/>
      <c r="BD39" s="165"/>
      <c r="BE39" s="170"/>
      <c r="BF39" s="180"/>
      <c r="BG39" s="165"/>
      <c r="BH39" s="170"/>
      <c r="BI39" s="181"/>
      <c r="BJ39" s="165"/>
      <c r="BK39" s="165"/>
      <c r="BL39" s="170"/>
      <c r="BM39" s="181"/>
      <c r="BN39" s="165"/>
      <c r="BO39" s="165"/>
      <c r="BP39" s="170"/>
      <c r="BQ39" s="182"/>
      <c r="BR39" s="165"/>
      <c r="BS39" s="164" t="str">
        <f>IFERROR(__xludf.DUMMYFUNCTION("IF(BI39="""","""", SPARKLINE(BI39,{""charttype"",""bar"";""max"",BM39; ""color1"",IF(BQ39&gt;=$CA$9,$CB$9,IF(BQ39&lt;$CA$10,$CB$10,$CB$11))}))"),"")</f>
        <v/>
      </c>
      <c r="BT39" s="165"/>
      <c r="BU39" s="165"/>
      <c r="BV39" s="166"/>
      <c r="BW39" s="1"/>
      <c r="BX39" s="1"/>
      <c r="BY39" s="1"/>
      <c r="BZ39" s="1"/>
      <c r="CA39" s="1"/>
      <c r="CB39" s="1"/>
      <c r="CC39" s="1"/>
      <c r="CD39" s="1"/>
      <c r="CE39" s="1"/>
      <c r="CF39" s="109"/>
      <c r="CG39" s="110"/>
      <c r="CH39" s="110"/>
      <c r="CI39" s="110"/>
      <c r="CJ39" s="110"/>
      <c r="CK39" s="110"/>
      <c r="CL39" s="110"/>
      <c r="CM39" s="110"/>
      <c r="CN39" s="110"/>
      <c r="CO39" s="111"/>
      <c r="CP39" s="1"/>
      <c r="CQ39" s="1"/>
      <c r="CR39" s="1"/>
      <c r="CS39" s="1"/>
      <c r="CT39" s="1"/>
      <c r="CU39" s="1"/>
    </row>
    <row r="40" ht="19.5" customHeight="1">
      <c r="A40" s="1"/>
      <c r="B40" s="169" t="b">
        <v>0</v>
      </c>
      <c r="C40" s="175" t="str">
        <f>IFERROR(__xludf.DUMMYFUNCTION("""COMPUTED_VALUE"""),"Real Estate")</f>
        <v>Real Estate</v>
      </c>
      <c r="D40" s="165"/>
      <c r="E40" s="165"/>
      <c r="F40" s="165"/>
      <c r="G40" s="165"/>
      <c r="H40" s="165"/>
      <c r="I40" s="165"/>
      <c r="J40" s="170"/>
      <c r="K40" s="176">
        <f>IFERROR(__xludf.DUMMYFUNCTION("""COMPUTED_VALUE"""),290.0)</f>
        <v>290</v>
      </c>
      <c r="L40" s="165"/>
      <c r="M40" s="165"/>
      <c r="N40" s="170"/>
      <c r="O40" s="176">
        <f>IFERROR(__xludf.DUMMYFUNCTION("""COMPUTED_VALUE"""),290.0)</f>
        <v>290</v>
      </c>
      <c r="P40" s="165"/>
      <c r="Q40" s="165"/>
      <c r="R40" s="170"/>
      <c r="S40" s="177">
        <f>IFERROR(__xludf.DUMMYFUNCTION("""COMPUTED_VALUE"""),1.0)</f>
        <v>1</v>
      </c>
      <c r="T40" s="165"/>
      <c r="U40" s="218" t="str">
        <f>IFERROR(__xludf.DUMMYFUNCTION("IF(K40="""","""", SPARKLINE(K40,{""charttype"",""bar"";""max"",O40; ""color1"",IF(S40&gt;=$CA$9,$CB$9,IF(S40&lt;$CA$10,$CB$10,$CB$11))}))"),"")</f>
        <v/>
      </c>
      <c r="V40" s="147"/>
      <c r="W40" s="147"/>
      <c r="X40" s="155"/>
      <c r="Y40" s="8"/>
      <c r="Z40" s="189" t="b">
        <v>0</v>
      </c>
      <c r="AA40" s="175"/>
      <c r="AB40" s="165"/>
      <c r="AC40" s="165"/>
      <c r="AD40" s="165"/>
      <c r="AE40" s="165"/>
      <c r="AF40" s="165"/>
      <c r="AG40" s="165"/>
      <c r="AH40" s="165"/>
      <c r="AI40" s="170"/>
      <c r="AJ40" s="176"/>
      <c r="AK40" s="165"/>
      <c r="AL40" s="165"/>
      <c r="AM40" s="170"/>
      <c r="AN40" s="176"/>
      <c r="AO40" s="165"/>
      <c r="AP40" s="165"/>
      <c r="AQ40" s="170"/>
      <c r="AR40" s="177"/>
      <c r="AS40" s="165"/>
      <c r="AT40" s="158" t="str">
        <f>IFERROR(__xludf.DUMMYFUNCTION("IF(AJ40="""","""", SPARKLINE(AJ40,{""charttype"",""bar"";""max"",AN40; ""color1"",IF(AR40&gt;=$CA$9,$CB$9,IF(AR40&lt;$CA$10,$CB$10,$CB$11))}))"),"")</f>
        <v/>
      </c>
      <c r="AU40" s="147"/>
      <c r="AV40" s="147"/>
      <c r="AW40" s="155"/>
      <c r="AX40" s="1"/>
      <c r="AY40" s="178" t="b">
        <v>0</v>
      </c>
      <c r="AZ40" s="179"/>
      <c r="BA40" s="165"/>
      <c r="BB40" s="165"/>
      <c r="BC40" s="165"/>
      <c r="BD40" s="165"/>
      <c r="BE40" s="170"/>
      <c r="BF40" s="180"/>
      <c r="BG40" s="165"/>
      <c r="BH40" s="170"/>
      <c r="BI40" s="181"/>
      <c r="BJ40" s="165"/>
      <c r="BK40" s="165"/>
      <c r="BL40" s="170"/>
      <c r="BM40" s="181"/>
      <c r="BN40" s="165"/>
      <c r="BO40" s="165"/>
      <c r="BP40" s="170"/>
      <c r="BQ40" s="182"/>
      <c r="BR40" s="165"/>
      <c r="BS40" s="164" t="str">
        <f>IFERROR(__xludf.DUMMYFUNCTION("IF(BI40="""","""", SPARKLINE(BI40,{""charttype"",""bar"";""max"",BM40; ""color1"",IF(BQ40&gt;=$CA$9,$CB$9,IF(BQ40&lt;$CA$10,$CB$10,$CB$11))}))"),"")</f>
        <v/>
      </c>
      <c r="BT40" s="165"/>
      <c r="BU40" s="165"/>
      <c r="BV40" s="166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ht="19.5" customHeight="1">
      <c r="A41" s="1"/>
      <c r="B41" s="169" t="b">
        <v>0</v>
      </c>
      <c r="C41" s="175" t="str">
        <f>IFERROR(__xludf.DUMMYFUNCTION("""COMPUTED_VALUE"""),"Stocks")</f>
        <v>Stocks</v>
      </c>
      <c r="D41" s="165"/>
      <c r="E41" s="165"/>
      <c r="F41" s="165"/>
      <c r="G41" s="165"/>
      <c r="H41" s="165"/>
      <c r="I41" s="165"/>
      <c r="J41" s="170"/>
      <c r="K41" s="176">
        <f>IFERROR(__xludf.DUMMYFUNCTION("""COMPUTED_VALUE"""),300.0)</f>
        <v>300</v>
      </c>
      <c r="L41" s="165"/>
      <c r="M41" s="165"/>
      <c r="N41" s="170"/>
      <c r="O41" s="176">
        <f>IFERROR(__xludf.DUMMYFUNCTION("""COMPUTED_VALUE"""),300.0)</f>
        <v>300</v>
      </c>
      <c r="P41" s="165"/>
      <c r="Q41" s="165"/>
      <c r="R41" s="170"/>
      <c r="S41" s="177">
        <f>IFERROR(__xludf.DUMMYFUNCTION("""COMPUTED_VALUE"""),1.0)</f>
        <v>1</v>
      </c>
      <c r="T41" s="165"/>
      <c r="U41" s="218" t="str">
        <f>IFERROR(__xludf.DUMMYFUNCTION("IF(K41="""","""", SPARKLINE(K41,{""charttype"",""bar"";""max"",O41; ""color1"",IF(S41&gt;=$CA$9,$CB$9,IF(S41&lt;$CA$10,$CB$10,$CB$11))}))"),"")</f>
        <v/>
      </c>
      <c r="V41" s="147"/>
      <c r="W41" s="147"/>
      <c r="X41" s="155"/>
      <c r="Y41" s="8"/>
      <c r="Z41" s="189" t="b">
        <v>0</v>
      </c>
      <c r="AA41" s="175"/>
      <c r="AB41" s="165"/>
      <c r="AC41" s="165"/>
      <c r="AD41" s="165"/>
      <c r="AE41" s="165"/>
      <c r="AF41" s="165"/>
      <c r="AG41" s="165"/>
      <c r="AH41" s="165"/>
      <c r="AI41" s="170"/>
      <c r="AJ41" s="176"/>
      <c r="AK41" s="165"/>
      <c r="AL41" s="165"/>
      <c r="AM41" s="170"/>
      <c r="AN41" s="176"/>
      <c r="AO41" s="165"/>
      <c r="AP41" s="165"/>
      <c r="AQ41" s="170"/>
      <c r="AR41" s="177"/>
      <c r="AS41" s="165"/>
      <c r="AT41" s="158" t="str">
        <f>IFERROR(__xludf.DUMMYFUNCTION("IF(AJ41="""","""", SPARKLINE(AJ41,{""charttype"",""bar"";""max"",AN41; ""color1"",IF(AR41&gt;=$CA$9,$CB$9,IF(AR41&lt;$CA$10,$CB$10,$CB$11))}))"),"")</f>
        <v/>
      </c>
      <c r="AU41" s="147"/>
      <c r="AV41" s="147"/>
      <c r="AW41" s="155"/>
      <c r="AX41" s="1"/>
      <c r="AY41" s="178" t="b">
        <v>0</v>
      </c>
      <c r="AZ41" s="179"/>
      <c r="BA41" s="165"/>
      <c r="BB41" s="165"/>
      <c r="BC41" s="165"/>
      <c r="BD41" s="165"/>
      <c r="BE41" s="170"/>
      <c r="BF41" s="180"/>
      <c r="BG41" s="165"/>
      <c r="BH41" s="170"/>
      <c r="BI41" s="181"/>
      <c r="BJ41" s="165"/>
      <c r="BK41" s="165"/>
      <c r="BL41" s="170"/>
      <c r="BM41" s="181"/>
      <c r="BN41" s="165"/>
      <c r="BO41" s="165"/>
      <c r="BP41" s="170"/>
      <c r="BQ41" s="182"/>
      <c r="BR41" s="165"/>
      <c r="BS41" s="164" t="str">
        <f>IFERROR(__xludf.DUMMYFUNCTION("IF(BI41="""","""", SPARKLINE(BI41,{""charttype"",""bar"";""max"",BM41; ""color1"",IF(BQ41&gt;=$CA$9,$CB$9,IF(BQ41&lt;$CA$10,$CB$10,$CB$11))}))"),"")</f>
        <v/>
      </c>
      <c r="BT41" s="165"/>
      <c r="BU41" s="165"/>
      <c r="BV41" s="166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ht="19.5" customHeight="1">
      <c r="A42" s="1"/>
      <c r="B42" s="169" t="b">
        <v>0</v>
      </c>
      <c r="C42" s="175"/>
      <c r="D42" s="165"/>
      <c r="E42" s="165"/>
      <c r="F42" s="165"/>
      <c r="G42" s="165"/>
      <c r="H42" s="165"/>
      <c r="I42" s="165"/>
      <c r="J42" s="170"/>
      <c r="K42" s="176"/>
      <c r="L42" s="165"/>
      <c r="M42" s="165"/>
      <c r="N42" s="170"/>
      <c r="O42" s="176"/>
      <c r="P42" s="165"/>
      <c r="Q42" s="165"/>
      <c r="R42" s="170"/>
      <c r="S42" s="177"/>
      <c r="T42" s="165"/>
      <c r="U42" s="218" t="str">
        <f>IFERROR(__xludf.DUMMYFUNCTION("IF(K42="""","""", SPARKLINE(K42,{""charttype"",""bar"";""max"",O42; ""color1"",IF(S42&gt;=$CA$9,$CB$9,IF(S42&lt;$CA$10,$CB$10,$CB$11))}))"),"")</f>
        <v/>
      </c>
      <c r="V42" s="147"/>
      <c r="W42" s="147"/>
      <c r="X42" s="155"/>
      <c r="Y42" s="8"/>
      <c r="Z42" s="189" t="b">
        <v>0</v>
      </c>
      <c r="AA42" s="175"/>
      <c r="AB42" s="165"/>
      <c r="AC42" s="165"/>
      <c r="AD42" s="165"/>
      <c r="AE42" s="165"/>
      <c r="AF42" s="165"/>
      <c r="AG42" s="165"/>
      <c r="AH42" s="165"/>
      <c r="AI42" s="170"/>
      <c r="AJ42" s="176"/>
      <c r="AK42" s="165"/>
      <c r="AL42" s="165"/>
      <c r="AM42" s="170"/>
      <c r="AN42" s="176"/>
      <c r="AO42" s="165"/>
      <c r="AP42" s="165"/>
      <c r="AQ42" s="170"/>
      <c r="AR42" s="177"/>
      <c r="AS42" s="165"/>
      <c r="AT42" s="158" t="str">
        <f>IFERROR(__xludf.DUMMYFUNCTION("IF(AJ42="""","""", SPARKLINE(AJ42,{""charttype"",""bar"";""max"",AN42; ""color1"",IF(AR42&gt;=$CA$9,$CB$9,IF(AR42&lt;$CA$10,$CB$10,$CB$11))}))"),"")</f>
        <v/>
      </c>
      <c r="AU42" s="147"/>
      <c r="AV42" s="147"/>
      <c r="AW42" s="155"/>
      <c r="AX42" s="1"/>
      <c r="AY42" s="178" t="b">
        <v>0</v>
      </c>
      <c r="AZ42" s="179"/>
      <c r="BA42" s="165"/>
      <c r="BB42" s="165"/>
      <c r="BC42" s="165"/>
      <c r="BD42" s="165"/>
      <c r="BE42" s="170"/>
      <c r="BF42" s="180"/>
      <c r="BG42" s="165"/>
      <c r="BH42" s="170"/>
      <c r="BI42" s="181"/>
      <c r="BJ42" s="165"/>
      <c r="BK42" s="165"/>
      <c r="BL42" s="170"/>
      <c r="BM42" s="181"/>
      <c r="BN42" s="165"/>
      <c r="BO42" s="165"/>
      <c r="BP42" s="170"/>
      <c r="BQ42" s="182"/>
      <c r="BR42" s="165"/>
      <c r="BS42" s="164" t="str">
        <f>IFERROR(__xludf.DUMMYFUNCTION("IF(BI42="""","""", SPARKLINE(BI42,{""charttype"",""bar"";""max"",BM42; ""color1"",IF(BQ42&gt;=$CA$9,$CB$9,IF(BQ42&lt;$CA$10,$CB$10,$CB$11))}))"),"")</f>
        <v/>
      </c>
      <c r="BT42" s="165"/>
      <c r="BU42" s="165"/>
      <c r="BV42" s="166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ht="19.5" customHeight="1">
      <c r="A43" s="1"/>
      <c r="B43" s="169" t="b">
        <v>0</v>
      </c>
      <c r="C43" s="175"/>
      <c r="D43" s="165"/>
      <c r="E43" s="165"/>
      <c r="F43" s="165"/>
      <c r="G43" s="165"/>
      <c r="H43" s="165"/>
      <c r="I43" s="165"/>
      <c r="J43" s="170"/>
      <c r="K43" s="176"/>
      <c r="L43" s="165"/>
      <c r="M43" s="165"/>
      <c r="N43" s="170"/>
      <c r="O43" s="176"/>
      <c r="P43" s="165"/>
      <c r="Q43" s="165"/>
      <c r="R43" s="170"/>
      <c r="S43" s="177"/>
      <c r="T43" s="165"/>
      <c r="U43" s="218" t="str">
        <f>IFERROR(__xludf.DUMMYFUNCTION("IF(K43="""","""", SPARKLINE(K43,{""charttype"",""bar"";""max"",O43; ""color1"",IF(S43&gt;=$CA$9,$CB$9,IF(S43&lt;$CA$10,$CB$10,$CB$11))}))"),"")</f>
        <v/>
      </c>
      <c r="V43" s="147"/>
      <c r="W43" s="147"/>
      <c r="X43" s="155"/>
      <c r="Y43" s="8"/>
      <c r="Z43" s="189" t="b">
        <v>0</v>
      </c>
      <c r="AA43" s="175"/>
      <c r="AB43" s="165"/>
      <c r="AC43" s="165"/>
      <c r="AD43" s="165"/>
      <c r="AE43" s="165"/>
      <c r="AF43" s="165"/>
      <c r="AG43" s="165"/>
      <c r="AH43" s="165"/>
      <c r="AI43" s="170"/>
      <c r="AJ43" s="176"/>
      <c r="AK43" s="165"/>
      <c r="AL43" s="165"/>
      <c r="AM43" s="170"/>
      <c r="AN43" s="176"/>
      <c r="AO43" s="165"/>
      <c r="AP43" s="165"/>
      <c r="AQ43" s="170"/>
      <c r="AR43" s="177"/>
      <c r="AS43" s="165"/>
      <c r="AT43" s="158" t="str">
        <f>IFERROR(__xludf.DUMMYFUNCTION("IF(AJ43="""","""", SPARKLINE(AJ43,{""charttype"",""bar"";""max"",AN43; ""color1"",IF(AR43&gt;=$CA$9,$CB$9,IF(AR43&lt;$CA$10,$CB$10,$CB$11))}))"),"")</f>
        <v/>
      </c>
      <c r="AU43" s="147"/>
      <c r="AV43" s="147"/>
      <c r="AW43" s="155"/>
      <c r="AX43" s="1"/>
      <c r="AY43" s="178" t="b">
        <v>0</v>
      </c>
      <c r="AZ43" s="179"/>
      <c r="BA43" s="165"/>
      <c r="BB43" s="165"/>
      <c r="BC43" s="165"/>
      <c r="BD43" s="165"/>
      <c r="BE43" s="170"/>
      <c r="BF43" s="180"/>
      <c r="BG43" s="165"/>
      <c r="BH43" s="170"/>
      <c r="BI43" s="181"/>
      <c r="BJ43" s="165"/>
      <c r="BK43" s="165"/>
      <c r="BL43" s="170"/>
      <c r="BM43" s="181"/>
      <c r="BN43" s="165"/>
      <c r="BO43" s="165"/>
      <c r="BP43" s="170"/>
      <c r="BQ43" s="182"/>
      <c r="BR43" s="165"/>
      <c r="BS43" s="164" t="str">
        <f>IFERROR(__xludf.DUMMYFUNCTION("IF(BI43="""","""", SPARKLINE(BI43,{""charttype"",""bar"";""max"",BM43; ""color1"",IF(BQ43&gt;=$CA$9,$CB$9,IF(BQ43&lt;$CA$10,$CB$10,$CB$11))}))"),"")</f>
        <v/>
      </c>
      <c r="BT43" s="165"/>
      <c r="BU43" s="165"/>
      <c r="BV43" s="166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ht="19.5" customHeight="1">
      <c r="A44" s="1"/>
      <c r="B44" s="189" t="b">
        <v>0</v>
      </c>
      <c r="C44" s="175"/>
      <c r="D44" s="165"/>
      <c r="E44" s="165"/>
      <c r="F44" s="165"/>
      <c r="G44" s="165"/>
      <c r="H44" s="165"/>
      <c r="I44" s="165"/>
      <c r="J44" s="170"/>
      <c r="K44" s="176"/>
      <c r="L44" s="165"/>
      <c r="M44" s="165"/>
      <c r="N44" s="170"/>
      <c r="O44" s="176"/>
      <c r="P44" s="165"/>
      <c r="Q44" s="165"/>
      <c r="R44" s="170"/>
      <c r="S44" s="177"/>
      <c r="T44" s="165"/>
      <c r="U44" s="218" t="str">
        <f>IFERROR(__xludf.DUMMYFUNCTION("IF(K44="""","""", SPARKLINE(K44,{""charttype"",""bar"";""max"",O44; ""color1"",IF(S44&gt;=$CA$9,$CB$9,IF(S44&lt;$CA$10,$CB$10,$CB$11))}))"),"")</f>
        <v/>
      </c>
      <c r="V44" s="147"/>
      <c r="W44" s="147"/>
      <c r="X44" s="155"/>
      <c r="Y44" s="8"/>
      <c r="Z44" s="189" t="b">
        <v>0</v>
      </c>
      <c r="AA44" s="175"/>
      <c r="AB44" s="165"/>
      <c r="AC44" s="165"/>
      <c r="AD44" s="165"/>
      <c r="AE44" s="165"/>
      <c r="AF44" s="165"/>
      <c r="AG44" s="165"/>
      <c r="AH44" s="165"/>
      <c r="AI44" s="170"/>
      <c r="AJ44" s="176"/>
      <c r="AK44" s="165"/>
      <c r="AL44" s="165"/>
      <c r="AM44" s="170"/>
      <c r="AN44" s="176"/>
      <c r="AO44" s="165"/>
      <c r="AP44" s="165"/>
      <c r="AQ44" s="170"/>
      <c r="AR44" s="177"/>
      <c r="AS44" s="165"/>
      <c r="AT44" s="158" t="str">
        <f>IFERROR(__xludf.DUMMYFUNCTION("IF(AJ44="""","""", SPARKLINE(AJ44,{""charttype"",""bar"";""max"",AN44; ""color1"",IF(AR44&gt;=$CA$9,$CB$9,IF(AR44&lt;$CA$10,$CB$10,$CB$11))}))"),"")</f>
        <v/>
      </c>
      <c r="AU44" s="147"/>
      <c r="AV44" s="147"/>
      <c r="AW44" s="155"/>
      <c r="AX44" s="1"/>
      <c r="AY44" s="178" t="b">
        <v>0</v>
      </c>
      <c r="AZ44" s="179"/>
      <c r="BA44" s="165"/>
      <c r="BB44" s="165"/>
      <c r="BC44" s="165"/>
      <c r="BD44" s="165"/>
      <c r="BE44" s="170"/>
      <c r="BF44" s="180"/>
      <c r="BG44" s="165"/>
      <c r="BH44" s="170"/>
      <c r="BI44" s="181"/>
      <c r="BJ44" s="165"/>
      <c r="BK44" s="165"/>
      <c r="BL44" s="170"/>
      <c r="BM44" s="181"/>
      <c r="BN44" s="165"/>
      <c r="BO44" s="165"/>
      <c r="BP44" s="170"/>
      <c r="BQ44" s="182"/>
      <c r="BR44" s="165"/>
      <c r="BS44" s="164" t="str">
        <f>IFERROR(__xludf.DUMMYFUNCTION("IF(BI44="""","""", SPARKLINE(BI44,{""charttype"",""bar"";""max"",BM44; ""color1"",IF(BQ44&gt;=$CA$9,$CB$9,IF(BQ44&lt;$CA$10,$CB$10,$CB$11))}))"),"")</f>
        <v/>
      </c>
      <c r="BT44" s="165"/>
      <c r="BU44" s="165"/>
      <c r="BV44" s="166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ht="19.5" customHeight="1">
      <c r="A45" s="1"/>
      <c r="B45" s="189" t="b">
        <v>0</v>
      </c>
      <c r="C45" s="175"/>
      <c r="D45" s="165"/>
      <c r="E45" s="165"/>
      <c r="F45" s="165"/>
      <c r="G45" s="165"/>
      <c r="H45" s="165"/>
      <c r="I45" s="165"/>
      <c r="J45" s="170"/>
      <c r="K45" s="176"/>
      <c r="L45" s="165"/>
      <c r="M45" s="165"/>
      <c r="N45" s="170"/>
      <c r="O45" s="176"/>
      <c r="P45" s="165"/>
      <c r="Q45" s="165"/>
      <c r="R45" s="170"/>
      <c r="S45" s="177"/>
      <c r="T45" s="165"/>
      <c r="U45" s="218" t="str">
        <f>IFERROR(__xludf.DUMMYFUNCTION("IF(K45="""","""", SPARKLINE(K45,{""charttype"",""bar"";""max"",O45; ""color1"",IF(S45&gt;=$CA$9,$CB$9,IF(S45&lt;$CA$10,$CB$10,$CB$11))}))"),"")</f>
        <v/>
      </c>
      <c r="V45" s="147"/>
      <c r="W45" s="147"/>
      <c r="X45" s="155"/>
      <c r="Y45" s="8"/>
      <c r="Z45" s="189" t="b">
        <v>0</v>
      </c>
      <c r="AA45" s="175"/>
      <c r="AB45" s="165"/>
      <c r="AC45" s="165"/>
      <c r="AD45" s="165"/>
      <c r="AE45" s="165"/>
      <c r="AF45" s="165"/>
      <c r="AG45" s="165"/>
      <c r="AH45" s="165"/>
      <c r="AI45" s="170"/>
      <c r="AJ45" s="176"/>
      <c r="AK45" s="165"/>
      <c r="AL45" s="165"/>
      <c r="AM45" s="170"/>
      <c r="AN45" s="176"/>
      <c r="AO45" s="165"/>
      <c r="AP45" s="165"/>
      <c r="AQ45" s="170"/>
      <c r="AR45" s="177"/>
      <c r="AS45" s="165"/>
      <c r="AT45" s="158" t="str">
        <f>IFERROR(__xludf.DUMMYFUNCTION("IF(AJ45="""","""", SPARKLINE(AJ45,{""charttype"",""bar"";""max"",AN45; ""color1"",IF(AR45&gt;=$CA$9,$CB$9,IF(AR45&lt;$CA$10,$CB$10,$CB$11))}))"),"")</f>
        <v/>
      </c>
      <c r="AU45" s="147"/>
      <c r="AV45" s="147"/>
      <c r="AW45" s="155"/>
      <c r="AX45" s="1"/>
      <c r="AY45" s="178" t="b">
        <v>0</v>
      </c>
      <c r="AZ45" s="179"/>
      <c r="BA45" s="165"/>
      <c r="BB45" s="165"/>
      <c r="BC45" s="165"/>
      <c r="BD45" s="165"/>
      <c r="BE45" s="170"/>
      <c r="BF45" s="180"/>
      <c r="BG45" s="165"/>
      <c r="BH45" s="170"/>
      <c r="BI45" s="181"/>
      <c r="BJ45" s="165"/>
      <c r="BK45" s="165"/>
      <c r="BL45" s="170"/>
      <c r="BM45" s="181"/>
      <c r="BN45" s="165"/>
      <c r="BO45" s="165"/>
      <c r="BP45" s="170"/>
      <c r="BQ45" s="182"/>
      <c r="BR45" s="165"/>
      <c r="BS45" s="164" t="str">
        <f>IFERROR(__xludf.DUMMYFUNCTION("IF(BI45="""","""", SPARKLINE(BI45,{""charttype"",""bar"";""max"",BM45; ""color1"",IF(BQ45&gt;=$CA$9,$CB$9,IF(BQ45&lt;$CA$10,$CB$10,$CB$11))}))"),"")</f>
        <v/>
      </c>
      <c r="BT45" s="165"/>
      <c r="BU45" s="165"/>
      <c r="BV45" s="166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ht="19.5" customHeight="1">
      <c r="A46" s="1"/>
      <c r="B46" s="189" t="b">
        <v>0</v>
      </c>
      <c r="C46" s="175"/>
      <c r="D46" s="165"/>
      <c r="E46" s="165"/>
      <c r="F46" s="165"/>
      <c r="G46" s="165"/>
      <c r="H46" s="165"/>
      <c r="I46" s="165"/>
      <c r="J46" s="170"/>
      <c r="K46" s="176"/>
      <c r="L46" s="165"/>
      <c r="M46" s="165"/>
      <c r="N46" s="170"/>
      <c r="O46" s="176"/>
      <c r="P46" s="165"/>
      <c r="Q46" s="165"/>
      <c r="R46" s="170"/>
      <c r="S46" s="177"/>
      <c r="T46" s="165"/>
      <c r="U46" s="218" t="str">
        <f>IFERROR(__xludf.DUMMYFUNCTION("IF(K46="""","""", SPARKLINE(K46,{""charttype"",""bar"";""max"",O46; ""color1"",IF(S46&gt;=$CA$9,$CB$9,IF(S46&lt;$CA$10,$CB$10,$CB$11))}))"),"")</f>
        <v/>
      </c>
      <c r="V46" s="147"/>
      <c r="W46" s="147"/>
      <c r="X46" s="155"/>
      <c r="Y46" s="8"/>
      <c r="Z46" s="189" t="b">
        <v>0</v>
      </c>
      <c r="AA46" s="175"/>
      <c r="AB46" s="165"/>
      <c r="AC46" s="165"/>
      <c r="AD46" s="165"/>
      <c r="AE46" s="165"/>
      <c r="AF46" s="165"/>
      <c r="AG46" s="165"/>
      <c r="AH46" s="165"/>
      <c r="AI46" s="170"/>
      <c r="AJ46" s="176"/>
      <c r="AK46" s="165"/>
      <c r="AL46" s="165"/>
      <c r="AM46" s="170"/>
      <c r="AN46" s="176"/>
      <c r="AO46" s="165"/>
      <c r="AP46" s="165"/>
      <c r="AQ46" s="170"/>
      <c r="AR46" s="177"/>
      <c r="AS46" s="165"/>
      <c r="AT46" s="158" t="str">
        <f>IFERROR(__xludf.DUMMYFUNCTION("IF(AJ46="""","""", SPARKLINE(AJ46,{""charttype"",""bar"";""max"",AN46; ""color1"",IF(AR46&gt;=$CA$9,$CB$9,IF(AR46&lt;$CA$10,$CB$10,$CB$11))}))"),"")</f>
        <v/>
      </c>
      <c r="AU46" s="147"/>
      <c r="AV46" s="147"/>
      <c r="AW46" s="155"/>
      <c r="AX46" s="1"/>
      <c r="AY46" s="178" t="b">
        <v>0</v>
      </c>
      <c r="AZ46" s="179"/>
      <c r="BA46" s="165"/>
      <c r="BB46" s="165"/>
      <c r="BC46" s="165"/>
      <c r="BD46" s="165"/>
      <c r="BE46" s="170"/>
      <c r="BF46" s="180"/>
      <c r="BG46" s="165"/>
      <c r="BH46" s="170"/>
      <c r="BI46" s="181"/>
      <c r="BJ46" s="165"/>
      <c r="BK46" s="165"/>
      <c r="BL46" s="170"/>
      <c r="BM46" s="181"/>
      <c r="BN46" s="165"/>
      <c r="BO46" s="165"/>
      <c r="BP46" s="170"/>
      <c r="BQ46" s="182"/>
      <c r="BR46" s="165"/>
      <c r="BS46" s="164" t="str">
        <f>IFERROR(__xludf.DUMMYFUNCTION("IF(BI46="""","""", SPARKLINE(BI46,{""charttype"",""bar"";""max"",BM46; ""color1"",IF(BQ46&gt;=$CA$9,$CB$9,IF(BQ46&lt;$CA$10,$CB$10,$CB$11))}))"),"")</f>
        <v/>
      </c>
      <c r="BT46" s="165"/>
      <c r="BU46" s="165"/>
      <c r="BV46" s="166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ht="19.5" customHeight="1">
      <c r="A47" s="1"/>
      <c r="B47" s="189" t="b">
        <v>0</v>
      </c>
      <c r="C47" s="175"/>
      <c r="D47" s="165"/>
      <c r="E47" s="165"/>
      <c r="F47" s="165"/>
      <c r="G47" s="165"/>
      <c r="H47" s="165"/>
      <c r="I47" s="165"/>
      <c r="J47" s="170"/>
      <c r="K47" s="176"/>
      <c r="L47" s="165"/>
      <c r="M47" s="165"/>
      <c r="N47" s="170"/>
      <c r="O47" s="176"/>
      <c r="P47" s="165"/>
      <c r="Q47" s="165"/>
      <c r="R47" s="170"/>
      <c r="S47" s="177"/>
      <c r="T47" s="165"/>
      <c r="U47" s="218" t="str">
        <f>IFERROR(__xludf.DUMMYFUNCTION("IF(K47="""","""", SPARKLINE(K47,{""charttype"",""bar"";""max"",O47; ""color1"",IF(S47&gt;=$CA$9,$CB$9,IF(S47&lt;$CA$10,$CB$10,$CB$11))}))"),"")</f>
        <v/>
      </c>
      <c r="V47" s="147"/>
      <c r="W47" s="147"/>
      <c r="X47" s="155"/>
      <c r="Y47" s="8"/>
      <c r="Z47" s="189" t="b">
        <v>0</v>
      </c>
      <c r="AA47" s="175"/>
      <c r="AB47" s="165"/>
      <c r="AC47" s="165"/>
      <c r="AD47" s="165"/>
      <c r="AE47" s="165"/>
      <c r="AF47" s="165"/>
      <c r="AG47" s="165"/>
      <c r="AH47" s="165"/>
      <c r="AI47" s="170"/>
      <c r="AJ47" s="176"/>
      <c r="AK47" s="165"/>
      <c r="AL47" s="165"/>
      <c r="AM47" s="170"/>
      <c r="AN47" s="176"/>
      <c r="AO47" s="165"/>
      <c r="AP47" s="165"/>
      <c r="AQ47" s="170"/>
      <c r="AR47" s="177"/>
      <c r="AS47" s="165"/>
      <c r="AT47" s="158" t="str">
        <f>IFERROR(__xludf.DUMMYFUNCTION("IF(AJ47="""","""", SPARKLINE(AJ47,{""charttype"",""bar"";""max"",AN47; ""color1"",IF(AR47&gt;=$CA$9,$CB$9,IF(AR47&lt;$CA$10,$CB$10,$CB$11))}))"),"")</f>
        <v/>
      </c>
      <c r="AU47" s="147"/>
      <c r="AV47" s="147"/>
      <c r="AW47" s="155"/>
      <c r="AX47" s="1"/>
      <c r="AY47" s="178" t="b">
        <v>0</v>
      </c>
      <c r="AZ47" s="179"/>
      <c r="BA47" s="165"/>
      <c r="BB47" s="165"/>
      <c r="BC47" s="165"/>
      <c r="BD47" s="165"/>
      <c r="BE47" s="170"/>
      <c r="BF47" s="180"/>
      <c r="BG47" s="165"/>
      <c r="BH47" s="170"/>
      <c r="BI47" s="181"/>
      <c r="BJ47" s="165"/>
      <c r="BK47" s="165"/>
      <c r="BL47" s="170"/>
      <c r="BM47" s="181"/>
      <c r="BN47" s="165"/>
      <c r="BO47" s="165"/>
      <c r="BP47" s="170"/>
      <c r="BQ47" s="182"/>
      <c r="BR47" s="165"/>
      <c r="BS47" s="164" t="str">
        <f>IFERROR(__xludf.DUMMYFUNCTION("IF(BI47="""","""", SPARKLINE(BI47,{""charttype"",""bar"";""max"",BM47; ""color1"",IF(BQ47&gt;=$CA$9,$CB$9,IF(BQ47&lt;$CA$10,$CB$10,$CB$11))}))"),"")</f>
        <v/>
      </c>
      <c r="BT47" s="165"/>
      <c r="BU47" s="165"/>
      <c r="BV47" s="166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ht="19.5" customHeight="1">
      <c r="A48" s="1"/>
      <c r="B48" s="189" t="b">
        <v>0</v>
      </c>
      <c r="C48" s="175"/>
      <c r="D48" s="165"/>
      <c r="E48" s="165"/>
      <c r="F48" s="165"/>
      <c r="G48" s="165"/>
      <c r="H48" s="165"/>
      <c r="I48" s="165"/>
      <c r="J48" s="170"/>
      <c r="K48" s="176"/>
      <c r="L48" s="165"/>
      <c r="M48" s="165"/>
      <c r="N48" s="170"/>
      <c r="O48" s="176"/>
      <c r="P48" s="165"/>
      <c r="Q48" s="165"/>
      <c r="R48" s="170"/>
      <c r="S48" s="177"/>
      <c r="T48" s="165"/>
      <c r="U48" s="218" t="str">
        <f>IFERROR(__xludf.DUMMYFUNCTION("IF(K48="""","""", SPARKLINE(K48,{""charttype"",""bar"";""max"",O48; ""color1"",IF(S48&gt;=$CA$9,$CB$9,IF(S48&lt;$CA$10,$CB$10,$CB$11))}))"),"")</f>
        <v/>
      </c>
      <c r="V48" s="147"/>
      <c r="W48" s="147"/>
      <c r="X48" s="155"/>
      <c r="Y48" s="8"/>
      <c r="Z48" s="189" t="b">
        <v>0</v>
      </c>
      <c r="AA48" s="175"/>
      <c r="AB48" s="165"/>
      <c r="AC48" s="165"/>
      <c r="AD48" s="165"/>
      <c r="AE48" s="165"/>
      <c r="AF48" s="165"/>
      <c r="AG48" s="165"/>
      <c r="AH48" s="165"/>
      <c r="AI48" s="170"/>
      <c r="AJ48" s="176"/>
      <c r="AK48" s="165"/>
      <c r="AL48" s="165"/>
      <c r="AM48" s="170"/>
      <c r="AN48" s="176"/>
      <c r="AO48" s="165"/>
      <c r="AP48" s="165"/>
      <c r="AQ48" s="170"/>
      <c r="AR48" s="177"/>
      <c r="AS48" s="165"/>
      <c r="AT48" s="158" t="str">
        <f>IFERROR(__xludf.DUMMYFUNCTION("IF(AJ48="""","""", SPARKLINE(AJ48,{""charttype"",""bar"";""max"",AN48; ""color1"",IF(AR48&gt;=$CA$9,$CB$9,IF(AR48&lt;$CA$10,$CB$10,$CB$11))}))"),"")</f>
        <v/>
      </c>
      <c r="AU48" s="147"/>
      <c r="AV48" s="147"/>
      <c r="AW48" s="155"/>
      <c r="AX48" s="1"/>
      <c r="AY48" s="178" t="b">
        <v>0</v>
      </c>
      <c r="AZ48" s="179"/>
      <c r="BA48" s="165"/>
      <c r="BB48" s="165"/>
      <c r="BC48" s="165"/>
      <c r="BD48" s="165"/>
      <c r="BE48" s="170"/>
      <c r="BF48" s="180"/>
      <c r="BG48" s="165"/>
      <c r="BH48" s="170"/>
      <c r="BI48" s="181"/>
      <c r="BJ48" s="165"/>
      <c r="BK48" s="165"/>
      <c r="BL48" s="170"/>
      <c r="BM48" s="181"/>
      <c r="BN48" s="165"/>
      <c r="BO48" s="165"/>
      <c r="BP48" s="170"/>
      <c r="BQ48" s="182"/>
      <c r="BR48" s="165"/>
      <c r="BS48" s="164" t="str">
        <f>IFERROR(__xludf.DUMMYFUNCTION("IF(BI48="""","""", SPARKLINE(BI48,{""charttype"",""bar"";""max"",BM48; ""color1"",IF(BQ48&gt;=$CA$9,$CB$9,IF(BQ48&lt;$CA$10,$CB$10,$CB$11))}))"),"")</f>
        <v/>
      </c>
      <c r="BT48" s="165"/>
      <c r="BU48" s="165"/>
      <c r="BV48" s="166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ht="19.5" customHeight="1">
      <c r="A49" s="1"/>
      <c r="B49" s="189" t="b">
        <v>0</v>
      </c>
      <c r="C49" s="175"/>
      <c r="D49" s="165"/>
      <c r="E49" s="165"/>
      <c r="F49" s="165"/>
      <c r="G49" s="165"/>
      <c r="H49" s="165"/>
      <c r="I49" s="165"/>
      <c r="J49" s="170"/>
      <c r="K49" s="176"/>
      <c r="L49" s="165"/>
      <c r="M49" s="165"/>
      <c r="N49" s="170"/>
      <c r="O49" s="176"/>
      <c r="P49" s="165"/>
      <c r="Q49" s="165"/>
      <c r="R49" s="170"/>
      <c r="S49" s="177"/>
      <c r="T49" s="165"/>
      <c r="U49" s="218" t="str">
        <f>IFERROR(__xludf.DUMMYFUNCTION("IF(K49="""","""", SPARKLINE(K49,{""charttype"",""bar"";""max"",O49; ""color1"",IF(S49&gt;=$CA$9,$CB$9,IF(S49&lt;$CA$10,$CB$10,$CB$11))}))"),"")</f>
        <v/>
      </c>
      <c r="V49" s="147"/>
      <c r="W49" s="147"/>
      <c r="X49" s="155"/>
      <c r="Y49" s="8"/>
      <c r="Z49" s="189" t="b">
        <v>0</v>
      </c>
      <c r="AA49" s="175"/>
      <c r="AB49" s="165"/>
      <c r="AC49" s="165"/>
      <c r="AD49" s="165"/>
      <c r="AE49" s="165"/>
      <c r="AF49" s="165"/>
      <c r="AG49" s="165"/>
      <c r="AH49" s="165"/>
      <c r="AI49" s="170"/>
      <c r="AJ49" s="176"/>
      <c r="AK49" s="165"/>
      <c r="AL49" s="165"/>
      <c r="AM49" s="170"/>
      <c r="AN49" s="176"/>
      <c r="AO49" s="165"/>
      <c r="AP49" s="165"/>
      <c r="AQ49" s="170"/>
      <c r="AR49" s="177"/>
      <c r="AS49" s="165"/>
      <c r="AT49" s="158" t="str">
        <f>IFERROR(__xludf.DUMMYFUNCTION("IF(AJ49="""","""", SPARKLINE(AJ49,{""charttype"",""bar"";""max"",AN49; ""color1"",IF(AR49&gt;=$CA$9,$CB$9,IF(AR49&lt;$CA$10,$CB$10,$CB$11))}))"),"")</f>
        <v/>
      </c>
      <c r="AU49" s="147"/>
      <c r="AV49" s="147"/>
      <c r="AW49" s="155"/>
      <c r="AX49" s="1"/>
      <c r="AY49" s="178" t="b">
        <v>0</v>
      </c>
      <c r="AZ49" s="179"/>
      <c r="BA49" s="165"/>
      <c r="BB49" s="165"/>
      <c r="BC49" s="165"/>
      <c r="BD49" s="165"/>
      <c r="BE49" s="170"/>
      <c r="BF49" s="180"/>
      <c r="BG49" s="165"/>
      <c r="BH49" s="170"/>
      <c r="BI49" s="181"/>
      <c r="BJ49" s="165"/>
      <c r="BK49" s="165"/>
      <c r="BL49" s="170"/>
      <c r="BM49" s="181"/>
      <c r="BN49" s="165"/>
      <c r="BO49" s="165"/>
      <c r="BP49" s="170"/>
      <c r="BQ49" s="182"/>
      <c r="BR49" s="165"/>
      <c r="BS49" s="164" t="str">
        <f>IFERROR(__xludf.DUMMYFUNCTION("IF(BI49="""","""", SPARKLINE(BI49,{""charttype"",""bar"";""max"",BM49; ""color1"",IF(BQ49&gt;=$CA$9,$CB$9,IF(BQ49&lt;$CA$10,$CB$10,$CB$11))}))"),"")</f>
        <v/>
      </c>
      <c r="BT49" s="165"/>
      <c r="BU49" s="165"/>
      <c r="BV49" s="166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ht="19.5" customHeight="1">
      <c r="A50" s="1"/>
      <c r="B50" s="189" t="b">
        <v>0</v>
      </c>
      <c r="C50" s="175"/>
      <c r="D50" s="165"/>
      <c r="E50" s="165"/>
      <c r="F50" s="165"/>
      <c r="G50" s="165"/>
      <c r="H50" s="165"/>
      <c r="I50" s="165"/>
      <c r="J50" s="170"/>
      <c r="K50" s="176"/>
      <c r="L50" s="165"/>
      <c r="M50" s="165"/>
      <c r="N50" s="170"/>
      <c r="O50" s="176"/>
      <c r="P50" s="165"/>
      <c r="Q50" s="165"/>
      <c r="R50" s="170"/>
      <c r="S50" s="177"/>
      <c r="T50" s="165"/>
      <c r="U50" s="218" t="str">
        <f>IFERROR(__xludf.DUMMYFUNCTION("IF(K50="""","""", SPARKLINE(K50,{""charttype"",""bar"";""max"",O50; ""color1"",IF(S50&gt;=$CA$9,$CB$9,IF(S50&lt;$CA$10,$CB$10,$CB$11))}))"),"")</f>
        <v/>
      </c>
      <c r="V50" s="147"/>
      <c r="W50" s="147"/>
      <c r="X50" s="155"/>
      <c r="Y50" s="8"/>
      <c r="Z50" s="189" t="b">
        <v>0</v>
      </c>
      <c r="AA50" s="175"/>
      <c r="AB50" s="165"/>
      <c r="AC50" s="165"/>
      <c r="AD50" s="165"/>
      <c r="AE50" s="165"/>
      <c r="AF50" s="165"/>
      <c r="AG50" s="165"/>
      <c r="AH50" s="165"/>
      <c r="AI50" s="170"/>
      <c r="AJ50" s="176"/>
      <c r="AK50" s="165"/>
      <c r="AL50" s="165"/>
      <c r="AM50" s="170"/>
      <c r="AN50" s="176"/>
      <c r="AO50" s="165"/>
      <c r="AP50" s="165"/>
      <c r="AQ50" s="170"/>
      <c r="AR50" s="177"/>
      <c r="AS50" s="165"/>
      <c r="AT50" s="158" t="str">
        <f>IFERROR(__xludf.DUMMYFUNCTION("IF(AJ50="""","""", SPARKLINE(AJ50,{""charttype"",""bar"";""max"",AN50; ""color1"",IF(AR50&gt;=$CA$9,$CB$9,IF(AR50&lt;$CA$10,$CB$10,$CB$11))}))"),"")</f>
        <v/>
      </c>
      <c r="AU50" s="147"/>
      <c r="AV50" s="147"/>
      <c r="AW50" s="155"/>
      <c r="AX50" s="1"/>
      <c r="AY50" s="178" t="b">
        <v>0</v>
      </c>
      <c r="AZ50" s="179"/>
      <c r="BA50" s="165"/>
      <c r="BB50" s="165"/>
      <c r="BC50" s="165"/>
      <c r="BD50" s="165"/>
      <c r="BE50" s="170"/>
      <c r="BF50" s="180"/>
      <c r="BG50" s="165"/>
      <c r="BH50" s="170"/>
      <c r="BI50" s="181"/>
      <c r="BJ50" s="165"/>
      <c r="BK50" s="165"/>
      <c r="BL50" s="170"/>
      <c r="BM50" s="181"/>
      <c r="BN50" s="165"/>
      <c r="BO50" s="165"/>
      <c r="BP50" s="170"/>
      <c r="BQ50" s="182"/>
      <c r="BR50" s="165"/>
      <c r="BS50" s="164" t="str">
        <f>IFERROR(__xludf.DUMMYFUNCTION("IF(BI50="""","""", SPARKLINE(BI50,{""charttype"",""bar"";""max"",BM50; ""color1"",IF(BQ50&gt;=$CA$9,$CB$9,IF(BQ50&lt;$CA$10,$CB$10,$CB$11))}))"),"")</f>
        <v/>
      </c>
      <c r="BT50" s="165"/>
      <c r="BU50" s="165"/>
      <c r="BV50" s="166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ht="19.5" customHeight="1">
      <c r="A51" s="1"/>
      <c r="B51" s="189" t="b">
        <v>0</v>
      </c>
      <c r="C51" s="175"/>
      <c r="D51" s="165"/>
      <c r="E51" s="165"/>
      <c r="F51" s="165"/>
      <c r="G51" s="165"/>
      <c r="H51" s="165"/>
      <c r="I51" s="165"/>
      <c r="J51" s="170"/>
      <c r="K51" s="176"/>
      <c r="L51" s="165"/>
      <c r="M51" s="165"/>
      <c r="N51" s="170"/>
      <c r="O51" s="176"/>
      <c r="P51" s="165"/>
      <c r="Q51" s="165"/>
      <c r="R51" s="170"/>
      <c r="S51" s="177"/>
      <c r="T51" s="165"/>
      <c r="U51" s="218" t="str">
        <f>IFERROR(__xludf.DUMMYFUNCTION("IF(K51="""","""", SPARKLINE(K51,{""charttype"",""bar"";""max"",O51; ""color1"",IF(S51&gt;=$CA$9,$CB$9,IF(S51&lt;$CA$10,$CB$10,$CB$11))}))"),"")</f>
        <v/>
      </c>
      <c r="V51" s="147"/>
      <c r="W51" s="147"/>
      <c r="X51" s="155"/>
      <c r="Y51" s="8"/>
      <c r="Z51" s="189" t="b">
        <v>0</v>
      </c>
      <c r="AA51" s="175"/>
      <c r="AB51" s="165"/>
      <c r="AC51" s="165"/>
      <c r="AD51" s="165"/>
      <c r="AE51" s="165"/>
      <c r="AF51" s="165"/>
      <c r="AG51" s="165"/>
      <c r="AH51" s="165"/>
      <c r="AI51" s="170"/>
      <c r="AJ51" s="176"/>
      <c r="AK51" s="165"/>
      <c r="AL51" s="165"/>
      <c r="AM51" s="170"/>
      <c r="AN51" s="176"/>
      <c r="AO51" s="165"/>
      <c r="AP51" s="165"/>
      <c r="AQ51" s="170"/>
      <c r="AR51" s="177"/>
      <c r="AS51" s="165"/>
      <c r="AT51" s="158" t="str">
        <f>IFERROR(__xludf.DUMMYFUNCTION("IF(AJ51="""","""", SPARKLINE(AJ51,{""charttype"",""bar"";""max"",AN51; ""color1"",IF(AR51&gt;=$CA$9,$CB$9,IF(AR51&lt;$CA$10,$CB$10,$CB$11))}))"),"")</f>
        <v/>
      </c>
      <c r="AU51" s="147"/>
      <c r="AV51" s="147"/>
      <c r="AW51" s="155"/>
      <c r="AX51" s="1"/>
      <c r="AY51" s="178" t="b">
        <v>0</v>
      </c>
      <c r="AZ51" s="179"/>
      <c r="BA51" s="165"/>
      <c r="BB51" s="165"/>
      <c r="BC51" s="165"/>
      <c r="BD51" s="165"/>
      <c r="BE51" s="170"/>
      <c r="BF51" s="180"/>
      <c r="BG51" s="165"/>
      <c r="BH51" s="170"/>
      <c r="BI51" s="181"/>
      <c r="BJ51" s="165"/>
      <c r="BK51" s="165"/>
      <c r="BL51" s="170"/>
      <c r="BM51" s="181"/>
      <c r="BN51" s="165"/>
      <c r="BO51" s="165"/>
      <c r="BP51" s="170"/>
      <c r="BQ51" s="182"/>
      <c r="BR51" s="165"/>
      <c r="BS51" s="164" t="str">
        <f>IFERROR(__xludf.DUMMYFUNCTION("IF(BI51="""","""", SPARKLINE(BI51,{""charttype"",""bar"";""max"",BM51; ""color1"",IF(BQ51&gt;=$CA$9,$CB$9,IF(BQ51&lt;$CA$10,$CB$10,$CB$11))}))"),"")</f>
        <v/>
      </c>
      <c r="BT51" s="165"/>
      <c r="BU51" s="165"/>
      <c r="BV51" s="166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ht="19.5" customHeight="1">
      <c r="A52" s="1"/>
      <c r="B52" s="189" t="b">
        <v>0</v>
      </c>
      <c r="C52" s="175"/>
      <c r="D52" s="165"/>
      <c r="E52" s="165"/>
      <c r="F52" s="165"/>
      <c r="G52" s="165"/>
      <c r="H52" s="165"/>
      <c r="I52" s="165"/>
      <c r="J52" s="170"/>
      <c r="K52" s="176"/>
      <c r="L52" s="165"/>
      <c r="M52" s="165"/>
      <c r="N52" s="170"/>
      <c r="O52" s="176"/>
      <c r="P52" s="165"/>
      <c r="Q52" s="165"/>
      <c r="R52" s="170"/>
      <c r="S52" s="177"/>
      <c r="T52" s="165"/>
      <c r="U52" s="218" t="str">
        <f>IFERROR(__xludf.DUMMYFUNCTION("IF(K52="""","""", SPARKLINE(K52,{""charttype"",""bar"";""max"",O52; ""color1"",IF(S52&gt;=$CA$9,$CB$9,IF(S52&lt;$CA$10,$CB$10,$CB$11))}))"),"")</f>
        <v/>
      </c>
      <c r="V52" s="147"/>
      <c r="W52" s="147"/>
      <c r="X52" s="155"/>
      <c r="Y52" s="8"/>
      <c r="Z52" s="189" t="b">
        <v>0</v>
      </c>
      <c r="AA52" s="175"/>
      <c r="AB52" s="165"/>
      <c r="AC52" s="165"/>
      <c r="AD52" s="165"/>
      <c r="AE52" s="165"/>
      <c r="AF52" s="165"/>
      <c r="AG52" s="165"/>
      <c r="AH52" s="165"/>
      <c r="AI52" s="170"/>
      <c r="AJ52" s="176"/>
      <c r="AK52" s="165"/>
      <c r="AL52" s="165"/>
      <c r="AM52" s="170"/>
      <c r="AN52" s="176"/>
      <c r="AO52" s="165"/>
      <c r="AP52" s="165"/>
      <c r="AQ52" s="170"/>
      <c r="AR52" s="177"/>
      <c r="AS52" s="165"/>
      <c r="AT52" s="158" t="str">
        <f>IFERROR(__xludf.DUMMYFUNCTION("IF(AJ52="""","""", SPARKLINE(AJ52,{""charttype"",""bar"";""max"",AN52; ""color1"",IF(AR52&gt;=$CA$9,$CB$9,IF(AR52&lt;$CA$10,$CB$10,$CB$11))}))"),"")</f>
        <v/>
      </c>
      <c r="AU52" s="147"/>
      <c r="AV52" s="147"/>
      <c r="AW52" s="155"/>
      <c r="AX52" s="1"/>
      <c r="AY52" s="178" t="b">
        <v>0</v>
      </c>
      <c r="AZ52" s="179"/>
      <c r="BA52" s="165"/>
      <c r="BB52" s="165"/>
      <c r="BC52" s="165"/>
      <c r="BD52" s="165"/>
      <c r="BE52" s="170"/>
      <c r="BF52" s="180"/>
      <c r="BG52" s="165"/>
      <c r="BH52" s="170"/>
      <c r="BI52" s="181"/>
      <c r="BJ52" s="165"/>
      <c r="BK52" s="165"/>
      <c r="BL52" s="170"/>
      <c r="BM52" s="181"/>
      <c r="BN52" s="165"/>
      <c r="BO52" s="165"/>
      <c r="BP52" s="170"/>
      <c r="BQ52" s="182"/>
      <c r="BR52" s="165"/>
      <c r="BS52" s="164" t="str">
        <f>IFERROR(__xludf.DUMMYFUNCTION("IF(BI52="""","""", SPARKLINE(BI52,{""charttype"",""bar"";""max"",BM52; ""color1"",IF(BQ52&gt;=$CA$9,$CB$9,IF(BQ52&lt;$CA$10,$CB$10,$CB$11))}))"),"")</f>
        <v/>
      </c>
      <c r="BT52" s="165"/>
      <c r="BU52" s="165"/>
      <c r="BV52" s="166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ht="19.5" customHeight="1">
      <c r="A53" s="1"/>
      <c r="B53" s="189" t="b">
        <v>0</v>
      </c>
      <c r="C53" s="175"/>
      <c r="D53" s="165"/>
      <c r="E53" s="165"/>
      <c r="F53" s="165"/>
      <c r="G53" s="165"/>
      <c r="H53" s="165"/>
      <c r="I53" s="165"/>
      <c r="J53" s="170"/>
      <c r="K53" s="176"/>
      <c r="L53" s="165"/>
      <c r="M53" s="165"/>
      <c r="N53" s="170"/>
      <c r="O53" s="176"/>
      <c r="P53" s="165"/>
      <c r="Q53" s="165"/>
      <c r="R53" s="170"/>
      <c r="S53" s="177"/>
      <c r="T53" s="165"/>
      <c r="U53" s="218" t="str">
        <f>IFERROR(__xludf.DUMMYFUNCTION("IF(K53="""","""", SPARKLINE(K53,{""charttype"",""bar"";""max"",O53; ""color1"",IF(S53&gt;=$CA$9,$CB$9,IF(S53&lt;$CA$10,$CB$10,$CB$11))}))"),"")</f>
        <v/>
      </c>
      <c r="V53" s="147"/>
      <c r="W53" s="147"/>
      <c r="X53" s="155"/>
      <c r="Y53" s="8"/>
      <c r="Z53" s="189" t="b">
        <v>0</v>
      </c>
      <c r="AA53" s="175"/>
      <c r="AB53" s="165"/>
      <c r="AC53" s="165"/>
      <c r="AD53" s="165"/>
      <c r="AE53" s="165"/>
      <c r="AF53" s="165"/>
      <c r="AG53" s="165"/>
      <c r="AH53" s="165"/>
      <c r="AI53" s="170"/>
      <c r="AJ53" s="176"/>
      <c r="AK53" s="165"/>
      <c r="AL53" s="165"/>
      <c r="AM53" s="170"/>
      <c r="AN53" s="176"/>
      <c r="AO53" s="165"/>
      <c r="AP53" s="165"/>
      <c r="AQ53" s="170"/>
      <c r="AR53" s="177"/>
      <c r="AS53" s="165"/>
      <c r="AT53" s="158" t="str">
        <f>IFERROR(__xludf.DUMMYFUNCTION("IF(AJ53="""","""", SPARKLINE(AJ53,{""charttype"",""bar"";""max"",AN53; ""color1"",IF(AR53&gt;=$CA$9,$CB$9,IF(AR53&lt;$CA$10,$CB$10,$CB$11))}))"),"")</f>
        <v/>
      </c>
      <c r="AU53" s="147"/>
      <c r="AV53" s="147"/>
      <c r="AW53" s="155"/>
      <c r="AX53" s="1"/>
      <c r="AY53" s="178" t="b">
        <v>0</v>
      </c>
      <c r="AZ53" s="179"/>
      <c r="BA53" s="165"/>
      <c r="BB53" s="165"/>
      <c r="BC53" s="165"/>
      <c r="BD53" s="165"/>
      <c r="BE53" s="170"/>
      <c r="BF53" s="180"/>
      <c r="BG53" s="165"/>
      <c r="BH53" s="170"/>
      <c r="BI53" s="181"/>
      <c r="BJ53" s="165"/>
      <c r="BK53" s="165"/>
      <c r="BL53" s="170"/>
      <c r="BM53" s="181"/>
      <c r="BN53" s="165"/>
      <c r="BO53" s="165"/>
      <c r="BP53" s="170"/>
      <c r="BQ53" s="182"/>
      <c r="BR53" s="165"/>
      <c r="BS53" s="164" t="str">
        <f>IFERROR(__xludf.DUMMYFUNCTION("IF(BI53="""","""", SPARKLINE(BI53,{""charttype"",""bar"";""max"",BM53; ""color1"",IF(BQ53&gt;=$CA$9,$CB$9,IF(BQ53&lt;$CA$10,$CB$10,$CB$11))}))"),"")</f>
        <v/>
      </c>
      <c r="BT53" s="165"/>
      <c r="BU53" s="165"/>
      <c r="BV53" s="166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ht="19.5" customHeight="1">
      <c r="A54" s="1"/>
      <c r="B54" s="189" t="b">
        <v>0</v>
      </c>
      <c r="C54" s="175"/>
      <c r="D54" s="165"/>
      <c r="E54" s="165"/>
      <c r="F54" s="165"/>
      <c r="G54" s="165"/>
      <c r="H54" s="165"/>
      <c r="I54" s="165"/>
      <c r="J54" s="170"/>
      <c r="K54" s="176"/>
      <c r="L54" s="165"/>
      <c r="M54" s="165"/>
      <c r="N54" s="170"/>
      <c r="O54" s="176"/>
      <c r="P54" s="165"/>
      <c r="Q54" s="165"/>
      <c r="R54" s="170"/>
      <c r="S54" s="177"/>
      <c r="T54" s="165"/>
      <c r="U54" s="218" t="str">
        <f>IFERROR(__xludf.DUMMYFUNCTION("IF(K54="""","""", SPARKLINE(K54,{""charttype"",""bar"";""max"",O54; ""color1"",IF(S54&gt;=$CA$9,$CB$9,IF(S54&lt;$CA$10,$CB$10,$CB$11))}))"),"")</f>
        <v/>
      </c>
      <c r="V54" s="147"/>
      <c r="W54" s="147"/>
      <c r="X54" s="155"/>
      <c r="Y54" s="8"/>
      <c r="Z54" s="189" t="b">
        <v>0</v>
      </c>
      <c r="AA54" s="175"/>
      <c r="AB54" s="165"/>
      <c r="AC54" s="165"/>
      <c r="AD54" s="165"/>
      <c r="AE54" s="165"/>
      <c r="AF54" s="165"/>
      <c r="AG54" s="165"/>
      <c r="AH54" s="165"/>
      <c r="AI54" s="170"/>
      <c r="AJ54" s="176"/>
      <c r="AK54" s="165"/>
      <c r="AL54" s="165"/>
      <c r="AM54" s="170"/>
      <c r="AN54" s="176"/>
      <c r="AO54" s="165"/>
      <c r="AP54" s="165"/>
      <c r="AQ54" s="170"/>
      <c r="AR54" s="177"/>
      <c r="AS54" s="165"/>
      <c r="AT54" s="158" t="str">
        <f>IFERROR(__xludf.DUMMYFUNCTION("IF(AJ54="""","""", SPARKLINE(AJ54,{""charttype"",""bar"";""max"",AN54; ""color1"",IF(AR54&gt;=$CA$9,$CB$9,IF(AR54&lt;$CA$10,$CB$10,$CB$11))}))"),"")</f>
        <v/>
      </c>
      <c r="AU54" s="147"/>
      <c r="AV54" s="147"/>
      <c r="AW54" s="155"/>
      <c r="AX54" s="1"/>
      <c r="AY54" s="178" t="b">
        <v>0</v>
      </c>
      <c r="AZ54" s="179"/>
      <c r="BA54" s="165"/>
      <c r="BB54" s="165"/>
      <c r="BC54" s="165"/>
      <c r="BD54" s="165"/>
      <c r="BE54" s="170"/>
      <c r="BF54" s="180"/>
      <c r="BG54" s="165"/>
      <c r="BH54" s="170"/>
      <c r="BI54" s="181"/>
      <c r="BJ54" s="165"/>
      <c r="BK54" s="165"/>
      <c r="BL54" s="170"/>
      <c r="BM54" s="181"/>
      <c r="BN54" s="165"/>
      <c r="BO54" s="165"/>
      <c r="BP54" s="170"/>
      <c r="BQ54" s="182"/>
      <c r="BR54" s="165"/>
      <c r="BS54" s="164" t="str">
        <f>IFERROR(__xludf.DUMMYFUNCTION("IF(BI54="""","""", SPARKLINE(BI54,{""charttype"",""bar"";""max"",BM54; ""color1"",IF(BQ54&gt;=$CA$9,$CB$9,IF(BQ54&lt;$CA$10,$CB$10,$CB$11))}))"),"")</f>
        <v/>
      </c>
      <c r="BT54" s="165"/>
      <c r="BU54" s="165"/>
      <c r="BV54" s="166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ht="19.5" customHeight="1">
      <c r="A55" s="1"/>
      <c r="B55" s="219" t="b">
        <v>0</v>
      </c>
      <c r="C55" s="220"/>
      <c r="D55" s="221"/>
      <c r="E55" s="221"/>
      <c r="F55" s="221"/>
      <c r="G55" s="221"/>
      <c r="H55" s="221"/>
      <c r="I55" s="221"/>
      <c r="J55" s="222"/>
      <c r="K55" s="223"/>
      <c r="L55" s="221"/>
      <c r="M55" s="221"/>
      <c r="N55" s="222"/>
      <c r="O55" s="223"/>
      <c r="P55" s="221"/>
      <c r="Q55" s="221"/>
      <c r="R55" s="222"/>
      <c r="S55" s="224"/>
      <c r="T55" s="221"/>
      <c r="U55" s="124" t="str">
        <f>IFERROR(__xludf.DUMMYFUNCTION("IF(K55="""","""", SPARKLINE(K55,{""charttype"",""bar"";""max"",O55; ""color1"",IF(S55&gt;=$CA$9,$CB$9,IF(S55&lt;$CA$10,$CB$10,$CB$11))}))"),"")</f>
        <v/>
      </c>
      <c r="V55" s="86"/>
      <c r="W55" s="86"/>
      <c r="X55" s="88"/>
      <c r="Y55" s="8"/>
      <c r="Z55" s="219" t="b">
        <v>0</v>
      </c>
      <c r="AA55" s="220"/>
      <c r="AB55" s="221"/>
      <c r="AC55" s="221"/>
      <c r="AD55" s="221"/>
      <c r="AE55" s="221"/>
      <c r="AF55" s="221"/>
      <c r="AG55" s="221"/>
      <c r="AH55" s="221"/>
      <c r="AI55" s="222"/>
      <c r="AJ55" s="223"/>
      <c r="AK55" s="221"/>
      <c r="AL55" s="221"/>
      <c r="AM55" s="222"/>
      <c r="AN55" s="223"/>
      <c r="AO55" s="221"/>
      <c r="AP55" s="221"/>
      <c r="AQ55" s="222"/>
      <c r="AR55" s="224"/>
      <c r="AS55" s="221"/>
      <c r="AT55" s="123" t="str">
        <f>IFERROR(__xludf.DUMMYFUNCTION("IF(AJ55="""","""", SPARKLINE(AJ55,{""charttype"",""bar"";""max"",AN55; ""color1"",IF(AR55&gt;=$CA$9,$CB$9,IF(AR55&lt;$CA$10,$CB$10,$CB$11))}))"),"")</f>
        <v/>
      </c>
      <c r="AU55" s="86"/>
      <c r="AV55" s="86"/>
      <c r="AW55" s="88"/>
      <c r="AX55" s="1"/>
      <c r="AY55" s="225" t="b">
        <v>0</v>
      </c>
      <c r="AZ55" s="226"/>
      <c r="BA55" s="221"/>
      <c r="BB55" s="221"/>
      <c r="BC55" s="221"/>
      <c r="BD55" s="221"/>
      <c r="BE55" s="222"/>
      <c r="BF55" s="227"/>
      <c r="BG55" s="221"/>
      <c r="BH55" s="222"/>
      <c r="BI55" s="228"/>
      <c r="BJ55" s="221"/>
      <c r="BK55" s="221"/>
      <c r="BL55" s="222"/>
      <c r="BM55" s="228"/>
      <c r="BN55" s="221"/>
      <c r="BO55" s="221"/>
      <c r="BP55" s="222"/>
      <c r="BQ55" s="229"/>
      <c r="BR55" s="221"/>
      <c r="BS55" s="201" t="str">
        <f>IFERROR(__xludf.DUMMYFUNCTION("IF(BI55="""","""", SPARKLINE(BI55,{""charttype"",""bar"";""max"",BM55; ""color1"",IF(BQ55&gt;=$CA$9,$CB$9,IF(BQ55&lt;$CA$10,$CB$10,$CB$11))}))"),"")</f>
        <v/>
      </c>
      <c r="BT55" s="195"/>
      <c r="BU55" s="195"/>
      <c r="BV55" s="202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ht="19.5" customHeight="1">
      <c r="A56" s="1"/>
      <c r="B56" s="230" t="s">
        <v>50</v>
      </c>
      <c r="C56" s="75"/>
      <c r="D56" s="75"/>
      <c r="E56" s="75"/>
      <c r="F56" s="75"/>
      <c r="G56" s="75"/>
      <c r="H56" s="75"/>
      <c r="I56" s="75"/>
      <c r="J56" s="75"/>
      <c r="K56" s="231">
        <f>SUM(K38:N55)</f>
        <v>940</v>
      </c>
      <c r="L56" s="75"/>
      <c r="M56" s="75"/>
      <c r="N56" s="75"/>
      <c r="O56" s="231">
        <f>SUM(O38:R55)</f>
        <v>1040</v>
      </c>
      <c r="P56" s="75"/>
      <c r="Q56" s="75"/>
      <c r="R56" s="75"/>
      <c r="S56" s="232">
        <f>K56/O56</f>
        <v>0.9038461538</v>
      </c>
      <c r="T56" s="75"/>
      <c r="U56" s="233" t="str">
        <f>IFERROR(__xludf.DUMMYFUNCTION("IF(K56="""","""", SPARKLINE(K56,{""charttype"",""bar"";""max"",O56; ""color1"",IF(S56&gt;=$CA$9,$CB$9,IF(S56&lt;$CA$10,$CB$10,$CB$11))}))"),"")</f>
        <v/>
      </c>
      <c r="V56" s="86"/>
      <c r="W56" s="86"/>
      <c r="X56" s="88"/>
      <c r="Y56" s="8"/>
      <c r="Z56" s="230" t="s">
        <v>50</v>
      </c>
      <c r="AA56" s="75"/>
      <c r="AB56" s="75"/>
      <c r="AC56" s="75"/>
      <c r="AD56" s="75"/>
      <c r="AE56" s="75"/>
      <c r="AF56" s="75"/>
      <c r="AG56" s="75"/>
      <c r="AH56" s="75"/>
      <c r="AI56" s="75"/>
      <c r="AJ56" s="231">
        <f>SUM(AJ22:AM55)</f>
        <v>2031</v>
      </c>
      <c r="AK56" s="75"/>
      <c r="AL56" s="75"/>
      <c r="AM56" s="75"/>
      <c r="AN56" s="231">
        <f>SUM(AN22:AQ55)</f>
        <v>1760</v>
      </c>
      <c r="AO56" s="75"/>
      <c r="AP56" s="75"/>
      <c r="AQ56" s="75"/>
      <c r="AR56" s="232">
        <f>AJ56/AN56</f>
        <v>1.153977273</v>
      </c>
      <c r="AS56" s="75"/>
      <c r="AT56" s="234" t="str">
        <f>IFERROR(__xludf.DUMMYFUNCTION("IF(AJ56="""","""", SPARKLINE(AJ56,{""charttype"",""bar"";""max"",AN56; ""color1"",IF(AR56&gt;=$CA$9,$CB$9,IF(AR56&lt;$CA$10,$CB$10,$CB$11))}))"),"")</f>
        <v/>
      </c>
      <c r="AU56" s="86"/>
      <c r="AV56" s="86"/>
      <c r="AW56" s="88"/>
      <c r="AX56" s="1"/>
      <c r="AY56" s="230" t="s">
        <v>50</v>
      </c>
      <c r="AZ56" s="75"/>
      <c r="BA56" s="75"/>
      <c r="BB56" s="75"/>
      <c r="BC56" s="75"/>
      <c r="BD56" s="75"/>
      <c r="BE56" s="75"/>
      <c r="BF56" s="75"/>
      <c r="BG56" s="75"/>
      <c r="BH56" s="75"/>
      <c r="BI56" s="231">
        <f>SUM(BI22:BL55)</f>
        <v>1330.99</v>
      </c>
      <c r="BJ56" s="75"/>
      <c r="BK56" s="75"/>
      <c r="BL56" s="75"/>
      <c r="BM56" s="231">
        <f>SUM(BM22:BP55)</f>
        <v>1535</v>
      </c>
      <c r="BN56" s="75"/>
      <c r="BO56" s="75"/>
      <c r="BP56" s="75"/>
      <c r="BQ56" s="232">
        <f>BI56/BM56</f>
        <v>0.8670944625</v>
      </c>
      <c r="BR56" s="75"/>
      <c r="BS56" s="209" t="str">
        <f>IFERROR(__xludf.DUMMYFUNCTION("IF(BI56="""","""", SPARKLINE(BI56,{""charttype"",""bar"";""max"",BM56; ""color1"",IF(BQ56&gt;=$CA$9,$CB$9,IF(BQ56&lt;$CA$10,$CB$10,$CB$11))}))"),"")</f>
        <v/>
      </c>
      <c r="BT56" s="86"/>
      <c r="BU56" s="86"/>
      <c r="BV56" s="88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ht="19.5" customHeight="1">
      <c r="A58" s="1"/>
      <c r="B58" s="235"/>
      <c r="C58" s="133" t="s">
        <v>51</v>
      </c>
      <c r="D58" s="54"/>
      <c r="E58" s="54"/>
      <c r="F58" s="54"/>
      <c r="G58" s="54"/>
      <c r="H58" s="54"/>
      <c r="I58" s="54"/>
      <c r="J58" s="54"/>
      <c r="K58" s="54"/>
      <c r="L58" s="54"/>
      <c r="M58" s="138"/>
      <c r="N58" s="138"/>
      <c r="O58" s="138"/>
      <c r="P58" s="138"/>
      <c r="Q58" s="138"/>
      <c r="R58" s="138"/>
      <c r="S58" s="138"/>
      <c r="T58" s="138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138"/>
      <c r="AH58" s="138"/>
      <c r="AI58" s="138"/>
      <c r="AJ58" s="138"/>
      <c r="AK58" s="138"/>
      <c r="AL58" s="138"/>
      <c r="AM58" s="237" t="s">
        <v>52</v>
      </c>
      <c r="AN58" s="138"/>
      <c r="AO58" s="138"/>
      <c r="AP58" s="238" t="s">
        <v>53</v>
      </c>
      <c r="AQ58" s="239" t="s">
        <v>54</v>
      </c>
      <c r="AR58" s="54"/>
      <c r="AS58" s="54"/>
      <c r="AT58" s="54"/>
      <c r="AU58" s="54"/>
      <c r="AV58" s="240"/>
      <c r="AW58" s="241"/>
      <c r="AX58" s="1"/>
      <c r="AY58" s="242"/>
      <c r="AZ58" s="243" t="str">
        <f>CONCATENATE("💳 DEPTS (",N17*100,"%) ")</f>
        <v>💳 DEPTS (10%) </v>
      </c>
      <c r="BA58" s="244"/>
      <c r="BB58" s="244"/>
      <c r="BC58" s="244"/>
      <c r="BD58" s="244"/>
      <c r="BE58" s="244"/>
      <c r="BF58" s="245"/>
      <c r="BG58" s="245"/>
      <c r="BH58" s="245"/>
      <c r="BI58" s="245"/>
      <c r="BJ58" s="245"/>
      <c r="BK58" s="245"/>
      <c r="BL58" s="245"/>
      <c r="BM58" s="246" t="s">
        <v>47</v>
      </c>
      <c r="BN58" s="244"/>
      <c r="BO58" s="244"/>
      <c r="BP58" s="244"/>
      <c r="BQ58" s="244"/>
      <c r="BR58" s="244"/>
      <c r="BS58" s="247">
        <f>(K33*N17)-BI84</f>
        <v>75</v>
      </c>
      <c r="BT58" s="244"/>
      <c r="BU58" s="244"/>
      <c r="BV58" s="248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ht="19.5" customHeight="1">
      <c r="A59" s="1"/>
      <c r="B59" s="215"/>
      <c r="M59" s="249"/>
      <c r="N59" s="250"/>
      <c r="O59" s="250"/>
      <c r="P59" s="250"/>
      <c r="Q59" s="250"/>
      <c r="R59" s="250"/>
      <c r="S59" s="250"/>
      <c r="T59" s="250"/>
      <c r="U59" s="251"/>
      <c r="V59" s="252"/>
      <c r="W59" s="252"/>
      <c r="X59" s="252"/>
      <c r="Y59" s="252"/>
      <c r="Z59" s="251"/>
      <c r="AA59" s="252"/>
      <c r="AB59" s="252"/>
      <c r="AC59" s="252"/>
      <c r="AD59" s="252"/>
      <c r="AE59" s="251"/>
      <c r="AF59" s="252"/>
      <c r="AG59" s="250"/>
      <c r="AH59" s="250"/>
      <c r="AI59" s="250"/>
      <c r="AJ59" s="250"/>
      <c r="AK59" s="250"/>
      <c r="AL59" s="250"/>
      <c r="AN59" s="250"/>
      <c r="AO59" s="250"/>
      <c r="AP59" s="253" t="s">
        <v>55</v>
      </c>
      <c r="AQ59" s="81" t="s">
        <v>54</v>
      </c>
      <c r="AV59" s="254"/>
      <c r="AW59" s="255"/>
      <c r="AX59" s="1"/>
      <c r="AY59" s="256"/>
      <c r="BF59" s="257"/>
      <c r="BG59" s="257"/>
      <c r="BH59" s="257"/>
      <c r="BI59" s="257"/>
      <c r="BJ59" s="257"/>
      <c r="BK59" s="257"/>
      <c r="BL59" s="257"/>
      <c r="BV59" s="258"/>
      <c r="BW59" s="8"/>
      <c r="BX59" s="8"/>
      <c r="BY59" s="2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ht="19.5" customHeight="1">
      <c r="A60" s="259"/>
      <c r="B60" s="260"/>
      <c r="C60" s="261" t="s">
        <v>56</v>
      </c>
      <c r="H60" s="261" t="s">
        <v>57</v>
      </c>
      <c r="M60" s="261" t="s">
        <v>58</v>
      </c>
      <c r="U60" s="262" t="s">
        <v>59</v>
      </c>
      <c r="Z60" s="261" t="s">
        <v>60</v>
      </c>
      <c r="AE60" s="261" t="s">
        <v>61</v>
      </c>
      <c r="AW60" s="99"/>
      <c r="AX60" s="259"/>
      <c r="AY60" s="263"/>
      <c r="AZ60" s="144" t="str">
        <f>IFERROR(__xludf.DUMMYFUNCTION("IFERROR(QUERY(C60:AW121,""SELECT M,1,2,3,4,5, C,6,7, SUM(U),8,9,10, SUM(Z),11,12,13, (SUM(U)/SUM(Z))  WHERE H = 'Debts' GROUP BY M, C ORDER BY C ASC LABEL M 'Name', C 'Payday', SUM(U) 'Actual', (SUM(U)/SUM(Z)) '%', SUM(Z) 'Budget'""),"""")"),"Name")</f>
        <v>Name</v>
      </c>
      <c r="BA60" s="86"/>
      <c r="BB60" s="86"/>
      <c r="BC60" s="86"/>
      <c r="BD60" s="86"/>
      <c r="BE60" s="86"/>
      <c r="BF60" s="144" t="str">
        <f>IFERROR(__xludf.DUMMYFUNCTION("""COMPUTED_VALUE"""),"Payday")</f>
        <v>Payday</v>
      </c>
      <c r="BG60" s="86"/>
      <c r="BH60" s="86"/>
      <c r="BI60" s="144" t="str">
        <f>IFERROR(__xludf.DUMMYFUNCTION("""COMPUTED_VALUE"""),"Actual")</f>
        <v>Actual</v>
      </c>
      <c r="BJ60" s="86"/>
      <c r="BK60" s="86"/>
      <c r="BL60" s="86"/>
      <c r="BM60" s="144" t="str">
        <f>IFERROR(__xludf.DUMMYFUNCTION("""COMPUTED_VALUE"""),"Budget")</f>
        <v>Budget</v>
      </c>
      <c r="BN60" s="86"/>
      <c r="BO60" s="86"/>
      <c r="BP60" s="86"/>
      <c r="BQ60" s="144" t="str">
        <f>IFERROR(__xludf.DUMMYFUNCTION("""COMPUTED_VALUE"""),"%")</f>
        <v>%</v>
      </c>
      <c r="BR60" s="86"/>
      <c r="BS60" s="86"/>
      <c r="BT60" s="86"/>
      <c r="BU60" s="86"/>
      <c r="BV60" s="264"/>
      <c r="BW60" s="8"/>
      <c r="BX60" s="8"/>
      <c r="BY60" s="1"/>
      <c r="BZ60" s="265"/>
      <c r="CA60" s="265"/>
      <c r="CB60" s="265"/>
      <c r="CC60" s="265"/>
      <c r="CD60" s="265"/>
      <c r="CE60" s="265"/>
      <c r="CF60" s="265"/>
      <c r="CG60" s="265"/>
      <c r="CH60" s="265"/>
      <c r="CI60" s="265"/>
      <c r="CJ60" s="265"/>
      <c r="CK60" s="265"/>
      <c r="CL60" s="265"/>
      <c r="CM60" s="265"/>
      <c r="CN60" s="265"/>
      <c r="CO60" s="265"/>
      <c r="CP60" s="265"/>
      <c r="CQ60" s="265"/>
      <c r="CR60" s="265"/>
      <c r="CS60" s="265"/>
      <c r="CT60" s="265"/>
      <c r="CU60" s="265"/>
    </row>
    <row r="61" ht="19.5" customHeight="1">
      <c r="A61" s="1"/>
      <c r="B61" s="266" t="b">
        <v>0</v>
      </c>
      <c r="C61" s="267">
        <v>45663.0</v>
      </c>
      <c r="D61" s="147"/>
      <c r="E61" s="147"/>
      <c r="F61" s="147"/>
      <c r="G61" s="147"/>
      <c r="H61" s="268" t="s">
        <v>62</v>
      </c>
      <c r="I61" s="147"/>
      <c r="J61" s="147"/>
      <c r="K61" s="147"/>
      <c r="L61" s="147"/>
      <c r="M61" s="268" t="s">
        <v>63</v>
      </c>
      <c r="N61" s="147"/>
      <c r="O61" s="147"/>
      <c r="P61" s="147"/>
      <c r="Q61" s="147"/>
      <c r="R61" s="147"/>
      <c r="S61" s="147"/>
      <c r="T61" s="147"/>
      <c r="U61" s="269">
        <v>60.0</v>
      </c>
      <c r="V61" s="147"/>
      <c r="W61" s="147"/>
      <c r="X61" s="147"/>
      <c r="Y61" s="147"/>
      <c r="Z61" s="269">
        <v>170.0</v>
      </c>
      <c r="AA61" s="147"/>
      <c r="AB61" s="147"/>
      <c r="AC61" s="147"/>
      <c r="AD61" s="147"/>
      <c r="AE61" s="269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55"/>
      <c r="AX61" s="1"/>
      <c r="AY61" s="270" t="b">
        <v>0</v>
      </c>
      <c r="AZ61" s="271" t="str">
        <f>IFERROR(__xludf.DUMMYFUNCTION("""COMPUTED_VALUE"""),"Student Loan")</f>
        <v>Student Loan</v>
      </c>
      <c r="BA61" s="272"/>
      <c r="BB61" s="272"/>
      <c r="BC61" s="272"/>
      <c r="BD61" s="272"/>
      <c r="BE61" s="273"/>
      <c r="BF61" s="274">
        <f>IFERROR(__xludf.DUMMYFUNCTION("""COMPUTED_VALUE"""),45660.0)</f>
        <v>45660</v>
      </c>
      <c r="BG61" s="272"/>
      <c r="BH61" s="273"/>
      <c r="BI61" s="275">
        <f>IFERROR(__xludf.DUMMYFUNCTION("""COMPUTED_VALUE"""),250.0)</f>
        <v>250</v>
      </c>
      <c r="BJ61" s="272"/>
      <c r="BK61" s="272"/>
      <c r="BL61" s="273"/>
      <c r="BM61" s="275">
        <f>IFERROR(__xludf.DUMMYFUNCTION("""COMPUTED_VALUE"""),250.0)</f>
        <v>250</v>
      </c>
      <c r="BN61" s="272"/>
      <c r="BO61" s="272"/>
      <c r="BP61" s="273"/>
      <c r="BQ61" s="276">
        <f>IFERROR(__xludf.DUMMYFUNCTION("""COMPUTED_VALUE"""),1.0)</f>
        <v>1</v>
      </c>
      <c r="BR61" s="272"/>
      <c r="BS61" s="277" t="str">
        <f>IFERROR(__xludf.DUMMYFUNCTION("IF(BI61="""","""", SPARKLINE(BI61,{""charttype"",""bar"";""max"",BM61; ""color1"",IF(BQ61&gt;=$CA$9,$CB$9,IF(BQ61&lt;$CA$10,$CB$10,$CB$11))}))"),"")</f>
        <v/>
      </c>
      <c r="BT61" s="272"/>
      <c r="BU61" s="272"/>
      <c r="BV61" s="278"/>
      <c r="BW61" s="8"/>
      <c r="BX61" s="8"/>
      <c r="BY61" s="259"/>
      <c r="BZ61" s="259"/>
      <c r="CA61" s="259"/>
      <c r="CB61" s="279"/>
      <c r="CC61" s="280"/>
      <c r="CD61" s="279"/>
      <c r="CE61" s="279"/>
      <c r="CF61" s="279"/>
      <c r="CG61" s="279"/>
      <c r="CH61" s="279"/>
      <c r="CI61" s="279"/>
      <c r="CJ61" s="279"/>
      <c r="CK61" s="279"/>
      <c r="CL61" s="279"/>
      <c r="CM61" s="279"/>
      <c r="CN61" s="279"/>
      <c r="CO61" s="279"/>
      <c r="CP61" s="279"/>
      <c r="CQ61" s="279"/>
      <c r="CR61" s="279"/>
      <c r="CS61" s="279"/>
      <c r="CT61" s="279"/>
      <c r="CU61" s="279"/>
    </row>
    <row r="62" ht="19.5" customHeight="1">
      <c r="A62" s="1"/>
      <c r="B62" s="281" t="b">
        <v>0</v>
      </c>
      <c r="C62" s="282">
        <v>45662.0</v>
      </c>
      <c r="D62" s="165"/>
      <c r="E62" s="165"/>
      <c r="F62" s="165"/>
      <c r="G62" s="165"/>
      <c r="H62" s="283" t="s">
        <v>64</v>
      </c>
      <c r="I62" s="165"/>
      <c r="J62" s="165"/>
      <c r="K62" s="165"/>
      <c r="L62" s="165"/>
      <c r="M62" s="283" t="s">
        <v>65</v>
      </c>
      <c r="N62" s="165"/>
      <c r="O62" s="165"/>
      <c r="P62" s="165"/>
      <c r="Q62" s="165"/>
      <c r="R62" s="165"/>
      <c r="S62" s="165"/>
      <c r="T62" s="165"/>
      <c r="U62" s="284">
        <v>14.99</v>
      </c>
      <c r="V62" s="165"/>
      <c r="W62" s="165"/>
      <c r="X62" s="165"/>
      <c r="Y62" s="165"/>
      <c r="Z62" s="284">
        <v>15.0</v>
      </c>
      <c r="AA62" s="165"/>
      <c r="AB62" s="165"/>
      <c r="AC62" s="165"/>
      <c r="AD62" s="165"/>
      <c r="AE62" s="284" t="s">
        <v>66</v>
      </c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6"/>
      <c r="AX62" s="1"/>
      <c r="AY62" s="285" t="b">
        <v>0</v>
      </c>
      <c r="AZ62" s="286" t="str">
        <f>IFERROR(__xludf.DUMMYFUNCTION("""COMPUTED_VALUE"""),"Student Loan")</f>
        <v>Student Loan</v>
      </c>
      <c r="BA62" s="287"/>
      <c r="BB62" s="287"/>
      <c r="BC62" s="287"/>
      <c r="BD62" s="287"/>
      <c r="BE62" s="288"/>
      <c r="BF62" s="289">
        <f>IFERROR(__xludf.DUMMYFUNCTION("""COMPUTED_VALUE"""),45674.0)</f>
        <v>45674</v>
      </c>
      <c r="BG62" s="287"/>
      <c r="BH62" s="288"/>
      <c r="BI62" s="290">
        <f>IFERROR(__xludf.DUMMYFUNCTION("""COMPUTED_VALUE"""),250.0)</f>
        <v>250</v>
      </c>
      <c r="BJ62" s="287"/>
      <c r="BK62" s="287"/>
      <c r="BL62" s="288"/>
      <c r="BM62" s="290">
        <f>IFERROR(__xludf.DUMMYFUNCTION("""COMPUTED_VALUE"""),250.0)</f>
        <v>250</v>
      </c>
      <c r="BN62" s="287"/>
      <c r="BO62" s="287"/>
      <c r="BP62" s="288"/>
      <c r="BQ62" s="291">
        <f>IFERROR(__xludf.DUMMYFUNCTION("""COMPUTED_VALUE"""),1.0)</f>
        <v>1</v>
      </c>
      <c r="BR62" s="287"/>
      <c r="BS62" s="277" t="str">
        <f>IFERROR(__xludf.DUMMYFUNCTION("IF(BI62="""","""", SPARKLINE(BI62,{""charttype"",""bar"";""max"",BM62; ""color1"",IF(BQ62&gt;=$CA$9,$CB$9,IF(BQ62&lt;$CA$10,$CB$10,$CB$11))}))"),"")</f>
        <v/>
      </c>
      <c r="BT62" s="272"/>
      <c r="BU62" s="272"/>
      <c r="BV62" s="278"/>
      <c r="BW62" s="8"/>
      <c r="BX62" s="8"/>
      <c r="BY62" s="1"/>
      <c r="BZ62" s="1"/>
      <c r="CA62" s="1"/>
      <c r="CB62" s="292"/>
      <c r="CC62" s="293"/>
      <c r="CD62" s="292"/>
      <c r="CE62" s="292"/>
      <c r="CF62" s="292"/>
      <c r="CG62" s="292"/>
      <c r="CH62" s="292"/>
      <c r="CI62" s="292"/>
      <c r="CJ62" s="292"/>
      <c r="CK62" s="292"/>
      <c r="CL62" s="292"/>
      <c r="CM62" s="292"/>
      <c r="CN62" s="292"/>
      <c r="CO62" s="292"/>
      <c r="CP62" s="292"/>
      <c r="CQ62" s="292"/>
      <c r="CR62" s="292"/>
      <c r="CS62" s="292"/>
      <c r="CT62" s="292"/>
      <c r="CU62" s="292"/>
    </row>
    <row r="63" ht="19.5" customHeight="1">
      <c r="A63" s="1"/>
      <c r="B63" s="281" t="b">
        <v>0</v>
      </c>
      <c r="C63" s="282">
        <v>45673.0</v>
      </c>
      <c r="D63" s="165"/>
      <c r="E63" s="165"/>
      <c r="F63" s="165"/>
      <c r="G63" s="165"/>
      <c r="H63" s="283" t="s">
        <v>62</v>
      </c>
      <c r="I63" s="165"/>
      <c r="J63" s="165"/>
      <c r="K63" s="165"/>
      <c r="L63" s="165"/>
      <c r="M63" s="283" t="s">
        <v>67</v>
      </c>
      <c r="N63" s="165"/>
      <c r="O63" s="165"/>
      <c r="P63" s="165"/>
      <c r="Q63" s="165"/>
      <c r="R63" s="165"/>
      <c r="S63" s="165"/>
      <c r="T63" s="165"/>
      <c r="U63" s="284">
        <v>80.0</v>
      </c>
      <c r="V63" s="165"/>
      <c r="W63" s="165"/>
      <c r="X63" s="165"/>
      <c r="Y63" s="165"/>
      <c r="Z63" s="284">
        <v>100.0</v>
      </c>
      <c r="AA63" s="165"/>
      <c r="AB63" s="165"/>
      <c r="AC63" s="165"/>
      <c r="AD63" s="165"/>
      <c r="AE63" s="284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6"/>
      <c r="AX63" s="1"/>
      <c r="AY63" s="294" t="b">
        <v>0</v>
      </c>
      <c r="AZ63" s="286"/>
      <c r="BA63" s="287"/>
      <c r="BB63" s="287"/>
      <c r="BC63" s="287"/>
      <c r="BD63" s="287"/>
      <c r="BE63" s="288"/>
      <c r="BF63" s="289"/>
      <c r="BG63" s="287"/>
      <c r="BH63" s="288"/>
      <c r="BI63" s="290"/>
      <c r="BJ63" s="287"/>
      <c r="BK63" s="287"/>
      <c r="BL63" s="288"/>
      <c r="BM63" s="290"/>
      <c r="BN63" s="287"/>
      <c r="BO63" s="287"/>
      <c r="BP63" s="288"/>
      <c r="BQ63" s="291"/>
      <c r="BR63" s="287"/>
      <c r="BS63" s="277" t="str">
        <f>IFERROR(__xludf.DUMMYFUNCTION("IF(BI63="""","""", SPARKLINE(BI63,{""charttype"",""bar"";""max"",BM63; ""color1"",IF(BQ63&gt;=$CA$9,$CB$9,IF(BQ63&lt;$CA$10,$CB$10,$CB$11))}))"),"")</f>
        <v/>
      </c>
      <c r="BT63" s="272"/>
      <c r="BU63" s="272"/>
      <c r="BV63" s="278"/>
      <c r="BW63" s="8"/>
      <c r="BX63" s="8"/>
      <c r="BY63" s="1"/>
      <c r="BZ63" s="1"/>
      <c r="CA63" s="1"/>
      <c r="CB63" s="292"/>
      <c r="CC63" s="293"/>
      <c r="CD63" s="292"/>
      <c r="CE63" s="292"/>
      <c r="CF63" s="292"/>
      <c r="CG63" s="292"/>
      <c r="CH63" s="292"/>
      <c r="CI63" s="292"/>
      <c r="CJ63" s="292"/>
      <c r="CK63" s="292"/>
      <c r="CL63" s="292"/>
      <c r="CM63" s="292"/>
      <c r="CN63" s="292"/>
      <c r="CO63" s="292"/>
      <c r="CP63" s="292"/>
      <c r="CQ63" s="292"/>
      <c r="CR63" s="292"/>
      <c r="CS63" s="292"/>
      <c r="CT63" s="292"/>
      <c r="CU63" s="292"/>
    </row>
    <row r="64" ht="19.5" customHeight="1">
      <c r="A64" s="1"/>
      <c r="B64" s="295" t="b">
        <v>0</v>
      </c>
      <c r="C64" s="282">
        <v>45658.0</v>
      </c>
      <c r="D64" s="165"/>
      <c r="E64" s="165"/>
      <c r="F64" s="165"/>
      <c r="G64" s="165"/>
      <c r="H64" s="283" t="s">
        <v>68</v>
      </c>
      <c r="I64" s="165"/>
      <c r="J64" s="165"/>
      <c r="K64" s="165"/>
      <c r="L64" s="165"/>
      <c r="M64" s="283" t="s">
        <v>69</v>
      </c>
      <c r="N64" s="165"/>
      <c r="O64" s="165"/>
      <c r="P64" s="165"/>
      <c r="Q64" s="165"/>
      <c r="R64" s="165"/>
      <c r="S64" s="165"/>
      <c r="T64" s="165"/>
      <c r="U64" s="284">
        <v>300.0</v>
      </c>
      <c r="V64" s="165"/>
      <c r="W64" s="165"/>
      <c r="X64" s="165"/>
      <c r="Y64" s="165"/>
      <c r="Z64" s="284">
        <v>300.0</v>
      </c>
      <c r="AA64" s="165"/>
      <c r="AB64" s="165"/>
      <c r="AC64" s="165"/>
      <c r="AD64" s="165"/>
      <c r="AE64" s="284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6"/>
      <c r="AX64" s="1"/>
      <c r="AY64" s="294" t="b">
        <v>0</v>
      </c>
      <c r="AZ64" s="286"/>
      <c r="BA64" s="287"/>
      <c r="BB64" s="287"/>
      <c r="BC64" s="287"/>
      <c r="BD64" s="287"/>
      <c r="BE64" s="288"/>
      <c r="BF64" s="289"/>
      <c r="BG64" s="287"/>
      <c r="BH64" s="288"/>
      <c r="BI64" s="290"/>
      <c r="BJ64" s="287"/>
      <c r="BK64" s="287"/>
      <c r="BL64" s="288"/>
      <c r="BM64" s="290"/>
      <c r="BN64" s="287"/>
      <c r="BO64" s="287"/>
      <c r="BP64" s="288"/>
      <c r="BQ64" s="291"/>
      <c r="BR64" s="287"/>
      <c r="BS64" s="277" t="str">
        <f>IFERROR(__xludf.DUMMYFUNCTION("IF(BI64="""","""", SPARKLINE(BI64,{""charttype"",""bar"";""max"",BM64; ""color1"",IF(BQ64&gt;=$CA$9,$CB$9,IF(BQ64&lt;$CA$10,$CB$10,$CB$11))}))"),"")</f>
        <v/>
      </c>
      <c r="BT64" s="272"/>
      <c r="BU64" s="272"/>
      <c r="BV64" s="278"/>
      <c r="BW64" s="8"/>
      <c r="BX64" s="8"/>
      <c r="BY64" s="1"/>
      <c r="BZ64" s="1"/>
      <c r="CA64" s="1"/>
      <c r="CB64" s="292"/>
      <c r="CC64" s="293"/>
      <c r="CD64" s="292"/>
      <c r="CE64" s="292"/>
      <c r="CF64" s="292"/>
      <c r="CG64" s="292"/>
      <c r="CH64" s="292"/>
      <c r="CI64" s="292"/>
      <c r="CJ64" s="292"/>
      <c r="CK64" s="292"/>
      <c r="CL64" s="292"/>
      <c r="CM64" s="292"/>
      <c r="CN64" s="292"/>
      <c r="CO64" s="292"/>
      <c r="CP64" s="292"/>
      <c r="CQ64" s="292"/>
      <c r="CR64" s="292"/>
      <c r="CS64" s="292"/>
      <c r="CT64" s="292"/>
      <c r="CU64" s="292"/>
    </row>
    <row r="65" ht="19.5" customHeight="1">
      <c r="A65" s="1"/>
      <c r="B65" s="281" t="b">
        <v>0</v>
      </c>
      <c r="C65" s="282">
        <v>45658.0</v>
      </c>
      <c r="D65" s="165"/>
      <c r="E65" s="165"/>
      <c r="F65" s="165"/>
      <c r="G65" s="165"/>
      <c r="H65" s="283" t="s">
        <v>22</v>
      </c>
      <c r="I65" s="165"/>
      <c r="J65" s="165"/>
      <c r="K65" s="165"/>
      <c r="L65" s="165"/>
      <c r="M65" s="283" t="s">
        <v>70</v>
      </c>
      <c r="N65" s="165"/>
      <c r="O65" s="165"/>
      <c r="P65" s="165"/>
      <c r="Q65" s="165"/>
      <c r="R65" s="165"/>
      <c r="S65" s="165"/>
      <c r="T65" s="165"/>
      <c r="U65" s="284">
        <v>3400.0</v>
      </c>
      <c r="V65" s="165"/>
      <c r="W65" s="165"/>
      <c r="X65" s="165"/>
      <c r="Y65" s="165"/>
      <c r="Z65" s="284">
        <v>3400.0</v>
      </c>
      <c r="AA65" s="165"/>
      <c r="AB65" s="165"/>
      <c r="AC65" s="165"/>
      <c r="AD65" s="165"/>
      <c r="AE65" s="284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6"/>
      <c r="AX65" s="1"/>
      <c r="AY65" s="294" t="b">
        <v>0</v>
      </c>
      <c r="AZ65" s="286"/>
      <c r="BA65" s="287"/>
      <c r="BB65" s="287"/>
      <c r="BC65" s="287"/>
      <c r="BD65" s="287"/>
      <c r="BE65" s="288"/>
      <c r="BF65" s="289"/>
      <c r="BG65" s="287"/>
      <c r="BH65" s="288"/>
      <c r="BI65" s="290"/>
      <c r="BJ65" s="287"/>
      <c r="BK65" s="287"/>
      <c r="BL65" s="288"/>
      <c r="BM65" s="290"/>
      <c r="BN65" s="287"/>
      <c r="BO65" s="287"/>
      <c r="BP65" s="288"/>
      <c r="BQ65" s="291"/>
      <c r="BR65" s="287"/>
      <c r="BS65" s="277" t="str">
        <f>IFERROR(__xludf.DUMMYFUNCTION("IF(BI65="""","""", SPARKLINE(BI65,{""charttype"",""bar"";""max"",BM65; ""color1"",IF(BQ65&gt;=$CA$9,$CB$9,IF(BQ65&lt;$CA$10,$CB$10,$CB$11))}))"),"")</f>
        <v/>
      </c>
      <c r="BT65" s="272"/>
      <c r="BU65" s="272"/>
      <c r="BV65" s="278"/>
      <c r="BW65" s="8"/>
      <c r="BX65" s="8"/>
      <c r="BY65" s="1"/>
      <c r="BZ65" s="1"/>
      <c r="CA65" s="1"/>
      <c r="CB65" s="292"/>
      <c r="CC65" s="293"/>
      <c r="CD65" s="292"/>
      <c r="CE65" s="292"/>
      <c r="CF65" s="292"/>
      <c r="CG65" s="292"/>
      <c r="CH65" s="292"/>
      <c r="CI65" s="292"/>
      <c r="CJ65" s="292"/>
      <c r="CK65" s="292"/>
      <c r="CL65" s="292"/>
      <c r="CM65" s="292"/>
      <c r="CN65" s="292"/>
      <c r="CO65" s="292"/>
      <c r="CP65" s="292"/>
      <c r="CQ65" s="292"/>
      <c r="CR65" s="292"/>
      <c r="CS65" s="292"/>
      <c r="CT65" s="292"/>
      <c r="CU65" s="292"/>
    </row>
    <row r="66" ht="19.5" customHeight="1">
      <c r="A66" s="1"/>
      <c r="B66" s="281" t="b">
        <v>0</v>
      </c>
      <c r="C66" s="282">
        <v>45675.0</v>
      </c>
      <c r="D66" s="165"/>
      <c r="E66" s="165"/>
      <c r="F66" s="165"/>
      <c r="G66" s="165"/>
      <c r="H66" s="283" t="s">
        <v>64</v>
      </c>
      <c r="I66" s="165"/>
      <c r="J66" s="165"/>
      <c r="K66" s="165"/>
      <c r="L66" s="165"/>
      <c r="M66" s="283" t="s">
        <v>71</v>
      </c>
      <c r="N66" s="165"/>
      <c r="O66" s="165"/>
      <c r="P66" s="165"/>
      <c r="Q66" s="165"/>
      <c r="R66" s="165"/>
      <c r="S66" s="165"/>
      <c r="T66" s="165"/>
      <c r="U66" s="284">
        <v>10.0</v>
      </c>
      <c r="V66" s="165"/>
      <c r="W66" s="165"/>
      <c r="X66" s="165"/>
      <c r="Y66" s="165"/>
      <c r="Z66" s="284">
        <v>10.0</v>
      </c>
      <c r="AA66" s="165"/>
      <c r="AB66" s="165"/>
      <c r="AC66" s="165"/>
      <c r="AD66" s="165"/>
      <c r="AE66" s="284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6"/>
      <c r="AX66" s="1"/>
      <c r="AY66" s="294" t="b">
        <v>0</v>
      </c>
      <c r="AZ66" s="286"/>
      <c r="BA66" s="287"/>
      <c r="BB66" s="287"/>
      <c r="BC66" s="287"/>
      <c r="BD66" s="287"/>
      <c r="BE66" s="288"/>
      <c r="BF66" s="289"/>
      <c r="BG66" s="287"/>
      <c r="BH66" s="288"/>
      <c r="BI66" s="290"/>
      <c r="BJ66" s="287"/>
      <c r="BK66" s="287"/>
      <c r="BL66" s="288"/>
      <c r="BM66" s="290"/>
      <c r="BN66" s="287"/>
      <c r="BO66" s="287"/>
      <c r="BP66" s="288"/>
      <c r="BQ66" s="291"/>
      <c r="BR66" s="287"/>
      <c r="BS66" s="277" t="str">
        <f>IFERROR(__xludf.DUMMYFUNCTION("IF(BI66="""","""", SPARKLINE(BI66,{""charttype"",""bar"";""max"",BM66; ""color1"",IF(BQ66&gt;=$CA$9,$CB$9,IF(BQ66&lt;$CA$10,$CB$10,$CB$11))}))"),"")</f>
        <v/>
      </c>
      <c r="BT66" s="272"/>
      <c r="BU66" s="272"/>
      <c r="BV66" s="278"/>
      <c r="BW66" s="8"/>
      <c r="BX66" s="8"/>
      <c r="BY66" s="1"/>
      <c r="BZ66" s="1"/>
      <c r="CA66" s="1"/>
      <c r="CB66" s="292"/>
      <c r="CC66" s="293"/>
      <c r="CD66" s="292"/>
      <c r="CE66" s="292"/>
      <c r="CF66" s="292"/>
      <c r="CG66" s="292"/>
      <c r="CH66" s="292"/>
      <c r="CI66" s="292"/>
      <c r="CJ66" s="292"/>
      <c r="CK66" s="292"/>
      <c r="CL66" s="292"/>
      <c r="CM66" s="292"/>
      <c r="CN66" s="292"/>
      <c r="CO66" s="292"/>
      <c r="CP66" s="292"/>
      <c r="CQ66" s="292"/>
      <c r="CR66" s="292"/>
      <c r="CS66" s="292"/>
      <c r="CT66" s="292"/>
      <c r="CU66" s="292"/>
    </row>
    <row r="67" ht="19.5" customHeight="1">
      <c r="A67" s="1"/>
      <c r="B67" s="295" t="b">
        <v>0</v>
      </c>
      <c r="C67" s="282">
        <v>45672.0</v>
      </c>
      <c r="D67" s="165"/>
      <c r="E67" s="165"/>
      <c r="F67" s="165"/>
      <c r="G67" s="165"/>
      <c r="H67" s="283" t="s">
        <v>62</v>
      </c>
      <c r="I67" s="165"/>
      <c r="J67" s="165"/>
      <c r="K67" s="165"/>
      <c r="L67" s="165"/>
      <c r="M67" s="283" t="s">
        <v>72</v>
      </c>
      <c r="N67" s="165"/>
      <c r="O67" s="165"/>
      <c r="P67" s="165"/>
      <c r="Q67" s="165"/>
      <c r="R67" s="165"/>
      <c r="S67" s="165"/>
      <c r="T67" s="165"/>
      <c r="U67" s="284">
        <v>5.0</v>
      </c>
      <c r="V67" s="165"/>
      <c r="W67" s="165"/>
      <c r="X67" s="165"/>
      <c r="Y67" s="165"/>
      <c r="Z67" s="284">
        <v>15.0</v>
      </c>
      <c r="AA67" s="165"/>
      <c r="AB67" s="165"/>
      <c r="AC67" s="165"/>
      <c r="AD67" s="165"/>
      <c r="AE67" s="284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6"/>
      <c r="AX67" s="1"/>
      <c r="AY67" s="294" t="b">
        <v>0</v>
      </c>
      <c r="AZ67" s="286"/>
      <c r="BA67" s="287"/>
      <c r="BB67" s="287"/>
      <c r="BC67" s="287"/>
      <c r="BD67" s="287"/>
      <c r="BE67" s="288"/>
      <c r="BF67" s="289"/>
      <c r="BG67" s="287"/>
      <c r="BH67" s="288"/>
      <c r="BI67" s="290"/>
      <c r="BJ67" s="287"/>
      <c r="BK67" s="287"/>
      <c r="BL67" s="288"/>
      <c r="BM67" s="290"/>
      <c r="BN67" s="287"/>
      <c r="BO67" s="287"/>
      <c r="BP67" s="288"/>
      <c r="BQ67" s="291"/>
      <c r="BR67" s="287"/>
      <c r="BS67" s="277" t="str">
        <f>IFERROR(__xludf.DUMMYFUNCTION("IF(BI67="""","""", SPARKLINE(BI67,{""charttype"",""bar"";""max"",BM67; ""color1"",IF(BQ67&gt;=$CA$9,$CB$9,IF(BQ67&lt;$CA$10,$CB$10,$CB$11))}))"),"")</f>
        <v/>
      </c>
      <c r="BT67" s="272"/>
      <c r="BU67" s="272"/>
      <c r="BV67" s="278"/>
      <c r="BW67" s="8"/>
      <c r="BX67" s="8"/>
      <c r="BY67" s="1"/>
      <c r="BZ67" s="1"/>
      <c r="CA67" s="1"/>
      <c r="CB67" s="292"/>
      <c r="CC67" s="293"/>
      <c r="CD67" s="292"/>
      <c r="CE67" s="292"/>
      <c r="CF67" s="292"/>
      <c r="CG67" s="292"/>
      <c r="CH67" s="292"/>
      <c r="CI67" s="292"/>
      <c r="CJ67" s="292"/>
      <c r="CK67" s="292"/>
      <c r="CL67" s="292"/>
      <c r="CM67" s="292"/>
      <c r="CN67" s="292"/>
      <c r="CO67" s="292"/>
      <c r="CP67" s="292"/>
      <c r="CQ67" s="292"/>
      <c r="CR67" s="292"/>
      <c r="CS67" s="292"/>
      <c r="CT67" s="292"/>
      <c r="CU67" s="292"/>
    </row>
    <row r="68" ht="19.5" customHeight="1">
      <c r="A68" s="1"/>
      <c r="B68" s="281" t="b">
        <v>0</v>
      </c>
      <c r="C68" s="282">
        <v>45661.0</v>
      </c>
      <c r="D68" s="165"/>
      <c r="E68" s="165"/>
      <c r="F68" s="165"/>
      <c r="G68" s="165"/>
      <c r="H68" s="283" t="s">
        <v>62</v>
      </c>
      <c r="I68" s="165"/>
      <c r="J68" s="165"/>
      <c r="K68" s="165"/>
      <c r="L68" s="165"/>
      <c r="M68" s="283" t="s">
        <v>72</v>
      </c>
      <c r="N68" s="165"/>
      <c r="O68" s="165"/>
      <c r="P68" s="165"/>
      <c r="Q68" s="165"/>
      <c r="R68" s="165"/>
      <c r="S68" s="165"/>
      <c r="T68" s="165"/>
      <c r="U68" s="284">
        <v>30.0</v>
      </c>
      <c r="V68" s="165"/>
      <c r="W68" s="165"/>
      <c r="X68" s="165"/>
      <c r="Y68" s="165"/>
      <c r="Z68" s="284">
        <v>60.0</v>
      </c>
      <c r="AA68" s="165"/>
      <c r="AB68" s="165"/>
      <c r="AC68" s="165"/>
      <c r="AD68" s="165"/>
      <c r="AE68" s="284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6"/>
      <c r="AX68" s="1"/>
      <c r="AY68" s="294" t="b">
        <v>0</v>
      </c>
      <c r="AZ68" s="286"/>
      <c r="BA68" s="287"/>
      <c r="BB68" s="287"/>
      <c r="BC68" s="287"/>
      <c r="BD68" s="287"/>
      <c r="BE68" s="288"/>
      <c r="BF68" s="289"/>
      <c r="BG68" s="287"/>
      <c r="BH68" s="288"/>
      <c r="BI68" s="290"/>
      <c r="BJ68" s="287"/>
      <c r="BK68" s="287"/>
      <c r="BL68" s="288"/>
      <c r="BM68" s="290"/>
      <c r="BN68" s="287"/>
      <c r="BO68" s="287"/>
      <c r="BP68" s="288"/>
      <c r="BQ68" s="291"/>
      <c r="BR68" s="287"/>
      <c r="BS68" s="277" t="str">
        <f>IFERROR(__xludf.DUMMYFUNCTION("IF(BI68="""","""", SPARKLINE(BI68,{""charttype"",""bar"";""max"",BM68; ""color1"",IF(BQ68&gt;=$CA$9,$CB$9,IF(BQ68&lt;$CA$10,$CB$10,$CB$11))}))"),"")</f>
        <v/>
      </c>
      <c r="BT68" s="272"/>
      <c r="BU68" s="272"/>
      <c r="BV68" s="278"/>
      <c r="BW68" s="8"/>
      <c r="BX68" s="8"/>
      <c r="BY68" s="1"/>
      <c r="BZ68" s="1"/>
      <c r="CA68" s="1"/>
      <c r="CB68" s="292"/>
      <c r="CC68" s="293"/>
      <c r="CD68" s="292"/>
      <c r="CE68" s="292"/>
      <c r="CF68" s="292"/>
      <c r="CG68" s="292"/>
      <c r="CH68" s="292"/>
      <c r="CI68" s="292"/>
      <c r="CJ68" s="292"/>
      <c r="CK68" s="292"/>
      <c r="CL68" s="292"/>
      <c r="CM68" s="292"/>
      <c r="CN68" s="292"/>
      <c r="CO68" s="292"/>
      <c r="CP68" s="292"/>
      <c r="CQ68" s="292"/>
      <c r="CR68" s="292"/>
      <c r="CS68" s="292"/>
      <c r="CT68" s="292"/>
      <c r="CU68" s="292"/>
    </row>
    <row r="69" ht="19.5" customHeight="1">
      <c r="A69" s="1"/>
      <c r="B69" s="281" t="b">
        <v>0</v>
      </c>
      <c r="C69" s="282">
        <v>45660.0</v>
      </c>
      <c r="D69" s="165"/>
      <c r="E69" s="165"/>
      <c r="F69" s="165"/>
      <c r="G69" s="165"/>
      <c r="H69" s="283" t="s">
        <v>73</v>
      </c>
      <c r="I69" s="165"/>
      <c r="J69" s="165"/>
      <c r="K69" s="165"/>
      <c r="L69" s="165"/>
      <c r="M69" s="283" t="s">
        <v>74</v>
      </c>
      <c r="N69" s="165"/>
      <c r="O69" s="165"/>
      <c r="P69" s="165"/>
      <c r="Q69" s="165"/>
      <c r="R69" s="165"/>
      <c r="S69" s="165"/>
      <c r="T69" s="165"/>
      <c r="U69" s="284">
        <v>250.0</v>
      </c>
      <c r="V69" s="165"/>
      <c r="W69" s="165"/>
      <c r="X69" s="165"/>
      <c r="Y69" s="165"/>
      <c r="Z69" s="284">
        <v>250.0</v>
      </c>
      <c r="AA69" s="165"/>
      <c r="AB69" s="165"/>
      <c r="AC69" s="165"/>
      <c r="AD69" s="165"/>
      <c r="AE69" s="284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6"/>
      <c r="AX69" s="1"/>
      <c r="AY69" s="294" t="b">
        <v>0</v>
      </c>
      <c r="AZ69" s="286"/>
      <c r="BA69" s="287"/>
      <c r="BB69" s="287"/>
      <c r="BC69" s="287"/>
      <c r="BD69" s="287"/>
      <c r="BE69" s="288"/>
      <c r="BF69" s="289"/>
      <c r="BG69" s="287"/>
      <c r="BH69" s="288"/>
      <c r="BI69" s="290"/>
      <c r="BJ69" s="287"/>
      <c r="BK69" s="287"/>
      <c r="BL69" s="288"/>
      <c r="BM69" s="290"/>
      <c r="BN69" s="287"/>
      <c r="BO69" s="287"/>
      <c r="BP69" s="288"/>
      <c r="BQ69" s="291"/>
      <c r="BR69" s="287"/>
      <c r="BS69" s="277" t="str">
        <f>IFERROR(__xludf.DUMMYFUNCTION("IF(BI69="""","""", SPARKLINE(BI69,{""charttype"",""bar"";""max"",BM69; ""color1"",IF(BQ69&gt;=$CA$9,$CB$9,IF(BQ69&lt;$CA$10,$CB$10,$CB$11))}))"),"")</f>
        <v/>
      </c>
      <c r="BT69" s="272"/>
      <c r="BU69" s="272"/>
      <c r="BV69" s="278"/>
      <c r="BW69" s="8"/>
      <c r="BX69" s="8"/>
      <c r="BY69" s="1"/>
      <c r="BZ69" s="1"/>
      <c r="CA69" s="1"/>
      <c r="CB69" s="292"/>
      <c r="CC69" s="293"/>
      <c r="CD69" s="292"/>
      <c r="CE69" s="292"/>
      <c r="CF69" s="292"/>
      <c r="CG69" s="292"/>
      <c r="CH69" s="292"/>
      <c r="CI69" s="292"/>
      <c r="CJ69" s="292"/>
      <c r="CK69" s="292"/>
      <c r="CL69" s="292"/>
      <c r="CM69" s="292"/>
      <c r="CN69" s="292"/>
      <c r="CO69" s="292"/>
      <c r="CP69" s="292"/>
      <c r="CQ69" s="292"/>
      <c r="CR69" s="292"/>
      <c r="CS69" s="292"/>
      <c r="CT69" s="292"/>
      <c r="CU69" s="292"/>
    </row>
    <row r="70" ht="19.5" customHeight="1">
      <c r="A70" s="1"/>
      <c r="B70" s="295" t="b">
        <v>0</v>
      </c>
      <c r="C70" s="282">
        <v>45662.0</v>
      </c>
      <c r="D70" s="165"/>
      <c r="E70" s="165"/>
      <c r="F70" s="165"/>
      <c r="G70" s="165"/>
      <c r="H70" s="283" t="s">
        <v>22</v>
      </c>
      <c r="I70" s="165"/>
      <c r="J70" s="165"/>
      <c r="K70" s="165"/>
      <c r="L70" s="165"/>
      <c r="M70" s="283" t="s">
        <v>75</v>
      </c>
      <c r="N70" s="165"/>
      <c r="O70" s="165"/>
      <c r="P70" s="165"/>
      <c r="Q70" s="165"/>
      <c r="R70" s="165"/>
      <c r="S70" s="165"/>
      <c r="T70" s="165"/>
      <c r="U70" s="284">
        <v>1200.0</v>
      </c>
      <c r="V70" s="165"/>
      <c r="W70" s="165"/>
      <c r="X70" s="165"/>
      <c r="Y70" s="165"/>
      <c r="Z70" s="284">
        <v>1200.0</v>
      </c>
      <c r="AA70" s="165"/>
      <c r="AB70" s="165"/>
      <c r="AC70" s="165"/>
      <c r="AD70" s="165"/>
      <c r="AE70" s="284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6"/>
      <c r="AX70" s="1"/>
      <c r="AY70" s="294" t="b">
        <v>0</v>
      </c>
      <c r="AZ70" s="286"/>
      <c r="BA70" s="287"/>
      <c r="BB70" s="287"/>
      <c r="BC70" s="287"/>
      <c r="BD70" s="287"/>
      <c r="BE70" s="288"/>
      <c r="BF70" s="289"/>
      <c r="BG70" s="287"/>
      <c r="BH70" s="288"/>
      <c r="BI70" s="290"/>
      <c r="BJ70" s="287"/>
      <c r="BK70" s="287"/>
      <c r="BL70" s="288"/>
      <c r="BM70" s="290"/>
      <c r="BN70" s="287"/>
      <c r="BO70" s="287"/>
      <c r="BP70" s="288"/>
      <c r="BQ70" s="291"/>
      <c r="BR70" s="287"/>
      <c r="BS70" s="277" t="str">
        <f>IFERROR(__xludf.DUMMYFUNCTION("IF(BI70="""","""", SPARKLINE(BI70,{""charttype"",""bar"";""max"",BM70; ""color1"",IF(BQ70&gt;=$CA$9,$CB$9,IF(BQ70&lt;$CA$10,$CB$10,$CB$11))}))"),"")</f>
        <v/>
      </c>
      <c r="BT70" s="272"/>
      <c r="BU70" s="272"/>
      <c r="BV70" s="278"/>
      <c r="BW70" s="8"/>
      <c r="BX70" s="8"/>
      <c r="BY70" s="1"/>
      <c r="BZ70" s="1"/>
      <c r="CA70" s="1"/>
      <c r="CB70" s="292"/>
      <c r="CC70" s="293"/>
      <c r="CD70" s="292"/>
      <c r="CE70" s="292"/>
      <c r="CF70" s="292"/>
      <c r="CG70" s="292"/>
      <c r="CH70" s="292"/>
      <c r="CI70" s="292"/>
      <c r="CJ70" s="292"/>
      <c r="CK70" s="292"/>
      <c r="CL70" s="292"/>
      <c r="CM70" s="292"/>
      <c r="CN70" s="292"/>
      <c r="CO70" s="292"/>
      <c r="CP70" s="292"/>
      <c r="CQ70" s="292"/>
      <c r="CR70" s="292"/>
      <c r="CS70" s="292"/>
      <c r="CT70" s="292"/>
      <c r="CU70" s="292"/>
    </row>
    <row r="71" ht="19.5" customHeight="1">
      <c r="A71" s="1"/>
      <c r="B71" s="295" t="b">
        <v>0</v>
      </c>
      <c r="C71" s="282">
        <v>45674.0</v>
      </c>
      <c r="D71" s="165"/>
      <c r="E71" s="165"/>
      <c r="F71" s="165"/>
      <c r="G71" s="165"/>
      <c r="H71" s="283" t="s">
        <v>73</v>
      </c>
      <c r="I71" s="165"/>
      <c r="J71" s="165"/>
      <c r="K71" s="165"/>
      <c r="L71" s="165"/>
      <c r="M71" s="283" t="s">
        <v>74</v>
      </c>
      <c r="N71" s="165"/>
      <c r="O71" s="165"/>
      <c r="P71" s="165"/>
      <c r="Q71" s="165"/>
      <c r="R71" s="165"/>
      <c r="S71" s="165"/>
      <c r="T71" s="165"/>
      <c r="U71" s="284">
        <v>250.0</v>
      </c>
      <c r="V71" s="165"/>
      <c r="W71" s="165"/>
      <c r="X71" s="165"/>
      <c r="Y71" s="165"/>
      <c r="Z71" s="284">
        <v>250.0</v>
      </c>
      <c r="AA71" s="165"/>
      <c r="AB71" s="165"/>
      <c r="AC71" s="165"/>
      <c r="AD71" s="165"/>
      <c r="AE71" s="284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6"/>
      <c r="AX71" s="1"/>
      <c r="AY71" s="294" t="b">
        <v>0</v>
      </c>
      <c r="AZ71" s="286"/>
      <c r="BA71" s="287"/>
      <c r="BB71" s="287"/>
      <c r="BC71" s="287"/>
      <c r="BD71" s="287"/>
      <c r="BE71" s="288"/>
      <c r="BF71" s="289"/>
      <c r="BG71" s="287"/>
      <c r="BH71" s="288"/>
      <c r="BI71" s="290"/>
      <c r="BJ71" s="287"/>
      <c r="BK71" s="287"/>
      <c r="BL71" s="288"/>
      <c r="BM71" s="290"/>
      <c r="BN71" s="287"/>
      <c r="BO71" s="287"/>
      <c r="BP71" s="288"/>
      <c r="BQ71" s="291"/>
      <c r="BR71" s="287"/>
      <c r="BS71" s="277" t="str">
        <f>IFERROR(__xludf.DUMMYFUNCTION("IF(BI71="""","""", SPARKLINE(BI71,{""charttype"",""bar"";""max"",BM71; ""color1"",IF(BQ71&gt;=$CA$9,$CB$9,IF(BQ71&lt;$CA$10,$CB$10,$CB$11))}))"),"")</f>
        <v/>
      </c>
      <c r="BT71" s="272"/>
      <c r="BU71" s="272"/>
      <c r="BV71" s="278"/>
      <c r="BW71" s="8"/>
      <c r="BX71" s="8"/>
      <c r="BY71" s="1"/>
      <c r="BZ71" s="1"/>
      <c r="CA71" s="1"/>
      <c r="CB71" s="292"/>
      <c r="CC71" s="293"/>
      <c r="CD71" s="292"/>
      <c r="CE71" s="292"/>
      <c r="CF71" s="292"/>
      <c r="CG71" s="292"/>
      <c r="CH71" s="292"/>
      <c r="CI71" s="292"/>
      <c r="CJ71" s="292"/>
      <c r="CK71" s="292"/>
      <c r="CL71" s="292"/>
      <c r="CM71" s="292"/>
      <c r="CN71" s="292"/>
      <c r="CO71" s="292"/>
      <c r="CP71" s="292"/>
      <c r="CQ71" s="292"/>
      <c r="CR71" s="292"/>
      <c r="CS71" s="292"/>
      <c r="CT71" s="292"/>
      <c r="CU71" s="292"/>
    </row>
    <row r="72" ht="19.5" customHeight="1">
      <c r="A72" s="1"/>
      <c r="B72" s="295" t="b">
        <v>0</v>
      </c>
      <c r="C72" s="282">
        <v>45677.0</v>
      </c>
      <c r="D72" s="165"/>
      <c r="E72" s="165"/>
      <c r="F72" s="165"/>
      <c r="G72" s="165"/>
      <c r="H72" s="283" t="s">
        <v>62</v>
      </c>
      <c r="I72" s="165"/>
      <c r="J72" s="165"/>
      <c r="K72" s="165"/>
      <c r="L72" s="165"/>
      <c r="M72" s="283" t="s">
        <v>76</v>
      </c>
      <c r="N72" s="165"/>
      <c r="O72" s="165"/>
      <c r="P72" s="165"/>
      <c r="Q72" s="165"/>
      <c r="R72" s="165"/>
      <c r="S72" s="165"/>
      <c r="T72" s="165"/>
      <c r="U72" s="284">
        <v>110.0</v>
      </c>
      <c r="V72" s="165"/>
      <c r="W72" s="165"/>
      <c r="X72" s="165"/>
      <c r="Y72" s="165"/>
      <c r="Z72" s="284">
        <v>100.0</v>
      </c>
      <c r="AA72" s="165"/>
      <c r="AB72" s="165"/>
      <c r="AC72" s="165"/>
      <c r="AD72" s="165"/>
      <c r="AE72" s="284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6"/>
      <c r="AX72" s="1"/>
      <c r="AY72" s="294" t="b">
        <v>0</v>
      </c>
      <c r="AZ72" s="286"/>
      <c r="BA72" s="287"/>
      <c r="BB72" s="287"/>
      <c r="BC72" s="287"/>
      <c r="BD72" s="287"/>
      <c r="BE72" s="288"/>
      <c r="BF72" s="289"/>
      <c r="BG72" s="287"/>
      <c r="BH72" s="288"/>
      <c r="BI72" s="290"/>
      <c r="BJ72" s="287"/>
      <c r="BK72" s="287"/>
      <c r="BL72" s="288"/>
      <c r="BM72" s="290"/>
      <c r="BN72" s="287"/>
      <c r="BO72" s="287"/>
      <c r="BP72" s="288"/>
      <c r="BQ72" s="291"/>
      <c r="BR72" s="287"/>
      <c r="BS72" s="277" t="str">
        <f>IFERROR(__xludf.DUMMYFUNCTION("IF(BI72="""","""", SPARKLINE(BI72,{""charttype"",""bar"";""max"",BM72; ""color1"",IF(BQ72&gt;=$CA$9,$CB$9,IF(BQ72&lt;$CA$10,$CB$10,$CB$11))}))"),"")</f>
        <v/>
      </c>
      <c r="BT72" s="272"/>
      <c r="BU72" s="272"/>
      <c r="BV72" s="278"/>
      <c r="BW72" s="1"/>
      <c r="BX72" s="1"/>
      <c r="BY72" s="1"/>
      <c r="BZ72" s="21"/>
      <c r="CA72" s="1"/>
      <c r="CB72" s="292"/>
      <c r="CC72" s="22"/>
      <c r="CD72" s="292"/>
      <c r="CE72" s="292"/>
      <c r="CF72" s="292"/>
      <c r="CG72" s="292"/>
      <c r="CH72" s="292"/>
      <c r="CI72" s="292"/>
      <c r="CJ72" s="292"/>
      <c r="CK72" s="292"/>
      <c r="CL72" s="292"/>
      <c r="CM72" s="292"/>
      <c r="CN72" s="292"/>
      <c r="CO72" s="292"/>
      <c r="CP72" s="292"/>
      <c r="CQ72" s="292"/>
      <c r="CR72" s="292"/>
      <c r="CS72" s="292"/>
      <c r="CT72" s="292"/>
      <c r="CU72" s="292"/>
    </row>
    <row r="73" ht="19.5" customHeight="1">
      <c r="A73" s="1"/>
      <c r="B73" s="295" t="b">
        <v>0</v>
      </c>
      <c r="C73" s="282">
        <v>45658.0</v>
      </c>
      <c r="D73" s="165"/>
      <c r="E73" s="165"/>
      <c r="F73" s="165"/>
      <c r="G73" s="165"/>
      <c r="H73" s="283" t="s">
        <v>68</v>
      </c>
      <c r="I73" s="165"/>
      <c r="J73" s="165"/>
      <c r="K73" s="165"/>
      <c r="L73" s="165"/>
      <c r="M73" s="283" t="s">
        <v>77</v>
      </c>
      <c r="N73" s="165"/>
      <c r="O73" s="165"/>
      <c r="P73" s="165"/>
      <c r="Q73" s="165"/>
      <c r="R73" s="165"/>
      <c r="S73" s="165"/>
      <c r="T73" s="165"/>
      <c r="U73" s="284">
        <v>100.0</v>
      </c>
      <c r="V73" s="165"/>
      <c r="W73" s="165"/>
      <c r="X73" s="165"/>
      <c r="Y73" s="165"/>
      <c r="Z73" s="284">
        <v>150.0</v>
      </c>
      <c r="AA73" s="165"/>
      <c r="AB73" s="165"/>
      <c r="AC73" s="165"/>
      <c r="AD73" s="165"/>
      <c r="AE73" s="284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6"/>
      <c r="AX73" s="1"/>
      <c r="AY73" s="294" t="b">
        <v>0</v>
      </c>
      <c r="AZ73" s="286"/>
      <c r="BA73" s="287"/>
      <c r="BB73" s="287"/>
      <c r="BC73" s="287"/>
      <c r="BD73" s="287"/>
      <c r="BE73" s="288"/>
      <c r="BF73" s="289"/>
      <c r="BG73" s="287"/>
      <c r="BH73" s="288"/>
      <c r="BI73" s="290"/>
      <c r="BJ73" s="287"/>
      <c r="BK73" s="287"/>
      <c r="BL73" s="288"/>
      <c r="BM73" s="290"/>
      <c r="BN73" s="287"/>
      <c r="BO73" s="287"/>
      <c r="BP73" s="288"/>
      <c r="BQ73" s="291"/>
      <c r="BR73" s="287"/>
      <c r="BS73" s="277" t="str">
        <f>IFERROR(__xludf.DUMMYFUNCTION("IF(BI73="""","""", SPARKLINE(BI73,{""charttype"",""bar"";""max"",BM73; ""color1"",IF(BQ73&gt;=$CA$9,$CB$9,IF(BQ73&lt;$CA$10,$CB$10,$CB$11))}))"),"")</f>
        <v/>
      </c>
      <c r="BT73" s="272"/>
      <c r="BU73" s="272"/>
      <c r="BV73" s="278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ht="19.5" customHeight="1">
      <c r="A74" s="1"/>
      <c r="B74" s="295" t="b">
        <v>0</v>
      </c>
      <c r="C74" s="282">
        <v>45672.0</v>
      </c>
      <c r="D74" s="165"/>
      <c r="E74" s="165"/>
      <c r="F74" s="165"/>
      <c r="G74" s="165"/>
      <c r="H74" s="283" t="s">
        <v>64</v>
      </c>
      <c r="I74" s="165"/>
      <c r="J74" s="165"/>
      <c r="K74" s="165"/>
      <c r="L74" s="165"/>
      <c r="M74" s="283" t="s">
        <v>78</v>
      </c>
      <c r="N74" s="165"/>
      <c r="O74" s="165"/>
      <c r="P74" s="165"/>
      <c r="Q74" s="165"/>
      <c r="R74" s="165"/>
      <c r="S74" s="165"/>
      <c r="T74" s="165"/>
      <c r="U74" s="284">
        <v>40.0</v>
      </c>
      <c r="V74" s="165"/>
      <c r="W74" s="165"/>
      <c r="X74" s="165"/>
      <c r="Y74" s="165"/>
      <c r="Z74" s="284">
        <v>40.0</v>
      </c>
      <c r="AA74" s="165"/>
      <c r="AB74" s="165"/>
      <c r="AC74" s="165"/>
      <c r="AD74" s="165"/>
      <c r="AE74" s="284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6"/>
      <c r="AX74" s="1"/>
      <c r="AY74" s="294" t="b">
        <v>0</v>
      </c>
      <c r="AZ74" s="286"/>
      <c r="BA74" s="287"/>
      <c r="BB74" s="287"/>
      <c r="BC74" s="287"/>
      <c r="BD74" s="287"/>
      <c r="BE74" s="288"/>
      <c r="BF74" s="289"/>
      <c r="BG74" s="287"/>
      <c r="BH74" s="288"/>
      <c r="BI74" s="290"/>
      <c r="BJ74" s="287"/>
      <c r="BK74" s="287"/>
      <c r="BL74" s="288"/>
      <c r="BM74" s="290"/>
      <c r="BN74" s="287"/>
      <c r="BO74" s="287"/>
      <c r="BP74" s="288"/>
      <c r="BQ74" s="291"/>
      <c r="BR74" s="287"/>
      <c r="BS74" s="277" t="str">
        <f>IFERROR(__xludf.DUMMYFUNCTION("IF(BI74="""","""", SPARKLINE(BI74,{""charttype"",""bar"";""max"",BM74; ""color1"",IF(BQ74&gt;=$CA$9,$CB$9,IF(BQ74&lt;$CA$10,$CB$10,$CB$11))}))"),"")</f>
        <v/>
      </c>
      <c r="BT74" s="272"/>
      <c r="BU74" s="272"/>
      <c r="BV74" s="278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ht="19.5" customHeight="1">
      <c r="A75" s="1"/>
      <c r="B75" s="295" t="b">
        <v>0</v>
      </c>
      <c r="C75" s="282">
        <v>45303.0</v>
      </c>
      <c r="D75" s="165"/>
      <c r="E75" s="165"/>
      <c r="F75" s="165"/>
      <c r="G75" s="165"/>
      <c r="H75" s="283" t="s">
        <v>22</v>
      </c>
      <c r="I75" s="165"/>
      <c r="J75" s="165"/>
      <c r="K75" s="165"/>
      <c r="L75" s="165"/>
      <c r="M75" s="283" t="s">
        <v>79</v>
      </c>
      <c r="N75" s="165"/>
      <c r="O75" s="165"/>
      <c r="P75" s="165"/>
      <c r="Q75" s="165"/>
      <c r="R75" s="165"/>
      <c r="S75" s="165"/>
      <c r="T75" s="165"/>
      <c r="U75" s="284">
        <v>450.0</v>
      </c>
      <c r="V75" s="165"/>
      <c r="W75" s="165"/>
      <c r="X75" s="165"/>
      <c r="Y75" s="165"/>
      <c r="Z75" s="284">
        <v>600.0</v>
      </c>
      <c r="AA75" s="165"/>
      <c r="AB75" s="165"/>
      <c r="AC75" s="165"/>
      <c r="AD75" s="165"/>
      <c r="AE75" s="284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6"/>
      <c r="AX75" s="1"/>
      <c r="AY75" s="294" t="b">
        <v>0</v>
      </c>
      <c r="AZ75" s="286"/>
      <c r="BA75" s="287"/>
      <c r="BB75" s="287"/>
      <c r="BC75" s="287"/>
      <c r="BD75" s="287"/>
      <c r="BE75" s="288"/>
      <c r="BF75" s="289"/>
      <c r="BG75" s="287"/>
      <c r="BH75" s="288"/>
      <c r="BI75" s="290"/>
      <c r="BJ75" s="287"/>
      <c r="BK75" s="287"/>
      <c r="BL75" s="288"/>
      <c r="BM75" s="290"/>
      <c r="BN75" s="287"/>
      <c r="BO75" s="287"/>
      <c r="BP75" s="288"/>
      <c r="BQ75" s="291"/>
      <c r="BR75" s="287"/>
      <c r="BS75" s="277" t="str">
        <f>IFERROR(__xludf.DUMMYFUNCTION("IF(BI75="""","""", SPARKLINE(BI75,{""charttype"",""bar"";""max"",BM75; ""color1"",IF(BQ75&gt;=$CA$9,$CB$9,IF(BQ75&lt;$CA$10,$CB$10,$CB$11))}))"),"")</f>
        <v/>
      </c>
      <c r="BT75" s="272"/>
      <c r="BU75" s="272"/>
      <c r="BV75" s="278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ht="19.5" customHeight="1">
      <c r="A76" s="1"/>
      <c r="B76" s="295" t="b">
        <v>0</v>
      </c>
      <c r="C76" s="282">
        <v>45663.0</v>
      </c>
      <c r="D76" s="165"/>
      <c r="E76" s="165"/>
      <c r="F76" s="165"/>
      <c r="G76" s="165"/>
      <c r="H76" s="283" t="s">
        <v>62</v>
      </c>
      <c r="I76" s="165"/>
      <c r="J76" s="165"/>
      <c r="K76" s="165"/>
      <c r="L76" s="165"/>
      <c r="M76" s="283" t="s">
        <v>80</v>
      </c>
      <c r="N76" s="165"/>
      <c r="O76" s="165"/>
      <c r="P76" s="165"/>
      <c r="Q76" s="165"/>
      <c r="R76" s="165"/>
      <c r="S76" s="165"/>
      <c r="T76" s="165"/>
      <c r="U76" s="284">
        <v>100.0</v>
      </c>
      <c r="V76" s="165"/>
      <c r="W76" s="165"/>
      <c r="X76" s="165"/>
      <c r="Y76" s="165"/>
      <c r="Z76" s="284">
        <v>100.0</v>
      </c>
      <c r="AA76" s="165"/>
      <c r="AB76" s="165"/>
      <c r="AC76" s="165"/>
      <c r="AD76" s="165"/>
      <c r="AE76" s="284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6"/>
      <c r="AX76" s="1"/>
      <c r="AY76" s="294" t="b">
        <v>0</v>
      </c>
      <c r="AZ76" s="286"/>
      <c r="BA76" s="287"/>
      <c r="BB76" s="287"/>
      <c r="BC76" s="287"/>
      <c r="BD76" s="287"/>
      <c r="BE76" s="288"/>
      <c r="BF76" s="289"/>
      <c r="BG76" s="287"/>
      <c r="BH76" s="288"/>
      <c r="BI76" s="290"/>
      <c r="BJ76" s="287"/>
      <c r="BK76" s="287"/>
      <c r="BL76" s="288"/>
      <c r="BM76" s="290"/>
      <c r="BN76" s="287"/>
      <c r="BO76" s="287"/>
      <c r="BP76" s="288"/>
      <c r="BQ76" s="291"/>
      <c r="BR76" s="287"/>
      <c r="BS76" s="277" t="str">
        <f>IFERROR(__xludf.DUMMYFUNCTION("IF(BI76="""","""", SPARKLINE(BI76,{""charttype"",""bar"";""max"",BM76; ""color1"",IF(BQ76&gt;=$CA$9,$CB$9,IF(BQ76&lt;$CA$10,$CB$10,$CB$11))}))"),"")</f>
        <v/>
      </c>
      <c r="BT76" s="272"/>
      <c r="BU76" s="272"/>
      <c r="BV76" s="278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ht="19.5" customHeight="1">
      <c r="A77" s="1"/>
      <c r="B77" s="295" t="b">
        <v>0</v>
      </c>
      <c r="C77" s="282">
        <v>45679.0</v>
      </c>
      <c r="D77" s="165"/>
      <c r="E77" s="165"/>
      <c r="F77" s="165"/>
      <c r="G77" s="165"/>
      <c r="H77" s="283" t="s">
        <v>64</v>
      </c>
      <c r="I77" s="165"/>
      <c r="J77" s="165"/>
      <c r="K77" s="165"/>
      <c r="L77" s="165"/>
      <c r="M77" s="283" t="s">
        <v>81</v>
      </c>
      <c r="N77" s="165"/>
      <c r="O77" s="165"/>
      <c r="P77" s="165"/>
      <c r="Q77" s="165"/>
      <c r="R77" s="165"/>
      <c r="S77" s="165"/>
      <c r="T77" s="165"/>
      <c r="U77" s="284">
        <v>125.0</v>
      </c>
      <c r="V77" s="165"/>
      <c r="W77" s="165"/>
      <c r="X77" s="165"/>
      <c r="Y77" s="165"/>
      <c r="Z77" s="284">
        <v>125.0</v>
      </c>
      <c r="AA77" s="165"/>
      <c r="AB77" s="165"/>
      <c r="AC77" s="165"/>
      <c r="AD77" s="165"/>
      <c r="AE77" s="284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6"/>
      <c r="AX77" s="1"/>
      <c r="AY77" s="294" t="b">
        <v>0</v>
      </c>
      <c r="AZ77" s="286"/>
      <c r="BA77" s="287"/>
      <c r="BB77" s="287"/>
      <c r="BC77" s="287"/>
      <c r="BD77" s="287"/>
      <c r="BE77" s="288"/>
      <c r="BF77" s="289"/>
      <c r="BG77" s="287"/>
      <c r="BH77" s="288"/>
      <c r="BI77" s="290"/>
      <c r="BJ77" s="287"/>
      <c r="BK77" s="287"/>
      <c r="BL77" s="288"/>
      <c r="BM77" s="290"/>
      <c r="BN77" s="287"/>
      <c r="BO77" s="287"/>
      <c r="BP77" s="288"/>
      <c r="BQ77" s="291"/>
      <c r="BR77" s="287"/>
      <c r="BS77" s="277" t="str">
        <f>IFERROR(__xludf.DUMMYFUNCTION("IF(BI77="""","""", SPARKLINE(BI77,{""charttype"",""bar"";""max"",BM77; ""color1"",IF(BQ77&gt;=$CA$9,$CB$9,IF(BQ77&lt;$CA$10,$CB$10,$CB$11))}))"),"")</f>
        <v/>
      </c>
      <c r="BT77" s="272"/>
      <c r="BU77" s="272"/>
      <c r="BV77" s="278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ht="19.5" customHeight="1">
      <c r="A78" s="1"/>
      <c r="B78" s="295" t="b">
        <v>0</v>
      </c>
      <c r="C78" s="282">
        <v>45668.0</v>
      </c>
      <c r="D78" s="165"/>
      <c r="E78" s="165"/>
      <c r="F78" s="165"/>
      <c r="G78" s="165"/>
      <c r="H78" s="283" t="s">
        <v>62</v>
      </c>
      <c r="I78" s="165"/>
      <c r="J78" s="165"/>
      <c r="K78" s="165"/>
      <c r="L78" s="165"/>
      <c r="M78" s="283" t="s">
        <v>82</v>
      </c>
      <c r="N78" s="165"/>
      <c r="O78" s="165"/>
      <c r="P78" s="165"/>
      <c r="Q78" s="165"/>
      <c r="R78" s="165"/>
      <c r="S78" s="165"/>
      <c r="T78" s="165"/>
      <c r="U78" s="284">
        <v>60.0</v>
      </c>
      <c r="V78" s="165"/>
      <c r="W78" s="165"/>
      <c r="X78" s="165"/>
      <c r="Y78" s="165"/>
      <c r="Z78" s="284">
        <v>60.0</v>
      </c>
      <c r="AA78" s="165"/>
      <c r="AB78" s="165"/>
      <c r="AC78" s="165"/>
      <c r="AD78" s="165"/>
      <c r="AE78" s="284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6"/>
      <c r="AX78" s="1"/>
      <c r="AY78" s="294" t="b">
        <v>0</v>
      </c>
      <c r="AZ78" s="286"/>
      <c r="BA78" s="287"/>
      <c r="BB78" s="287"/>
      <c r="BC78" s="287"/>
      <c r="BD78" s="287"/>
      <c r="BE78" s="288"/>
      <c r="BF78" s="289"/>
      <c r="BG78" s="287"/>
      <c r="BH78" s="288"/>
      <c r="BI78" s="290"/>
      <c r="BJ78" s="287"/>
      <c r="BK78" s="287"/>
      <c r="BL78" s="288"/>
      <c r="BM78" s="290"/>
      <c r="BN78" s="287"/>
      <c r="BO78" s="287"/>
      <c r="BP78" s="288"/>
      <c r="BQ78" s="291"/>
      <c r="BR78" s="287"/>
      <c r="BS78" s="277" t="str">
        <f>IFERROR(__xludf.DUMMYFUNCTION("IF(BI78="""","""", SPARKLINE(BI78,{""charttype"",""bar"";""max"",BM78; ""color1"",IF(BQ78&gt;=$CA$9,$CB$9,IF(BQ78&lt;$CA$10,$CB$10,$CB$11))}))"),"")</f>
        <v/>
      </c>
      <c r="BT78" s="272"/>
      <c r="BU78" s="272"/>
      <c r="BV78" s="278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ht="19.5" customHeight="1">
      <c r="A79" s="1"/>
      <c r="B79" s="295" t="b">
        <v>0</v>
      </c>
      <c r="C79" s="282">
        <v>45679.0</v>
      </c>
      <c r="D79" s="165"/>
      <c r="E79" s="165"/>
      <c r="F79" s="165"/>
      <c r="G79" s="165"/>
      <c r="H79" s="283" t="s">
        <v>64</v>
      </c>
      <c r="I79" s="165"/>
      <c r="J79" s="165"/>
      <c r="K79" s="165"/>
      <c r="L79" s="165"/>
      <c r="M79" s="283" t="s">
        <v>83</v>
      </c>
      <c r="N79" s="165"/>
      <c r="O79" s="165"/>
      <c r="P79" s="165"/>
      <c r="Q79" s="165"/>
      <c r="R79" s="165"/>
      <c r="S79" s="165"/>
      <c r="T79" s="165"/>
      <c r="U79" s="284">
        <v>320.0</v>
      </c>
      <c r="V79" s="165"/>
      <c r="W79" s="165"/>
      <c r="X79" s="165"/>
      <c r="Y79" s="165"/>
      <c r="Z79" s="284">
        <v>320.0</v>
      </c>
      <c r="AA79" s="165"/>
      <c r="AB79" s="165"/>
      <c r="AC79" s="165"/>
      <c r="AD79" s="165"/>
      <c r="AE79" s="284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6"/>
      <c r="AX79" s="1"/>
      <c r="AY79" s="294" t="b">
        <v>0</v>
      </c>
      <c r="AZ79" s="286"/>
      <c r="BA79" s="287"/>
      <c r="BB79" s="287"/>
      <c r="BC79" s="287"/>
      <c r="BD79" s="287"/>
      <c r="BE79" s="288"/>
      <c r="BF79" s="289"/>
      <c r="BG79" s="287"/>
      <c r="BH79" s="288"/>
      <c r="BI79" s="290"/>
      <c r="BJ79" s="287"/>
      <c r="BK79" s="287"/>
      <c r="BL79" s="288"/>
      <c r="BM79" s="290"/>
      <c r="BN79" s="287"/>
      <c r="BO79" s="287"/>
      <c r="BP79" s="288"/>
      <c r="BQ79" s="291"/>
      <c r="BR79" s="287"/>
      <c r="BS79" s="277" t="str">
        <f>IFERROR(__xludf.DUMMYFUNCTION("IF(BI79="""","""", SPARKLINE(BI79,{""charttype"",""bar"";""max"",BM79; ""color1"",IF(BQ79&gt;=$CA$9,$CB$9,IF(BQ79&lt;$CA$10,$CB$10,$CB$11))}))"),"")</f>
        <v/>
      </c>
      <c r="BT79" s="272"/>
      <c r="BU79" s="272"/>
      <c r="BV79" s="278"/>
      <c r="BW79" s="265"/>
      <c r="BX79" s="265"/>
      <c r="BY79" s="265"/>
      <c r="BZ79" s="265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ht="19.5" customHeight="1">
      <c r="A80" s="1"/>
      <c r="B80" s="295" t="b">
        <v>0</v>
      </c>
      <c r="C80" s="282">
        <v>45679.0</v>
      </c>
      <c r="D80" s="165"/>
      <c r="E80" s="165"/>
      <c r="F80" s="165"/>
      <c r="G80" s="165"/>
      <c r="H80" s="283" t="s">
        <v>62</v>
      </c>
      <c r="I80" s="165"/>
      <c r="J80" s="165"/>
      <c r="K80" s="165"/>
      <c r="L80" s="165"/>
      <c r="M80" s="283" t="s">
        <v>84</v>
      </c>
      <c r="N80" s="165"/>
      <c r="O80" s="165"/>
      <c r="P80" s="165"/>
      <c r="Q80" s="165"/>
      <c r="R80" s="165"/>
      <c r="S80" s="165"/>
      <c r="T80" s="165"/>
      <c r="U80" s="284">
        <v>70.0</v>
      </c>
      <c r="V80" s="165"/>
      <c r="W80" s="165"/>
      <c r="X80" s="165"/>
      <c r="Y80" s="165"/>
      <c r="Z80" s="284">
        <v>70.0</v>
      </c>
      <c r="AA80" s="165"/>
      <c r="AB80" s="165"/>
      <c r="AC80" s="165"/>
      <c r="AD80" s="165"/>
      <c r="AE80" s="284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6"/>
      <c r="AX80" s="1"/>
      <c r="AY80" s="294" t="b">
        <v>0</v>
      </c>
      <c r="AZ80" s="286"/>
      <c r="BA80" s="287"/>
      <c r="BB80" s="287"/>
      <c r="BC80" s="287"/>
      <c r="BD80" s="287"/>
      <c r="BE80" s="288"/>
      <c r="BF80" s="289"/>
      <c r="BG80" s="287"/>
      <c r="BH80" s="288"/>
      <c r="BI80" s="290"/>
      <c r="BJ80" s="287"/>
      <c r="BK80" s="287"/>
      <c r="BL80" s="288"/>
      <c r="BM80" s="290"/>
      <c r="BN80" s="287"/>
      <c r="BO80" s="287"/>
      <c r="BP80" s="288"/>
      <c r="BQ80" s="291"/>
      <c r="BR80" s="287"/>
      <c r="BS80" s="277" t="str">
        <f>IFERROR(__xludf.DUMMYFUNCTION("IF(BI80="""","""", SPARKLINE(BI80,{""charttype"",""bar"";""max"",BM80; ""color1"",IF(BQ80&gt;=$CA$9,$CB$9,IF(BQ80&lt;$CA$10,$CB$10,$CB$11))}))"),"")</f>
        <v/>
      </c>
      <c r="BT80" s="272"/>
      <c r="BU80" s="272"/>
      <c r="BV80" s="278"/>
      <c r="BW80" s="1"/>
      <c r="BX80" s="292"/>
      <c r="BY80" s="22"/>
      <c r="BZ80" s="292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ht="19.5" customHeight="1">
      <c r="A81" s="1"/>
      <c r="B81" s="295" t="b">
        <v>0</v>
      </c>
      <c r="C81" s="282">
        <v>45659.0</v>
      </c>
      <c r="D81" s="165"/>
      <c r="E81" s="165"/>
      <c r="F81" s="165"/>
      <c r="G81" s="165"/>
      <c r="H81" s="283" t="s">
        <v>68</v>
      </c>
      <c r="I81" s="165"/>
      <c r="J81" s="165"/>
      <c r="K81" s="165"/>
      <c r="L81" s="165"/>
      <c r="M81" s="283" t="s">
        <v>85</v>
      </c>
      <c r="N81" s="165"/>
      <c r="O81" s="165"/>
      <c r="P81" s="165"/>
      <c r="Q81" s="165"/>
      <c r="R81" s="165"/>
      <c r="S81" s="165"/>
      <c r="T81" s="165"/>
      <c r="U81" s="284">
        <v>290.0</v>
      </c>
      <c r="V81" s="165"/>
      <c r="W81" s="165"/>
      <c r="X81" s="165"/>
      <c r="Y81" s="165"/>
      <c r="Z81" s="284">
        <v>290.0</v>
      </c>
      <c r="AA81" s="165"/>
      <c r="AB81" s="165"/>
      <c r="AC81" s="165"/>
      <c r="AD81" s="165"/>
      <c r="AE81" s="284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6"/>
      <c r="AX81" s="1"/>
      <c r="AY81" s="294" t="b">
        <v>0</v>
      </c>
      <c r="AZ81" s="286"/>
      <c r="BA81" s="287"/>
      <c r="BB81" s="287"/>
      <c r="BC81" s="287"/>
      <c r="BD81" s="287"/>
      <c r="BE81" s="288"/>
      <c r="BF81" s="289"/>
      <c r="BG81" s="287"/>
      <c r="BH81" s="288"/>
      <c r="BI81" s="290"/>
      <c r="BJ81" s="287"/>
      <c r="BK81" s="287"/>
      <c r="BL81" s="288"/>
      <c r="BM81" s="290"/>
      <c r="BN81" s="287"/>
      <c r="BO81" s="287"/>
      <c r="BP81" s="288"/>
      <c r="BQ81" s="291"/>
      <c r="BR81" s="287"/>
      <c r="BS81" s="277" t="str">
        <f>IFERROR(__xludf.DUMMYFUNCTION("IF(BI81="""","""", SPARKLINE(BI81,{""charttype"",""bar"";""max"",BM81; ""color1"",IF(BQ81&gt;=$CA$9,$CB$9,IF(BQ81&lt;$CA$10,$CB$10,$CB$11))}))"),"")</f>
        <v/>
      </c>
      <c r="BT81" s="272"/>
      <c r="BU81" s="272"/>
      <c r="BV81" s="278"/>
      <c r="BW81" s="1"/>
      <c r="BX81" s="292"/>
      <c r="BY81" s="22"/>
      <c r="BZ81" s="292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ht="19.5" customHeight="1">
      <c r="A82" s="1"/>
      <c r="B82" s="295" t="b">
        <v>0</v>
      </c>
      <c r="C82" s="282">
        <v>45661.0</v>
      </c>
      <c r="D82" s="165"/>
      <c r="E82" s="165"/>
      <c r="F82" s="165"/>
      <c r="G82" s="165"/>
      <c r="H82" s="283" t="s">
        <v>64</v>
      </c>
      <c r="I82" s="165"/>
      <c r="J82" s="165"/>
      <c r="K82" s="165"/>
      <c r="L82" s="165"/>
      <c r="M82" s="283" t="s">
        <v>86</v>
      </c>
      <c r="N82" s="165"/>
      <c r="O82" s="165"/>
      <c r="P82" s="165"/>
      <c r="Q82" s="165"/>
      <c r="R82" s="165"/>
      <c r="S82" s="165"/>
      <c r="T82" s="165"/>
      <c r="U82" s="284">
        <v>76.0</v>
      </c>
      <c r="V82" s="165"/>
      <c r="W82" s="165"/>
      <c r="X82" s="165"/>
      <c r="Y82" s="165"/>
      <c r="Z82" s="284">
        <v>120.0</v>
      </c>
      <c r="AA82" s="165"/>
      <c r="AB82" s="165"/>
      <c r="AC82" s="165"/>
      <c r="AD82" s="165"/>
      <c r="AE82" s="284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6"/>
      <c r="AX82" s="1"/>
      <c r="AY82" s="294" t="b">
        <v>0</v>
      </c>
      <c r="AZ82" s="286"/>
      <c r="BA82" s="287"/>
      <c r="BB82" s="287"/>
      <c r="BC82" s="287"/>
      <c r="BD82" s="287"/>
      <c r="BE82" s="288"/>
      <c r="BF82" s="289"/>
      <c r="BG82" s="287"/>
      <c r="BH82" s="288"/>
      <c r="BI82" s="290"/>
      <c r="BJ82" s="287"/>
      <c r="BK82" s="287"/>
      <c r="BL82" s="288"/>
      <c r="BM82" s="290"/>
      <c r="BN82" s="287"/>
      <c r="BO82" s="287"/>
      <c r="BP82" s="288"/>
      <c r="BQ82" s="291"/>
      <c r="BR82" s="287"/>
      <c r="BS82" s="277" t="str">
        <f>IFERROR(__xludf.DUMMYFUNCTION("IF(BI82="""","""", SPARKLINE(BI82,{""charttype"",""bar"";""max"",BM82; ""color1"",IF(BQ82&gt;=$CA$9,$CB$9,IF(BQ82&lt;$CA$10,$CB$10,$CB$11))}))"),"")</f>
        <v/>
      </c>
      <c r="BT82" s="272"/>
      <c r="BU82" s="272"/>
      <c r="BV82" s="278"/>
      <c r="BW82" s="1"/>
      <c r="BX82" s="292"/>
      <c r="BY82" s="22"/>
      <c r="BZ82" s="292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ht="19.5" customHeight="1">
      <c r="A83" s="1"/>
      <c r="B83" s="295" t="b">
        <v>0</v>
      </c>
      <c r="C83" s="282">
        <v>45664.0</v>
      </c>
      <c r="D83" s="165"/>
      <c r="E83" s="165"/>
      <c r="F83" s="165"/>
      <c r="G83" s="165"/>
      <c r="H83" s="283" t="s">
        <v>62</v>
      </c>
      <c r="I83" s="165"/>
      <c r="J83" s="165"/>
      <c r="K83" s="165"/>
      <c r="L83" s="165"/>
      <c r="M83" s="283" t="s">
        <v>87</v>
      </c>
      <c r="N83" s="165"/>
      <c r="O83" s="165"/>
      <c r="P83" s="165"/>
      <c r="Q83" s="165"/>
      <c r="R83" s="165"/>
      <c r="S83" s="165"/>
      <c r="T83" s="165"/>
      <c r="U83" s="284">
        <v>40.0</v>
      </c>
      <c r="V83" s="165"/>
      <c r="W83" s="165"/>
      <c r="X83" s="165"/>
      <c r="Y83" s="165"/>
      <c r="Z83" s="284">
        <v>50.0</v>
      </c>
      <c r="AA83" s="165"/>
      <c r="AB83" s="165"/>
      <c r="AC83" s="165"/>
      <c r="AD83" s="165"/>
      <c r="AE83" s="284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6"/>
      <c r="AX83" s="1"/>
      <c r="AY83" s="296" t="b">
        <v>0</v>
      </c>
      <c r="AZ83" s="297"/>
      <c r="BA83" s="298"/>
      <c r="BB83" s="298"/>
      <c r="BC83" s="298"/>
      <c r="BD83" s="298"/>
      <c r="BE83" s="299"/>
      <c r="BF83" s="300"/>
      <c r="BG83" s="298"/>
      <c r="BH83" s="299"/>
      <c r="BI83" s="301"/>
      <c r="BJ83" s="298"/>
      <c r="BK83" s="298"/>
      <c r="BL83" s="299"/>
      <c r="BM83" s="301"/>
      <c r="BN83" s="298"/>
      <c r="BO83" s="298"/>
      <c r="BP83" s="299"/>
      <c r="BQ83" s="302"/>
      <c r="BR83" s="298"/>
      <c r="BS83" s="303" t="str">
        <f>IFERROR(__xludf.DUMMYFUNCTION("IF(BI83="""","""", SPARKLINE(BI83,{""charttype"",""bar"";""max"",BM83; ""color1"",IF(BQ83&gt;=$CA$9,$CB$9,IF(BQ83&lt;$CA$10,$CB$10,$CB$11))}))"),"")</f>
        <v/>
      </c>
      <c r="BT83" s="86"/>
      <c r="BU83" s="86"/>
      <c r="BV83" s="264"/>
      <c r="BW83" s="1"/>
      <c r="BX83" s="292"/>
      <c r="BY83" s="22"/>
      <c r="BZ83" s="292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ht="19.5" customHeight="1">
      <c r="A84" s="1"/>
      <c r="B84" s="295" t="b">
        <v>0</v>
      </c>
      <c r="C84" s="282">
        <v>45659.0</v>
      </c>
      <c r="D84" s="165"/>
      <c r="E84" s="165"/>
      <c r="F84" s="165"/>
      <c r="G84" s="165"/>
      <c r="H84" s="283" t="s">
        <v>68</v>
      </c>
      <c r="I84" s="165"/>
      <c r="J84" s="165"/>
      <c r="K84" s="165"/>
      <c r="L84" s="165"/>
      <c r="M84" s="283" t="s">
        <v>88</v>
      </c>
      <c r="N84" s="165"/>
      <c r="O84" s="165"/>
      <c r="P84" s="165"/>
      <c r="Q84" s="165"/>
      <c r="R84" s="165"/>
      <c r="S84" s="165"/>
      <c r="T84" s="165"/>
      <c r="U84" s="284">
        <v>250.0</v>
      </c>
      <c r="V84" s="165"/>
      <c r="W84" s="165"/>
      <c r="X84" s="165"/>
      <c r="Y84" s="165"/>
      <c r="Z84" s="284">
        <v>300.0</v>
      </c>
      <c r="AA84" s="165"/>
      <c r="AB84" s="165"/>
      <c r="AC84" s="165"/>
      <c r="AD84" s="165"/>
      <c r="AE84" s="284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6"/>
      <c r="AX84" s="1"/>
      <c r="AY84" s="304" t="s">
        <v>50</v>
      </c>
      <c r="AZ84" s="305"/>
      <c r="BA84" s="305"/>
      <c r="BB84" s="305"/>
      <c r="BC84" s="305"/>
      <c r="BD84" s="305"/>
      <c r="BE84" s="305"/>
      <c r="BF84" s="305"/>
      <c r="BG84" s="305"/>
      <c r="BH84" s="305"/>
      <c r="BI84" s="306">
        <f>SUM(BI61:BL83)</f>
        <v>500</v>
      </c>
      <c r="BJ84" s="305"/>
      <c r="BK84" s="305"/>
      <c r="BL84" s="305"/>
      <c r="BM84" s="306">
        <f>SUM(BM61:BP83)</f>
        <v>500</v>
      </c>
      <c r="BN84" s="305"/>
      <c r="BO84" s="305"/>
      <c r="BP84" s="305"/>
      <c r="BQ84" s="307">
        <f>BI84/BM84</f>
        <v>1</v>
      </c>
      <c r="BR84" s="305"/>
      <c r="BS84" s="209" t="str">
        <f>IFERROR(__xludf.DUMMYFUNCTION("IF(BI84="""","""", SPARKLINE(BI84,{""charttype"",""bar"";""max"",BM84; ""color1"",IF(BQ84&gt;=$CA$9,$CB$9,IF(BQ84&lt;$CA$10,$CB$10,$CB$11))}))"),"")</f>
        <v/>
      </c>
      <c r="BT84" s="86"/>
      <c r="BU84" s="86"/>
      <c r="BV84" s="264"/>
      <c r="BW84" s="1"/>
      <c r="BX84" s="292"/>
      <c r="BY84" s="22"/>
      <c r="BZ84" s="292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ht="19.5" customHeight="1">
      <c r="A85" s="1"/>
      <c r="B85" s="295" t="b">
        <v>0</v>
      </c>
      <c r="C85" s="282">
        <v>45666.0</v>
      </c>
      <c r="D85" s="165"/>
      <c r="E85" s="165"/>
      <c r="F85" s="165"/>
      <c r="G85" s="165"/>
      <c r="H85" s="283" t="s">
        <v>62</v>
      </c>
      <c r="I85" s="165"/>
      <c r="J85" s="165"/>
      <c r="K85" s="165"/>
      <c r="L85" s="165"/>
      <c r="M85" s="283" t="s">
        <v>89</v>
      </c>
      <c r="N85" s="165"/>
      <c r="O85" s="165"/>
      <c r="P85" s="165"/>
      <c r="Q85" s="165"/>
      <c r="R85" s="165"/>
      <c r="S85" s="165"/>
      <c r="T85" s="165"/>
      <c r="U85" s="284">
        <v>28.0</v>
      </c>
      <c r="V85" s="165"/>
      <c r="W85" s="165"/>
      <c r="X85" s="165"/>
      <c r="Y85" s="165"/>
      <c r="Z85" s="284">
        <v>30.0</v>
      </c>
      <c r="AA85" s="165"/>
      <c r="AB85" s="165"/>
      <c r="AC85" s="165"/>
      <c r="AD85" s="165"/>
      <c r="AE85" s="284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6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21"/>
      <c r="BP85" s="1"/>
      <c r="BQ85" s="292"/>
      <c r="BR85" s="22"/>
      <c r="BS85" s="292"/>
      <c r="BT85" s="1"/>
      <c r="BU85" s="1"/>
      <c r="BV85" s="1"/>
      <c r="BW85" s="1"/>
      <c r="BX85" s="292"/>
      <c r="BY85" s="22"/>
      <c r="BZ85" s="292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ht="19.5" customHeight="1">
      <c r="A86" s="1"/>
      <c r="B86" s="295" t="b">
        <v>0</v>
      </c>
      <c r="C86" s="282">
        <v>45667.0</v>
      </c>
      <c r="D86" s="165"/>
      <c r="E86" s="165"/>
      <c r="F86" s="165"/>
      <c r="G86" s="165"/>
      <c r="H86" s="283" t="s">
        <v>64</v>
      </c>
      <c r="I86" s="165"/>
      <c r="J86" s="165"/>
      <c r="K86" s="165"/>
      <c r="L86" s="165"/>
      <c r="M86" s="283" t="s">
        <v>90</v>
      </c>
      <c r="N86" s="165"/>
      <c r="O86" s="165"/>
      <c r="P86" s="165"/>
      <c r="Q86" s="165"/>
      <c r="R86" s="165"/>
      <c r="S86" s="165"/>
      <c r="T86" s="165"/>
      <c r="U86" s="284">
        <v>375.0</v>
      </c>
      <c r="V86" s="165"/>
      <c r="W86" s="165"/>
      <c r="X86" s="165"/>
      <c r="Y86" s="165"/>
      <c r="Z86" s="284">
        <v>375.0</v>
      </c>
      <c r="AA86" s="165"/>
      <c r="AB86" s="165"/>
      <c r="AC86" s="165"/>
      <c r="AD86" s="165"/>
      <c r="AE86" s="284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6"/>
      <c r="AX86" s="1"/>
      <c r="AY86" s="308"/>
      <c r="AZ86" s="309" t="s">
        <v>61</v>
      </c>
      <c r="BA86" s="244"/>
      <c r="BB86" s="244"/>
      <c r="BC86" s="244"/>
      <c r="BD86" s="244"/>
      <c r="BE86" s="244"/>
      <c r="BF86" s="244"/>
      <c r="BG86" s="244"/>
      <c r="BH86" s="244"/>
      <c r="BI86" s="244"/>
      <c r="BJ86" s="244"/>
      <c r="BK86" s="244"/>
      <c r="BL86" s="244"/>
      <c r="BM86" s="244"/>
      <c r="BN86" s="244"/>
      <c r="BO86" s="244"/>
      <c r="BP86" s="244"/>
      <c r="BQ86" s="244"/>
      <c r="BR86" s="244"/>
      <c r="BS86" s="244"/>
      <c r="BT86" s="244"/>
      <c r="BU86" s="244"/>
      <c r="BV86" s="310"/>
      <c r="BW86" s="1"/>
      <c r="BX86" s="292"/>
      <c r="BY86" s="22"/>
      <c r="BZ86" s="292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ht="19.5" customHeight="1">
      <c r="A87" s="1"/>
      <c r="B87" s="295" t="b">
        <v>0</v>
      </c>
      <c r="C87" s="282">
        <v>45675.0</v>
      </c>
      <c r="D87" s="165"/>
      <c r="E87" s="165"/>
      <c r="F87" s="165"/>
      <c r="G87" s="165"/>
      <c r="H87" s="283" t="s">
        <v>62</v>
      </c>
      <c r="I87" s="165"/>
      <c r="J87" s="165"/>
      <c r="K87" s="165"/>
      <c r="L87" s="165"/>
      <c r="M87" s="283" t="s">
        <v>91</v>
      </c>
      <c r="N87" s="165"/>
      <c r="O87" s="165"/>
      <c r="P87" s="165"/>
      <c r="Q87" s="165"/>
      <c r="R87" s="165"/>
      <c r="S87" s="165"/>
      <c r="T87" s="165"/>
      <c r="U87" s="284">
        <v>585.0</v>
      </c>
      <c r="V87" s="165"/>
      <c r="W87" s="165"/>
      <c r="X87" s="165"/>
      <c r="Y87" s="165"/>
      <c r="Z87" s="284">
        <v>85.0</v>
      </c>
      <c r="AA87" s="165"/>
      <c r="AB87" s="165"/>
      <c r="AC87" s="165"/>
      <c r="AD87" s="165"/>
      <c r="AE87" s="284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6"/>
      <c r="AX87" s="1"/>
      <c r="AY87" s="311"/>
      <c r="BV87" s="312"/>
      <c r="BW87" s="1"/>
      <c r="BX87" s="292"/>
      <c r="BY87" s="22"/>
      <c r="BZ87" s="292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ht="19.5" customHeight="1">
      <c r="A88" s="1"/>
      <c r="B88" s="281" t="b">
        <v>0</v>
      </c>
      <c r="C88" s="282">
        <v>45667.0</v>
      </c>
      <c r="D88" s="165"/>
      <c r="E88" s="165"/>
      <c r="F88" s="165"/>
      <c r="G88" s="165"/>
      <c r="H88" s="283" t="s">
        <v>62</v>
      </c>
      <c r="I88" s="165"/>
      <c r="J88" s="165"/>
      <c r="K88" s="165"/>
      <c r="L88" s="165"/>
      <c r="M88" s="283" t="s">
        <v>92</v>
      </c>
      <c r="N88" s="165"/>
      <c r="O88" s="165"/>
      <c r="P88" s="165"/>
      <c r="Q88" s="165"/>
      <c r="R88" s="165"/>
      <c r="S88" s="165"/>
      <c r="T88" s="165"/>
      <c r="U88" s="284">
        <v>75.0</v>
      </c>
      <c r="V88" s="165"/>
      <c r="W88" s="165"/>
      <c r="X88" s="165"/>
      <c r="Y88" s="165"/>
      <c r="Z88" s="284">
        <v>80.0</v>
      </c>
      <c r="AA88" s="165"/>
      <c r="AB88" s="165"/>
      <c r="AC88" s="165"/>
      <c r="AD88" s="165"/>
      <c r="AE88" s="284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6"/>
      <c r="AX88" s="1"/>
      <c r="AY88" s="311"/>
      <c r="AZ88" s="313"/>
      <c r="BA88" s="313"/>
      <c r="BB88" s="313"/>
      <c r="BC88" s="313"/>
      <c r="BD88" s="313"/>
      <c r="BE88" s="313"/>
      <c r="BF88" s="313"/>
      <c r="BG88" s="313"/>
      <c r="BH88" s="313"/>
      <c r="BI88" s="313"/>
      <c r="BJ88" s="313"/>
      <c r="BK88" s="313"/>
      <c r="BL88" s="313"/>
      <c r="BM88" s="313"/>
      <c r="BN88" s="313"/>
      <c r="BO88" s="314"/>
      <c r="BP88" s="313"/>
      <c r="BQ88" s="315"/>
      <c r="BR88" s="316"/>
      <c r="BS88" s="315"/>
      <c r="BT88" s="313"/>
      <c r="BU88" s="313"/>
      <c r="BV88" s="312"/>
      <c r="BW88" s="1"/>
      <c r="BX88" s="292"/>
      <c r="BY88" s="22"/>
      <c r="BZ88" s="292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ht="19.5" customHeight="1">
      <c r="A89" s="1"/>
      <c r="B89" s="295" t="b">
        <v>0</v>
      </c>
      <c r="C89" s="282">
        <v>45669.0</v>
      </c>
      <c r="D89" s="165"/>
      <c r="E89" s="165"/>
      <c r="F89" s="165"/>
      <c r="G89" s="165"/>
      <c r="H89" s="283" t="s">
        <v>62</v>
      </c>
      <c r="I89" s="165"/>
      <c r="J89" s="165"/>
      <c r="K89" s="165"/>
      <c r="L89" s="165"/>
      <c r="M89" s="283" t="s">
        <v>67</v>
      </c>
      <c r="N89" s="165"/>
      <c r="O89" s="165"/>
      <c r="P89" s="165"/>
      <c r="Q89" s="165"/>
      <c r="R89" s="165"/>
      <c r="S89" s="165"/>
      <c r="T89" s="165"/>
      <c r="U89" s="284">
        <v>60.0</v>
      </c>
      <c r="V89" s="165"/>
      <c r="W89" s="165"/>
      <c r="X89" s="165"/>
      <c r="Y89" s="165"/>
      <c r="Z89" s="284">
        <v>100.0</v>
      </c>
      <c r="AA89" s="165"/>
      <c r="AB89" s="165"/>
      <c r="AC89" s="165"/>
      <c r="AD89" s="165"/>
      <c r="AE89" s="284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6"/>
      <c r="AX89" s="1"/>
      <c r="AY89" s="311"/>
      <c r="AZ89" s="317"/>
      <c r="BA89" s="317"/>
      <c r="BB89" s="317"/>
      <c r="BC89" s="317"/>
      <c r="BD89" s="317"/>
      <c r="BE89" s="317"/>
      <c r="BF89" s="317"/>
      <c r="BG89" s="317"/>
      <c r="BH89" s="317"/>
      <c r="BI89" s="317"/>
      <c r="BJ89" s="317"/>
      <c r="BK89" s="317"/>
      <c r="BL89" s="317"/>
      <c r="BM89" s="317"/>
      <c r="BN89" s="317"/>
      <c r="BO89" s="317"/>
      <c r="BP89" s="317"/>
      <c r="BQ89" s="318"/>
      <c r="BR89" s="319"/>
      <c r="BS89" s="318"/>
      <c r="BT89" s="317"/>
      <c r="BU89" s="317"/>
      <c r="BV89" s="312"/>
      <c r="BW89" s="1"/>
      <c r="BX89" s="292"/>
      <c r="BY89" s="22"/>
      <c r="BZ89" s="292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ht="19.5" customHeight="1">
      <c r="A90" s="1"/>
      <c r="B90" s="295" t="b">
        <v>0</v>
      </c>
      <c r="C90" s="282">
        <v>45670.0</v>
      </c>
      <c r="D90" s="165"/>
      <c r="E90" s="165"/>
      <c r="F90" s="165"/>
      <c r="G90" s="165"/>
      <c r="H90" s="283" t="s">
        <v>62</v>
      </c>
      <c r="I90" s="165"/>
      <c r="J90" s="165"/>
      <c r="K90" s="165"/>
      <c r="L90" s="165"/>
      <c r="M90" s="283" t="s">
        <v>80</v>
      </c>
      <c r="N90" s="165"/>
      <c r="O90" s="165"/>
      <c r="P90" s="165"/>
      <c r="Q90" s="165"/>
      <c r="R90" s="165"/>
      <c r="S90" s="165"/>
      <c r="T90" s="165"/>
      <c r="U90" s="284">
        <v>120.0</v>
      </c>
      <c r="V90" s="165"/>
      <c r="W90" s="165"/>
      <c r="X90" s="165"/>
      <c r="Y90" s="165"/>
      <c r="Z90" s="284">
        <v>200.0</v>
      </c>
      <c r="AA90" s="165"/>
      <c r="AB90" s="165"/>
      <c r="AC90" s="165"/>
      <c r="AD90" s="165"/>
      <c r="AE90" s="284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6"/>
      <c r="AX90" s="1"/>
      <c r="AY90" s="311"/>
      <c r="AZ90" s="317"/>
      <c r="BA90" s="317"/>
      <c r="BB90" s="317"/>
      <c r="BC90" s="317"/>
      <c r="BD90" s="317"/>
      <c r="BE90" s="317"/>
      <c r="BF90" s="317"/>
      <c r="BG90" s="317"/>
      <c r="BH90" s="317"/>
      <c r="BI90" s="317"/>
      <c r="BJ90" s="317"/>
      <c r="BK90" s="317"/>
      <c r="BL90" s="317"/>
      <c r="BM90" s="317"/>
      <c r="BN90" s="317"/>
      <c r="BO90" s="317"/>
      <c r="BP90" s="317"/>
      <c r="BQ90" s="318"/>
      <c r="BR90" s="319"/>
      <c r="BS90" s="318"/>
      <c r="BT90" s="317"/>
      <c r="BU90" s="317"/>
      <c r="BV90" s="312"/>
      <c r="BW90" s="1"/>
      <c r="BX90" s="292"/>
      <c r="BY90" s="22"/>
      <c r="BZ90" s="292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ht="19.5" customHeight="1">
      <c r="A91" s="1"/>
      <c r="B91" s="295" t="b">
        <v>0</v>
      </c>
      <c r="C91" s="282">
        <v>45676.0</v>
      </c>
      <c r="D91" s="165"/>
      <c r="E91" s="165"/>
      <c r="F91" s="165"/>
      <c r="G91" s="165"/>
      <c r="H91" s="283" t="s">
        <v>62</v>
      </c>
      <c r="I91" s="165"/>
      <c r="J91" s="165"/>
      <c r="K91" s="165"/>
      <c r="L91" s="165"/>
      <c r="M91" s="283" t="s">
        <v>93</v>
      </c>
      <c r="N91" s="165"/>
      <c r="O91" s="165"/>
      <c r="P91" s="165"/>
      <c r="Q91" s="165"/>
      <c r="R91" s="165"/>
      <c r="S91" s="165"/>
      <c r="T91" s="165"/>
      <c r="U91" s="284">
        <v>233.0</v>
      </c>
      <c r="V91" s="165"/>
      <c r="W91" s="165"/>
      <c r="X91" s="165"/>
      <c r="Y91" s="165"/>
      <c r="Z91" s="284">
        <v>200.0</v>
      </c>
      <c r="AA91" s="165"/>
      <c r="AB91" s="165"/>
      <c r="AC91" s="165"/>
      <c r="AD91" s="165"/>
      <c r="AE91" s="284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6"/>
      <c r="AX91" s="1"/>
      <c r="AY91" s="311"/>
      <c r="AZ91" s="317"/>
      <c r="BA91" s="317"/>
      <c r="BB91" s="317"/>
      <c r="BC91" s="317"/>
      <c r="BD91" s="317"/>
      <c r="BE91" s="317"/>
      <c r="BF91" s="317"/>
      <c r="BG91" s="317"/>
      <c r="BH91" s="317"/>
      <c r="BI91" s="317"/>
      <c r="BJ91" s="317"/>
      <c r="BK91" s="317"/>
      <c r="BL91" s="317"/>
      <c r="BM91" s="317"/>
      <c r="BN91" s="317"/>
      <c r="BO91" s="317"/>
      <c r="BP91" s="317"/>
      <c r="BQ91" s="318"/>
      <c r="BR91" s="319"/>
      <c r="BS91" s="318"/>
      <c r="BT91" s="317"/>
      <c r="BU91" s="317"/>
      <c r="BV91" s="312"/>
      <c r="BW91" s="1"/>
      <c r="BX91" s="292"/>
      <c r="BY91" s="22"/>
      <c r="BZ91" s="292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ht="19.5" customHeight="1">
      <c r="A92" s="1"/>
      <c r="B92" s="295" t="b">
        <v>0</v>
      </c>
      <c r="C92" s="282">
        <v>45676.0</v>
      </c>
      <c r="D92" s="165"/>
      <c r="E92" s="165"/>
      <c r="F92" s="165"/>
      <c r="G92" s="165"/>
      <c r="H92" s="283" t="s">
        <v>62</v>
      </c>
      <c r="I92" s="165"/>
      <c r="J92" s="165"/>
      <c r="K92" s="165"/>
      <c r="L92" s="165"/>
      <c r="M92" s="283" t="s">
        <v>94</v>
      </c>
      <c r="N92" s="165"/>
      <c r="O92" s="165"/>
      <c r="P92" s="165"/>
      <c r="Q92" s="165"/>
      <c r="R92" s="165"/>
      <c r="S92" s="165"/>
      <c r="T92" s="165"/>
      <c r="U92" s="284">
        <v>85.0</v>
      </c>
      <c r="V92" s="165"/>
      <c r="W92" s="165"/>
      <c r="X92" s="165"/>
      <c r="Y92" s="165"/>
      <c r="Z92" s="284">
        <v>100.0</v>
      </c>
      <c r="AA92" s="165"/>
      <c r="AB92" s="165"/>
      <c r="AC92" s="165"/>
      <c r="AD92" s="165"/>
      <c r="AE92" s="284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6"/>
      <c r="AX92" s="1"/>
      <c r="AY92" s="311"/>
      <c r="AZ92" s="317"/>
      <c r="BA92" s="317"/>
      <c r="BB92" s="317"/>
      <c r="BC92" s="317"/>
      <c r="BD92" s="317"/>
      <c r="BE92" s="317"/>
      <c r="BF92" s="317"/>
      <c r="BG92" s="317"/>
      <c r="BH92" s="317"/>
      <c r="BI92" s="317"/>
      <c r="BJ92" s="317"/>
      <c r="BK92" s="317"/>
      <c r="BL92" s="317"/>
      <c r="BM92" s="317"/>
      <c r="BN92" s="317"/>
      <c r="BO92" s="317"/>
      <c r="BP92" s="317"/>
      <c r="BQ92" s="318"/>
      <c r="BR92" s="319"/>
      <c r="BS92" s="318"/>
      <c r="BT92" s="317"/>
      <c r="BU92" s="317"/>
      <c r="BV92" s="312"/>
      <c r="BW92" s="1"/>
      <c r="BX92" s="292"/>
      <c r="BY92" s="22"/>
      <c r="BZ92" s="292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ht="19.5" customHeight="1">
      <c r="A93" s="1"/>
      <c r="B93" s="295" t="b">
        <v>0</v>
      </c>
      <c r="C93" s="282">
        <v>45673.0</v>
      </c>
      <c r="D93" s="165"/>
      <c r="E93" s="165"/>
      <c r="F93" s="165"/>
      <c r="G93" s="165"/>
      <c r="H93" s="283" t="s">
        <v>62</v>
      </c>
      <c r="I93" s="165"/>
      <c r="J93" s="165"/>
      <c r="K93" s="165"/>
      <c r="L93" s="165"/>
      <c r="M93" s="283" t="s">
        <v>95</v>
      </c>
      <c r="N93" s="165"/>
      <c r="O93" s="165"/>
      <c r="P93" s="165"/>
      <c r="Q93" s="165"/>
      <c r="R93" s="165"/>
      <c r="S93" s="165"/>
      <c r="T93" s="165"/>
      <c r="U93" s="284">
        <v>40.0</v>
      </c>
      <c r="V93" s="165"/>
      <c r="W93" s="165"/>
      <c r="X93" s="165"/>
      <c r="Y93" s="165"/>
      <c r="Z93" s="284">
        <v>40.0</v>
      </c>
      <c r="AA93" s="165"/>
      <c r="AB93" s="165"/>
      <c r="AC93" s="165"/>
      <c r="AD93" s="165"/>
      <c r="AE93" s="284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6"/>
      <c r="AX93" s="1"/>
      <c r="AY93" s="311"/>
      <c r="AZ93" s="317"/>
      <c r="BA93" s="317"/>
      <c r="BB93" s="317"/>
      <c r="BC93" s="317"/>
      <c r="BD93" s="317"/>
      <c r="BE93" s="317"/>
      <c r="BF93" s="317"/>
      <c r="BG93" s="317"/>
      <c r="BH93" s="317"/>
      <c r="BI93" s="317"/>
      <c r="BJ93" s="317"/>
      <c r="BK93" s="317"/>
      <c r="BL93" s="317"/>
      <c r="BM93" s="317"/>
      <c r="BN93" s="317"/>
      <c r="BO93" s="317"/>
      <c r="BP93" s="317"/>
      <c r="BQ93" s="318"/>
      <c r="BR93" s="319"/>
      <c r="BS93" s="318"/>
      <c r="BT93" s="317"/>
      <c r="BU93" s="317"/>
      <c r="BV93" s="312"/>
      <c r="BW93" s="1"/>
      <c r="BX93" s="292"/>
      <c r="BY93" s="22"/>
      <c r="BZ93" s="292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ht="20.25" customHeight="1">
      <c r="A94" s="1"/>
      <c r="B94" s="295" t="b">
        <v>0</v>
      </c>
      <c r="C94" s="282">
        <v>45679.0</v>
      </c>
      <c r="D94" s="165"/>
      <c r="E94" s="165"/>
      <c r="F94" s="165"/>
      <c r="G94" s="165"/>
      <c r="H94" s="283" t="s">
        <v>64</v>
      </c>
      <c r="I94" s="165"/>
      <c r="J94" s="165"/>
      <c r="K94" s="165"/>
      <c r="L94" s="165"/>
      <c r="M94" s="283" t="s">
        <v>96</v>
      </c>
      <c r="N94" s="165"/>
      <c r="O94" s="165"/>
      <c r="P94" s="165"/>
      <c r="Q94" s="165"/>
      <c r="R94" s="165"/>
      <c r="S94" s="165"/>
      <c r="T94" s="165"/>
      <c r="U94" s="284">
        <v>70.0</v>
      </c>
      <c r="V94" s="165"/>
      <c r="W94" s="165"/>
      <c r="X94" s="165"/>
      <c r="Y94" s="165"/>
      <c r="Z94" s="284">
        <v>70.0</v>
      </c>
      <c r="AA94" s="165"/>
      <c r="AB94" s="165"/>
      <c r="AC94" s="165"/>
      <c r="AD94" s="165"/>
      <c r="AE94" s="284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6"/>
      <c r="AX94" s="1"/>
      <c r="AY94" s="311"/>
      <c r="AZ94" s="317"/>
      <c r="BA94" s="317"/>
      <c r="BB94" s="317"/>
      <c r="BC94" s="317"/>
      <c r="BD94" s="317"/>
      <c r="BE94" s="317"/>
      <c r="BF94" s="317"/>
      <c r="BG94" s="317"/>
      <c r="BH94" s="317"/>
      <c r="BI94" s="317"/>
      <c r="BJ94" s="317"/>
      <c r="BK94" s="317"/>
      <c r="BL94" s="317"/>
      <c r="BM94" s="317"/>
      <c r="BN94" s="317"/>
      <c r="BO94" s="317"/>
      <c r="BP94" s="317"/>
      <c r="BQ94" s="318"/>
      <c r="BR94" s="319"/>
      <c r="BS94" s="318"/>
      <c r="BT94" s="317"/>
      <c r="BU94" s="317"/>
      <c r="BV94" s="312"/>
      <c r="BW94" s="1"/>
      <c r="BX94" s="292"/>
      <c r="BY94" s="22"/>
      <c r="BZ94" s="292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ht="20.25" customHeight="1">
      <c r="A95" s="1"/>
      <c r="B95" s="295" t="b">
        <v>0</v>
      </c>
      <c r="C95" s="282">
        <v>45675.0</v>
      </c>
      <c r="D95" s="165"/>
      <c r="E95" s="165"/>
      <c r="F95" s="165"/>
      <c r="G95" s="165"/>
      <c r="H95" s="283" t="s">
        <v>64</v>
      </c>
      <c r="I95" s="165"/>
      <c r="J95" s="165"/>
      <c r="K95" s="165"/>
      <c r="L95" s="165"/>
      <c r="M95" s="283" t="s">
        <v>97</v>
      </c>
      <c r="N95" s="165"/>
      <c r="O95" s="165"/>
      <c r="P95" s="165"/>
      <c r="Q95" s="165"/>
      <c r="R95" s="165"/>
      <c r="S95" s="165"/>
      <c r="T95" s="165"/>
      <c r="U95" s="284">
        <v>5.0</v>
      </c>
      <c r="V95" s="165"/>
      <c r="W95" s="165"/>
      <c r="X95" s="165"/>
      <c r="Y95" s="165"/>
      <c r="Z95" s="284">
        <v>150.0</v>
      </c>
      <c r="AA95" s="165"/>
      <c r="AB95" s="165"/>
      <c r="AC95" s="165"/>
      <c r="AD95" s="165"/>
      <c r="AE95" s="284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6"/>
      <c r="AX95" s="1"/>
      <c r="AY95" s="311"/>
      <c r="AZ95" s="317"/>
      <c r="BA95" s="317"/>
      <c r="BB95" s="317"/>
      <c r="BC95" s="317"/>
      <c r="BD95" s="317"/>
      <c r="BE95" s="317"/>
      <c r="BF95" s="317"/>
      <c r="BG95" s="317"/>
      <c r="BH95" s="317"/>
      <c r="BI95" s="317"/>
      <c r="BJ95" s="317"/>
      <c r="BK95" s="317"/>
      <c r="BL95" s="317"/>
      <c r="BM95" s="317"/>
      <c r="BN95" s="317"/>
      <c r="BO95" s="317"/>
      <c r="BP95" s="317"/>
      <c r="BQ95" s="318"/>
      <c r="BR95" s="319"/>
      <c r="BS95" s="318"/>
      <c r="BT95" s="317"/>
      <c r="BU95" s="317"/>
      <c r="BV95" s="312"/>
      <c r="BW95" s="1"/>
      <c r="BX95" s="292"/>
      <c r="BY95" s="22"/>
      <c r="BZ95" s="292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ht="20.25" customHeight="1">
      <c r="A96" s="1"/>
      <c r="B96" s="295" t="b">
        <v>0</v>
      </c>
      <c r="C96" s="282">
        <v>45659.0</v>
      </c>
      <c r="D96" s="165"/>
      <c r="E96" s="165"/>
      <c r="F96" s="165"/>
      <c r="G96" s="165"/>
      <c r="H96" s="283" t="s">
        <v>64</v>
      </c>
      <c r="I96" s="165"/>
      <c r="J96" s="165"/>
      <c r="K96" s="165"/>
      <c r="L96" s="165"/>
      <c r="M96" s="283" t="s">
        <v>98</v>
      </c>
      <c r="N96" s="165"/>
      <c r="O96" s="165"/>
      <c r="P96" s="165"/>
      <c r="Q96" s="165"/>
      <c r="R96" s="165"/>
      <c r="S96" s="165"/>
      <c r="T96" s="165"/>
      <c r="U96" s="284">
        <v>95.0</v>
      </c>
      <c r="V96" s="165"/>
      <c r="W96" s="165"/>
      <c r="X96" s="165"/>
      <c r="Y96" s="165"/>
      <c r="Z96" s="284">
        <v>110.0</v>
      </c>
      <c r="AA96" s="165"/>
      <c r="AB96" s="165"/>
      <c r="AC96" s="165"/>
      <c r="AD96" s="165"/>
      <c r="AE96" s="284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6"/>
      <c r="AX96" s="1"/>
      <c r="AY96" s="311"/>
      <c r="AZ96" s="317"/>
      <c r="BA96" s="317"/>
      <c r="BB96" s="317"/>
      <c r="BC96" s="317"/>
      <c r="BD96" s="317"/>
      <c r="BE96" s="317"/>
      <c r="BF96" s="317"/>
      <c r="BG96" s="317"/>
      <c r="BH96" s="317"/>
      <c r="BI96" s="317"/>
      <c r="BJ96" s="317"/>
      <c r="BK96" s="317"/>
      <c r="BL96" s="317"/>
      <c r="BM96" s="317"/>
      <c r="BN96" s="317"/>
      <c r="BO96" s="317"/>
      <c r="BP96" s="317"/>
      <c r="BQ96" s="318"/>
      <c r="BR96" s="319"/>
      <c r="BS96" s="318"/>
      <c r="BT96" s="317"/>
      <c r="BU96" s="317"/>
      <c r="BV96" s="312"/>
      <c r="BW96" s="1"/>
      <c r="BX96" s="292"/>
      <c r="BY96" s="22"/>
      <c r="BZ96" s="292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ht="20.25" customHeight="1">
      <c r="A97" s="1"/>
      <c r="B97" s="169" t="b">
        <v>0</v>
      </c>
      <c r="C97" s="282">
        <v>45687.0</v>
      </c>
      <c r="D97" s="165"/>
      <c r="E97" s="165"/>
      <c r="F97" s="165"/>
      <c r="G97" s="165"/>
      <c r="H97" s="283" t="s">
        <v>62</v>
      </c>
      <c r="I97" s="165"/>
      <c r="J97" s="165"/>
      <c r="K97" s="165"/>
      <c r="L97" s="165"/>
      <c r="M97" s="283" t="s">
        <v>71</v>
      </c>
      <c r="N97" s="165"/>
      <c r="O97" s="165"/>
      <c r="P97" s="165"/>
      <c r="Q97" s="165"/>
      <c r="R97" s="165"/>
      <c r="S97" s="165"/>
      <c r="T97" s="165"/>
      <c r="U97" s="284">
        <v>250.0</v>
      </c>
      <c r="V97" s="165"/>
      <c r="W97" s="165"/>
      <c r="X97" s="165"/>
      <c r="Y97" s="165"/>
      <c r="Z97" s="284">
        <v>200.0</v>
      </c>
      <c r="AA97" s="165"/>
      <c r="AB97" s="165"/>
      <c r="AC97" s="165"/>
      <c r="AD97" s="165"/>
      <c r="AE97" s="284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6"/>
      <c r="AX97" s="1"/>
      <c r="AY97" s="311"/>
      <c r="AZ97" s="317"/>
      <c r="BA97" s="317"/>
      <c r="BB97" s="317"/>
      <c r="BC97" s="317"/>
      <c r="BD97" s="317"/>
      <c r="BE97" s="317"/>
      <c r="BF97" s="317"/>
      <c r="BG97" s="317"/>
      <c r="BH97" s="317"/>
      <c r="BI97" s="317"/>
      <c r="BJ97" s="317"/>
      <c r="BK97" s="317"/>
      <c r="BL97" s="317"/>
      <c r="BM97" s="317"/>
      <c r="BN97" s="317"/>
      <c r="BO97" s="317"/>
      <c r="BP97" s="317"/>
      <c r="BQ97" s="318"/>
      <c r="BR97" s="319"/>
      <c r="BS97" s="318"/>
      <c r="BT97" s="317"/>
      <c r="BU97" s="317"/>
      <c r="BV97" s="312"/>
      <c r="BW97" s="1"/>
      <c r="BX97" s="292"/>
      <c r="BY97" s="22"/>
      <c r="BZ97" s="292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ht="20.25" customHeight="1">
      <c r="A98" s="1"/>
      <c r="B98" s="189" t="b">
        <v>0</v>
      </c>
      <c r="C98" s="282">
        <v>45687.0</v>
      </c>
      <c r="D98" s="165"/>
      <c r="E98" s="165"/>
      <c r="F98" s="165"/>
      <c r="G98" s="165"/>
      <c r="H98" s="283" t="s">
        <v>64</v>
      </c>
      <c r="I98" s="165"/>
      <c r="J98" s="165"/>
      <c r="K98" s="165"/>
      <c r="L98" s="165"/>
      <c r="M98" s="283" t="s">
        <v>86</v>
      </c>
      <c r="N98" s="165"/>
      <c r="O98" s="165"/>
      <c r="P98" s="165"/>
      <c r="Q98" s="165"/>
      <c r="R98" s="165"/>
      <c r="S98" s="165"/>
      <c r="T98" s="165"/>
      <c r="U98" s="284">
        <v>200.0</v>
      </c>
      <c r="V98" s="165"/>
      <c r="W98" s="165"/>
      <c r="X98" s="165"/>
      <c r="Y98" s="165"/>
      <c r="Z98" s="284">
        <v>200.0</v>
      </c>
      <c r="AA98" s="165"/>
      <c r="AB98" s="165"/>
      <c r="AC98" s="165"/>
      <c r="AD98" s="165"/>
      <c r="AE98" s="284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6"/>
      <c r="AX98" s="1"/>
      <c r="AY98" s="311"/>
      <c r="AZ98" s="317"/>
      <c r="BA98" s="317"/>
      <c r="BB98" s="317"/>
      <c r="BC98" s="317"/>
      <c r="BD98" s="317"/>
      <c r="BE98" s="317"/>
      <c r="BF98" s="317"/>
      <c r="BG98" s="317"/>
      <c r="BH98" s="317"/>
      <c r="BI98" s="317"/>
      <c r="BJ98" s="317"/>
      <c r="BK98" s="317"/>
      <c r="BL98" s="317"/>
      <c r="BM98" s="317"/>
      <c r="BN98" s="317"/>
      <c r="BO98" s="317"/>
      <c r="BP98" s="317"/>
      <c r="BQ98" s="318"/>
      <c r="BR98" s="319"/>
      <c r="BS98" s="318"/>
      <c r="BT98" s="317"/>
      <c r="BU98" s="317"/>
      <c r="BV98" s="312"/>
      <c r="BW98" s="1"/>
      <c r="BX98" s="292"/>
      <c r="BY98" s="22"/>
      <c r="BZ98" s="292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ht="20.25" customHeight="1">
      <c r="A99" s="1"/>
      <c r="B99" s="189" t="b">
        <v>0</v>
      </c>
      <c r="C99" s="282">
        <v>45688.0</v>
      </c>
      <c r="D99" s="165"/>
      <c r="E99" s="165"/>
      <c r="F99" s="165"/>
      <c r="G99" s="165"/>
      <c r="H99" s="283" t="s">
        <v>22</v>
      </c>
      <c r="I99" s="165"/>
      <c r="J99" s="165"/>
      <c r="K99" s="165"/>
      <c r="L99" s="165"/>
      <c r="M99" s="283" t="s">
        <v>79</v>
      </c>
      <c r="N99" s="165"/>
      <c r="O99" s="165"/>
      <c r="P99" s="165"/>
      <c r="Q99" s="165"/>
      <c r="R99" s="165"/>
      <c r="S99" s="165"/>
      <c r="T99" s="165"/>
      <c r="U99" s="284">
        <v>500.0</v>
      </c>
      <c r="V99" s="165"/>
      <c r="W99" s="165"/>
      <c r="X99" s="165"/>
      <c r="Y99" s="165"/>
      <c r="Z99" s="284">
        <v>500.0</v>
      </c>
      <c r="AA99" s="165"/>
      <c r="AB99" s="165"/>
      <c r="AC99" s="165"/>
      <c r="AD99" s="165"/>
      <c r="AE99" s="284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6"/>
      <c r="AX99" s="1"/>
      <c r="AY99" s="311"/>
      <c r="AZ99" s="317"/>
      <c r="BA99" s="317"/>
      <c r="BB99" s="317"/>
      <c r="BC99" s="317"/>
      <c r="BD99" s="317"/>
      <c r="BE99" s="317"/>
      <c r="BF99" s="317"/>
      <c r="BG99" s="317"/>
      <c r="BH99" s="317"/>
      <c r="BI99" s="317"/>
      <c r="BJ99" s="317"/>
      <c r="BK99" s="317"/>
      <c r="BL99" s="317"/>
      <c r="BM99" s="317"/>
      <c r="BN99" s="317"/>
      <c r="BO99" s="317"/>
      <c r="BP99" s="317"/>
      <c r="BQ99" s="318"/>
      <c r="BR99" s="319"/>
      <c r="BS99" s="318"/>
      <c r="BT99" s="317"/>
      <c r="BU99" s="317"/>
      <c r="BV99" s="312"/>
      <c r="BW99" s="1"/>
      <c r="BX99" s="292"/>
      <c r="BY99" s="22"/>
      <c r="BZ99" s="292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ht="20.25" customHeight="1">
      <c r="A100" s="1"/>
      <c r="B100" s="189" t="b">
        <v>0</v>
      </c>
      <c r="C100" s="282"/>
      <c r="D100" s="165"/>
      <c r="E100" s="165"/>
      <c r="F100" s="165"/>
      <c r="G100" s="165"/>
      <c r="H100" s="283"/>
      <c r="I100" s="165"/>
      <c r="J100" s="165"/>
      <c r="K100" s="165"/>
      <c r="L100" s="165"/>
      <c r="M100" s="283"/>
      <c r="N100" s="165"/>
      <c r="O100" s="165"/>
      <c r="P100" s="165"/>
      <c r="Q100" s="165"/>
      <c r="R100" s="165"/>
      <c r="S100" s="165"/>
      <c r="T100" s="165"/>
      <c r="U100" s="284"/>
      <c r="V100" s="165"/>
      <c r="W100" s="165"/>
      <c r="X100" s="165"/>
      <c r="Y100" s="165"/>
      <c r="Z100" s="284"/>
      <c r="AA100" s="165"/>
      <c r="AB100" s="165"/>
      <c r="AC100" s="165"/>
      <c r="AD100" s="165"/>
      <c r="AE100" s="284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6"/>
      <c r="AX100" s="1"/>
      <c r="AY100" s="311"/>
      <c r="AZ100" s="317"/>
      <c r="BA100" s="317"/>
      <c r="BB100" s="317"/>
      <c r="BC100" s="317"/>
      <c r="BD100" s="317"/>
      <c r="BE100" s="317"/>
      <c r="BF100" s="317"/>
      <c r="BG100" s="317"/>
      <c r="BH100" s="317"/>
      <c r="BI100" s="317"/>
      <c r="BJ100" s="317"/>
      <c r="BK100" s="317"/>
      <c r="BL100" s="317"/>
      <c r="BM100" s="317"/>
      <c r="BN100" s="317"/>
      <c r="BO100" s="317"/>
      <c r="BP100" s="317"/>
      <c r="BQ100" s="318"/>
      <c r="BR100" s="319"/>
      <c r="BS100" s="318"/>
      <c r="BT100" s="317"/>
      <c r="BU100" s="317"/>
      <c r="BV100" s="312"/>
      <c r="BW100" s="1"/>
      <c r="BX100" s="292"/>
      <c r="BY100" s="22"/>
      <c r="BZ100" s="292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ht="20.25" customHeight="1">
      <c r="A101" s="1"/>
      <c r="B101" s="189" t="b">
        <v>0</v>
      </c>
      <c r="C101" s="282"/>
      <c r="D101" s="165"/>
      <c r="E101" s="165"/>
      <c r="F101" s="165"/>
      <c r="G101" s="165"/>
      <c r="H101" s="283"/>
      <c r="I101" s="165"/>
      <c r="J101" s="165"/>
      <c r="K101" s="165"/>
      <c r="L101" s="165"/>
      <c r="M101" s="283"/>
      <c r="N101" s="165"/>
      <c r="O101" s="165"/>
      <c r="P101" s="165"/>
      <c r="Q101" s="165"/>
      <c r="R101" s="165"/>
      <c r="S101" s="165"/>
      <c r="T101" s="165"/>
      <c r="U101" s="284"/>
      <c r="V101" s="165"/>
      <c r="W101" s="165"/>
      <c r="X101" s="165"/>
      <c r="Y101" s="165"/>
      <c r="Z101" s="284"/>
      <c r="AA101" s="165"/>
      <c r="AB101" s="165"/>
      <c r="AC101" s="165"/>
      <c r="AD101" s="165"/>
      <c r="AE101" s="284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6"/>
      <c r="AX101" s="1"/>
      <c r="AY101" s="311"/>
      <c r="AZ101" s="317"/>
      <c r="BA101" s="317"/>
      <c r="BB101" s="317"/>
      <c r="BC101" s="317"/>
      <c r="BD101" s="317"/>
      <c r="BE101" s="317"/>
      <c r="BF101" s="317"/>
      <c r="BG101" s="317"/>
      <c r="BH101" s="317"/>
      <c r="BI101" s="317"/>
      <c r="BJ101" s="317"/>
      <c r="BK101" s="317"/>
      <c r="BL101" s="317"/>
      <c r="BM101" s="317"/>
      <c r="BN101" s="317"/>
      <c r="BO101" s="317"/>
      <c r="BP101" s="317"/>
      <c r="BQ101" s="318"/>
      <c r="BR101" s="319"/>
      <c r="BS101" s="318"/>
      <c r="BT101" s="317"/>
      <c r="BU101" s="317"/>
      <c r="BV101" s="312"/>
      <c r="BW101" s="1"/>
      <c r="BX101" s="292"/>
      <c r="BY101" s="22"/>
      <c r="BZ101" s="292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ht="20.25" customHeight="1">
      <c r="A102" s="1"/>
      <c r="B102" s="189" t="b">
        <v>0</v>
      </c>
      <c r="C102" s="282"/>
      <c r="D102" s="165"/>
      <c r="E102" s="165"/>
      <c r="F102" s="165"/>
      <c r="G102" s="165"/>
      <c r="H102" s="283"/>
      <c r="I102" s="165"/>
      <c r="J102" s="165"/>
      <c r="K102" s="165"/>
      <c r="L102" s="165"/>
      <c r="M102" s="283"/>
      <c r="N102" s="165"/>
      <c r="O102" s="165"/>
      <c r="P102" s="165"/>
      <c r="Q102" s="165"/>
      <c r="R102" s="165"/>
      <c r="S102" s="165"/>
      <c r="T102" s="165"/>
      <c r="U102" s="284"/>
      <c r="V102" s="165"/>
      <c r="W102" s="165"/>
      <c r="X102" s="165"/>
      <c r="Y102" s="165"/>
      <c r="Z102" s="284"/>
      <c r="AA102" s="165"/>
      <c r="AB102" s="165"/>
      <c r="AC102" s="165"/>
      <c r="AD102" s="165"/>
      <c r="AE102" s="284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6"/>
      <c r="AX102" s="1"/>
      <c r="AY102" s="311"/>
      <c r="AZ102" s="317"/>
      <c r="BA102" s="317"/>
      <c r="BB102" s="317"/>
      <c r="BC102" s="317"/>
      <c r="BD102" s="317"/>
      <c r="BE102" s="317"/>
      <c r="BF102" s="317"/>
      <c r="BG102" s="317"/>
      <c r="BH102" s="317"/>
      <c r="BI102" s="317"/>
      <c r="BJ102" s="317"/>
      <c r="BK102" s="317"/>
      <c r="BL102" s="317"/>
      <c r="BM102" s="317"/>
      <c r="BN102" s="317"/>
      <c r="BO102" s="317"/>
      <c r="BP102" s="317"/>
      <c r="BQ102" s="318"/>
      <c r="BR102" s="319"/>
      <c r="BS102" s="318"/>
      <c r="BT102" s="317"/>
      <c r="BU102" s="317"/>
      <c r="BV102" s="312"/>
      <c r="BW102" s="1"/>
      <c r="BX102" s="292"/>
      <c r="BY102" s="22"/>
      <c r="BZ102" s="292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ht="20.25" customHeight="1">
      <c r="A103" s="1"/>
      <c r="B103" s="189" t="b">
        <v>0</v>
      </c>
      <c r="C103" s="282"/>
      <c r="D103" s="165"/>
      <c r="E103" s="165"/>
      <c r="F103" s="165"/>
      <c r="G103" s="165"/>
      <c r="H103" s="283"/>
      <c r="I103" s="165"/>
      <c r="J103" s="165"/>
      <c r="K103" s="165"/>
      <c r="L103" s="165"/>
      <c r="M103" s="283"/>
      <c r="N103" s="165"/>
      <c r="O103" s="165"/>
      <c r="P103" s="165"/>
      <c r="Q103" s="165"/>
      <c r="R103" s="165"/>
      <c r="S103" s="165"/>
      <c r="T103" s="165"/>
      <c r="U103" s="284"/>
      <c r="V103" s="165"/>
      <c r="W103" s="165"/>
      <c r="X103" s="165"/>
      <c r="Y103" s="165"/>
      <c r="Z103" s="284"/>
      <c r="AA103" s="165"/>
      <c r="AB103" s="165"/>
      <c r="AC103" s="165"/>
      <c r="AD103" s="165"/>
      <c r="AE103" s="284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6"/>
      <c r="AX103" s="1"/>
      <c r="AY103" s="311"/>
      <c r="AZ103" s="317"/>
      <c r="BA103" s="317"/>
      <c r="BB103" s="317"/>
      <c r="BC103" s="317"/>
      <c r="BD103" s="317"/>
      <c r="BE103" s="317"/>
      <c r="BF103" s="317"/>
      <c r="BG103" s="317"/>
      <c r="BH103" s="317"/>
      <c r="BI103" s="317"/>
      <c r="BJ103" s="317"/>
      <c r="BK103" s="317"/>
      <c r="BL103" s="317"/>
      <c r="BM103" s="317"/>
      <c r="BN103" s="317"/>
      <c r="BO103" s="317"/>
      <c r="BP103" s="317"/>
      <c r="BQ103" s="318"/>
      <c r="BR103" s="319"/>
      <c r="BS103" s="318"/>
      <c r="BT103" s="317"/>
      <c r="BU103" s="317"/>
      <c r="BV103" s="312"/>
      <c r="BW103" s="1"/>
      <c r="BX103" s="292"/>
      <c r="BY103" s="22"/>
      <c r="BZ103" s="292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ht="20.25" customHeight="1">
      <c r="A104" s="1"/>
      <c r="B104" s="189" t="b">
        <v>0</v>
      </c>
      <c r="C104" s="282"/>
      <c r="D104" s="165"/>
      <c r="E104" s="165"/>
      <c r="F104" s="165"/>
      <c r="G104" s="165"/>
      <c r="H104" s="283"/>
      <c r="I104" s="165"/>
      <c r="J104" s="165"/>
      <c r="K104" s="165"/>
      <c r="L104" s="165"/>
      <c r="M104" s="283"/>
      <c r="N104" s="165"/>
      <c r="O104" s="165"/>
      <c r="P104" s="165"/>
      <c r="Q104" s="165"/>
      <c r="R104" s="165"/>
      <c r="S104" s="165"/>
      <c r="T104" s="165"/>
      <c r="U104" s="284"/>
      <c r="V104" s="165"/>
      <c r="W104" s="165"/>
      <c r="X104" s="165"/>
      <c r="Y104" s="165"/>
      <c r="Z104" s="284"/>
      <c r="AA104" s="165"/>
      <c r="AB104" s="165"/>
      <c r="AC104" s="165"/>
      <c r="AD104" s="165"/>
      <c r="AE104" s="284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6"/>
      <c r="AX104" s="1"/>
      <c r="AY104" s="311"/>
      <c r="AZ104" s="317"/>
      <c r="BA104" s="317"/>
      <c r="BB104" s="317"/>
      <c r="BC104" s="317"/>
      <c r="BD104" s="317"/>
      <c r="BE104" s="317"/>
      <c r="BF104" s="317"/>
      <c r="BG104" s="317"/>
      <c r="BH104" s="317"/>
      <c r="BI104" s="317"/>
      <c r="BJ104" s="317"/>
      <c r="BK104" s="317"/>
      <c r="BL104" s="317"/>
      <c r="BM104" s="317"/>
      <c r="BN104" s="317"/>
      <c r="BO104" s="317"/>
      <c r="BP104" s="317"/>
      <c r="BQ104" s="318"/>
      <c r="BR104" s="319"/>
      <c r="BS104" s="318"/>
      <c r="BT104" s="317"/>
      <c r="BU104" s="317"/>
      <c r="BV104" s="312"/>
      <c r="BW104" s="1"/>
      <c r="BX104" s="292"/>
      <c r="BY104" s="22"/>
      <c r="BZ104" s="292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ht="20.25" customHeight="1">
      <c r="A105" s="1"/>
      <c r="B105" s="189" t="b">
        <v>0</v>
      </c>
      <c r="C105" s="282"/>
      <c r="D105" s="165"/>
      <c r="E105" s="165"/>
      <c r="F105" s="165"/>
      <c r="G105" s="165"/>
      <c r="H105" s="283"/>
      <c r="I105" s="165"/>
      <c r="J105" s="165"/>
      <c r="K105" s="165"/>
      <c r="L105" s="165"/>
      <c r="M105" s="283"/>
      <c r="N105" s="165"/>
      <c r="O105" s="165"/>
      <c r="P105" s="165"/>
      <c r="Q105" s="165"/>
      <c r="R105" s="165"/>
      <c r="S105" s="165"/>
      <c r="T105" s="165"/>
      <c r="U105" s="284"/>
      <c r="V105" s="165"/>
      <c r="W105" s="165"/>
      <c r="X105" s="165"/>
      <c r="Y105" s="165"/>
      <c r="Z105" s="284"/>
      <c r="AA105" s="165"/>
      <c r="AB105" s="165"/>
      <c r="AC105" s="165"/>
      <c r="AD105" s="165"/>
      <c r="AE105" s="284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6"/>
      <c r="AX105" s="1"/>
      <c r="AY105" s="311"/>
      <c r="AZ105" s="317"/>
      <c r="BA105" s="317"/>
      <c r="BB105" s="317"/>
      <c r="BC105" s="317"/>
      <c r="BD105" s="317"/>
      <c r="BE105" s="317"/>
      <c r="BF105" s="317"/>
      <c r="BG105" s="317"/>
      <c r="BH105" s="317"/>
      <c r="BI105" s="317"/>
      <c r="BJ105" s="317"/>
      <c r="BK105" s="317"/>
      <c r="BL105" s="317"/>
      <c r="BM105" s="317"/>
      <c r="BN105" s="317"/>
      <c r="BO105" s="317"/>
      <c r="BP105" s="317"/>
      <c r="BQ105" s="318"/>
      <c r="BR105" s="319"/>
      <c r="BS105" s="318"/>
      <c r="BT105" s="317"/>
      <c r="BU105" s="317"/>
      <c r="BV105" s="312"/>
      <c r="BW105" s="1"/>
      <c r="BX105" s="292"/>
      <c r="BY105" s="22"/>
      <c r="BZ105" s="292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ht="20.25" customHeight="1">
      <c r="A106" s="1"/>
      <c r="B106" s="189" t="b">
        <v>0</v>
      </c>
      <c r="C106" s="282"/>
      <c r="D106" s="165"/>
      <c r="E106" s="165"/>
      <c r="F106" s="165"/>
      <c r="G106" s="165"/>
      <c r="H106" s="283"/>
      <c r="I106" s="165"/>
      <c r="J106" s="165"/>
      <c r="K106" s="165"/>
      <c r="L106" s="165"/>
      <c r="M106" s="283"/>
      <c r="N106" s="165"/>
      <c r="O106" s="165"/>
      <c r="P106" s="165"/>
      <c r="Q106" s="165"/>
      <c r="R106" s="165"/>
      <c r="S106" s="165"/>
      <c r="T106" s="165"/>
      <c r="U106" s="284"/>
      <c r="V106" s="165"/>
      <c r="W106" s="165"/>
      <c r="X106" s="165"/>
      <c r="Y106" s="165"/>
      <c r="Z106" s="284"/>
      <c r="AA106" s="165"/>
      <c r="AB106" s="165"/>
      <c r="AC106" s="165"/>
      <c r="AD106" s="165"/>
      <c r="AE106" s="284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6"/>
      <c r="AX106" s="1"/>
      <c r="AY106" s="311"/>
      <c r="AZ106" s="317"/>
      <c r="BA106" s="317"/>
      <c r="BB106" s="317"/>
      <c r="BC106" s="317"/>
      <c r="BD106" s="317"/>
      <c r="BE106" s="317"/>
      <c r="BF106" s="317"/>
      <c r="BG106" s="317"/>
      <c r="BH106" s="317"/>
      <c r="BI106" s="317"/>
      <c r="BJ106" s="317"/>
      <c r="BK106" s="317"/>
      <c r="BL106" s="317"/>
      <c r="BM106" s="317"/>
      <c r="BN106" s="317"/>
      <c r="BO106" s="317"/>
      <c r="BP106" s="317"/>
      <c r="BQ106" s="318"/>
      <c r="BR106" s="319"/>
      <c r="BS106" s="318"/>
      <c r="BT106" s="317"/>
      <c r="BU106" s="317"/>
      <c r="BV106" s="312"/>
      <c r="BW106" s="1"/>
      <c r="BX106" s="292"/>
      <c r="BY106" s="22"/>
      <c r="BZ106" s="292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ht="20.25" customHeight="1">
      <c r="A107" s="1"/>
      <c r="B107" s="189" t="b">
        <v>0</v>
      </c>
      <c r="C107" s="282"/>
      <c r="D107" s="165"/>
      <c r="E107" s="165"/>
      <c r="F107" s="165"/>
      <c r="G107" s="165"/>
      <c r="H107" s="283"/>
      <c r="I107" s="165"/>
      <c r="J107" s="165"/>
      <c r="K107" s="165"/>
      <c r="L107" s="165"/>
      <c r="M107" s="283"/>
      <c r="N107" s="165"/>
      <c r="O107" s="165"/>
      <c r="P107" s="165"/>
      <c r="Q107" s="165"/>
      <c r="R107" s="165"/>
      <c r="S107" s="165"/>
      <c r="T107" s="165"/>
      <c r="U107" s="284"/>
      <c r="V107" s="165"/>
      <c r="W107" s="165"/>
      <c r="X107" s="165"/>
      <c r="Y107" s="165"/>
      <c r="Z107" s="284"/>
      <c r="AA107" s="165"/>
      <c r="AB107" s="165"/>
      <c r="AC107" s="165"/>
      <c r="AD107" s="165"/>
      <c r="AE107" s="284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6"/>
      <c r="AX107" s="1"/>
      <c r="AY107" s="311"/>
      <c r="AZ107" s="317"/>
      <c r="BA107" s="317"/>
      <c r="BB107" s="317"/>
      <c r="BC107" s="317"/>
      <c r="BD107" s="317"/>
      <c r="BE107" s="317"/>
      <c r="BF107" s="317"/>
      <c r="BG107" s="317"/>
      <c r="BH107" s="317"/>
      <c r="BI107" s="317"/>
      <c r="BJ107" s="317"/>
      <c r="BK107" s="317"/>
      <c r="BL107" s="317"/>
      <c r="BM107" s="317"/>
      <c r="BN107" s="317"/>
      <c r="BO107" s="317"/>
      <c r="BP107" s="317"/>
      <c r="BQ107" s="318"/>
      <c r="BR107" s="319"/>
      <c r="BS107" s="318"/>
      <c r="BT107" s="317"/>
      <c r="BU107" s="317"/>
      <c r="BV107" s="312"/>
      <c r="BW107" s="1"/>
      <c r="BX107" s="292"/>
      <c r="BY107" s="22"/>
      <c r="BZ107" s="292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ht="20.25" customHeight="1">
      <c r="A108" s="1"/>
      <c r="B108" s="189" t="b">
        <v>0</v>
      </c>
      <c r="C108" s="282"/>
      <c r="D108" s="165"/>
      <c r="E108" s="165"/>
      <c r="F108" s="165"/>
      <c r="G108" s="165"/>
      <c r="H108" s="283"/>
      <c r="I108" s="165"/>
      <c r="J108" s="165"/>
      <c r="K108" s="165"/>
      <c r="L108" s="165"/>
      <c r="M108" s="283"/>
      <c r="N108" s="165"/>
      <c r="O108" s="165"/>
      <c r="P108" s="165"/>
      <c r="Q108" s="165"/>
      <c r="R108" s="165"/>
      <c r="S108" s="165"/>
      <c r="T108" s="165"/>
      <c r="U108" s="284"/>
      <c r="V108" s="165"/>
      <c r="W108" s="165"/>
      <c r="X108" s="165"/>
      <c r="Y108" s="165"/>
      <c r="Z108" s="284"/>
      <c r="AA108" s="165"/>
      <c r="AB108" s="165"/>
      <c r="AC108" s="165"/>
      <c r="AD108" s="165"/>
      <c r="AE108" s="284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6"/>
      <c r="AX108" s="1"/>
      <c r="AY108" s="311"/>
      <c r="AZ108" s="317"/>
      <c r="BA108" s="317"/>
      <c r="BB108" s="317"/>
      <c r="BC108" s="317"/>
      <c r="BD108" s="317"/>
      <c r="BE108" s="317"/>
      <c r="BF108" s="317"/>
      <c r="BG108" s="317"/>
      <c r="BH108" s="317"/>
      <c r="BI108" s="317"/>
      <c r="BJ108" s="317"/>
      <c r="BK108" s="317"/>
      <c r="BL108" s="317"/>
      <c r="BM108" s="317"/>
      <c r="BN108" s="317"/>
      <c r="BO108" s="317"/>
      <c r="BP108" s="317"/>
      <c r="BQ108" s="318"/>
      <c r="BR108" s="319"/>
      <c r="BS108" s="318"/>
      <c r="BT108" s="317"/>
      <c r="BU108" s="317"/>
      <c r="BV108" s="312"/>
      <c r="BW108" s="1"/>
      <c r="BX108" s="292"/>
      <c r="BY108" s="22"/>
      <c r="BZ108" s="292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ht="20.25" customHeight="1">
      <c r="A109" s="1"/>
      <c r="B109" s="189" t="b">
        <v>0</v>
      </c>
      <c r="C109" s="282"/>
      <c r="D109" s="165"/>
      <c r="E109" s="165"/>
      <c r="F109" s="165"/>
      <c r="G109" s="165"/>
      <c r="H109" s="283"/>
      <c r="I109" s="165"/>
      <c r="J109" s="165"/>
      <c r="K109" s="165"/>
      <c r="L109" s="165"/>
      <c r="M109" s="283"/>
      <c r="N109" s="165"/>
      <c r="O109" s="165"/>
      <c r="P109" s="165"/>
      <c r="Q109" s="165"/>
      <c r="R109" s="165"/>
      <c r="S109" s="165"/>
      <c r="T109" s="165"/>
      <c r="U109" s="284"/>
      <c r="V109" s="165"/>
      <c r="W109" s="165"/>
      <c r="X109" s="165"/>
      <c r="Y109" s="165"/>
      <c r="Z109" s="284"/>
      <c r="AA109" s="165"/>
      <c r="AB109" s="165"/>
      <c r="AC109" s="165"/>
      <c r="AD109" s="165"/>
      <c r="AE109" s="284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6"/>
      <c r="AX109" s="1"/>
      <c r="AY109" s="311"/>
      <c r="AZ109" s="317"/>
      <c r="BA109" s="317"/>
      <c r="BB109" s="317"/>
      <c r="BC109" s="317"/>
      <c r="BD109" s="317"/>
      <c r="BE109" s="317"/>
      <c r="BF109" s="317"/>
      <c r="BG109" s="317"/>
      <c r="BH109" s="317"/>
      <c r="BI109" s="317"/>
      <c r="BJ109" s="317"/>
      <c r="BK109" s="317"/>
      <c r="BL109" s="317"/>
      <c r="BM109" s="317"/>
      <c r="BN109" s="317"/>
      <c r="BO109" s="317"/>
      <c r="BP109" s="317"/>
      <c r="BQ109" s="318"/>
      <c r="BR109" s="319"/>
      <c r="BS109" s="318"/>
      <c r="BT109" s="317"/>
      <c r="BU109" s="317"/>
      <c r="BV109" s="312"/>
      <c r="BW109" s="1"/>
      <c r="BX109" s="292"/>
      <c r="BY109" s="22"/>
      <c r="BZ109" s="292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ht="20.25" customHeight="1">
      <c r="A110" s="1"/>
      <c r="B110" s="189" t="b">
        <v>0</v>
      </c>
      <c r="C110" s="282"/>
      <c r="D110" s="165"/>
      <c r="E110" s="165"/>
      <c r="F110" s="165"/>
      <c r="G110" s="165"/>
      <c r="H110" s="283"/>
      <c r="I110" s="165"/>
      <c r="J110" s="165"/>
      <c r="K110" s="165"/>
      <c r="L110" s="165"/>
      <c r="M110" s="283"/>
      <c r="N110" s="165"/>
      <c r="O110" s="165"/>
      <c r="P110" s="165"/>
      <c r="Q110" s="165"/>
      <c r="R110" s="165"/>
      <c r="S110" s="165"/>
      <c r="T110" s="165"/>
      <c r="U110" s="284"/>
      <c r="V110" s="165"/>
      <c r="W110" s="165"/>
      <c r="X110" s="165"/>
      <c r="Y110" s="165"/>
      <c r="Z110" s="284"/>
      <c r="AA110" s="165"/>
      <c r="AB110" s="165"/>
      <c r="AC110" s="165"/>
      <c r="AD110" s="165"/>
      <c r="AE110" s="284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6"/>
      <c r="AX110" s="1"/>
      <c r="AY110" s="311"/>
      <c r="AZ110" s="317"/>
      <c r="BA110" s="317"/>
      <c r="BB110" s="317"/>
      <c r="BC110" s="317"/>
      <c r="BD110" s="317"/>
      <c r="BE110" s="317"/>
      <c r="BF110" s="317"/>
      <c r="BG110" s="317"/>
      <c r="BH110" s="317"/>
      <c r="BI110" s="317"/>
      <c r="BJ110" s="317"/>
      <c r="BK110" s="317"/>
      <c r="BL110" s="317"/>
      <c r="BM110" s="317"/>
      <c r="BN110" s="317"/>
      <c r="BO110" s="317"/>
      <c r="BP110" s="317"/>
      <c r="BQ110" s="318"/>
      <c r="BR110" s="319"/>
      <c r="BS110" s="318"/>
      <c r="BT110" s="317"/>
      <c r="BU110" s="317"/>
      <c r="BV110" s="312"/>
      <c r="BW110" s="1"/>
      <c r="BX110" s="292"/>
      <c r="BY110" s="22"/>
      <c r="BZ110" s="292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ht="20.25" customHeight="1">
      <c r="A111" s="1"/>
      <c r="B111" s="189" t="b">
        <v>0</v>
      </c>
      <c r="C111" s="282"/>
      <c r="D111" s="165"/>
      <c r="E111" s="165"/>
      <c r="F111" s="165"/>
      <c r="G111" s="165"/>
      <c r="H111" s="283"/>
      <c r="I111" s="165"/>
      <c r="J111" s="165"/>
      <c r="K111" s="165"/>
      <c r="L111" s="165"/>
      <c r="M111" s="283"/>
      <c r="N111" s="165"/>
      <c r="O111" s="165"/>
      <c r="P111" s="165"/>
      <c r="Q111" s="165"/>
      <c r="R111" s="165"/>
      <c r="S111" s="165"/>
      <c r="T111" s="165"/>
      <c r="U111" s="284"/>
      <c r="V111" s="165"/>
      <c r="W111" s="165"/>
      <c r="X111" s="165"/>
      <c r="Y111" s="165"/>
      <c r="Z111" s="284"/>
      <c r="AA111" s="165"/>
      <c r="AB111" s="165"/>
      <c r="AC111" s="165"/>
      <c r="AD111" s="165"/>
      <c r="AE111" s="284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6"/>
      <c r="AX111" s="1"/>
      <c r="AY111" s="311"/>
      <c r="AZ111" s="317"/>
      <c r="BA111" s="317"/>
      <c r="BB111" s="317"/>
      <c r="BC111" s="317"/>
      <c r="BD111" s="317"/>
      <c r="BE111" s="317"/>
      <c r="BF111" s="317"/>
      <c r="BG111" s="317"/>
      <c r="BH111" s="317"/>
      <c r="BI111" s="317"/>
      <c r="BJ111" s="317"/>
      <c r="BK111" s="317"/>
      <c r="BL111" s="317"/>
      <c r="BM111" s="317"/>
      <c r="BN111" s="317"/>
      <c r="BO111" s="317"/>
      <c r="BP111" s="317"/>
      <c r="BQ111" s="318"/>
      <c r="BR111" s="319"/>
      <c r="BS111" s="318"/>
      <c r="BT111" s="317"/>
      <c r="BU111" s="317"/>
      <c r="BV111" s="312"/>
      <c r="BW111" s="1"/>
      <c r="BX111" s="292"/>
      <c r="BY111" s="22"/>
      <c r="BZ111" s="292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ht="20.25" customHeight="1">
      <c r="A112" s="1"/>
      <c r="B112" s="189" t="b">
        <v>0</v>
      </c>
      <c r="C112" s="282"/>
      <c r="D112" s="165"/>
      <c r="E112" s="165"/>
      <c r="F112" s="165"/>
      <c r="G112" s="165"/>
      <c r="H112" s="283"/>
      <c r="I112" s="165"/>
      <c r="J112" s="165"/>
      <c r="K112" s="165"/>
      <c r="L112" s="165"/>
      <c r="M112" s="283"/>
      <c r="N112" s="165"/>
      <c r="O112" s="165"/>
      <c r="P112" s="165"/>
      <c r="Q112" s="165"/>
      <c r="R112" s="165"/>
      <c r="S112" s="165"/>
      <c r="T112" s="165"/>
      <c r="U112" s="284"/>
      <c r="V112" s="165"/>
      <c r="W112" s="165"/>
      <c r="X112" s="165"/>
      <c r="Y112" s="165"/>
      <c r="Z112" s="284"/>
      <c r="AA112" s="165"/>
      <c r="AB112" s="165"/>
      <c r="AC112" s="165"/>
      <c r="AD112" s="165"/>
      <c r="AE112" s="284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6"/>
      <c r="AX112" s="1"/>
      <c r="AY112" s="311"/>
      <c r="AZ112" s="317"/>
      <c r="BA112" s="317"/>
      <c r="BB112" s="317"/>
      <c r="BC112" s="317"/>
      <c r="BD112" s="317"/>
      <c r="BE112" s="317"/>
      <c r="BF112" s="317"/>
      <c r="BG112" s="317"/>
      <c r="BH112" s="317"/>
      <c r="BI112" s="317"/>
      <c r="BJ112" s="317"/>
      <c r="BK112" s="317"/>
      <c r="BL112" s="317"/>
      <c r="BM112" s="317"/>
      <c r="BN112" s="317"/>
      <c r="BO112" s="320"/>
      <c r="BP112" s="317"/>
      <c r="BQ112" s="318"/>
      <c r="BR112" s="319"/>
      <c r="BS112" s="318"/>
      <c r="BT112" s="317"/>
      <c r="BU112" s="317"/>
      <c r="BV112" s="321"/>
      <c r="BW112" s="1"/>
      <c r="BX112" s="292"/>
      <c r="BY112" s="22"/>
      <c r="BZ112" s="292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ht="20.25" customHeight="1">
      <c r="A113" s="1"/>
      <c r="B113" s="189" t="b">
        <v>0</v>
      </c>
      <c r="C113" s="282"/>
      <c r="D113" s="165"/>
      <c r="E113" s="165"/>
      <c r="F113" s="165"/>
      <c r="G113" s="165"/>
      <c r="H113" s="283"/>
      <c r="I113" s="165"/>
      <c r="J113" s="165"/>
      <c r="K113" s="165"/>
      <c r="L113" s="165"/>
      <c r="M113" s="283"/>
      <c r="N113" s="165"/>
      <c r="O113" s="165"/>
      <c r="P113" s="165"/>
      <c r="Q113" s="165"/>
      <c r="R113" s="165"/>
      <c r="S113" s="165"/>
      <c r="T113" s="165"/>
      <c r="U113" s="284"/>
      <c r="V113" s="165"/>
      <c r="W113" s="165"/>
      <c r="X113" s="165"/>
      <c r="Y113" s="165"/>
      <c r="Z113" s="284"/>
      <c r="AA113" s="165"/>
      <c r="AB113" s="165"/>
      <c r="AC113" s="165"/>
      <c r="AD113" s="165"/>
      <c r="AE113" s="284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6"/>
      <c r="AX113" s="1"/>
      <c r="AY113" s="311"/>
      <c r="AZ113" s="317"/>
      <c r="BA113" s="317"/>
      <c r="BB113" s="317"/>
      <c r="BC113" s="317"/>
      <c r="BD113" s="317"/>
      <c r="BE113" s="317"/>
      <c r="BF113" s="317"/>
      <c r="BG113" s="317"/>
      <c r="BH113" s="317"/>
      <c r="BI113" s="317"/>
      <c r="BJ113" s="317"/>
      <c r="BK113" s="317"/>
      <c r="BL113" s="317"/>
      <c r="BM113" s="317"/>
      <c r="BN113" s="317"/>
      <c r="BO113" s="317"/>
      <c r="BP113" s="317"/>
      <c r="BQ113" s="317"/>
      <c r="BR113" s="317"/>
      <c r="BS113" s="317"/>
      <c r="BT113" s="317"/>
      <c r="BU113" s="317"/>
      <c r="BV113" s="312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ht="20.25" customHeight="1">
      <c r="A114" s="1"/>
      <c r="B114" s="189" t="b">
        <v>0</v>
      </c>
      <c r="C114" s="282"/>
      <c r="D114" s="165"/>
      <c r="E114" s="165"/>
      <c r="F114" s="165"/>
      <c r="G114" s="165"/>
      <c r="H114" s="283"/>
      <c r="I114" s="165"/>
      <c r="J114" s="165"/>
      <c r="K114" s="165"/>
      <c r="L114" s="165"/>
      <c r="M114" s="283"/>
      <c r="N114" s="165"/>
      <c r="O114" s="165"/>
      <c r="P114" s="165"/>
      <c r="Q114" s="165"/>
      <c r="R114" s="165"/>
      <c r="S114" s="165"/>
      <c r="T114" s="165"/>
      <c r="U114" s="284"/>
      <c r="V114" s="165"/>
      <c r="W114" s="165"/>
      <c r="X114" s="165"/>
      <c r="Y114" s="165"/>
      <c r="Z114" s="284"/>
      <c r="AA114" s="165"/>
      <c r="AB114" s="165"/>
      <c r="AC114" s="165"/>
      <c r="AD114" s="165"/>
      <c r="AE114" s="284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6"/>
      <c r="AX114" s="1"/>
      <c r="AY114" s="311"/>
      <c r="AZ114" s="317"/>
      <c r="BA114" s="317"/>
      <c r="BB114" s="317"/>
      <c r="BC114" s="317"/>
      <c r="BD114" s="317"/>
      <c r="BE114" s="317"/>
      <c r="BF114" s="317"/>
      <c r="BG114" s="317"/>
      <c r="BH114" s="317"/>
      <c r="BI114" s="317"/>
      <c r="BJ114" s="317"/>
      <c r="BK114" s="317"/>
      <c r="BL114" s="317"/>
      <c r="BM114" s="317"/>
      <c r="BN114" s="317"/>
      <c r="BO114" s="317"/>
      <c r="BP114" s="317"/>
      <c r="BQ114" s="317"/>
      <c r="BR114" s="317"/>
      <c r="BS114" s="317"/>
      <c r="BT114" s="317"/>
      <c r="BU114" s="317"/>
      <c r="BV114" s="312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ht="20.25" customHeight="1">
      <c r="A115" s="1"/>
      <c r="B115" s="189" t="b">
        <v>0</v>
      </c>
      <c r="C115" s="282"/>
      <c r="D115" s="165"/>
      <c r="E115" s="165"/>
      <c r="F115" s="165"/>
      <c r="G115" s="165"/>
      <c r="H115" s="283"/>
      <c r="I115" s="165"/>
      <c r="J115" s="165"/>
      <c r="K115" s="165"/>
      <c r="L115" s="165"/>
      <c r="M115" s="283"/>
      <c r="N115" s="165"/>
      <c r="O115" s="165"/>
      <c r="P115" s="165"/>
      <c r="Q115" s="165"/>
      <c r="R115" s="165"/>
      <c r="S115" s="165"/>
      <c r="T115" s="165"/>
      <c r="U115" s="284"/>
      <c r="V115" s="165"/>
      <c r="W115" s="165"/>
      <c r="X115" s="165"/>
      <c r="Y115" s="165"/>
      <c r="Z115" s="284"/>
      <c r="AA115" s="165"/>
      <c r="AB115" s="165"/>
      <c r="AC115" s="165"/>
      <c r="AD115" s="165"/>
      <c r="AE115" s="284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6"/>
      <c r="AX115" s="1"/>
      <c r="AY115" s="311"/>
      <c r="AZ115" s="317"/>
      <c r="BA115" s="317"/>
      <c r="BB115" s="317"/>
      <c r="BC115" s="317"/>
      <c r="BD115" s="317"/>
      <c r="BE115" s="317"/>
      <c r="BF115" s="317"/>
      <c r="BG115" s="317"/>
      <c r="BH115" s="317"/>
      <c r="BI115" s="317"/>
      <c r="BJ115" s="317"/>
      <c r="BK115" s="317"/>
      <c r="BL115" s="317"/>
      <c r="BM115" s="317"/>
      <c r="BN115" s="317"/>
      <c r="BO115" s="317"/>
      <c r="BP115" s="317"/>
      <c r="BQ115" s="317"/>
      <c r="BR115" s="317"/>
      <c r="BS115" s="317"/>
      <c r="BT115" s="317"/>
      <c r="BU115" s="317"/>
      <c r="BV115" s="312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ht="20.25" customHeight="1">
      <c r="A116" s="1"/>
      <c r="B116" s="189" t="b">
        <v>0</v>
      </c>
      <c r="C116" s="282"/>
      <c r="D116" s="165"/>
      <c r="E116" s="165"/>
      <c r="F116" s="165"/>
      <c r="G116" s="165"/>
      <c r="H116" s="283"/>
      <c r="I116" s="165"/>
      <c r="J116" s="165"/>
      <c r="K116" s="165"/>
      <c r="L116" s="165"/>
      <c r="M116" s="283"/>
      <c r="N116" s="165"/>
      <c r="O116" s="165"/>
      <c r="P116" s="165"/>
      <c r="Q116" s="165"/>
      <c r="R116" s="165"/>
      <c r="S116" s="165"/>
      <c r="T116" s="165"/>
      <c r="U116" s="284"/>
      <c r="V116" s="165"/>
      <c r="W116" s="165"/>
      <c r="X116" s="165"/>
      <c r="Y116" s="165"/>
      <c r="Z116" s="284"/>
      <c r="AA116" s="165"/>
      <c r="AB116" s="165"/>
      <c r="AC116" s="165"/>
      <c r="AD116" s="165"/>
      <c r="AE116" s="284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6"/>
      <c r="AX116" s="1"/>
      <c r="AY116" s="311"/>
      <c r="AZ116" s="317"/>
      <c r="BA116" s="317"/>
      <c r="BB116" s="317"/>
      <c r="BC116" s="317"/>
      <c r="BD116" s="317"/>
      <c r="BE116" s="317"/>
      <c r="BF116" s="317"/>
      <c r="BG116" s="317"/>
      <c r="BH116" s="317"/>
      <c r="BI116" s="317"/>
      <c r="BJ116" s="317"/>
      <c r="BK116" s="317"/>
      <c r="BL116" s="317"/>
      <c r="BM116" s="317"/>
      <c r="BN116" s="317"/>
      <c r="BO116" s="317"/>
      <c r="BP116" s="317"/>
      <c r="BQ116" s="317"/>
      <c r="BR116" s="317"/>
      <c r="BS116" s="317"/>
      <c r="BT116" s="317"/>
      <c r="BU116" s="317"/>
      <c r="BV116" s="312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ht="20.25" customHeight="1">
      <c r="A117" s="1"/>
      <c r="B117" s="189" t="b">
        <v>0</v>
      </c>
      <c r="C117" s="282"/>
      <c r="D117" s="165"/>
      <c r="E117" s="165"/>
      <c r="F117" s="165"/>
      <c r="G117" s="165"/>
      <c r="H117" s="283"/>
      <c r="I117" s="165"/>
      <c r="J117" s="165"/>
      <c r="K117" s="165"/>
      <c r="L117" s="165"/>
      <c r="M117" s="283"/>
      <c r="N117" s="165"/>
      <c r="O117" s="165"/>
      <c r="P117" s="165"/>
      <c r="Q117" s="165"/>
      <c r="R117" s="165"/>
      <c r="S117" s="165"/>
      <c r="T117" s="165"/>
      <c r="U117" s="284"/>
      <c r="V117" s="165"/>
      <c r="W117" s="165"/>
      <c r="X117" s="165"/>
      <c r="Y117" s="165"/>
      <c r="Z117" s="284"/>
      <c r="AA117" s="165"/>
      <c r="AB117" s="165"/>
      <c r="AC117" s="165"/>
      <c r="AD117" s="165"/>
      <c r="AE117" s="284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6"/>
      <c r="AX117" s="1"/>
      <c r="AY117" s="311"/>
      <c r="AZ117" s="317"/>
      <c r="BA117" s="317"/>
      <c r="BB117" s="317"/>
      <c r="BC117" s="317"/>
      <c r="BD117" s="317"/>
      <c r="BE117" s="317"/>
      <c r="BF117" s="317"/>
      <c r="BG117" s="317"/>
      <c r="BH117" s="317"/>
      <c r="BI117" s="317"/>
      <c r="BJ117" s="317"/>
      <c r="BK117" s="317"/>
      <c r="BL117" s="317"/>
      <c r="BM117" s="317"/>
      <c r="BN117" s="317"/>
      <c r="BO117" s="317"/>
      <c r="BP117" s="317"/>
      <c r="BQ117" s="317"/>
      <c r="BR117" s="317"/>
      <c r="BS117" s="317"/>
      <c r="BT117" s="317"/>
      <c r="BU117" s="317"/>
      <c r="BV117" s="312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ht="20.25" customHeight="1">
      <c r="A118" s="1"/>
      <c r="B118" s="189" t="b">
        <v>0</v>
      </c>
      <c r="C118" s="282"/>
      <c r="D118" s="165"/>
      <c r="E118" s="165"/>
      <c r="F118" s="165"/>
      <c r="G118" s="165"/>
      <c r="H118" s="283"/>
      <c r="I118" s="165"/>
      <c r="J118" s="165"/>
      <c r="K118" s="165"/>
      <c r="L118" s="165"/>
      <c r="M118" s="283"/>
      <c r="N118" s="165"/>
      <c r="O118" s="165"/>
      <c r="P118" s="165"/>
      <c r="Q118" s="165"/>
      <c r="R118" s="165"/>
      <c r="S118" s="165"/>
      <c r="T118" s="165"/>
      <c r="U118" s="284"/>
      <c r="V118" s="165"/>
      <c r="W118" s="165"/>
      <c r="X118" s="165"/>
      <c r="Y118" s="165"/>
      <c r="Z118" s="284"/>
      <c r="AA118" s="165"/>
      <c r="AB118" s="165"/>
      <c r="AC118" s="165"/>
      <c r="AD118" s="165"/>
      <c r="AE118" s="284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6"/>
      <c r="AX118" s="1"/>
      <c r="AY118" s="311"/>
      <c r="AZ118" s="317"/>
      <c r="BA118" s="317"/>
      <c r="BB118" s="317"/>
      <c r="BC118" s="317"/>
      <c r="BD118" s="317"/>
      <c r="BE118" s="317"/>
      <c r="BF118" s="317"/>
      <c r="BG118" s="317"/>
      <c r="BH118" s="317"/>
      <c r="BI118" s="317"/>
      <c r="BJ118" s="317"/>
      <c r="BK118" s="317"/>
      <c r="BL118" s="317"/>
      <c r="BM118" s="317"/>
      <c r="BN118" s="317"/>
      <c r="BO118" s="317"/>
      <c r="BP118" s="317"/>
      <c r="BQ118" s="317"/>
      <c r="BR118" s="317"/>
      <c r="BS118" s="317"/>
      <c r="BT118" s="317"/>
      <c r="BU118" s="317"/>
      <c r="BV118" s="312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ht="20.25" customHeight="1">
      <c r="A119" s="1"/>
      <c r="B119" s="189" t="b">
        <v>0</v>
      </c>
      <c r="C119" s="282"/>
      <c r="D119" s="165"/>
      <c r="E119" s="165"/>
      <c r="F119" s="165"/>
      <c r="G119" s="165"/>
      <c r="H119" s="283"/>
      <c r="I119" s="165"/>
      <c r="J119" s="165"/>
      <c r="K119" s="165"/>
      <c r="L119" s="165"/>
      <c r="M119" s="283"/>
      <c r="N119" s="165"/>
      <c r="O119" s="165"/>
      <c r="P119" s="165"/>
      <c r="Q119" s="165"/>
      <c r="R119" s="165"/>
      <c r="S119" s="165"/>
      <c r="T119" s="165"/>
      <c r="U119" s="284"/>
      <c r="V119" s="165"/>
      <c r="W119" s="165"/>
      <c r="X119" s="165"/>
      <c r="Y119" s="165"/>
      <c r="Z119" s="284"/>
      <c r="AA119" s="165"/>
      <c r="AB119" s="165"/>
      <c r="AC119" s="165"/>
      <c r="AD119" s="165"/>
      <c r="AE119" s="284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6"/>
      <c r="AX119" s="1"/>
      <c r="AY119" s="311"/>
      <c r="AZ119" s="317"/>
      <c r="BA119" s="317"/>
      <c r="BB119" s="317"/>
      <c r="BC119" s="317"/>
      <c r="BD119" s="317"/>
      <c r="BE119" s="317"/>
      <c r="BF119" s="317"/>
      <c r="BG119" s="317"/>
      <c r="BH119" s="317"/>
      <c r="BI119" s="317"/>
      <c r="BJ119" s="317"/>
      <c r="BK119" s="317"/>
      <c r="BL119" s="317"/>
      <c r="BM119" s="317"/>
      <c r="BN119" s="317"/>
      <c r="BO119" s="317"/>
      <c r="BP119" s="317"/>
      <c r="BQ119" s="317"/>
      <c r="BR119" s="317"/>
      <c r="BS119" s="317"/>
      <c r="BT119" s="317"/>
      <c r="BU119" s="317"/>
      <c r="BV119" s="312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ht="20.25" customHeight="1">
      <c r="A120" s="1"/>
      <c r="B120" s="189" t="b">
        <v>0</v>
      </c>
      <c r="C120" s="282"/>
      <c r="D120" s="165"/>
      <c r="E120" s="165"/>
      <c r="F120" s="165"/>
      <c r="G120" s="165"/>
      <c r="H120" s="283"/>
      <c r="I120" s="165"/>
      <c r="J120" s="165"/>
      <c r="K120" s="165"/>
      <c r="L120" s="165"/>
      <c r="M120" s="283"/>
      <c r="N120" s="165"/>
      <c r="O120" s="165"/>
      <c r="P120" s="165"/>
      <c r="Q120" s="165"/>
      <c r="R120" s="165"/>
      <c r="S120" s="165"/>
      <c r="T120" s="165"/>
      <c r="U120" s="284"/>
      <c r="V120" s="165"/>
      <c r="W120" s="165"/>
      <c r="X120" s="165"/>
      <c r="Y120" s="165"/>
      <c r="Z120" s="284"/>
      <c r="AA120" s="165"/>
      <c r="AB120" s="165"/>
      <c r="AC120" s="165"/>
      <c r="AD120" s="165"/>
      <c r="AE120" s="284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6"/>
      <c r="AX120" s="1"/>
      <c r="AY120" s="311"/>
      <c r="AZ120" s="317"/>
      <c r="BA120" s="317"/>
      <c r="BB120" s="317"/>
      <c r="BC120" s="317"/>
      <c r="BD120" s="317"/>
      <c r="BE120" s="317"/>
      <c r="BF120" s="317"/>
      <c r="BG120" s="317"/>
      <c r="BH120" s="317"/>
      <c r="BI120" s="317"/>
      <c r="BJ120" s="317"/>
      <c r="BK120" s="317"/>
      <c r="BL120" s="317"/>
      <c r="BM120" s="317"/>
      <c r="BN120" s="317"/>
      <c r="BO120" s="317"/>
      <c r="BP120" s="317"/>
      <c r="BQ120" s="317"/>
      <c r="BR120" s="317"/>
      <c r="BS120" s="317"/>
      <c r="BT120" s="317"/>
      <c r="BU120" s="317"/>
      <c r="BV120" s="312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ht="20.25" customHeight="1">
      <c r="A121" s="1"/>
      <c r="B121" s="189" t="b">
        <v>0</v>
      </c>
      <c r="C121" s="282"/>
      <c r="D121" s="165"/>
      <c r="E121" s="165"/>
      <c r="F121" s="165"/>
      <c r="G121" s="165"/>
      <c r="H121" s="283"/>
      <c r="I121" s="165"/>
      <c r="J121" s="165"/>
      <c r="K121" s="165"/>
      <c r="L121" s="165"/>
      <c r="M121" s="283"/>
      <c r="N121" s="165"/>
      <c r="O121" s="165"/>
      <c r="P121" s="165"/>
      <c r="Q121" s="165"/>
      <c r="R121" s="165"/>
      <c r="S121" s="165"/>
      <c r="T121" s="165"/>
      <c r="U121" s="284"/>
      <c r="V121" s="165"/>
      <c r="W121" s="165"/>
      <c r="X121" s="165"/>
      <c r="Y121" s="165"/>
      <c r="Z121" s="284"/>
      <c r="AA121" s="165"/>
      <c r="AB121" s="165"/>
      <c r="AC121" s="165"/>
      <c r="AD121" s="165"/>
      <c r="AE121" s="284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6"/>
      <c r="AX121" s="1"/>
      <c r="AY121" s="311"/>
      <c r="AZ121" s="322"/>
      <c r="BA121" s="322"/>
      <c r="BB121" s="322"/>
      <c r="BC121" s="322"/>
      <c r="BD121" s="322"/>
      <c r="BE121" s="322"/>
      <c r="BF121" s="322"/>
      <c r="BG121" s="322"/>
      <c r="BH121" s="322"/>
      <c r="BI121" s="322"/>
      <c r="BJ121" s="322"/>
      <c r="BK121" s="322"/>
      <c r="BL121" s="322"/>
      <c r="BM121" s="322"/>
      <c r="BN121" s="322"/>
      <c r="BO121" s="322"/>
      <c r="BP121" s="322"/>
      <c r="BQ121" s="322"/>
      <c r="BR121" s="322"/>
      <c r="BS121" s="322"/>
      <c r="BT121" s="322"/>
      <c r="BU121" s="322"/>
      <c r="BV121" s="312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>
      <c r="A122" s="1"/>
      <c r="B122" s="122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23"/>
      <c r="AT122" s="123"/>
      <c r="AU122" s="123"/>
      <c r="AV122" s="123"/>
      <c r="AW122" s="323"/>
      <c r="AX122" s="1"/>
      <c r="AY122" s="324"/>
      <c r="AZ122" s="325"/>
      <c r="BA122" s="325"/>
      <c r="BB122" s="325"/>
      <c r="BC122" s="325"/>
      <c r="BD122" s="325"/>
      <c r="BE122" s="325"/>
      <c r="BF122" s="325"/>
      <c r="BG122" s="325"/>
      <c r="BH122" s="325"/>
      <c r="BI122" s="325"/>
      <c r="BJ122" s="325"/>
      <c r="BK122" s="325"/>
      <c r="BL122" s="325"/>
      <c r="BM122" s="325"/>
      <c r="BN122" s="325"/>
      <c r="BO122" s="325"/>
      <c r="BP122" s="325"/>
      <c r="BQ122" s="325"/>
      <c r="BR122" s="325"/>
      <c r="BS122" s="325"/>
      <c r="BT122" s="325"/>
      <c r="BU122" s="325"/>
      <c r="BV122" s="326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</row>
  </sheetData>
  <mergeCells count="1169">
    <mergeCell ref="BF65:BH65"/>
    <mergeCell ref="BI65:BL65"/>
    <mergeCell ref="BM65:BP65"/>
    <mergeCell ref="BQ65:BR65"/>
    <mergeCell ref="BS65:BV65"/>
    <mergeCell ref="C65:G65"/>
    <mergeCell ref="H65:L65"/>
    <mergeCell ref="M65:T65"/>
    <mergeCell ref="U65:Y65"/>
    <mergeCell ref="Z65:AD65"/>
    <mergeCell ref="AE65:AW65"/>
    <mergeCell ref="AZ65:BE65"/>
    <mergeCell ref="BF66:BH66"/>
    <mergeCell ref="BI66:BL66"/>
    <mergeCell ref="BM66:BP66"/>
    <mergeCell ref="BQ66:BR66"/>
    <mergeCell ref="BS66:BV66"/>
    <mergeCell ref="C66:G66"/>
    <mergeCell ref="H66:L66"/>
    <mergeCell ref="M66:T66"/>
    <mergeCell ref="U66:Y66"/>
    <mergeCell ref="Z66:AD66"/>
    <mergeCell ref="AE66:AW66"/>
    <mergeCell ref="AZ66:BE66"/>
    <mergeCell ref="BF67:BH67"/>
    <mergeCell ref="BI67:BL67"/>
    <mergeCell ref="BM67:BP67"/>
    <mergeCell ref="BQ67:BR67"/>
    <mergeCell ref="BS67:BV67"/>
    <mergeCell ref="C67:G67"/>
    <mergeCell ref="H67:L67"/>
    <mergeCell ref="M67:T67"/>
    <mergeCell ref="U67:Y67"/>
    <mergeCell ref="Z67:AD67"/>
    <mergeCell ref="AE67:AW67"/>
    <mergeCell ref="AZ67:BE67"/>
    <mergeCell ref="BF68:BH68"/>
    <mergeCell ref="BI68:BL68"/>
    <mergeCell ref="BM68:BP68"/>
    <mergeCell ref="BQ68:BR68"/>
    <mergeCell ref="BS68:BV68"/>
    <mergeCell ref="C68:G68"/>
    <mergeCell ref="H68:L68"/>
    <mergeCell ref="M68:T68"/>
    <mergeCell ref="U68:Y68"/>
    <mergeCell ref="Z68:AD68"/>
    <mergeCell ref="AE68:AW68"/>
    <mergeCell ref="AZ68:BE68"/>
    <mergeCell ref="BF69:BH69"/>
    <mergeCell ref="BI69:BL69"/>
    <mergeCell ref="BM69:BP69"/>
    <mergeCell ref="BQ69:BR69"/>
    <mergeCell ref="BS69:BV69"/>
    <mergeCell ref="C69:G69"/>
    <mergeCell ref="H69:L69"/>
    <mergeCell ref="M69:T69"/>
    <mergeCell ref="U69:Y69"/>
    <mergeCell ref="Z69:AD69"/>
    <mergeCell ref="AE69:AW69"/>
    <mergeCell ref="AZ69:BE69"/>
    <mergeCell ref="BF70:BH70"/>
    <mergeCell ref="BI70:BL70"/>
    <mergeCell ref="BM70:BP70"/>
    <mergeCell ref="BQ70:BR70"/>
    <mergeCell ref="BS70:BV70"/>
    <mergeCell ref="C70:G70"/>
    <mergeCell ref="H70:L70"/>
    <mergeCell ref="M70:T70"/>
    <mergeCell ref="U70:Y70"/>
    <mergeCell ref="Z70:AD70"/>
    <mergeCell ref="AE70:AW70"/>
    <mergeCell ref="AZ70:BE70"/>
    <mergeCell ref="BF71:BH71"/>
    <mergeCell ref="BI71:BL71"/>
    <mergeCell ref="BM71:BP71"/>
    <mergeCell ref="BQ71:BR71"/>
    <mergeCell ref="BS71:BV71"/>
    <mergeCell ref="C71:G71"/>
    <mergeCell ref="H71:L71"/>
    <mergeCell ref="M71:T71"/>
    <mergeCell ref="U71:Y71"/>
    <mergeCell ref="Z71:AD71"/>
    <mergeCell ref="AE71:AW71"/>
    <mergeCell ref="AZ71:BE71"/>
    <mergeCell ref="BF72:BH72"/>
    <mergeCell ref="BI72:BL72"/>
    <mergeCell ref="BM72:BP72"/>
    <mergeCell ref="BQ72:BR72"/>
    <mergeCell ref="BS72:BV72"/>
    <mergeCell ref="C72:G72"/>
    <mergeCell ref="H72:L72"/>
    <mergeCell ref="M72:T72"/>
    <mergeCell ref="U72:Y72"/>
    <mergeCell ref="Z72:AD72"/>
    <mergeCell ref="AE72:AW72"/>
    <mergeCell ref="AZ72:BE72"/>
    <mergeCell ref="BF73:BH73"/>
    <mergeCell ref="BI73:BL73"/>
    <mergeCell ref="BM73:BP73"/>
    <mergeCell ref="BQ73:BR73"/>
    <mergeCell ref="BS73:BV73"/>
    <mergeCell ref="C73:G73"/>
    <mergeCell ref="H73:L73"/>
    <mergeCell ref="M73:T73"/>
    <mergeCell ref="U73:Y73"/>
    <mergeCell ref="Z73:AD73"/>
    <mergeCell ref="AE73:AW73"/>
    <mergeCell ref="AZ73:BE73"/>
    <mergeCell ref="BF74:BH74"/>
    <mergeCell ref="BI74:BL74"/>
    <mergeCell ref="BM74:BP74"/>
    <mergeCell ref="BQ74:BR74"/>
    <mergeCell ref="BS74:BV74"/>
    <mergeCell ref="C74:G74"/>
    <mergeCell ref="H74:L74"/>
    <mergeCell ref="M74:T74"/>
    <mergeCell ref="U74:Y74"/>
    <mergeCell ref="Z74:AD74"/>
    <mergeCell ref="AE74:AW74"/>
    <mergeCell ref="AZ74:BE74"/>
    <mergeCell ref="BF75:BH75"/>
    <mergeCell ref="BI75:BL75"/>
    <mergeCell ref="BM75:BP75"/>
    <mergeCell ref="BQ75:BR75"/>
    <mergeCell ref="BS75:BV75"/>
    <mergeCell ref="C75:G75"/>
    <mergeCell ref="H75:L75"/>
    <mergeCell ref="M75:T75"/>
    <mergeCell ref="U75:Y75"/>
    <mergeCell ref="Z75:AD75"/>
    <mergeCell ref="AE75:AW75"/>
    <mergeCell ref="AZ75:BE75"/>
    <mergeCell ref="BF76:BH76"/>
    <mergeCell ref="BI76:BL76"/>
    <mergeCell ref="BM76:BP76"/>
    <mergeCell ref="BQ76:BR76"/>
    <mergeCell ref="BS76:BV76"/>
    <mergeCell ref="C76:G76"/>
    <mergeCell ref="H76:L76"/>
    <mergeCell ref="M76:T76"/>
    <mergeCell ref="U76:Y76"/>
    <mergeCell ref="Z76:AD76"/>
    <mergeCell ref="AE76:AW76"/>
    <mergeCell ref="AZ76:BE76"/>
    <mergeCell ref="BF77:BH77"/>
    <mergeCell ref="BI77:BL77"/>
    <mergeCell ref="BM77:BP77"/>
    <mergeCell ref="BQ77:BR77"/>
    <mergeCell ref="BS77:BV77"/>
    <mergeCell ref="C77:G77"/>
    <mergeCell ref="H77:L77"/>
    <mergeCell ref="M77:T77"/>
    <mergeCell ref="U77:Y77"/>
    <mergeCell ref="Z77:AD77"/>
    <mergeCell ref="AE77:AW77"/>
    <mergeCell ref="AZ77:BE77"/>
    <mergeCell ref="BF78:BH78"/>
    <mergeCell ref="BI78:BL78"/>
    <mergeCell ref="BM78:BP78"/>
    <mergeCell ref="BQ78:BR78"/>
    <mergeCell ref="BS78:BV78"/>
    <mergeCell ref="C78:G78"/>
    <mergeCell ref="H78:L78"/>
    <mergeCell ref="M78:T78"/>
    <mergeCell ref="U78:Y78"/>
    <mergeCell ref="Z78:AD78"/>
    <mergeCell ref="AE78:AW78"/>
    <mergeCell ref="AZ78:BE78"/>
    <mergeCell ref="U86:Y86"/>
    <mergeCell ref="Z86:AD86"/>
    <mergeCell ref="AZ86:BU87"/>
    <mergeCell ref="C87:G87"/>
    <mergeCell ref="H87:L87"/>
    <mergeCell ref="M87:T87"/>
    <mergeCell ref="U87:Y87"/>
    <mergeCell ref="Z87:AD87"/>
    <mergeCell ref="AE87:AW87"/>
    <mergeCell ref="H88:L88"/>
    <mergeCell ref="M88:T88"/>
    <mergeCell ref="U88:Y88"/>
    <mergeCell ref="Z88:AD88"/>
    <mergeCell ref="AE88:AW88"/>
    <mergeCell ref="BF62:BH62"/>
    <mergeCell ref="BI62:BL62"/>
    <mergeCell ref="BM62:BP62"/>
    <mergeCell ref="BQ62:BR62"/>
    <mergeCell ref="BS62:BV62"/>
    <mergeCell ref="C62:G62"/>
    <mergeCell ref="H62:L62"/>
    <mergeCell ref="M62:T62"/>
    <mergeCell ref="U62:Y62"/>
    <mergeCell ref="Z62:AD62"/>
    <mergeCell ref="AE62:AW62"/>
    <mergeCell ref="AZ62:BE62"/>
    <mergeCell ref="BF63:BH63"/>
    <mergeCell ref="BI63:BL63"/>
    <mergeCell ref="BM63:BP63"/>
    <mergeCell ref="BQ63:BR63"/>
    <mergeCell ref="BS63:BV63"/>
    <mergeCell ref="C63:G63"/>
    <mergeCell ref="H63:L63"/>
    <mergeCell ref="M63:T63"/>
    <mergeCell ref="U63:Y63"/>
    <mergeCell ref="Z63:AD63"/>
    <mergeCell ref="AE63:AW63"/>
    <mergeCell ref="AZ63:BE63"/>
    <mergeCell ref="BF64:BH64"/>
    <mergeCell ref="BI64:BL64"/>
    <mergeCell ref="BM64:BP64"/>
    <mergeCell ref="BQ64:BR64"/>
    <mergeCell ref="BS64:BV64"/>
    <mergeCell ref="C64:G64"/>
    <mergeCell ref="H64:L64"/>
    <mergeCell ref="M64:T64"/>
    <mergeCell ref="U64:Y64"/>
    <mergeCell ref="Z64:AD64"/>
    <mergeCell ref="AE64:AW64"/>
    <mergeCell ref="AZ64:BE64"/>
    <mergeCell ref="C88:G88"/>
    <mergeCell ref="C89:G89"/>
    <mergeCell ref="H89:L89"/>
    <mergeCell ref="M89:T89"/>
    <mergeCell ref="U89:Y89"/>
    <mergeCell ref="Z89:AD89"/>
    <mergeCell ref="AE89:AW89"/>
    <mergeCell ref="U91:Y91"/>
    <mergeCell ref="Z91:AD91"/>
    <mergeCell ref="U92:Y92"/>
    <mergeCell ref="Z92:AD92"/>
    <mergeCell ref="AE92:AW92"/>
    <mergeCell ref="C90:G90"/>
    <mergeCell ref="H90:L90"/>
    <mergeCell ref="M90:T90"/>
    <mergeCell ref="U90:Y90"/>
    <mergeCell ref="Z90:AD90"/>
    <mergeCell ref="AE90:AW90"/>
    <mergeCell ref="C91:G91"/>
    <mergeCell ref="AE91:AW91"/>
    <mergeCell ref="M93:T93"/>
    <mergeCell ref="U93:Y93"/>
    <mergeCell ref="Z93:AD93"/>
    <mergeCell ref="AE93:AW93"/>
    <mergeCell ref="C94:G94"/>
    <mergeCell ref="H94:L94"/>
    <mergeCell ref="M94:T94"/>
    <mergeCell ref="U94:Y94"/>
    <mergeCell ref="Z94:AD94"/>
    <mergeCell ref="AE94:AW94"/>
    <mergeCell ref="H91:L91"/>
    <mergeCell ref="M91:T91"/>
    <mergeCell ref="C92:G92"/>
    <mergeCell ref="H92:L92"/>
    <mergeCell ref="M92:T92"/>
    <mergeCell ref="C93:G93"/>
    <mergeCell ref="H93:L93"/>
    <mergeCell ref="C95:G95"/>
    <mergeCell ref="H95:L95"/>
    <mergeCell ref="M95:T95"/>
    <mergeCell ref="U95:Y95"/>
    <mergeCell ref="Z95:AD95"/>
    <mergeCell ref="AE95:AW95"/>
    <mergeCell ref="C96:G96"/>
    <mergeCell ref="AE96:AW96"/>
    <mergeCell ref="AE100:AW100"/>
    <mergeCell ref="AE101:AW101"/>
    <mergeCell ref="AE102:AW102"/>
    <mergeCell ref="AE103:AW103"/>
    <mergeCell ref="AE104:AW104"/>
    <mergeCell ref="AE105:AW105"/>
    <mergeCell ref="U96:Y96"/>
    <mergeCell ref="Z96:AD96"/>
    <mergeCell ref="U97:Y97"/>
    <mergeCell ref="Z97:AD97"/>
    <mergeCell ref="AE97:AW97"/>
    <mergeCell ref="AE98:AW98"/>
    <mergeCell ref="AE99:AW99"/>
    <mergeCell ref="M98:T98"/>
    <mergeCell ref="U98:Y98"/>
    <mergeCell ref="Z98:AD98"/>
    <mergeCell ref="H96:L96"/>
    <mergeCell ref="M96:T96"/>
    <mergeCell ref="C97:G97"/>
    <mergeCell ref="H97:L97"/>
    <mergeCell ref="M97:T97"/>
    <mergeCell ref="C98:G98"/>
    <mergeCell ref="H98:L98"/>
    <mergeCell ref="C99:G99"/>
    <mergeCell ref="H99:L99"/>
    <mergeCell ref="M99:T99"/>
    <mergeCell ref="U99:Y99"/>
    <mergeCell ref="Z99:AD99"/>
    <mergeCell ref="H100:L100"/>
    <mergeCell ref="Z100:AD100"/>
    <mergeCell ref="M102:T102"/>
    <mergeCell ref="M103:T103"/>
    <mergeCell ref="U103:Y103"/>
    <mergeCell ref="Z103:AD103"/>
    <mergeCell ref="M100:T100"/>
    <mergeCell ref="U100:Y100"/>
    <mergeCell ref="M101:T101"/>
    <mergeCell ref="U101:Y101"/>
    <mergeCell ref="Z101:AD101"/>
    <mergeCell ref="U102:Y102"/>
    <mergeCell ref="Z102:AD102"/>
    <mergeCell ref="C104:G104"/>
    <mergeCell ref="H104:L104"/>
    <mergeCell ref="M104:T104"/>
    <mergeCell ref="U104:Y104"/>
    <mergeCell ref="Z104:AD104"/>
    <mergeCell ref="C100:G100"/>
    <mergeCell ref="C101:G101"/>
    <mergeCell ref="H101:L101"/>
    <mergeCell ref="C102:G102"/>
    <mergeCell ref="H102:L102"/>
    <mergeCell ref="C103:G103"/>
    <mergeCell ref="H103:L103"/>
    <mergeCell ref="M106:T106"/>
    <mergeCell ref="U106:Y106"/>
    <mergeCell ref="AE106:AW106"/>
    <mergeCell ref="AE107:AW107"/>
    <mergeCell ref="C105:G105"/>
    <mergeCell ref="H105:L105"/>
    <mergeCell ref="M105:T105"/>
    <mergeCell ref="U105:Y105"/>
    <mergeCell ref="Z105:AD105"/>
    <mergeCell ref="H106:L106"/>
    <mergeCell ref="Z106:AD106"/>
    <mergeCell ref="U108:Y108"/>
    <mergeCell ref="Z108:AD108"/>
    <mergeCell ref="AE108:AW108"/>
    <mergeCell ref="AE109:AW109"/>
    <mergeCell ref="C106:G106"/>
    <mergeCell ref="C107:G107"/>
    <mergeCell ref="H107:L107"/>
    <mergeCell ref="M107:T107"/>
    <mergeCell ref="U107:Y107"/>
    <mergeCell ref="Z107:AD107"/>
    <mergeCell ref="C108:G108"/>
    <mergeCell ref="H108:L108"/>
    <mergeCell ref="M108:T108"/>
    <mergeCell ref="C109:G109"/>
    <mergeCell ref="H109:L109"/>
    <mergeCell ref="M109:T109"/>
    <mergeCell ref="U109:Y109"/>
    <mergeCell ref="Z109:AD109"/>
    <mergeCell ref="C110:G110"/>
    <mergeCell ref="H110:L110"/>
    <mergeCell ref="M110:T110"/>
    <mergeCell ref="U110:Y110"/>
    <mergeCell ref="Z110:AD110"/>
    <mergeCell ref="AE110:AW110"/>
    <mergeCell ref="C111:G111"/>
    <mergeCell ref="AE111:AW111"/>
    <mergeCell ref="AE115:AW115"/>
    <mergeCell ref="AE116:AW116"/>
    <mergeCell ref="AE117:AW117"/>
    <mergeCell ref="AE118:AW118"/>
    <mergeCell ref="AE119:AW119"/>
    <mergeCell ref="AE120:AW120"/>
    <mergeCell ref="U111:Y111"/>
    <mergeCell ref="Z111:AD111"/>
    <mergeCell ref="U112:Y112"/>
    <mergeCell ref="Z112:AD112"/>
    <mergeCell ref="AE112:AW112"/>
    <mergeCell ref="AE113:AW113"/>
    <mergeCell ref="AE114:AW114"/>
    <mergeCell ref="M121:T121"/>
    <mergeCell ref="U121:Y121"/>
    <mergeCell ref="AE121:AW121"/>
    <mergeCell ref="C120:G120"/>
    <mergeCell ref="H120:L120"/>
    <mergeCell ref="M120:T120"/>
    <mergeCell ref="U120:Y120"/>
    <mergeCell ref="Z120:AD120"/>
    <mergeCell ref="C121:G121"/>
    <mergeCell ref="H121:L121"/>
    <mergeCell ref="Z121:AD121"/>
    <mergeCell ref="M113:T113"/>
    <mergeCell ref="U113:Y113"/>
    <mergeCell ref="Z113:AD113"/>
    <mergeCell ref="H111:L111"/>
    <mergeCell ref="M111:T111"/>
    <mergeCell ref="C112:G112"/>
    <mergeCell ref="H112:L112"/>
    <mergeCell ref="M112:T112"/>
    <mergeCell ref="C113:G113"/>
    <mergeCell ref="H113:L113"/>
    <mergeCell ref="C114:G114"/>
    <mergeCell ref="H114:L114"/>
    <mergeCell ref="M114:T114"/>
    <mergeCell ref="U114:Y114"/>
    <mergeCell ref="Z114:AD114"/>
    <mergeCell ref="H115:L115"/>
    <mergeCell ref="Z115:AD115"/>
    <mergeCell ref="M117:T117"/>
    <mergeCell ref="M118:T118"/>
    <mergeCell ref="U118:Y118"/>
    <mergeCell ref="Z118:AD118"/>
    <mergeCell ref="M115:T115"/>
    <mergeCell ref="U115:Y115"/>
    <mergeCell ref="M116:T116"/>
    <mergeCell ref="U116:Y116"/>
    <mergeCell ref="Z116:AD116"/>
    <mergeCell ref="U117:Y117"/>
    <mergeCell ref="Z117:AD117"/>
    <mergeCell ref="C119:G119"/>
    <mergeCell ref="H119:L119"/>
    <mergeCell ref="M119:T119"/>
    <mergeCell ref="U119:Y119"/>
    <mergeCell ref="Z119:AD119"/>
    <mergeCell ref="C115:G115"/>
    <mergeCell ref="C116:G116"/>
    <mergeCell ref="H116:L116"/>
    <mergeCell ref="C117:G117"/>
    <mergeCell ref="H117:L117"/>
    <mergeCell ref="C118:G118"/>
    <mergeCell ref="H118:L118"/>
    <mergeCell ref="BF79:BH79"/>
    <mergeCell ref="BI79:BL79"/>
    <mergeCell ref="BM79:BP79"/>
    <mergeCell ref="BQ79:BR79"/>
    <mergeCell ref="BS79:BV79"/>
    <mergeCell ref="C79:G79"/>
    <mergeCell ref="H79:L79"/>
    <mergeCell ref="M79:T79"/>
    <mergeCell ref="U79:Y79"/>
    <mergeCell ref="Z79:AD79"/>
    <mergeCell ref="AE79:AW79"/>
    <mergeCell ref="AZ79:BE79"/>
    <mergeCell ref="BF80:BH80"/>
    <mergeCell ref="BI80:BL80"/>
    <mergeCell ref="BM80:BP80"/>
    <mergeCell ref="BQ80:BR80"/>
    <mergeCell ref="BS80:BV80"/>
    <mergeCell ref="C80:G80"/>
    <mergeCell ref="H80:L80"/>
    <mergeCell ref="M80:T80"/>
    <mergeCell ref="U80:Y80"/>
    <mergeCell ref="Z80:AD80"/>
    <mergeCell ref="AE80:AW80"/>
    <mergeCell ref="AZ80:BE80"/>
    <mergeCell ref="BF81:BH81"/>
    <mergeCell ref="BI81:BL81"/>
    <mergeCell ref="BM81:BP81"/>
    <mergeCell ref="BQ81:BR81"/>
    <mergeCell ref="BS81:BV81"/>
    <mergeCell ref="C81:G81"/>
    <mergeCell ref="H81:L81"/>
    <mergeCell ref="M81:T81"/>
    <mergeCell ref="U81:Y81"/>
    <mergeCell ref="Z81:AD81"/>
    <mergeCell ref="AE81:AW81"/>
    <mergeCell ref="AZ81:BE81"/>
    <mergeCell ref="BF82:BH82"/>
    <mergeCell ref="BI82:BL82"/>
    <mergeCell ref="BM82:BP82"/>
    <mergeCell ref="BQ82:BR82"/>
    <mergeCell ref="BS82:BV82"/>
    <mergeCell ref="C82:G82"/>
    <mergeCell ref="H82:L82"/>
    <mergeCell ref="M82:T82"/>
    <mergeCell ref="U82:Y82"/>
    <mergeCell ref="Z82:AD82"/>
    <mergeCell ref="AE82:AW82"/>
    <mergeCell ref="AZ82:BE82"/>
    <mergeCell ref="BF83:BH83"/>
    <mergeCell ref="BI83:BL83"/>
    <mergeCell ref="BM83:BP83"/>
    <mergeCell ref="BQ83:BR83"/>
    <mergeCell ref="BS83:BV83"/>
    <mergeCell ref="C83:G83"/>
    <mergeCell ref="H83:L83"/>
    <mergeCell ref="M83:T83"/>
    <mergeCell ref="U83:Y83"/>
    <mergeCell ref="Z83:AD83"/>
    <mergeCell ref="AE83:AW83"/>
    <mergeCell ref="AZ83:BE83"/>
    <mergeCell ref="BI84:BL84"/>
    <mergeCell ref="BM84:BP84"/>
    <mergeCell ref="BQ84:BR84"/>
    <mergeCell ref="BS84:BV84"/>
    <mergeCell ref="C84:G84"/>
    <mergeCell ref="H84:L84"/>
    <mergeCell ref="M84:T84"/>
    <mergeCell ref="U84:Y84"/>
    <mergeCell ref="Z84:AD84"/>
    <mergeCell ref="AE84:AW84"/>
    <mergeCell ref="AY84:BH84"/>
    <mergeCell ref="H86:L86"/>
    <mergeCell ref="M86:T86"/>
    <mergeCell ref="C85:G85"/>
    <mergeCell ref="H85:L85"/>
    <mergeCell ref="M85:T85"/>
    <mergeCell ref="U85:Y85"/>
    <mergeCell ref="Z85:AD85"/>
    <mergeCell ref="AE85:AW85"/>
    <mergeCell ref="C86:G86"/>
    <mergeCell ref="AE86:AW86"/>
    <mergeCell ref="BI23:BL23"/>
    <mergeCell ref="BI24:BL24"/>
    <mergeCell ref="BM24:BP24"/>
    <mergeCell ref="BQ24:BR24"/>
    <mergeCell ref="BS24:BV24"/>
    <mergeCell ref="BI25:BL25"/>
    <mergeCell ref="BM25:BP25"/>
    <mergeCell ref="BI26:BL26"/>
    <mergeCell ref="BM26:BP26"/>
    <mergeCell ref="BQ26:BR26"/>
    <mergeCell ref="BS26:BV26"/>
    <mergeCell ref="BM27:BP27"/>
    <mergeCell ref="BQ27:BR27"/>
    <mergeCell ref="BS27:BV27"/>
    <mergeCell ref="BO12:BR12"/>
    <mergeCell ref="BS12:BV12"/>
    <mergeCell ref="BL10:BN10"/>
    <mergeCell ref="BO10:BR10"/>
    <mergeCell ref="BS10:BV10"/>
    <mergeCell ref="BL11:BN11"/>
    <mergeCell ref="BO11:BR11"/>
    <mergeCell ref="BS11:BV11"/>
    <mergeCell ref="BL12:BN12"/>
    <mergeCell ref="BM21:BP21"/>
    <mergeCell ref="BQ21:BV21"/>
    <mergeCell ref="BK16:BN16"/>
    <mergeCell ref="BO16:BR16"/>
    <mergeCell ref="BS16:BV16"/>
    <mergeCell ref="BK18:BV18"/>
    <mergeCell ref="BM20:BR20"/>
    <mergeCell ref="BS20:BV20"/>
    <mergeCell ref="BI21:BL21"/>
    <mergeCell ref="BI22:BL22"/>
    <mergeCell ref="BM22:BP22"/>
    <mergeCell ref="BQ22:BR22"/>
    <mergeCell ref="BS22:BV22"/>
    <mergeCell ref="BM23:BP23"/>
    <mergeCell ref="BQ23:BR23"/>
    <mergeCell ref="BS23:BV23"/>
    <mergeCell ref="BQ25:BR25"/>
    <mergeCell ref="BS25:BV25"/>
    <mergeCell ref="BI27:BL27"/>
    <mergeCell ref="BI28:BL28"/>
    <mergeCell ref="BM28:BP28"/>
    <mergeCell ref="BQ28:BR28"/>
    <mergeCell ref="BS28:BV28"/>
    <mergeCell ref="AJ23:AM23"/>
    <mergeCell ref="AN23:AQ23"/>
    <mergeCell ref="AR23:AS23"/>
    <mergeCell ref="AT23:AW23"/>
    <mergeCell ref="AZ23:BE23"/>
    <mergeCell ref="BF23:BH23"/>
    <mergeCell ref="B23:G23"/>
    <mergeCell ref="H23:J23"/>
    <mergeCell ref="K23:N23"/>
    <mergeCell ref="O23:R23"/>
    <mergeCell ref="S23:T23"/>
    <mergeCell ref="U23:X23"/>
    <mergeCell ref="AA23:AI23"/>
    <mergeCell ref="AJ24:AM24"/>
    <mergeCell ref="AN24:AQ24"/>
    <mergeCell ref="AR24:AS24"/>
    <mergeCell ref="AT24:AW24"/>
    <mergeCell ref="AZ24:BE24"/>
    <mergeCell ref="BF24:BH24"/>
    <mergeCell ref="B24:G24"/>
    <mergeCell ref="H24:J24"/>
    <mergeCell ref="K24:N24"/>
    <mergeCell ref="O24:R24"/>
    <mergeCell ref="S24:T24"/>
    <mergeCell ref="U24:X24"/>
    <mergeCell ref="AA24:AI24"/>
    <mergeCell ref="AJ25:AM25"/>
    <mergeCell ref="AN25:AQ25"/>
    <mergeCell ref="AR25:AS25"/>
    <mergeCell ref="AT25:AW25"/>
    <mergeCell ref="AZ25:BE25"/>
    <mergeCell ref="BF25:BH25"/>
    <mergeCell ref="B25:G25"/>
    <mergeCell ref="H25:J25"/>
    <mergeCell ref="K25:N25"/>
    <mergeCell ref="O25:R25"/>
    <mergeCell ref="S25:T25"/>
    <mergeCell ref="U25:X25"/>
    <mergeCell ref="AA25:AI25"/>
    <mergeCell ref="AJ26:AM26"/>
    <mergeCell ref="AN26:AQ26"/>
    <mergeCell ref="AR26:AS26"/>
    <mergeCell ref="AT26:AW26"/>
    <mergeCell ref="AZ26:BE26"/>
    <mergeCell ref="BF26:BH26"/>
    <mergeCell ref="B26:G26"/>
    <mergeCell ref="H26:J26"/>
    <mergeCell ref="K26:N26"/>
    <mergeCell ref="O26:R26"/>
    <mergeCell ref="S26:T26"/>
    <mergeCell ref="U26:X26"/>
    <mergeCell ref="AA26:AI26"/>
    <mergeCell ref="AJ27:AM27"/>
    <mergeCell ref="AN27:AQ27"/>
    <mergeCell ref="AR27:AS27"/>
    <mergeCell ref="AT27:AW27"/>
    <mergeCell ref="AZ27:BE27"/>
    <mergeCell ref="BF27:BH27"/>
    <mergeCell ref="B27:G27"/>
    <mergeCell ref="H27:J27"/>
    <mergeCell ref="K27:N27"/>
    <mergeCell ref="O27:R27"/>
    <mergeCell ref="S27:T27"/>
    <mergeCell ref="U27:X27"/>
    <mergeCell ref="AA27:AI27"/>
    <mergeCell ref="B28:G28"/>
    <mergeCell ref="H28:J28"/>
    <mergeCell ref="K28:N28"/>
    <mergeCell ref="O28:R28"/>
    <mergeCell ref="S28:T28"/>
    <mergeCell ref="U28:X28"/>
    <mergeCell ref="AA28:AI28"/>
    <mergeCell ref="BM29:BP29"/>
    <mergeCell ref="BQ29:BR29"/>
    <mergeCell ref="BS29:BV29"/>
    <mergeCell ref="AJ28:AM28"/>
    <mergeCell ref="AN28:AQ28"/>
    <mergeCell ref="AR28:AS28"/>
    <mergeCell ref="AT28:AW28"/>
    <mergeCell ref="AZ28:BE28"/>
    <mergeCell ref="BF28:BH28"/>
    <mergeCell ref="BI29:BL29"/>
    <mergeCell ref="AJ29:AM29"/>
    <mergeCell ref="AN29:AQ29"/>
    <mergeCell ref="AR29:AS29"/>
    <mergeCell ref="AT29:AW29"/>
    <mergeCell ref="AZ29:BE29"/>
    <mergeCell ref="BF29:BH29"/>
    <mergeCell ref="B29:G29"/>
    <mergeCell ref="H29:J29"/>
    <mergeCell ref="K29:N29"/>
    <mergeCell ref="O29:R29"/>
    <mergeCell ref="S29:T29"/>
    <mergeCell ref="U29:X29"/>
    <mergeCell ref="AA29:AI29"/>
    <mergeCell ref="AD3:AJ3"/>
    <mergeCell ref="AE4:AJ4"/>
    <mergeCell ref="AV3:BB3"/>
    <mergeCell ref="AW4:BB4"/>
    <mergeCell ref="B2:R6"/>
    <mergeCell ref="U3:AA3"/>
    <mergeCell ref="AM3:AS3"/>
    <mergeCell ref="BE3:BK3"/>
    <mergeCell ref="V4:AA4"/>
    <mergeCell ref="AN4:AS4"/>
    <mergeCell ref="BF4:BK4"/>
    <mergeCell ref="BE5:BK5"/>
    <mergeCell ref="AM5:AS5"/>
    <mergeCell ref="AV5:BB5"/>
    <mergeCell ref="AT8:BG8"/>
    <mergeCell ref="BL8:BP8"/>
    <mergeCell ref="BK9:BN9"/>
    <mergeCell ref="BO9:BR9"/>
    <mergeCell ref="BS9:BV9"/>
    <mergeCell ref="U5:AA5"/>
    <mergeCell ref="AD5:AJ5"/>
    <mergeCell ref="C8:I8"/>
    <mergeCell ref="K8:Q8"/>
    <mergeCell ref="V8:AC8"/>
    <mergeCell ref="AH8:AO8"/>
    <mergeCell ref="C9:I9"/>
    <mergeCell ref="BL14:BN14"/>
    <mergeCell ref="BL15:BN15"/>
    <mergeCell ref="BO15:BR15"/>
    <mergeCell ref="BS15:BV15"/>
    <mergeCell ref="BO3:BU3"/>
    <mergeCell ref="BP4:BU4"/>
    <mergeCell ref="BL13:BN13"/>
    <mergeCell ref="BO13:BR13"/>
    <mergeCell ref="BS13:BV13"/>
    <mergeCell ref="BO14:BR14"/>
    <mergeCell ref="BS14:BV14"/>
    <mergeCell ref="BM30:BP30"/>
    <mergeCell ref="BQ30:BR30"/>
    <mergeCell ref="BS30:BV30"/>
    <mergeCell ref="AJ30:AM30"/>
    <mergeCell ref="AN30:AQ30"/>
    <mergeCell ref="AR30:AS30"/>
    <mergeCell ref="AT30:AW30"/>
    <mergeCell ref="AZ30:BE30"/>
    <mergeCell ref="BF30:BH30"/>
    <mergeCell ref="BI30:BL30"/>
    <mergeCell ref="K9:Q9"/>
    <mergeCell ref="C11:Q11"/>
    <mergeCell ref="J13:Q13"/>
    <mergeCell ref="N14:O14"/>
    <mergeCell ref="P14:Q14"/>
    <mergeCell ref="P15:Q15"/>
    <mergeCell ref="P16:Q16"/>
    <mergeCell ref="AA20:AI20"/>
    <mergeCell ref="AA21:AI21"/>
    <mergeCell ref="AJ21:AM21"/>
    <mergeCell ref="AN21:AQ21"/>
    <mergeCell ref="AR21:AW21"/>
    <mergeCell ref="AZ21:BE21"/>
    <mergeCell ref="BF21:BH21"/>
    <mergeCell ref="N15:O15"/>
    <mergeCell ref="N16:O16"/>
    <mergeCell ref="N17:O17"/>
    <mergeCell ref="P17:Q17"/>
    <mergeCell ref="AN20:AS20"/>
    <mergeCell ref="AT20:AW20"/>
    <mergeCell ref="AZ20:BE20"/>
    <mergeCell ref="C16:H16"/>
    <mergeCell ref="C17:H17"/>
    <mergeCell ref="C20:G20"/>
    <mergeCell ref="H21:J21"/>
    <mergeCell ref="K21:N21"/>
    <mergeCell ref="O21:R21"/>
    <mergeCell ref="S21:X21"/>
    <mergeCell ref="AA22:AI22"/>
    <mergeCell ref="AJ22:AM22"/>
    <mergeCell ref="AN22:AQ22"/>
    <mergeCell ref="AR22:AS22"/>
    <mergeCell ref="AT22:AW22"/>
    <mergeCell ref="AZ22:BE22"/>
    <mergeCell ref="BF22:BH22"/>
    <mergeCell ref="B21:G21"/>
    <mergeCell ref="B22:G22"/>
    <mergeCell ref="H22:J22"/>
    <mergeCell ref="K22:N22"/>
    <mergeCell ref="O22:R22"/>
    <mergeCell ref="S22:T22"/>
    <mergeCell ref="U22:X22"/>
    <mergeCell ref="B30:G30"/>
    <mergeCell ref="H30:J30"/>
    <mergeCell ref="K30:N30"/>
    <mergeCell ref="O30:R30"/>
    <mergeCell ref="S30:T30"/>
    <mergeCell ref="U30:X30"/>
    <mergeCell ref="AA30:AI30"/>
    <mergeCell ref="BM31:BP31"/>
    <mergeCell ref="BQ31:BR31"/>
    <mergeCell ref="BS31:BV31"/>
    <mergeCell ref="AJ31:AM31"/>
    <mergeCell ref="AN31:AQ31"/>
    <mergeCell ref="AR31:AS31"/>
    <mergeCell ref="AT31:AW31"/>
    <mergeCell ref="AZ31:BE31"/>
    <mergeCell ref="BF31:BH31"/>
    <mergeCell ref="BI31:BL31"/>
    <mergeCell ref="B31:G31"/>
    <mergeCell ref="H31:J31"/>
    <mergeCell ref="K31:N31"/>
    <mergeCell ref="O31:R31"/>
    <mergeCell ref="S31:T31"/>
    <mergeCell ref="U31:X31"/>
    <mergeCell ref="AA31:AI31"/>
    <mergeCell ref="BM32:BP32"/>
    <mergeCell ref="BQ32:BR32"/>
    <mergeCell ref="BS32:BV32"/>
    <mergeCell ref="AJ32:AM32"/>
    <mergeCell ref="AN32:AQ32"/>
    <mergeCell ref="AR32:AS32"/>
    <mergeCell ref="AT32:AW32"/>
    <mergeCell ref="AZ32:BE32"/>
    <mergeCell ref="BF32:BH32"/>
    <mergeCell ref="BI32:BL32"/>
    <mergeCell ref="B32:G32"/>
    <mergeCell ref="H32:J32"/>
    <mergeCell ref="K32:N32"/>
    <mergeCell ref="O32:R32"/>
    <mergeCell ref="S32:T32"/>
    <mergeCell ref="U32:X32"/>
    <mergeCell ref="AA32:AI32"/>
    <mergeCell ref="B33:J33"/>
    <mergeCell ref="K33:N33"/>
    <mergeCell ref="O33:R33"/>
    <mergeCell ref="S33:T33"/>
    <mergeCell ref="U33:X33"/>
    <mergeCell ref="AA33:AI33"/>
    <mergeCell ref="AJ33:AM33"/>
    <mergeCell ref="BQ36:BR36"/>
    <mergeCell ref="BS36:BV36"/>
    <mergeCell ref="AN36:AQ36"/>
    <mergeCell ref="AR36:AS36"/>
    <mergeCell ref="AT36:AW36"/>
    <mergeCell ref="AZ36:BE36"/>
    <mergeCell ref="BF36:BH36"/>
    <mergeCell ref="BI36:BL36"/>
    <mergeCell ref="BM36:BP36"/>
    <mergeCell ref="BQ33:BR33"/>
    <mergeCell ref="BS33:BV33"/>
    <mergeCell ref="AN33:AQ33"/>
    <mergeCell ref="AR33:AS33"/>
    <mergeCell ref="AT33:AW33"/>
    <mergeCell ref="AZ33:BE33"/>
    <mergeCell ref="BF33:BH33"/>
    <mergeCell ref="BI33:BL33"/>
    <mergeCell ref="BM33:BP33"/>
    <mergeCell ref="BI34:BL34"/>
    <mergeCell ref="BM34:BP34"/>
    <mergeCell ref="BQ34:BR34"/>
    <mergeCell ref="BS34:BV34"/>
    <mergeCell ref="AA34:AI34"/>
    <mergeCell ref="AJ34:AM34"/>
    <mergeCell ref="AN34:AQ34"/>
    <mergeCell ref="AR34:AS34"/>
    <mergeCell ref="AT34:AW34"/>
    <mergeCell ref="AZ34:BE34"/>
    <mergeCell ref="BF34:BH34"/>
    <mergeCell ref="AT35:AW35"/>
    <mergeCell ref="AZ35:BE35"/>
    <mergeCell ref="BF35:BH35"/>
    <mergeCell ref="BI35:BL35"/>
    <mergeCell ref="BM35:BP35"/>
    <mergeCell ref="BQ35:BR35"/>
    <mergeCell ref="BS35:BV35"/>
    <mergeCell ref="AA36:AI36"/>
    <mergeCell ref="AJ36:AM36"/>
    <mergeCell ref="C35:J36"/>
    <mergeCell ref="P35:T36"/>
    <mergeCell ref="U35:X36"/>
    <mergeCell ref="AA35:AI35"/>
    <mergeCell ref="AJ35:AM35"/>
    <mergeCell ref="AN35:AQ35"/>
    <mergeCell ref="AR35:AS35"/>
    <mergeCell ref="BQ40:BR40"/>
    <mergeCell ref="BS40:BV40"/>
    <mergeCell ref="AN40:AQ40"/>
    <mergeCell ref="AR40:AS40"/>
    <mergeCell ref="AT40:AW40"/>
    <mergeCell ref="AZ40:BE40"/>
    <mergeCell ref="BF40:BH40"/>
    <mergeCell ref="BI40:BL40"/>
    <mergeCell ref="BM40:BP40"/>
    <mergeCell ref="BQ49:BR49"/>
    <mergeCell ref="BS49:BV49"/>
    <mergeCell ref="AN49:AQ49"/>
    <mergeCell ref="AR49:AS49"/>
    <mergeCell ref="AT49:AW49"/>
    <mergeCell ref="AZ49:BE49"/>
    <mergeCell ref="BF49:BH49"/>
    <mergeCell ref="BI49:BL49"/>
    <mergeCell ref="BM49:BP49"/>
    <mergeCell ref="BQ47:BR47"/>
    <mergeCell ref="BS47:BV47"/>
    <mergeCell ref="AN47:AQ47"/>
    <mergeCell ref="AR47:AS47"/>
    <mergeCell ref="AT47:AW47"/>
    <mergeCell ref="AZ47:BE47"/>
    <mergeCell ref="BF47:BH47"/>
    <mergeCell ref="BI47:BL47"/>
    <mergeCell ref="BM47:BP47"/>
    <mergeCell ref="C47:J47"/>
    <mergeCell ref="K47:N47"/>
    <mergeCell ref="O47:R47"/>
    <mergeCell ref="S47:T47"/>
    <mergeCell ref="U47:X47"/>
    <mergeCell ref="AA47:AI47"/>
    <mergeCell ref="AJ47:AM47"/>
    <mergeCell ref="BQ48:BR48"/>
    <mergeCell ref="BS48:BV48"/>
    <mergeCell ref="AN48:AQ48"/>
    <mergeCell ref="AR48:AS48"/>
    <mergeCell ref="AT48:AW48"/>
    <mergeCell ref="AZ48:BE48"/>
    <mergeCell ref="BF48:BH48"/>
    <mergeCell ref="BI48:BL48"/>
    <mergeCell ref="BM48:BP48"/>
    <mergeCell ref="C48:J48"/>
    <mergeCell ref="K48:N48"/>
    <mergeCell ref="O48:R48"/>
    <mergeCell ref="S48:T48"/>
    <mergeCell ref="U48:X48"/>
    <mergeCell ref="AA48:AI48"/>
    <mergeCell ref="AJ48:AM48"/>
    <mergeCell ref="C49:J49"/>
    <mergeCell ref="K49:N49"/>
    <mergeCell ref="O49:R49"/>
    <mergeCell ref="S49:T49"/>
    <mergeCell ref="U49:X49"/>
    <mergeCell ref="AA49:AI49"/>
    <mergeCell ref="AJ49:AM49"/>
    <mergeCell ref="BQ52:BR52"/>
    <mergeCell ref="BS52:BV52"/>
    <mergeCell ref="AN52:AQ52"/>
    <mergeCell ref="AR52:AS52"/>
    <mergeCell ref="AT52:AW52"/>
    <mergeCell ref="AZ52:BE52"/>
    <mergeCell ref="BF52:BH52"/>
    <mergeCell ref="BI52:BL52"/>
    <mergeCell ref="BM52:BP52"/>
    <mergeCell ref="BQ50:BR50"/>
    <mergeCell ref="BS50:BV50"/>
    <mergeCell ref="AN50:AQ50"/>
    <mergeCell ref="AR50:AS50"/>
    <mergeCell ref="AT50:AW50"/>
    <mergeCell ref="AZ50:BE50"/>
    <mergeCell ref="BF50:BH50"/>
    <mergeCell ref="BI50:BL50"/>
    <mergeCell ref="BM50:BP50"/>
    <mergeCell ref="C50:J50"/>
    <mergeCell ref="K50:N50"/>
    <mergeCell ref="O50:R50"/>
    <mergeCell ref="S50:T50"/>
    <mergeCell ref="U50:X50"/>
    <mergeCell ref="AA50:AI50"/>
    <mergeCell ref="AJ50:AM50"/>
    <mergeCell ref="BQ51:BR51"/>
    <mergeCell ref="BS51:BV51"/>
    <mergeCell ref="AN51:AQ51"/>
    <mergeCell ref="AR51:AS51"/>
    <mergeCell ref="AT51:AW51"/>
    <mergeCell ref="AZ51:BE51"/>
    <mergeCell ref="BF51:BH51"/>
    <mergeCell ref="BI51:BL51"/>
    <mergeCell ref="BM51:BP51"/>
    <mergeCell ref="C51:J51"/>
    <mergeCell ref="K51:N51"/>
    <mergeCell ref="O51:R51"/>
    <mergeCell ref="S51:T51"/>
    <mergeCell ref="U51:X51"/>
    <mergeCell ref="AA51:AI51"/>
    <mergeCell ref="AJ51:AM51"/>
    <mergeCell ref="C52:J52"/>
    <mergeCell ref="K52:N52"/>
    <mergeCell ref="O52:R52"/>
    <mergeCell ref="S52:T52"/>
    <mergeCell ref="U52:X52"/>
    <mergeCell ref="AA52:AI52"/>
    <mergeCell ref="AJ52:AM52"/>
    <mergeCell ref="BQ55:BR55"/>
    <mergeCell ref="BS55:BV55"/>
    <mergeCell ref="AN55:AQ55"/>
    <mergeCell ref="AR55:AS55"/>
    <mergeCell ref="AT55:AW55"/>
    <mergeCell ref="AZ55:BE55"/>
    <mergeCell ref="BF55:BH55"/>
    <mergeCell ref="BI55:BL55"/>
    <mergeCell ref="BM55:BP55"/>
    <mergeCell ref="BQ53:BR53"/>
    <mergeCell ref="BS53:BV53"/>
    <mergeCell ref="AN53:AQ53"/>
    <mergeCell ref="AR53:AS53"/>
    <mergeCell ref="AT53:AW53"/>
    <mergeCell ref="AZ53:BE53"/>
    <mergeCell ref="BF53:BH53"/>
    <mergeCell ref="BI53:BL53"/>
    <mergeCell ref="BM53:BP53"/>
    <mergeCell ref="C53:J53"/>
    <mergeCell ref="K53:N53"/>
    <mergeCell ref="O53:R53"/>
    <mergeCell ref="S53:T53"/>
    <mergeCell ref="U53:X53"/>
    <mergeCell ref="AA53:AI53"/>
    <mergeCell ref="AJ53:AM53"/>
    <mergeCell ref="BQ54:BR54"/>
    <mergeCell ref="BS54:BV54"/>
    <mergeCell ref="AN54:AQ54"/>
    <mergeCell ref="AR54:AS54"/>
    <mergeCell ref="AT54:AW54"/>
    <mergeCell ref="AZ54:BE54"/>
    <mergeCell ref="BF54:BH54"/>
    <mergeCell ref="BI54:BL54"/>
    <mergeCell ref="BM54:BP54"/>
    <mergeCell ref="C54:J54"/>
    <mergeCell ref="K54:N54"/>
    <mergeCell ref="O54:R54"/>
    <mergeCell ref="S54:T54"/>
    <mergeCell ref="U54:X54"/>
    <mergeCell ref="AA54:AI54"/>
    <mergeCell ref="AJ54:AM54"/>
    <mergeCell ref="C55:J55"/>
    <mergeCell ref="K55:N55"/>
    <mergeCell ref="O55:R55"/>
    <mergeCell ref="S55:T55"/>
    <mergeCell ref="U55:X55"/>
    <mergeCell ref="AA55:AI55"/>
    <mergeCell ref="AJ55:AM55"/>
    <mergeCell ref="AN39:AQ39"/>
    <mergeCell ref="AR39:AS39"/>
    <mergeCell ref="AT39:AW39"/>
    <mergeCell ref="AZ39:BE39"/>
    <mergeCell ref="BF39:BH39"/>
    <mergeCell ref="BI39:BL39"/>
    <mergeCell ref="BM39:BP39"/>
    <mergeCell ref="C39:J39"/>
    <mergeCell ref="K39:N39"/>
    <mergeCell ref="O39:R39"/>
    <mergeCell ref="S39:T39"/>
    <mergeCell ref="U39:X39"/>
    <mergeCell ref="AA39:AI39"/>
    <mergeCell ref="AJ39:AM39"/>
    <mergeCell ref="AR37:AS37"/>
    <mergeCell ref="AT37:AW37"/>
    <mergeCell ref="AZ37:BE37"/>
    <mergeCell ref="BF37:BH37"/>
    <mergeCell ref="BI37:BL37"/>
    <mergeCell ref="BM37:BP37"/>
    <mergeCell ref="BQ37:BR37"/>
    <mergeCell ref="BS37:BV37"/>
    <mergeCell ref="C37:J37"/>
    <mergeCell ref="K37:N37"/>
    <mergeCell ref="O37:R37"/>
    <mergeCell ref="S37:X37"/>
    <mergeCell ref="AA37:AI37"/>
    <mergeCell ref="AJ37:AM37"/>
    <mergeCell ref="AN37:AQ37"/>
    <mergeCell ref="BQ38:BR38"/>
    <mergeCell ref="BS38:BV38"/>
    <mergeCell ref="AN38:AQ38"/>
    <mergeCell ref="AR38:AS38"/>
    <mergeCell ref="AT38:AW38"/>
    <mergeCell ref="AZ38:BE38"/>
    <mergeCell ref="BF38:BH38"/>
    <mergeCell ref="BI38:BL38"/>
    <mergeCell ref="BM38:BP38"/>
    <mergeCell ref="C38:J38"/>
    <mergeCell ref="K38:N38"/>
    <mergeCell ref="O38:R38"/>
    <mergeCell ref="S38:T38"/>
    <mergeCell ref="U38:X38"/>
    <mergeCell ref="AA38:AI38"/>
    <mergeCell ref="AJ38:AM38"/>
    <mergeCell ref="BQ39:BR39"/>
    <mergeCell ref="BS39:BV39"/>
    <mergeCell ref="C40:J40"/>
    <mergeCell ref="K40:N40"/>
    <mergeCell ref="O40:R40"/>
    <mergeCell ref="S40:T40"/>
    <mergeCell ref="U40:X40"/>
    <mergeCell ref="AA40:AI40"/>
    <mergeCell ref="AJ40:AM40"/>
    <mergeCell ref="BQ43:BR43"/>
    <mergeCell ref="BS43:BV43"/>
    <mergeCell ref="AN43:AQ43"/>
    <mergeCell ref="AR43:AS43"/>
    <mergeCell ref="AT43:AW43"/>
    <mergeCell ref="AZ43:BE43"/>
    <mergeCell ref="BF43:BH43"/>
    <mergeCell ref="BI43:BL43"/>
    <mergeCell ref="BM43:BP43"/>
    <mergeCell ref="BQ41:BR41"/>
    <mergeCell ref="BS41:BV41"/>
    <mergeCell ref="AN41:AQ41"/>
    <mergeCell ref="AR41:AS41"/>
    <mergeCell ref="AT41:AW41"/>
    <mergeCell ref="AZ41:BE41"/>
    <mergeCell ref="BF41:BH41"/>
    <mergeCell ref="BI41:BL41"/>
    <mergeCell ref="BM41:BP41"/>
    <mergeCell ref="C41:J41"/>
    <mergeCell ref="K41:N41"/>
    <mergeCell ref="O41:R41"/>
    <mergeCell ref="S41:T41"/>
    <mergeCell ref="U41:X41"/>
    <mergeCell ref="AA41:AI41"/>
    <mergeCell ref="AJ41:AM41"/>
    <mergeCell ref="BQ42:BR42"/>
    <mergeCell ref="BS42:BV42"/>
    <mergeCell ref="AN42:AQ42"/>
    <mergeCell ref="AR42:AS42"/>
    <mergeCell ref="AT42:AW42"/>
    <mergeCell ref="AZ42:BE42"/>
    <mergeCell ref="BF42:BH42"/>
    <mergeCell ref="BI42:BL42"/>
    <mergeCell ref="BM42:BP42"/>
    <mergeCell ref="C42:J42"/>
    <mergeCell ref="K42:N42"/>
    <mergeCell ref="O42:R42"/>
    <mergeCell ref="S42:T42"/>
    <mergeCell ref="U42:X42"/>
    <mergeCell ref="AA42:AI42"/>
    <mergeCell ref="AJ42:AM42"/>
    <mergeCell ref="C43:J43"/>
    <mergeCell ref="K43:N43"/>
    <mergeCell ref="O43:R43"/>
    <mergeCell ref="S43:T43"/>
    <mergeCell ref="U43:X43"/>
    <mergeCell ref="AA43:AI43"/>
    <mergeCell ref="AJ43:AM43"/>
    <mergeCell ref="BQ46:BR46"/>
    <mergeCell ref="BS46:BV46"/>
    <mergeCell ref="AN46:AQ46"/>
    <mergeCell ref="AR46:AS46"/>
    <mergeCell ref="AT46:AW46"/>
    <mergeCell ref="AZ46:BE46"/>
    <mergeCell ref="BF46:BH46"/>
    <mergeCell ref="BI46:BL46"/>
    <mergeCell ref="BM46:BP46"/>
    <mergeCell ref="BQ44:BR44"/>
    <mergeCell ref="BS44:BV44"/>
    <mergeCell ref="AN44:AQ44"/>
    <mergeCell ref="AR44:AS44"/>
    <mergeCell ref="AT44:AW44"/>
    <mergeCell ref="AZ44:BE44"/>
    <mergeCell ref="BF44:BH44"/>
    <mergeCell ref="BI44:BL44"/>
    <mergeCell ref="BM44:BP44"/>
    <mergeCell ref="C44:J44"/>
    <mergeCell ref="K44:N44"/>
    <mergeCell ref="O44:R44"/>
    <mergeCell ref="S44:T44"/>
    <mergeCell ref="U44:X44"/>
    <mergeCell ref="AA44:AI44"/>
    <mergeCell ref="AJ44:AM44"/>
    <mergeCell ref="BQ45:BR45"/>
    <mergeCell ref="BS45:BV45"/>
    <mergeCell ref="AN45:AQ45"/>
    <mergeCell ref="AR45:AS45"/>
    <mergeCell ref="AT45:AW45"/>
    <mergeCell ref="AZ45:BE45"/>
    <mergeCell ref="BF45:BH45"/>
    <mergeCell ref="BI45:BL45"/>
    <mergeCell ref="BM45:BP45"/>
    <mergeCell ref="C45:J45"/>
    <mergeCell ref="K45:N45"/>
    <mergeCell ref="O45:R45"/>
    <mergeCell ref="S45:T45"/>
    <mergeCell ref="U45:X45"/>
    <mergeCell ref="AA45:AI45"/>
    <mergeCell ref="AJ45:AM45"/>
    <mergeCell ref="C46:J46"/>
    <mergeCell ref="K46:N46"/>
    <mergeCell ref="O46:R46"/>
    <mergeCell ref="S46:T46"/>
    <mergeCell ref="U46:X46"/>
    <mergeCell ref="AA46:AI46"/>
    <mergeCell ref="AJ46:AM46"/>
    <mergeCell ref="AN56:AQ56"/>
    <mergeCell ref="AR56:AS56"/>
    <mergeCell ref="AT56:AW56"/>
    <mergeCell ref="AY56:BH56"/>
    <mergeCell ref="BI56:BL56"/>
    <mergeCell ref="BM56:BP56"/>
    <mergeCell ref="BQ56:BR56"/>
    <mergeCell ref="BS56:BV56"/>
    <mergeCell ref="AJ56:AM56"/>
    <mergeCell ref="AM58:AM59"/>
    <mergeCell ref="AQ58:AU58"/>
    <mergeCell ref="AZ58:BE59"/>
    <mergeCell ref="BM58:BR59"/>
    <mergeCell ref="BS58:BV59"/>
    <mergeCell ref="AQ59:AU59"/>
    <mergeCell ref="B56:J56"/>
    <mergeCell ref="K56:N56"/>
    <mergeCell ref="O56:R56"/>
    <mergeCell ref="S56:T56"/>
    <mergeCell ref="U56:X56"/>
    <mergeCell ref="Z56:AI56"/>
    <mergeCell ref="C58:L59"/>
    <mergeCell ref="BF60:BH60"/>
    <mergeCell ref="BI60:BL60"/>
    <mergeCell ref="BM60:BP60"/>
    <mergeCell ref="BQ60:BV60"/>
    <mergeCell ref="C60:G60"/>
    <mergeCell ref="H60:L60"/>
    <mergeCell ref="M60:T60"/>
    <mergeCell ref="U60:Y60"/>
    <mergeCell ref="Z60:AD60"/>
    <mergeCell ref="AE60:AW60"/>
    <mergeCell ref="AZ60:BE60"/>
    <mergeCell ref="BF61:BH61"/>
    <mergeCell ref="BI61:BL61"/>
    <mergeCell ref="BM61:BP61"/>
    <mergeCell ref="BQ61:BR61"/>
    <mergeCell ref="BS61:BV61"/>
    <mergeCell ref="C61:G61"/>
    <mergeCell ref="H61:L61"/>
    <mergeCell ref="M61:T61"/>
    <mergeCell ref="U61:Y61"/>
    <mergeCell ref="Z61:AD61"/>
    <mergeCell ref="AE61:AW61"/>
    <mergeCell ref="AZ61:BE61"/>
  </mergeCells>
  <conditionalFormatting sqref="BO85:BS85 BO88:BS93">
    <cfRule type="expression" dxfId="0" priority="1">
      <formula>$BO85</formula>
    </cfRule>
  </conditionalFormatting>
  <conditionalFormatting sqref="K22">
    <cfRule type="expression" dxfId="0" priority="2">
      <formula>$BO80</formula>
    </cfRule>
  </conditionalFormatting>
  <conditionalFormatting sqref="B38:T55 U38:X56">
    <cfRule type="expression" dxfId="1" priority="3">
      <formula>$B38</formula>
    </cfRule>
  </conditionalFormatting>
  <conditionalFormatting sqref="B61:AW121">
    <cfRule type="expression" dxfId="1" priority="4">
      <formula>$B61</formula>
    </cfRule>
  </conditionalFormatting>
  <conditionalFormatting sqref="B61:AW121">
    <cfRule type="expression" dxfId="2" priority="5">
      <formula>$H61=$AQ$58</formula>
    </cfRule>
  </conditionalFormatting>
  <conditionalFormatting sqref="B61:AW121">
    <cfRule type="expression" dxfId="3" priority="6">
      <formula>$M61=$AQ$59</formula>
    </cfRule>
  </conditionalFormatting>
  <conditionalFormatting sqref="Z22:AS55 AT22:AW56">
    <cfRule type="expression" dxfId="1" priority="7">
      <formula>$Z22</formula>
    </cfRule>
  </conditionalFormatting>
  <conditionalFormatting sqref="AY22:BR55 BS22:BV56">
    <cfRule type="expression" dxfId="4" priority="8">
      <formula>$AY22</formula>
    </cfRule>
  </conditionalFormatting>
  <conditionalFormatting sqref="AY61:BR83 BS61:BV84">
    <cfRule type="expression" dxfId="4" priority="9">
      <formula>$AY61</formula>
    </cfRule>
  </conditionalFormatting>
  <conditionalFormatting sqref="CC15">
    <cfRule type="notContainsBlanks" dxfId="5" priority="10">
      <formula>LEN(TRIM(CC15))&gt;0</formula>
    </cfRule>
  </conditionalFormatting>
  <dataValidations>
    <dataValidation type="list" allowBlank="1" showErrorMessage="1" sqref="M61:M121">
      <formula1>Master!$C$3:$C$50</formula1>
    </dataValidation>
    <dataValidation type="list" allowBlank="1" showErrorMessage="1" sqref="AQ59">
      <formula1>Master!$C$2:$C$34</formula1>
    </dataValidation>
    <dataValidation type="list" allowBlank="1" showErrorMessage="1" sqref="K9">
      <formula1>Master!$B$2:$B$13</formula1>
    </dataValidation>
    <dataValidation type="list" allowBlank="1" showErrorMessage="1" sqref="AQ58">
      <formula1>Master!$D$2:$D$7</formula1>
    </dataValidation>
    <dataValidation type="list" allowBlank="1" showErrorMessage="1" sqref="H61:H121">
      <formula1>Master!$D$3:$D$7</formula1>
    </dataValidation>
    <dataValidation type="list" allowBlank="1" showErrorMessage="1" sqref="V8">
      <formula1>"Spending breakdown,Income breakdown"</formula1>
    </dataValidation>
    <dataValidation type="list" allowBlank="1" showErrorMessage="1" sqref="AH8">
      <formula1>"Actual Cashflow,Budget Cashflow"</formula1>
    </dataValidation>
    <dataValidation type="list" allowBlank="1" showErrorMessage="1" sqref="C9">
      <formula1>"2025,2026,2027,2028,2029,2030"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5" max="5" width="3.75"/>
    <col customWidth="1" min="8" max="8" width="2.75"/>
    <col customWidth="1" min="9" max="10" width="12.88"/>
    <col customWidth="1" min="11" max="11" width="2.88"/>
    <col customWidth="1" min="14" max="14" width="2.75"/>
    <col customWidth="1" min="17" max="17" width="3.0"/>
    <col customWidth="1" min="20" max="20" width="3.25"/>
  </cols>
  <sheetData>
    <row r="1">
      <c r="A1" s="327" t="s">
        <v>99</v>
      </c>
      <c r="B1" s="327" t="s">
        <v>100</v>
      </c>
      <c r="C1" s="327" t="s">
        <v>58</v>
      </c>
      <c r="D1" s="327" t="s">
        <v>16</v>
      </c>
      <c r="E1" s="328"/>
      <c r="F1" s="327"/>
      <c r="G1" s="328"/>
      <c r="H1" s="328"/>
      <c r="I1" s="327"/>
      <c r="J1" s="328"/>
      <c r="K1" s="328"/>
      <c r="L1" s="328"/>
      <c r="M1" s="328"/>
      <c r="N1" s="328"/>
      <c r="O1" s="327"/>
      <c r="P1" s="328"/>
      <c r="Q1" s="328"/>
      <c r="R1" s="328"/>
      <c r="S1" s="328"/>
      <c r="T1" s="328"/>
      <c r="U1" s="328"/>
      <c r="V1" s="328"/>
      <c r="W1" s="328"/>
      <c r="X1" s="328"/>
      <c r="Y1" s="328"/>
    </row>
    <row r="2">
      <c r="A2" s="329">
        <v>2025.0</v>
      </c>
      <c r="B2" s="329" t="s">
        <v>101</v>
      </c>
      <c r="C2" s="329" t="s">
        <v>54</v>
      </c>
      <c r="D2" s="329" t="s">
        <v>54</v>
      </c>
      <c r="E2" s="328"/>
      <c r="F2" s="330"/>
      <c r="G2" s="331"/>
      <c r="H2" s="332"/>
      <c r="I2" s="331"/>
      <c r="J2" s="331"/>
      <c r="K2" s="328"/>
      <c r="L2" s="327"/>
      <c r="M2" s="327"/>
      <c r="N2" s="328"/>
      <c r="O2" s="330"/>
      <c r="P2" s="331"/>
      <c r="Q2" s="328"/>
      <c r="R2" s="327"/>
      <c r="S2" s="327"/>
      <c r="T2" s="328"/>
      <c r="U2" s="328"/>
      <c r="V2" s="328"/>
      <c r="W2" s="328"/>
      <c r="X2" s="328"/>
      <c r="Y2" s="328"/>
    </row>
    <row r="3">
      <c r="A3" s="329">
        <v>2026.0</v>
      </c>
      <c r="B3" s="329" t="s">
        <v>15</v>
      </c>
      <c r="C3" s="329" t="s">
        <v>63</v>
      </c>
      <c r="D3" s="329" t="s">
        <v>62</v>
      </c>
      <c r="E3" s="328"/>
      <c r="F3" s="332"/>
      <c r="G3" s="328"/>
      <c r="H3" s="328"/>
      <c r="I3" s="328"/>
      <c r="J3" s="328"/>
      <c r="K3" s="328"/>
      <c r="L3" s="328"/>
      <c r="M3" s="328"/>
      <c r="N3" s="328"/>
      <c r="O3" s="332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>
      <c r="A4" s="329">
        <v>2027.0</v>
      </c>
      <c r="B4" s="329" t="s">
        <v>102</v>
      </c>
      <c r="C4" s="329" t="s">
        <v>65</v>
      </c>
      <c r="D4" s="329" t="s">
        <v>64</v>
      </c>
      <c r="E4" s="328"/>
      <c r="F4" s="332"/>
      <c r="G4" s="328"/>
      <c r="H4" s="328"/>
      <c r="I4" s="328"/>
      <c r="J4" s="328"/>
      <c r="K4" s="328"/>
      <c r="L4" s="328"/>
      <c r="M4" s="328"/>
      <c r="N4" s="328"/>
      <c r="O4" s="332"/>
      <c r="P4" s="328"/>
      <c r="Q4" s="328"/>
      <c r="R4" s="328"/>
      <c r="S4" s="328"/>
      <c r="T4" s="328"/>
      <c r="U4" s="328"/>
      <c r="V4" s="328"/>
      <c r="W4" s="328"/>
      <c r="X4" s="328"/>
      <c r="Y4" s="328"/>
    </row>
    <row r="5">
      <c r="A5" s="329">
        <v>2028.0</v>
      </c>
      <c r="B5" s="329" t="s">
        <v>103</v>
      </c>
      <c r="C5" s="329" t="s">
        <v>67</v>
      </c>
      <c r="D5" s="329" t="s">
        <v>68</v>
      </c>
      <c r="E5" s="328"/>
      <c r="F5" s="332"/>
      <c r="G5" s="328"/>
      <c r="H5" s="328"/>
      <c r="I5" s="328"/>
      <c r="J5" s="328"/>
      <c r="K5" s="328"/>
      <c r="L5" s="328"/>
      <c r="M5" s="328"/>
      <c r="N5" s="328"/>
      <c r="O5" s="332"/>
      <c r="P5" s="328"/>
      <c r="Q5" s="328"/>
      <c r="R5" s="328"/>
      <c r="S5" s="328"/>
      <c r="T5" s="328"/>
      <c r="U5" s="328"/>
      <c r="V5" s="328"/>
      <c r="W5" s="328"/>
      <c r="X5" s="328"/>
      <c r="Y5" s="328"/>
    </row>
    <row r="6">
      <c r="A6" s="329">
        <v>2029.0</v>
      </c>
      <c r="B6" s="329" t="s">
        <v>104</v>
      </c>
      <c r="C6" s="329" t="s">
        <v>69</v>
      </c>
      <c r="D6" s="329" t="s">
        <v>22</v>
      </c>
      <c r="E6" s="328"/>
      <c r="F6" s="332"/>
      <c r="G6" s="328"/>
      <c r="H6" s="328"/>
      <c r="I6" s="328"/>
      <c r="J6" s="328"/>
      <c r="K6" s="328"/>
      <c r="L6" s="328"/>
      <c r="M6" s="328"/>
      <c r="N6" s="328"/>
      <c r="O6" s="332"/>
      <c r="P6" s="328"/>
      <c r="Q6" s="328"/>
      <c r="R6" s="328"/>
      <c r="S6" s="328"/>
      <c r="T6" s="328"/>
      <c r="U6" s="328"/>
      <c r="V6" s="328"/>
      <c r="W6" s="328"/>
      <c r="X6" s="328"/>
      <c r="Y6" s="328"/>
    </row>
    <row r="7">
      <c r="A7" s="329">
        <v>2030.0</v>
      </c>
      <c r="B7" s="329" t="s">
        <v>105</v>
      </c>
      <c r="C7" s="329" t="s">
        <v>70</v>
      </c>
      <c r="D7" s="329" t="s">
        <v>73</v>
      </c>
      <c r="E7" s="328"/>
      <c r="F7" s="332"/>
      <c r="G7" s="328"/>
      <c r="H7" s="328"/>
      <c r="I7" s="328"/>
      <c r="J7" s="328"/>
      <c r="K7" s="328"/>
      <c r="L7" s="328"/>
      <c r="M7" s="328"/>
      <c r="N7" s="328"/>
      <c r="O7" s="332"/>
      <c r="P7" s="328"/>
      <c r="Q7" s="328"/>
      <c r="R7" s="328"/>
      <c r="S7" s="328"/>
      <c r="T7" s="328"/>
      <c r="U7" s="328"/>
      <c r="V7" s="328"/>
      <c r="W7" s="328"/>
      <c r="X7" s="328"/>
      <c r="Y7" s="328"/>
    </row>
    <row r="8">
      <c r="A8" s="328"/>
      <c r="B8" s="329" t="s">
        <v>106</v>
      </c>
      <c r="C8" s="329" t="s">
        <v>71</v>
      </c>
      <c r="D8" s="328"/>
      <c r="E8" s="328"/>
      <c r="F8" s="332"/>
      <c r="G8" s="328"/>
      <c r="H8" s="328"/>
      <c r="I8" s="328"/>
      <c r="J8" s="328"/>
      <c r="K8" s="328"/>
      <c r="L8" s="328"/>
      <c r="M8" s="328"/>
      <c r="N8" s="328"/>
      <c r="O8" s="332"/>
      <c r="P8" s="328"/>
      <c r="Q8" s="328"/>
      <c r="R8" s="328"/>
      <c r="S8" s="328"/>
      <c r="T8" s="328"/>
      <c r="U8" s="328"/>
      <c r="V8" s="328"/>
      <c r="W8" s="328"/>
      <c r="X8" s="328"/>
      <c r="Y8" s="328"/>
    </row>
    <row r="9">
      <c r="A9" s="328"/>
      <c r="B9" s="329" t="s">
        <v>107</v>
      </c>
      <c r="C9" s="329" t="s">
        <v>72</v>
      </c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</row>
    <row r="10">
      <c r="A10" s="328"/>
      <c r="B10" s="329" t="s">
        <v>108</v>
      </c>
      <c r="C10" s="329" t="s">
        <v>74</v>
      </c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</row>
    <row r="11">
      <c r="A11" s="328"/>
      <c r="B11" s="329" t="s">
        <v>109</v>
      </c>
      <c r="C11" s="329" t="s">
        <v>75</v>
      </c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</row>
    <row r="12">
      <c r="A12" s="328"/>
      <c r="B12" s="329" t="s">
        <v>110</v>
      </c>
      <c r="C12" s="329" t="s">
        <v>76</v>
      </c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</row>
    <row r="13">
      <c r="A13" s="328"/>
      <c r="B13" s="329" t="s">
        <v>111</v>
      </c>
      <c r="C13" s="329" t="s">
        <v>77</v>
      </c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</row>
    <row r="14">
      <c r="A14" s="328"/>
      <c r="B14" s="328"/>
      <c r="C14" s="329" t="s">
        <v>78</v>
      </c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</row>
    <row r="15">
      <c r="A15" s="328"/>
      <c r="B15" s="328"/>
      <c r="C15" s="329" t="s">
        <v>79</v>
      </c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</row>
    <row r="16">
      <c r="A16" s="328"/>
      <c r="B16" s="328"/>
      <c r="C16" s="329" t="s">
        <v>80</v>
      </c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</row>
    <row r="17">
      <c r="A17" s="328"/>
      <c r="B17" s="328"/>
      <c r="C17" s="329" t="s">
        <v>81</v>
      </c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</row>
    <row r="18">
      <c r="A18" s="328"/>
      <c r="B18" s="328"/>
      <c r="C18" s="329" t="s">
        <v>82</v>
      </c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</row>
    <row r="19">
      <c r="A19" s="328"/>
      <c r="B19" s="328"/>
      <c r="C19" s="329" t="s">
        <v>83</v>
      </c>
      <c r="D19" s="328"/>
      <c r="E19" s="328"/>
      <c r="F19" s="329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</row>
    <row r="20">
      <c r="A20" s="328"/>
      <c r="B20" s="328"/>
      <c r="C20" s="329" t="s">
        <v>84</v>
      </c>
      <c r="D20" s="328"/>
      <c r="E20" s="328"/>
      <c r="F20" s="329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</row>
    <row r="21">
      <c r="A21" s="328"/>
      <c r="B21" s="328"/>
      <c r="C21" s="329" t="s">
        <v>85</v>
      </c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</row>
    <row r="22">
      <c r="A22" s="328"/>
      <c r="B22" s="328"/>
      <c r="C22" s="329" t="s">
        <v>86</v>
      </c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</row>
    <row r="23">
      <c r="A23" s="328"/>
      <c r="B23" s="328"/>
      <c r="C23" s="329" t="s">
        <v>87</v>
      </c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</row>
    <row r="24">
      <c r="A24" s="328"/>
      <c r="B24" s="328"/>
      <c r="C24" s="329" t="s">
        <v>88</v>
      </c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</row>
    <row r="25">
      <c r="A25" s="328"/>
      <c r="B25" s="328"/>
      <c r="C25" s="329" t="s">
        <v>89</v>
      </c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</row>
    <row r="26">
      <c r="A26" s="328"/>
      <c r="B26" s="328"/>
      <c r="C26" s="329" t="s">
        <v>90</v>
      </c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</row>
    <row r="27">
      <c r="A27" s="328"/>
      <c r="B27" s="328"/>
      <c r="C27" s="329" t="s">
        <v>91</v>
      </c>
      <c r="D27" s="328"/>
      <c r="E27" s="328"/>
      <c r="F27" s="328"/>
      <c r="G27" s="328"/>
      <c r="H27" s="328"/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</row>
    <row r="28">
      <c r="A28" s="328"/>
      <c r="B28" s="328"/>
      <c r="C28" s="329" t="s">
        <v>92</v>
      </c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</row>
    <row r="29">
      <c r="A29" s="328"/>
      <c r="B29" s="328"/>
      <c r="C29" s="329" t="s">
        <v>93</v>
      </c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</row>
    <row r="30">
      <c r="A30" s="328"/>
      <c r="B30" s="328"/>
      <c r="C30" s="329" t="s">
        <v>94</v>
      </c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</row>
    <row r="31">
      <c r="A31" s="328"/>
      <c r="B31" s="328"/>
      <c r="C31" s="329" t="s">
        <v>95</v>
      </c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</row>
    <row r="32">
      <c r="A32" s="328"/>
      <c r="B32" s="328"/>
      <c r="C32" s="329" t="s">
        <v>96</v>
      </c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</row>
    <row r="33">
      <c r="A33" s="328"/>
      <c r="B33" s="328"/>
      <c r="C33" s="329" t="s">
        <v>97</v>
      </c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</row>
    <row r="34">
      <c r="A34" s="328"/>
      <c r="B34" s="328"/>
      <c r="C34" s="329" t="s">
        <v>98</v>
      </c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</row>
    <row r="35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</row>
    <row r="36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</row>
    <row r="37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</row>
    <row r="38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</row>
    <row r="39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</row>
    <row r="40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</row>
    <row r="4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</row>
    <row r="42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</row>
    <row r="43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</row>
    <row r="44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</row>
    <row r="45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</row>
    <row r="46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</row>
    <row r="47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</row>
    <row r="48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</row>
    <row r="49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</row>
    <row r="50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</row>
    <row r="5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</row>
    <row r="52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</row>
    <row r="53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</row>
    <row r="54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</row>
    <row r="55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</row>
    <row r="56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</row>
    <row r="57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</row>
    <row r="58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</row>
    <row r="59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</row>
    <row r="60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</row>
    <row r="6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</row>
    <row r="62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</row>
    <row r="63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</row>
    <row r="64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</row>
    <row r="65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</row>
    <row r="66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</row>
    <row r="67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</row>
    <row r="68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</row>
    <row r="69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</row>
    <row r="70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</row>
    <row r="7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</row>
    <row r="72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</row>
    <row r="73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</row>
    <row r="74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</row>
    <row r="75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</row>
    <row r="76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</row>
    <row r="77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</row>
    <row r="78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</row>
    <row r="79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</row>
    <row r="80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</row>
    <row r="8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</row>
    <row r="82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</row>
    <row r="83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</row>
    <row r="84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</row>
    <row r="85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</row>
    <row r="86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</row>
    <row r="87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</row>
    <row r="88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</row>
    <row r="89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</row>
    <row r="90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</row>
    <row r="9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</row>
    <row r="92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</row>
    <row r="93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</row>
    <row r="94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</row>
    <row r="95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</row>
    <row r="96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</row>
    <row r="97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</row>
    <row r="98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</row>
    <row r="99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</row>
    <row r="100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</row>
    <row r="10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</row>
    <row r="102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</row>
    <row r="103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</row>
    <row r="104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</row>
    <row r="105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</row>
    <row r="106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</row>
    <row r="107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</row>
    <row r="108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</row>
    <row r="109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</row>
    <row r="110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</row>
    <row r="11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</row>
    <row r="112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</row>
    <row r="113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</row>
    <row r="114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</row>
    <row r="115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</row>
    <row r="116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</row>
    <row r="117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</row>
    <row r="118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</row>
    <row r="119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</row>
    <row r="120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</row>
    <row r="12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</row>
    <row r="122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</row>
    <row r="123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</row>
    <row r="124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</row>
    <row r="125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</row>
    <row r="126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</row>
    <row r="127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</row>
    <row r="128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</row>
    <row r="129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</row>
    <row r="130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</row>
    <row r="13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</row>
    <row r="132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</row>
    <row r="133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</row>
    <row r="134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</row>
    <row r="135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</row>
    <row r="136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</row>
    <row r="137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</row>
    <row r="138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</row>
    <row r="139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</row>
    <row r="140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</row>
    <row r="14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</row>
    <row r="142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</row>
    <row r="143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</row>
    <row r="144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</row>
    <row r="145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</row>
    <row r="146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</row>
    <row r="147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</row>
    <row r="148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</row>
    <row r="149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</row>
    <row r="150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</row>
    <row r="15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</row>
    <row r="152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</row>
    <row r="153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</row>
    <row r="154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</row>
    <row r="155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</row>
    <row r="156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</row>
    <row r="157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</row>
    <row r="158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</row>
    <row r="159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</row>
    <row r="160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</row>
    <row r="16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</row>
    <row r="162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</row>
    <row r="163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</row>
    <row r="164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</row>
    <row r="165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</row>
    <row r="166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</row>
    <row r="167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</row>
    <row r="168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</row>
    <row r="169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</row>
    <row r="170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</row>
    <row r="17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</row>
    <row r="172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</row>
    <row r="173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</row>
    <row r="174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</row>
    <row r="175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</row>
    <row r="176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</row>
    <row r="177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</row>
    <row r="178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</row>
    <row r="179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</row>
    <row r="180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</row>
    <row r="18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</row>
    <row r="182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</row>
    <row r="183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</row>
    <row r="184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</row>
    <row r="185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</row>
    <row r="186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</row>
    <row r="187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</row>
    <row r="188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</row>
    <row r="189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</row>
    <row r="190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</row>
    <row r="19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</row>
    <row r="192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</row>
    <row r="193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</row>
    <row r="194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</row>
    <row r="195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</row>
    <row r="196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</row>
    <row r="197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</row>
    <row r="198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</row>
    <row r="199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</row>
    <row r="200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</row>
    <row r="20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</row>
    <row r="202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</row>
    <row r="203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</row>
    <row r="204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</row>
    <row r="205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</row>
    <row r="206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</row>
    <row r="207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</row>
    <row r="208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</row>
    <row r="209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</row>
    <row r="210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</row>
    <row r="21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</row>
    <row r="212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</row>
    <row r="213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</row>
    <row r="214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</row>
    <row r="215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</row>
    <row r="216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</row>
    <row r="217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</row>
    <row r="218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</row>
    <row r="219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</row>
    <row r="220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</row>
    <row r="22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</row>
    <row r="222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</row>
    <row r="223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</row>
    <row r="224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</row>
    <row r="225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</row>
    <row r="226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</row>
    <row r="227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</row>
    <row r="228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</row>
    <row r="229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</row>
    <row r="230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</row>
    <row r="23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</row>
    <row r="232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</row>
    <row r="233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</row>
    <row r="234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</row>
    <row r="235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</row>
    <row r="236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</row>
    <row r="237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</row>
    <row r="238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</row>
    <row r="239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</row>
    <row r="240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</row>
    <row r="24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</row>
    <row r="242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</row>
    <row r="243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</row>
    <row r="244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</row>
    <row r="245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</row>
    <row r="246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</row>
    <row r="247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</row>
    <row r="248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</row>
    <row r="249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</row>
    <row r="250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</row>
    <row r="25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</row>
    <row r="252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</row>
    <row r="253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</row>
    <row r="254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</row>
    <row r="255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</row>
    <row r="256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</row>
    <row r="257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</row>
    <row r="258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</row>
    <row r="259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</row>
    <row r="260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</row>
    <row r="26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</row>
    <row r="262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</row>
    <row r="263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</row>
    <row r="264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</row>
    <row r="265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</row>
    <row r="266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</row>
    <row r="267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</row>
    <row r="268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</row>
    <row r="269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</row>
    <row r="270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</row>
    <row r="27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</row>
    <row r="272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</row>
    <row r="273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</row>
    <row r="274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</row>
    <row r="275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</row>
    <row r="276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</row>
    <row r="277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</row>
    <row r="278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</row>
    <row r="279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</row>
    <row r="280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</row>
    <row r="28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</row>
    <row r="282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</row>
    <row r="283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</row>
    <row r="284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</row>
    <row r="285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</row>
    <row r="286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</row>
    <row r="287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</row>
    <row r="288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</row>
    <row r="289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</row>
    <row r="290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</row>
    <row r="29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</row>
    <row r="292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</row>
    <row r="293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</row>
    <row r="294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</row>
    <row r="295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</row>
    <row r="296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</row>
    <row r="297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</row>
    <row r="298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</row>
    <row r="299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</row>
    <row r="300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</row>
    <row r="30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</row>
    <row r="302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</row>
    <row r="303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</row>
    <row r="304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</row>
    <row r="305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</row>
    <row r="306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</row>
    <row r="307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</row>
    <row r="308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</row>
    <row r="309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</row>
    <row r="310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</row>
    <row r="31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</row>
    <row r="312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</row>
    <row r="313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</row>
    <row r="314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</row>
    <row r="315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</row>
    <row r="316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</row>
    <row r="317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</row>
    <row r="318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</row>
    <row r="319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</row>
    <row r="320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</row>
    <row r="32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</row>
    <row r="322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</row>
    <row r="323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</row>
    <row r="324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</row>
    <row r="325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</row>
    <row r="326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</row>
    <row r="327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</row>
    <row r="328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</row>
    <row r="329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</row>
    <row r="330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</row>
    <row r="33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</row>
    <row r="332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</row>
    <row r="333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</row>
    <row r="334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</row>
    <row r="335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</row>
    <row r="336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</row>
    <row r="337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</row>
    <row r="338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</row>
    <row r="339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</row>
    <row r="340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</row>
    <row r="34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</row>
    <row r="342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</row>
    <row r="343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</row>
    <row r="344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</row>
    <row r="345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</row>
    <row r="346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</row>
    <row r="347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</row>
    <row r="348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</row>
    <row r="349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</row>
    <row r="350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</row>
    <row r="35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</row>
    <row r="352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</row>
    <row r="353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</row>
    <row r="354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</row>
    <row r="355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</row>
    <row r="356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</row>
    <row r="357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</row>
    <row r="358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</row>
    <row r="359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</row>
    <row r="360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</row>
    <row r="36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</row>
    <row r="362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</row>
    <row r="363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</row>
    <row r="364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</row>
    <row r="365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</row>
    <row r="366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</row>
    <row r="367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</row>
    <row r="368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</row>
    <row r="369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</row>
    <row r="370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</row>
    <row r="37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</row>
    <row r="372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</row>
    <row r="373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</row>
    <row r="374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</row>
    <row r="375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</row>
    <row r="376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</row>
    <row r="377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</row>
    <row r="378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</row>
    <row r="379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</row>
    <row r="380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</row>
    <row r="38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</row>
    <row r="382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</row>
    <row r="383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</row>
    <row r="384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</row>
    <row r="385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</row>
    <row r="386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</row>
    <row r="387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</row>
    <row r="388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</row>
    <row r="389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</row>
    <row r="390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</row>
    <row r="39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</row>
    <row r="392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</row>
    <row r="393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</row>
    <row r="394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</row>
    <row r="395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</row>
    <row r="396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</row>
    <row r="397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</row>
    <row r="398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</row>
    <row r="399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</row>
    <row r="400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</row>
    <row r="40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</row>
    <row r="402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</row>
    <row r="403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</row>
    <row r="404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</row>
    <row r="405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</row>
    <row r="406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</row>
    <row r="407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</row>
    <row r="408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</row>
    <row r="409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</row>
    <row r="410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</row>
    <row r="41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</row>
    <row r="412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</row>
    <row r="413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</row>
    <row r="414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</row>
    <row r="415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</row>
    <row r="416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</row>
    <row r="417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</row>
    <row r="418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</row>
    <row r="419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</row>
    <row r="420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</row>
    <row r="42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</row>
    <row r="422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</row>
    <row r="423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</row>
    <row r="424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</row>
    <row r="425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</row>
    <row r="426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</row>
    <row r="427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</row>
    <row r="428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</row>
    <row r="429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</row>
    <row r="430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</row>
    <row r="43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</row>
    <row r="432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</row>
    <row r="433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</row>
    <row r="434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</row>
    <row r="435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</row>
    <row r="436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</row>
    <row r="437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</row>
    <row r="438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</row>
    <row r="439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</row>
    <row r="440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</row>
    <row r="44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</row>
    <row r="442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</row>
    <row r="443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</row>
    <row r="444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</row>
    <row r="445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</row>
    <row r="446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</row>
    <row r="447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</row>
    <row r="448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</row>
    <row r="449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</row>
    <row r="450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</row>
    <row r="45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</row>
    <row r="452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</row>
    <row r="453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</row>
    <row r="454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</row>
    <row r="455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</row>
    <row r="456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</row>
    <row r="457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</row>
    <row r="458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</row>
    <row r="459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</row>
    <row r="460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</row>
    <row r="46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</row>
    <row r="462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</row>
    <row r="463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</row>
    <row r="464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</row>
    <row r="465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</row>
    <row r="466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</row>
    <row r="467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</row>
    <row r="468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</row>
    <row r="469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</row>
    <row r="470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</row>
    <row r="47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</row>
    <row r="472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</row>
    <row r="473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</row>
    <row r="474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</row>
    <row r="475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</row>
    <row r="476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</row>
    <row r="477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</row>
    <row r="478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</row>
    <row r="479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</row>
    <row r="480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</row>
    <row r="48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</row>
    <row r="482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</row>
    <row r="483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</row>
    <row r="484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</row>
    <row r="485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</row>
    <row r="486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</row>
    <row r="487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</row>
    <row r="488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</row>
    <row r="489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</row>
    <row r="490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</row>
    <row r="49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</row>
    <row r="492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</row>
    <row r="493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</row>
    <row r="494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</row>
    <row r="495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</row>
    <row r="496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</row>
    <row r="497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</row>
    <row r="498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</row>
    <row r="499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</row>
    <row r="500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</row>
    <row r="50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</row>
    <row r="502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</row>
    <row r="503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</row>
    <row r="504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</row>
    <row r="505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</row>
    <row r="506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</row>
    <row r="507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</row>
    <row r="508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</row>
    <row r="509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</row>
    <row r="510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</row>
    <row r="51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</row>
    <row r="512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</row>
    <row r="513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</row>
    <row r="514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</row>
    <row r="515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</row>
    <row r="516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</row>
    <row r="517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</row>
    <row r="518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</row>
    <row r="519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</row>
    <row r="520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</row>
    <row r="52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</row>
    <row r="522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</row>
    <row r="523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</row>
    <row r="524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</row>
    <row r="525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</row>
    <row r="526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</row>
    <row r="527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</row>
    <row r="528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</row>
    <row r="529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</row>
    <row r="530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</row>
    <row r="53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</row>
    <row r="532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</row>
    <row r="533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</row>
    <row r="534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</row>
    <row r="535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</row>
    <row r="536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</row>
    <row r="537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</row>
    <row r="538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</row>
    <row r="539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</row>
    <row r="540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</row>
    <row r="54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</row>
    <row r="542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</row>
    <row r="543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</row>
    <row r="544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</row>
    <row r="545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</row>
    <row r="546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</row>
    <row r="547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</row>
    <row r="548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</row>
    <row r="549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</row>
    <row r="550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</row>
    <row r="55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</row>
    <row r="552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</row>
    <row r="553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</row>
    <row r="554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</row>
    <row r="555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</row>
    <row r="556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</row>
    <row r="557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</row>
    <row r="558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</row>
    <row r="559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</row>
    <row r="560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</row>
    <row r="56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</row>
    <row r="562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</row>
    <row r="563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</row>
    <row r="564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</row>
    <row r="565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</row>
    <row r="566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</row>
    <row r="567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</row>
    <row r="568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</row>
    <row r="569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</row>
    <row r="570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</row>
    <row r="57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</row>
    <row r="572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</row>
    <row r="573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</row>
    <row r="574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</row>
    <row r="575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</row>
    <row r="576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</row>
    <row r="577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</row>
    <row r="578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</row>
    <row r="579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</row>
    <row r="580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</row>
    <row r="58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</row>
    <row r="582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</row>
    <row r="583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</row>
    <row r="584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</row>
    <row r="585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</row>
    <row r="586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</row>
    <row r="587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</row>
    <row r="588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</row>
    <row r="589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</row>
    <row r="590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</row>
    <row r="59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</row>
    <row r="592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</row>
    <row r="593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</row>
    <row r="594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</row>
    <row r="595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</row>
    <row r="596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</row>
    <row r="597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</row>
    <row r="598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</row>
    <row r="599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</row>
    <row r="600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</row>
    <row r="60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</row>
    <row r="602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</row>
    <row r="603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</row>
    <row r="604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</row>
    <row r="605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</row>
    <row r="606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</row>
    <row r="607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</row>
    <row r="608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</row>
    <row r="609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</row>
    <row r="610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</row>
    <row r="61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</row>
    <row r="612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</row>
    <row r="613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</row>
    <row r="614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</row>
    <row r="615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</row>
    <row r="616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</row>
    <row r="617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</row>
    <row r="618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</row>
    <row r="619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</row>
    <row r="620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</row>
    <row r="62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</row>
    <row r="622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</row>
    <row r="623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</row>
    <row r="624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</row>
    <row r="625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</row>
    <row r="626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</row>
    <row r="627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</row>
    <row r="628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</row>
    <row r="629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</row>
    <row r="630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</row>
    <row r="63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</row>
    <row r="632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</row>
    <row r="633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</row>
    <row r="634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</row>
    <row r="635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</row>
    <row r="636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</row>
    <row r="637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</row>
    <row r="638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</row>
    <row r="639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</row>
    <row r="640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</row>
    <row r="64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</row>
    <row r="642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</row>
    <row r="643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</row>
    <row r="644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</row>
    <row r="645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</row>
    <row r="646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</row>
    <row r="647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</row>
    <row r="648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</row>
    <row r="649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</row>
    <row r="650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</row>
    <row r="65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</row>
    <row r="652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</row>
    <row r="653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</row>
    <row r="654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</row>
    <row r="655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</row>
    <row r="656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</row>
    <row r="657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</row>
    <row r="658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</row>
    <row r="659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</row>
    <row r="660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</row>
    <row r="66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</row>
    <row r="662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</row>
    <row r="663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</row>
    <row r="664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</row>
    <row r="665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</row>
    <row r="666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</row>
    <row r="667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</row>
    <row r="668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</row>
    <row r="669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</row>
    <row r="670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</row>
    <row r="67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</row>
    <row r="672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</row>
    <row r="673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</row>
    <row r="674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</row>
    <row r="675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</row>
    <row r="676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</row>
    <row r="677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</row>
    <row r="678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</row>
    <row r="679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</row>
    <row r="680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</row>
    <row r="68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</row>
    <row r="682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</row>
    <row r="683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</row>
    <row r="684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</row>
    <row r="685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</row>
    <row r="686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</row>
    <row r="687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</row>
    <row r="688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</row>
    <row r="689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</row>
    <row r="690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</row>
    <row r="69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</row>
    <row r="692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</row>
    <row r="693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</row>
    <row r="694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</row>
    <row r="695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</row>
    <row r="696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</row>
    <row r="697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</row>
    <row r="698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</row>
    <row r="699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</row>
    <row r="700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</row>
    <row r="70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</row>
    <row r="702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</row>
    <row r="703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</row>
    <row r="704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</row>
    <row r="705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</row>
    <row r="706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</row>
    <row r="707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</row>
    <row r="708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</row>
    <row r="709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</row>
    <row r="710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</row>
    <row r="71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</row>
    <row r="712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</row>
    <row r="713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</row>
    <row r="714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</row>
    <row r="715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</row>
    <row r="716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</row>
    <row r="717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</row>
    <row r="718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</row>
    <row r="719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</row>
    <row r="720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</row>
    <row r="72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</row>
    <row r="722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</row>
    <row r="723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</row>
    <row r="724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</row>
    <row r="725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</row>
    <row r="726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</row>
    <row r="727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</row>
    <row r="728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</row>
    <row r="729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</row>
    <row r="730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</row>
    <row r="73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</row>
    <row r="732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</row>
    <row r="733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</row>
    <row r="734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</row>
    <row r="735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</row>
    <row r="736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</row>
    <row r="737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</row>
    <row r="738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</row>
    <row r="739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</row>
    <row r="740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</row>
    <row r="74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</row>
    <row r="742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</row>
    <row r="743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</row>
    <row r="744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</row>
    <row r="745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</row>
    <row r="746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</row>
    <row r="747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</row>
    <row r="748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</row>
    <row r="749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</row>
    <row r="750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</row>
    <row r="75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</row>
    <row r="752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</row>
    <row r="753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</row>
    <row r="754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</row>
    <row r="755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</row>
    <row r="756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</row>
    <row r="757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</row>
    <row r="758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</row>
    <row r="759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</row>
    <row r="760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</row>
    <row r="76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</row>
    <row r="762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</row>
    <row r="763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</row>
    <row r="764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</row>
    <row r="765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</row>
    <row r="766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</row>
    <row r="767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</row>
    <row r="768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</row>
    <row r="769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</row>
    <row r="770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</row>
    <row r="77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</row>
    <row r="772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</row>
    <row r="773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</row>
    <row r="774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</row>
    <row r="775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</row>
    <row r="776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</row>
    <row r="777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</row>
    <row r="778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</row>
    <row r="779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</row>
    <row r="780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</row>
    <row r="78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</row>
    <row r="782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</row>
    <row r="783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</row>
    <row r="784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</row>
    <row r="785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</row>
    <row r="786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</row>
    <row r="787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</row>
    <row r="788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</row>
    <row r="789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</row>
    <row r="790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</row>
    <row r="79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</row>
    <row r="792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</row>
    <row r="793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</row>
    <row r="794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</row>
    <row r="795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</row>
    <row r="796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</row>
    <row r="797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</row>
    <row r="798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</row>
    <row r="799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</row>
    <row r="800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</row>
    <row r="80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</row>
    <row r="802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</row>
    <row r="803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</row>
    <row r="804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</row>
    <row r="805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</row>
    <row r="806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</row>
    <row r="807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</row>
    <row r="808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</row>
    <row r="809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</row>
    <row r="810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</row>
    <row r="81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</row>
    <row r="812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</row>
    <row r="813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</row>
    <row r="814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</row>
    <row r="815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</row>
    <row r="816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</row>
    <row r="817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</row>
    <row r="818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</row>
    <row r="819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</row>
    <row r="820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</row>
    <row r="82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</row>
    <row r="822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</row>
    <row r="823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</row>
    <row r="824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</row>
    <row r="825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</row>
    <row r="826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</row>
    <row r="827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</row>
    <row r="828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</row>
    <row r="829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</row>
    <row r="830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</row>
    <row r="83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</row>
    <row r="832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</row>
    <row r="833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</row>
    <row r="834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</row>
    <row r="835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</row>
    <row r="836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</row>
    <row r="837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</row>
    <row r="838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</row>
    <row r="839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</row>
    <row r="840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</row>
    <row r="84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</row>
    <row r="842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</row>
    <row r="843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</row>
    <row r="844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</row>
    <row r="845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</row>
    <row r="846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</row>
    <row r="847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</row>
    <row r="848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</row>
    <row r="849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</row>
    <row r="850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</row>
    <row r="85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</row>
    <row r="852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</row>
    <row r="853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</row>
    <row r="854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</row>
    <row r="855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</row>
    <row r="856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</row>
    <row r="857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</row>
    <row r="858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</row>
    <row r="859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</row>
    <row r="860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</row>
    <row r="86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</row>
    <row r="862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</row>
    <row r="863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</row>
    <row r="864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</row>
    <row r="865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</row>
    <row r="866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</row>
    <row r="867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</row>
    <row r="868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</row>
    <row r="869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</row>
    <row r="870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</row>
    <row r="87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</row>
    <row r="872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</row>
    <row r="873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</row>
    <row r="874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</row>
    <row r="875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</row>
    <row r="876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</row>
    <row r="877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</row>
    <row r="878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</row>
    <row r="879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</row>
    <row r="880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</row>
    <row r="88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</row>
    <row r="882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</row>
    <row r="883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</row>
    <row r="884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</row>
    <row r="885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</row>
    <row r="886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</row>
    <row r="887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</row>
    <row r="888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</row>
    <row r="889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</row>
    <row r="890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</row>
    <row r="89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</row>
    <row r="892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</row>
    <row r="893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</row>
    <row r="894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</row>
    <row r="895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</row>
    <row r="896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</row>
    <row r="897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</row>
    <row r="898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</row>
    <row r="899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</row>
    <row r="900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</row>
    <row r="90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</row>
    <row r="902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</row>
    <row r="903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</row>
    <row r="904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</row>
    <row r="905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</row>
    <row r="906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</row>
    <row r="907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</row>
    <row r="908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</row>
    <row r="909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</row>
    <row r="910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</row>
    <row r="91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</row>
    <row r="912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</row>
    <row r="913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</row>
    <row r="914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</row>
    <row r="915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</row>
    <row r="916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</row>
    <row r="917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</row>
    <row r="918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</row>
    <row r="919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</row>
    <row r="920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</row>
    <row r="92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</row>
    <row r="922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</row>
    <row r="923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</row>
    <row r="924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</row>
    <row r="925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</row>
    <row r="926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</row>
    <row r="927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</row>
    <row r="928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</row>
    <row r="929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</row>
    <row r="930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</row>
    <row r="93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</row>
    <row r="932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</row>
    <row r="933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</row>
    <row r="934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</row>
    <row r="935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</row>
    <row r="936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</row>
    <row r="937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</row>
    <row r="938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</row>
    <row r="939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</row>
    <row r="940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</row>
    <row r="94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</row>
    <row r="942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</row>
    <row r="943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</row>
    <row r="944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</row>
    <row r="945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</row>
    <row r="946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</row>
    <row r="947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</row>
    <row r="948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</row>
    <row r="949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</row>
    <row r="950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</row>
    <row r="95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</row>
    <row r="952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</row>
    <row r="953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</row>
    <row r="954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</row>
    <row r="955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</row>
    <row r="956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</row>
    <row r="957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</row>
    <row r="958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</row>
    <row r="959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</row>
    <row r="960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</row>
    <row r="96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</row>
    <row r="962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</row>
    <row r="963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</row>
    <row r="964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</row>
    <row r="965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</row>
    <row r="966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</row>
    <row r="967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</row>
    <row r="968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</row>
    <row r="969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</row>
    <row r="970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</row>
    <row r="97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</row>
    <row r="972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</row>
    <row r="973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</row>
    <row r="974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</row>
    <row r="975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</row>
    <row r="976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</row>
    <row r="977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</row>
    <row r="978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</row>
    <row r="979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</row>
    <row r="980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</row>
    <row r="98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</row>
    <row r="982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</row>
    <row r="983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</row>
    <row r="984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</row>
    <row r="985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</row>
    <row r="986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</row>
    <row r="987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</row>
    <row r="988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</row>
    <row r="989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</row>
    <row r="990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</row>
    <row r="99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</row>
    <row r="992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</row>
    <row r="993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</row>
    <row r="994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</row>
    <row r="995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</row>
    <row r="996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</row>
    <row r="997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</row>
    <row r="998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</row>
    <row r="999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</row>
    <row r="1000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</row>
    <row r="1001">
      <c r="A1001" s="328"/>
      <c r="B1001" s="328"/>
      <c r="C1001" s="328"/>
      <c r="D1001" s="328"/>
      <c r="E1001" s="328"/>
      <c r="F1001" s="328"/>
      <c r="G1001" s="328"/>
      <c r="H1001" s="328"/>
      <c r="I1001" s="328"/>
      <c r="J1001" s="328"/>
      <c r="K1001" s="328"/>
      <c r="L1001" s="328"/>
      <c r="M1001" s="328"/>
      <c r="N1001" s="328"/>
      <c r="O1001" s="328"/>
      <c r="P1001" s="328"/>
      <c r="Q1001" s="328"/>
      <c r="R1001" s="328"/>
      <c r="S1001" s="328"/>
      <c r="T1001" s="328"/>
      <c r="U1001" s="328"/>
      <c r="V1001" s="328"/>
      <c r="W1001" s="328"/>
      <c r="X1001" s="328"/>
      <c r="Y1001" s="328"/>
    </row>
  </sheetData>
  <drawing r:id="rId1"/>
</worksheet>
</file>
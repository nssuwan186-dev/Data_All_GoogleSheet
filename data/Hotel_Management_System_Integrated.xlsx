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ASTER" sheetId="1" r:id="rId5"/>
    <sheet state="visible" name="CONFIG" sheetId="2" r:id="rId6"/>
    <sheet state="visible" name="DASHBOARD" sheetId="3" r:id="rId7"/>
    <sheet state="visible" name="ROOMS_VIEW" sheetId="4" r:id="rId8"/>
    <sheet state="visible" name="RESERVATIONS_VIEW" sheetId="5" r:id="rId9"/>
    <sheet state="visible" name="TRANSACTIONS_VIEW" sheetId="6" r:id="rId10"/>
  </sheets>
  <definedNames/>
  <calcPr/>
</workbook>
</file>

<file path=xl/sharedStrings.xml><?xml version="1.0" encoding="utf-8"?>
<sst xmlns="http://schemas.openxmlformats.org/spreadsheetml/2006/main" count="1350" uniqueCount="807">
  <si>
    <t>ฐานข้อมูลรวม (Master Data Table)</t>
  </si>
  <si>
    <t>แผ่นงานนี้เป็นศูนย์กลางข้อมูลทั้งหมด ห้ามแก้ไขโครงสร้าง เพิ่มข้อมูลได้ตามปกติ</t>
  </si>
  <si>
    <t>1. ข้อมูลสินค้าและบริการ (tbl_Products)</t>
  </si>
  <si>
    <t>product_id</t>
  </si>
  <si>
    <t>product_name</t>
  </si>
  <si>
    <t>product_type</t>
  </si>
  <si>
    <t>category</t>
  </si>
  <si>
    <t>base_unit</t>
  </si>
  <si>
    <t>purchase_unit</t>
  </si>
  <si>
    <t>purchase_ratio</t>
  </si>
  <si>
    <t>sale_unit</t>
  </si>
  <si>
    <t>sale_ratio</t>
  </si>
  <si>
    <t>cost_price</t>
  </si>
  <si>
    <t>sale_price</t>
  </si>
  <si>
    <t>reorder_point</t>
  </si>
  <si>
    <t>status</t>
  </si>
  <si>
    <t>ROOM-001</t>
  </si>
  <si>
    <t>ห้องพักมาตรฐาน 1 เตียง</t>
  </si>
  <si>
    <t>Service</t>
  </si>
  <si>
    <t>ห้องพัก</t>
  </si>
  <si>
    <t>คืน</t>
  </si>
  <si>
    <t>Active</t>
  </si>
  <si>
    <t>ROOM-002</t>
  </si>
  <si>
    <t>ห้องพักมาตรฐาน 2 เตียง</t>
  </si>
  <si>
    <t>ROOM-003</t>
  </si>
  <si>
    <t>ห้องพักดีลักซ์</t>
  </si>
  <si>
    <t>SVC-001</t>
  </si>
  <si>
    <t>บริการซักรีด</t>
  </si>
  <si>
    <t>บริการเสริม</t>
  </si>
  <si>
    <t>ชิ้น</t>
  </si>
  <si>
    <t>SVC-002</t>
  </si>
  <si>
    <t>บริการอาหารเช้า</t>
  </si>
  <si>
    <t>มื้อ</t>
  </si>
  <si>
    <t>PROD-001</t>
  </si>
  <si>
    <t>น้ำดื่ม</t>
  </si>
  <si>
    <t>Storable</t>
  </si>
  <si>
    <t>สินค้าขาย</t>
  </si>
  <si>
    <t>ขวด</t>
  </si>
  <si>
    <t>ลัง</t>
  </si>
  <si>
    <t>PROD-002</t>
  </si>
  <si>
    <t>ผ้าเช็ดตัว</t>
  </si>
  <si>
    <t>อุปกรณ์</t>
  </si>
  <si>
    <t>แพ็ค</t>
  </si>
  <si>
    <t>CONS-001</t>
  </si>
  <si>
    <t>น้ำยาทำความสะอาด</t>
  </si>
  <si>
    <t>Consumable</t>
  </si>
  <si>
    <t>วัสดุสิ้นเปลือง</t>
  </si>
  <si>
    <t>ลิตร</t>
  </si>
  <si>
    <t>แกลลอน</t>
  </si>
  <si>
    <t>2. ข้อมูลคู่ค้า (tbl_Partners)</t>
  </si>
  <si>
    <t>partner_id</t>
  </si>
  <si>
    <t>partner_name</t>
  </si>
  <si>
    <t>partner_type</t>
  </si>
  <si>
    <t>business_type</t>
  </si>
  <si>
    <t>tax_id</t>
  </si>
  <si>
    <t>branch_code</t>
  </si>
  <si>
    <t>branch_status</t>
  </si>
  <si>
    <t>address</t>
  </si>
  <si>
    <t>district</t>
  </si>
  <si>
    <t>city</t>
  </si>
  <si>
    <t>province</t>
  </si>
  <si>
    <t>postal_code</t>
  </si>
  <si>
    <t>phone</t>
  </si>
  <si>
    <t>email</t>
  </si>
  <si>
    <t>credit_limit</t>
  </si>
  <si>
    <t>credit_days</t>
  </si>
  <si>
    <t>CUST-001</t>
  </si>
  <si>
    <t>บริษัท เอแอนด์บี จำกัด</t>
  </si>
  <si>
    <t>นิติบุคคล</t>
  </si>
  <si>
    <t>ลูกค้า</t>
  </si>
  <si>
    <t>0105558001234</t>
  </si>
  <si>
    <t>00000</t>
  </si>
  <si>
    <t>สำนักงานใหญ่</t>
  </si>
  <si>
    <t>123 ถนนสุขุมวิท</t>
  </si>
  <si>
    <t>คลองตัน</t>
  </si>
  <si>
    <t>วัฒนา</t>
  </si>
  <si>
    <t>กรุงเทพมหานคร</t>
  </si>
  <si>
    <t>10110</t>
  </si>
  <si>
    <t>0212345678</t>
  </si>
  <si>
    <t>contact@aandb.co.th</t>
  </si>
  <si>
    <t>CUST-002</t>
  </si>
  <si>
    <t>นายสมชาย ใจดี</t>
  </si>
  <si>
    <t>บุคคลธรรมดา</t>
  </si>
  <si>
    <t>3101234567890</t>
  </si>
  <si>
    <t>456 ถนนพระราม 4</t>
  </si>
  <si>
    <t>คลองเตย</t>
  </si>
  <si>
    <t>0898765432</t>
  </si>
  <si>
    <t>somchai@email.com</t>
  </si>
  <si>
    <t>VEND-001</t>
  </si>
  <si>
    <t>บริษัท ซัพพลาย จำกัด</t>
  </si>
  <si>
    <t>ผู้ขาย</t>
  </si>
  <si>
    <t>0105559001234</t>
  </si>
  <si>
    <t>789 ถนนเพชรบุรี</t>
  </si>
  <si>
    <t>ราชเทวี</t>
  </si>
  <si>
    <t>10400</t>
  </si>
  <si>
    <t>0223456789</t>
  </si>
  <si>
    <t>sales@supply.co.th</t>
  </si>
  <si>
    <t>VEND-002</t>
  </si>
  <si>
    <t>ห้างหุ้นส่วนจำกัด เซอร์วิส โปร</t>
  </si>
  <si>
    <t>0205558002345</t>
  </si>
  <si>
    <t>321 ถนนลาดพร้าว</t>
  </si>
  <si>
    <t>จอมพล</t>
  </si>
  <si>
    <t>จตุจักร</t>
  </si>
  <si>
    <t>10900</t>
  </si>
  <si>
    <t>0234567890</t>
  </si>
  <si>
    <t>info@servicepro.co.th</t>
  </si>
  <si>
    <t>CUST-003</t>
  </si>
  <si>
    <t>บริษัท ทราเวล เอเจนซี่ จำกัด</t>
  </si>
  <si>
    <t>0105557003456</t>
  </si>
  <si>
    <t>00001</t>
  </si>
  <si>
    <t>สาขา</t>
  </si>
  <si>
    <t>555 ถนนสีลม</t>
  </si>
  <si>
    <t>สีลม</t>
  </si>
  <si>
    <t>บางรัก</t>
  </si>
  <si>
    <t>10500</t>
  </si>
  <si>
    <t>0245678901</t>
  </si>
  <si>
    <t>booking@travelagency.co.th</t>
  </si>
  <si>
    <t>3. การตั้งค่าภาษี (tbl_TaxConfig)</t>
  </si>
  <si>
    <t>tax_code</t>
  </si>
  <si>
    <t>tax_name</t>
  </si>
  <si>
    <t>tax_type</t>
  </si>
  <si>
    <t>tax_rate</t>
  </si>
  <si>
    <t>description</t>
  </si>
  <si>
    <t>is_active</t>
  </si>
  <si>
    <t>VAT-7</t>
  </si>
  <si>
    <t>ภาษีมูลค่าเพิ่ม 7%</t>
  </si>
  <si>
    <t>VAT</t>
  </si>
  <si>
    <t>ภาษีมูลค่าเพิ่มตามกฎหมายไทย</t>
  </si>
  <si>
    <t>Yes</t>
  </si>
  <si>
    <t>VAT-0</t>
  </si>
  <si>
    <t>ยกเว้นภาษีมูลค่าเพิ่ม</t>
  </si>
  <si>
    <t>สำหรับสินค้า/บริการที่ยกเว้นภาษี</t>
  </si>
  <si>
    <t>WHT-3</t>
  </si>
  <si>
    <t>ภาษีหัก ณ ที่จ่าย 3%</t>
  </si>
  <si>
    <t>WHT</t>
  </si>
  <si>
    <t>สำหรับค่าบริการ (มาตรา 3 เตรส)</t>
  </si>
  <si>
    <t>WHT-5</t>
  </si>
  <si>
    <t>ภาษีหัก ณ ที่จ่าย 5%</t>
  </si>
  <si>
    <t>สำหรับค่าเช่า (มาตรา 40(8))</t>
  </si>
  <si>
    <t>WHT-10</t>
  </si>
  <si>
    <t>ภาษีหัก ณ ที่จ่าย 10%</t>
  </si>
  <si>
    <t>สำหรับค่าวิชาชีพอิสระ</t>
  </si>
  <si>
    <t>4. ข้อมูลห้องพัก (tbl_Rooms)</t>
  </si>
  <si>
    <t>room_id</t>
  </si>
  <si>
    <t>room_number</t>
  </si>
  <si>
    <t>room_type</t>
  </si>
  <si>
    <t>floor</t>
  </si>
  <si>
    <t>building</t>
  </si>
  <si>
    <t>price_per_night</t>
  </si>
  <si>
    <t>max_guests</t>
  </si>
  <si>
    <t>amenities</t>
  </si>
  <si>
    <t>R-A101</t>
  </si>
  <si>
    <t>A101</t>
  </si>
  <si>
    <t>A</t>
  </si>
  <si>
    <t>Available</t>
  </si>
  <si>
    <t>WiFi, TV, แอร์, ตู้เย็น</t>
  </si>
  <si>
    <t>R-A102</t>
  </si>
  <si>
    <t>A102</t>
  </si>
  <si>
    <t>R-A103</t>
  </si>
  <si>
    <t>A103</t>
  </si>
  <si>
    <t>R-A104</t>
  </si>
  <si>
    <t>A104</t>
  </si>
  <si>
    <t>R-A105</t>
  </si>
  <si>
    <t>A105</t>
  </si>
  <si>
    <t>R-A106</t>
  </si>
  <si>
    <t>A106</t>
  </si>
  <si>
    <t>R-A107</t>
  </si>
  <si>
    <t>A107</t>
  </si>
  <si>
    <t>R-A201</t>
  </si>
  <si>
    <t>A201</t>
  </si>
  <si>
    <t>R-A202</t>
  </si>
  <si>
    <t>A202</t>
  </si>
  <si>
    <t>R-A203</t>
  </si>
  <si>
    <t>A203</t>
  </si>
  <si>
    <t>R-A204</t>
  </si>
  <si>
    <t>A204</t>
  </si>
  <si>
    <t>R-A205</t>
  </si>
  <si>
    <t>A205</t>
  </si>
  <si>
    <t>R-A206</t>
  </si>
  <si>
    <t>A206</t>
  </si>
  <si>
    <t>R-A207</t>
  </si>
  <si>
    <t>A207</t>
  </si>
  <si>
    <t>R-B101</t>
  </si>
  <si>
    <t>B101</t>
  </si>
  <si>
    <t>B</t>
  </si>
  <si>
    <t>WiFi, TV, แอร์, ตู้เย็น, ระเบียง</t>
  </si>
  <si>
    <t>R-B102</t>
  </si>
  <si>
    <t>B102</t>
  </si>
  <si>
    <t>R-B103</t>
  </si>
  <si>
    <t>B103</t>
  </si>
  <si>
    <t>R-B104</t>
  </si>
  <si>
    <t>B104</t>
  </si>
  <si>
    <t>R-B105</t>
  </si>
  <si>
    <t>B105</t>
  </si>
  <si>
    <t>R-B106</t>
  </si>
  <si>
    <t>B106</t>
  </si>
  <si>
    <t>R-B107</t>
  </si>
  <si>
    <t>B107</t>
  </si>
  <si>
    <t>R-B108</t>
  </si>
  <si>
    <t>B108</t>
  </si>
  <si>
    <t>5. ข้อมูลการจอง (tbl_Reservations)</t>
  </si>
  <si>
    <t>reservation_id</t>
  </si>
  <si>
    <t>check_in_date</t>
  </si>
  <si>
    <t>check_out_date</t>
  </si>
  <si>
    <t>nights</t>
  </si>
  <si>
    <t>guests</t>
  </si>
  <si>
    <t>total_amount</t>
  </si>
  <si>
    <t>payment_status</t>
  </si>
  <si>
    <t>booking_date</t>
  </si>
  <si>
    <t>RSV-001</t>
  </si>
  <si>
    <t>2026-01-10</t>
  </si>
  <si>
    <t>2026-01-12</t>
  </si>
  <si>
    <t>Paid</t>
  </si>
  <si>
    <t>2026-01-05</t>
  </si>
  <si>
    <t>Confirmed</t>
  </si>
  <si>
    <t>RSV-002</t>
  </si>
  <si>
    <t>2026-01-11</t>
  </si>
  <si>
    <t>2026-01-14</t>
  </si>
  <si>
    <t>Pending</t>
  </si>
  <si>
    <t>2026-01-06</t>
  </si>
  <si>
    <t>RSV-003</t>
  </si>
  <si>
    <t>2026-01-15</t>
  </si>
  <si>
    <t>2026-01-17</t>
  </si>
  <si>
    <t>2026-01-07</t>
  </si>
  <si>
    <t>RSV-004</t>
  </si>
  <si>
    <t>2026-01-20</t>
  </si>
  <si>
    <t>2026-01-22</t>
  </si>
  <si>
    <t>2026-01-08</t>
  </si>
  <si>
    <t>RSV-005</t>
  </si>
  <si>
    <t>2026-01-25</t>
  </si>
  <si>
    <t>2026-01-28</t>
  </si>
  <si>
    <t>2026-01-09</t>
  </si>
  <si>
    <t>6. ข้อมูลบัญชี (tbl_Transactions)</t>
  </si>
  <si>
    <t>transaction_id</t>
  </si>
  <si>
    <t>date</t>
  </si>
  <si>
    <t>type</t>
  </si>
  <si>
    <t>amount</t>
  </si>
  <si>
    <t>payment_method</t>
  </si>
  <si>
    <t>reference</t>
  </si>
  <si>
    <t>TXN-0001</t>
  </si>
  <si>
    <t>รายจ่าย</t>
  </si>
  <si>
    <t>อื่นๆ</t>
  </si>
  <si>
    <t>เงินสด</t>
  </si>
  <si>
    <t>TXN-0002</t>
  </si>
  <si>
    <t>1-12-68</t>
  </si>
  <si>
    <t>TXN-0003</t>
  </si>
  <si>
    <t>TXN-0004</t>
  </si>
  <si>
    <t>TXN-0005</t>
  </si>
  <si>
    <t>TXN-0006</t>
  </si>
  <si>
    <t>TXN-0007</t>
  </si>
  <si>
    <t>TXN-0008</t>
  </si>
  <si>
    <t>TXN-0009</t>
  </si>
  <si>
    <t>TXN-0010</t>
  </si>
  <si>
    <t>TXN-0011</t>
  </si>
  <si>
    <t>TXN-0012</t>
  </si>
  <si>
    <t>2-12-68</t>
  </si>
  <si>
    <t>TXN-0013</t>
  </si>
  <si>
    <t>TXN-0014</t>
  </si>
  <si>
    <t>TXN-0015</t>
  </si>
  <si>
    <t>TXN-0016</t>
  </si>
  <si>
    <t>TXN-0017</t>
  </si>
  <si>
    <t>TXN-0018</t>
  </si>
  <si>
    <t>TXN-0019</t>
  </si>
  <si>
    <t>TXN-0020</t>
  </si>
  <si>
    <t>7. ข้อมูลลูกค้า (tbl_Customers_Full)</t>
  </si>
  <si>
    <t>customer_id</t>
  </si>
  <si>
    <t>name</t>
  </si>
  <si>
    <t>customer_type</t>
  </si>
  <si>
    <t>loyalty_points</t>
  </si>
  <si>
    <t>CUST-0014</t>
  </si>
  <si>
    <t>อนันต์</t>
  </si>
  <si>
    <t>สมาชิกทั่วไป</t>
  </si>
  <si>
    <t>CUST-0015</t>
  </si>
  <si>
    <t>ปศุสัตว์</t>
  </si>
  <si>
    <t>CUST-0016</t>
  </si>
  <si>
    <t>ชัยสิทธิ์</t>
  </si>
  <si>
    <t>CUST-0017</t>
  </si>
  <si>
    <t>น้องชัย</t>
  </si>
  <si>
    <t>080-6341466</t>
  </si>
  <si>
    <t>CUST-0018</t>
  </si>
  <si>
    <t>หักมัดจำ</t>
  </si>
  <si>
    <t>CUST-0019</t>
  </si>
  <si>
    <t>Ascend</t>
  </si>
  <si>
    <t>CUST-0020</t>
  </si>
  <si>
    <t>ค่าเช่าบ้านแฝด 2</t>
  </si>
  <si>
    <t>CUST-0021</t>
  </si>
  <si>
    <t>คนขับ</t>
  </si>
  <si>
    <t>063-724-4309</t>
  </si>
  <si>
    <t>CUST-0022</t>
  </si>
  <si>
    <t>ฝากเพชร</t>
  </si>
  <si>
    <t>CUST-0023</t>
  </si>
  <si>
    <t>รจนา</t>
  </si>
  <si>
    <t>CUST-0025</t>
  </si>
  <si>
    <t>รับเข้าออฟฟิศ</t>
  </si>
  <si>
    <t>CUST-0026</t>
  </si>
  <si>
    <t>หักจ่ายค่าจ้าง (เพิ่มเติม)</t>
  </si>
  <si>
    <t>CUST-0027</t>
  </si>
  <si>
    <t>ทวีศักดิ์</t>
  </si>
  <si>
    <t>CUST-0028</t>
  </si>
  <si>
    <t>เต่า</t>
  </si>
  <si>
    <t>081-0829343</t>
  </si>
  <si>
    <t>CUST-0029</t>
  </si>
  <si>
    <t>ชัยภักดิ์</t>
  </si>
  <si>
    <t>089-3997374</t>
  </si>
  <si>
    <t>CUST-0030</t>
  </si>
  <si>
    <t>หักมัดจำ (ชัยภักดิ์)</t>
  </si>
  <si>
    <t>CUST-0031</t>
  </si>
  <si>
    <t>ปิยะณัฐ</t>
  </si>
  <si>
    <t>088-9619595</t>
  </si>
  <si>
    <t>CUST-0032</t>
  </si>
  <si>
    <t>หักมัดจำ (ปิยะณัฐ)</t>
  </si>
  <si>
    <t>CUST-0033</t>
  </si>
  <si>
    <t>ลินดา วิลล์</t>
  </si>
  <si>
    <t>CUST-0034</t>
  </si>
  <si>
    <t>ฉัตรชัย</t>
  </si>
  <si>
    <t>CUST-0035</t>
  </si>
  <si>
    <t>มนุษย์</t>
  </si>
  <si>
    <t>CUST-0040</t>
  </si>
  <si>
    <t>ประจวบ</t>
  </si>
  <si>
    <t>064-9915144</t>
  </si>
  <si>
    <t>CUST-0041</t>
  </si>
  <si>
    <t>หักค่ามัดจำ (ประจวบ)</t>
  </si>
  <si>
    <t>CUST-0042</t>
  </si>
  <si>
    <t>รุ่งนภา สาระสิทธิ์</t>
  </si>
  <si>
    <t>080-6637525</t>
  </si>
  <si>
    <t>CUST-0043</t>
  </si>
  <si>
    <t>หักค่ามัดจำ (รุ่งนภา)</t>
  </si>
  <si>
    <t>CUST-0044</t>
  </si>
  <si>
    <t>ปรัสสร จันทราช</t>
  </si>
  <si>
    <t>084-5802700</t>
  </si>
  <si>
    <t>CUST-0045</t>
  </si>
  <si>
    <t>หักค่ามัดจำ (ปรัสสร)</t>
  </si>
  <si>
    <t>CUST-0046</t>
  </si>
  <si>
    <t>ศิรินทิพย์</t>
  </si>
  <si>
    <t>CUST-0048</t>
  </si>
  <si>
    <t>หักค่ามัดจำ</t>
  </si>
  <si>
    <t>CUST-0049</t>
  </si>
  <si>
    <t>เบิกทำบุญกฐิน</t>
  </si>
  <si>
    <t>CUST-0050</t>
  </si>
  <si>
    <t>(หักจ่ายค่าของ เพิ่มเติม)</t>
  </si>
  <si>
    <t>CUST-0053</t>
  </si>
  <si>
    <t>เบิกซื้อของแม็คโคร</t>
  </si>
  <si>
    <t>CUST-0056</t>
  </si>
  <si>
    <t>จรัล</t>
  </si>
  <si>
    <t>CUST-0057</t>
  </si>
  <si>
    <t>เคท สุขภัณฑ์ (หญิง)</t>
  </si>
  <si>
    <t>CUST-0058</t>
  </si>
  <si>
    <t>สุเทพ</t>
  </si>
  <si>
    <t>CUST-0061</t>
  </si>
  <si>
    <t>ธาราธร</t>
  </si>
  <si>
    <t>CUST-0063</t>
  </si>
  <si>
    <t>เทพธิดา</t>
  </si>
  <si>
    <t>CUST-0064</t>
  </si>
  <si>
    <t>จิตรชัย</t>
  </si>
  <si>
    <t>CUST-0065</t>
  </si>
  <si>
    <t>เบิกซื้อของ DIY</t>
  </si>
  <si>
    <t>CUST-0066</t>
  </si>
  <si>
    <t>เบิกจ่ายค่า... (อ่านไม่ออก)</t>
  </si>
  <si>
    <t>CUST-0067</t>
  </si>
  <si>
    <t>สิเทค</t>
  </si>
  <si>
    <t>CUST-0068</t>
  </si>
  <si>
    <t>รถน้ำส้ม</t>
  </si>
  <si>
    <t>CUST-0072</t>
  </si>
  <si>
    <t>อาทิตย์</t>
  </si>
  <si>
    <t>CUST-0073</t>
  </si>
  <si>
    <t>สุวิทย์</t>
  </si>
  <si>
    <t>CUST-0074</t>
  </si>
  <si>
    <t>วิ</t>
  </si>
  <si>
    <t>CUST-0075</t>
  </si>
  <si>
    <t>เบิกจ่ายค่าขยะ</t>
  </si>
  <si>
    <t>CUST-0076</t>
  </si>
  <si>
    <t>เบิกจ่ายค่าเน็ต</t>
  </si>
  <si>
    <t>CUST-0078</t>
  </si>
  <si>
    <t>แป๊ปซี่</t>
  </si>
  <si>
    <t>CUST-0081</t>
  </si>
  <si>
    <t>บรรพต</t>
  </si>
  <si>
    <t>080-1645860</t>
  </si>
  <si>
    <t>CUST-0082</t>
  </si>
  <si>
    <t>หักมัดจำ (N2 B107)</t>
  </si>
  <si>
    <t>CUST-0083</t>
  </si>
  <si>
    <t>ลูกค้าช้อนแลกเงินสด</t>
  </si>
  <si>
    <t>CUST-0084</t>
  </si>
  <si>
    <t>ประวัติ</t>
  </si>
  <si>
    <t>084-7917141</t>
  </si>
  <si>
    <t>CUST-0086</t>
  </si>
  <si>
    <t>เบิกซื้ออุปกรณ์ซ่อมปั๊มน้ำ A</t>
  </si>
  <si>
    <t>CUST-0087</t>
  </si>
  <si>
    <t>คิดค่าพัก เกินกำหนด เวลา 2 ชม</t>
  </si>
  <si>
    <t>CUST-0088</t>
  </si>
  <si>
    <t>จีรพร</t>
  </si>
  <si>
    <t>CUST-0089</t>
  </si>
  <si>
    <t>กุศล</t>
  </si>
  <si>
    <t>CUST-0090</t>
  </si>
  <si>
    <t>ศิรวัช</t>
  </si>
  <si>
    <t>CUST-0091</t>
  </si>
  <si>
    <t>ศิริกาญจน์</t>
  </si>
  <si>
    <t>098-8398854</t>
  </si>
  <si>
    <t>CUST-0092</t>
  </si>
  <si>
    <t>ชาตรี</t>
  </si>
  <si>
    <t>CUST-0094</t>
  </si>
  <si>
    <t>สิริทิพย์ ทวี</t>
  </si>
  <si>
    <t>098-9611336</t>
  </si>
  <si>
    <t>CUST-0095</t>
  </si>
  <si>
    <t>MD.WIAS</t>
  </si>
  <si>
    <t>082-3632220</t>
  </si>
  <si>
    <t>CUST-0097</t>
  </si>
  <si>
    <t>เอกทัศน์ ลีละ</t>
  </si>
  <si>
    <t>061-2559816</t>
  </si>
  <si>
    <t>CUST-0098</t>
  </si>
  <si>
    <t>ปฏิวัติ</t>
  </si>
  <si>
    <t>CUST-0100</t>
  </si>
  <si>
    <t>คมสัน</t>
  </si>
  <si>
    <t>089-0585052</t>
  </si>
  <si>
    <t>CUST-0102</t>
  </si>
  <si>
    <t>วันวิสา โทน</t>
  </si>
  <si>
    <t>CUST-0103</t>
  </si>
  <si>
    <t>ธีระชัย</t>
  </si>
  <si>
    <t>CUST-0104</t>
  </si>
  <si>
    <t>ฝากพี่จิ้ม</t>
  </si>
  <si>
    <t>CUST-0105</t>
  </si>
  <si>
    <t>กมลลักษ์</t>
  </si>
  <si>
    <t>098-6938998</t>
  </si>
  <si>
    <t>CUST-0107</t>
  </si>
  <si>
    <t>นิชพร</t>
  </si>
  <si>
    <t>CUST-0109</t>
  </si>
  <si>
    <t>พงษ์ศิริ</t>
  </si>
  <si>
    <t>CUST-0111</t>
  </si>
  <si>
    <t>วิจิตร</t>
  </si>
  <si>
    <t>CUST-0113</t>
  </si>
  <si>
    <t>ปภัสสร</t>
  </si>
  <si>
    <t>CUST-0116</t>
  </si>
  <si>
    <t>จิรชยา</t>
  </si>
  <si>
    <t>CUST-0120</t>
  </si>
  <si>
    <t>บุญเกิด</t>
  </si>
  <si>
    <t>090-352-5606</t>
  </si>
  <si>
    <t>CUST-0121</t>
  </si>
  <si>
    <t>สหชัย</t>
  </si>
  <si>
    <t>CUST-0122</t>
  </si>
  <si>
    <t>บริษัท นานมีบุ๊ค</t>
  </si>
  <si>
    <t>833063036</t>
  </si>
  <si>
    <t>CUST-0123</t>
  </si>
  <si>
    <t>บริษัท นานมีบุ๊ค (ต่อ)</t>
  </si>
  <si>
    <t>CUST-0125</t>
  </si>
  <si>
    <t>ชาญชัย กาญจน</t>
  </si>
  <si>
    <t>CUST-0127</t>
  </si>
  <si>
    <t>ฐิติพร</t>
  </si>
  <si>
    <t>CUST-0131</t>
  </si>
  <si>
    <t>ซื้อของแม็คโคร</t>
  </si>
  <si>
    <t>CUST-0132</t>
  </si>
  <si>
    <t>ซื้อฝาครอบท่อ</t>
  </si>
  <si>
    <t>CUST-0133</t>
  </si>
  <si>
    <t>โอนให้คุณวิ</t>
  </si>
  <si>
    <t>CUST-0135</t>
  </si>
  <si>
    <t>CM01850</t>
  </si>
  <si>
    <t>081-811-3916</t>
  </si>
  <si>
    <t>CUST-0137</t>
  </si>
  <si>
    <t>สวภพ</t>
  </si>
  <si>
    <t>062-6955842</t>
  </si>
  <si>
    <t>CUST-0140</t>
  </si>
  <si>
    <t>ฐิติมา</t>
  </si>
  <si>
    <t>063-7479221</t>
  </si>
  <si>
    <t>CUST-0142</t>
  </si>
  <si>
    <t>วิเชียร</t>
  </si>
  <si>
    <t>CUST-0146</t>
  </si>
  <si>
    <t>เบิกจ่ายค่าธรรมเนียม</t>
  </si>
  <si>
    <t>CUST-0147</t>
  </si>
  <si>
    <t>ครูนก (โอนจ่ายมัดจำล่วงหน้า)</t>
  </si>
  <si>
    <t>083-144-4771</t>
  </si>
  <si>
    <t>CUST-0150</t>
  </si>
  <si>
    <t>ปิยะพร</t>
  </si>
  <si>
    <t>099-1716181</t>
  </si>
  <si>
    <t>CUST-0152</t>
  </si>
  <si>
    <t>ฐิติมาพร</t>
  </si>
  <si>
    <t>098-796-9898</t>
  </si>
  <si>
    <t>CUST-0153</t>
  </si>
  <si>
    <t>ฟิว</t>
  </si>
  <si>
    <t>098-4615-352</t>
  </si>
  <si>
    <t>CUST-0154</t>
  </si>
  <si>
    <t>ธูปสิฟาร์ม</t>
  </si>
  <si>
    <t>098-0286088</t>
  </si>
  <si>
    <t>CUST-0155</t>
  </si>
  <si>
    <t>คุณทิว</t>
  </si>
  <si>
    <t>084-7876458</t>
  </si>
  <si>
    <t>CUST-0156</t>
  </si>
  <si>
    <t>สายชล</t>
  </si>
  <si>
    <t>CUST-0157</t>
  </si>
  <si>
    <t>นิรันดร์พร</t>
  </si>
  <si>
    <t>CUST-0159</t>
  </si>
  <si>
    <t>จีระวัฒน์</t>
  </si>
  <si>
    <t>CUST-0160</t>
  </si>
  <si>
    <t>สมชาย</t>
  </si>
  <si>
    <t>CUST-0161</t>
  </si>
  <si>
    <t>มนต์ทรานสปอร์ต</t>
  </si>
  <si>
    <t>CUST-0162</t>
  </si>
  <si>
    <t>ค่าไฟฟ้า</t>
  </si>
  <si>
    <t>CUST-0164</t>
  </si>
  <si>
    <t>S.T. spec</t>
  </si>
  <si>
    <t>8. ข้อมูลห้องพักเพิ่มเติม (tbl_Rooms_Extended)</t>
  </si>
  <si>
    <t>price_daily</t>
  </si>
  <si>
    <t>price_monthly</t>
  </si>
  <si>
    <t>ROOM-0001</t>
  </si>
  <si>
    <t>ว่าง</t>
  </si>
  <si>
    <t>ROOM-0002</t>
  </si>
  <si>
    <t>ROOM-0003</t>
  </si>
  <si>
    <t>ROOM-0004</t>
  </si>
  <si>
    <t>ROOM-0005</t>
  </si>
  <si>
    <t>ROOM-0006</t>
  </si>
  <si>
    <t>ROOM-0007</t>
  </si>
  <si>
    <t>ROOM-0008</t>
  </si>
  <si>
    <t>A108</t>
  </si>
  <si>
    <t>ROOM-0009</t>
  </si>
  <si>
    <t>A109</t>
  </si>
  <si>
    <t>ROOM-0010</t>
  </si>
  <si>
    <t>A110</t>
  </si>
  <si>
    <t>ROOM-0011</t>
  </si>
  <si>
    <t>A111</t>
  </si>
  <si>
    <t>ROOM-0012</t>
  </si>
  <si>
    <t>ROOM-0013</t>
  </si>
  <si>
    <t>ROOM-0014</t>
  </si>
  <si>
    <t>ROOM-0015</t>
  </si>
  <si>
    <t>ROOM-0016</t>
  </si>
  <si>
    <t>ROOM-0017</t>
  </si>
  <si>
    <t>ROOM-0018</t>
  </si>
  <si>
    <t>ROOM-0019</t>
  </si>
  <si>
    <t>A208</t>
  </si>
  <si>
    <t>ROOM-0020</t>
  </si>
  <si>
    <t>A209</t>
  </si>
  <si>
    <t>ROOM-0021</t>
  </si>
  <si>
    <t>A210</t>
  </si>
  <si>
    <t>ROOM-0022</t>
  </si>
  <si>
    <t>A211</t>
  </si>
  <si>
    <t>ROOM-0023</t>
  </si>
  <si>
    <t>ROOM-0024</t>
  </si>
  <si>
    <t>ROOM-0025</t>
  </si>
  <si>
    <t>ROOM-0026</t>
  </si>
  <si>
    <t>ROOM-0027</t>
  </si>
  <si>
    <t>ROOM-0028</t>
  </si>
  <si>
    <t>ROOM-0029</t>
  </si>
  <si>
    <t>ROOM-0030</t>
  </si>
  <si>
    <t>ROOM-0031</t>
  </si>
  <si>
    <t>B109</t>
  </si>
  <si>
    <t>ROOM-0032</t>
  </si>
  <si>
    <t>B110</t>
  </si>
  <si>
    <t>ROOM-0033</t>
  </si>
  <si>
    <t>B111</t>
  </si>
  <si>
    <t>ROOM-0034</t>
  </si>
  <si>
    <t>B201</t>
  </si>
  <si>
    <t>ROOM-0035</t>
  </si>
  <si>
    <t>B202</t>
  </si>
  <si>
    <t>ROOM-0036</t>
  </si>
  <si>
    <t>B203</t>
  </si>
  <si>
    <t>ROOM-0037</t>
  </si>
  <si>
    <t>B204</t>
  </si>
  <si>
    <t>ROOM-0038</t>
  </si>
  <si>
    <t>B205</t>
  </si>
  <si>
    <t>ROOM-0039</t>
  </si>
  <si>
    <t>B206</t>
  </si>
  <si>
    <t>ROOM-0040</t>
  </si>
  <si>
    <t>B207</t>
  </si>
  <si>
    <t>ROOM-0041</t>
  </si>
  <si>
    <t>B208</t>
  </si>
  <si>
    <t>ROOM-0042</t>
  </si>
  <si>
    <t>B209</t>
  </si>
  <si>
    <t>ROOM-0043</t>
  </si>
  <si>
    <t>B210</t>
  </si>
  <si>
    <t>ROOM-0044</t>
  </si>
  <si>
    <t>B211</t>
  </si>
  <si>
    <t>ROOM-0045</t>
  </si>
  <si>
    <t>N1</t>
  </si>
  <si>
    <t>ROOM-0046</t>
  </si>
  <si>
    <t>N2</t>
  </si>
  <si>
    <t>ROOM-0047</t>
  </si>
  <si>
    <t>N3</t>
  </si>
  <si>
    <t>ROOM-0048</t>
  </si>
  <si>
    <t>N4</t>
  </si>
  <si>
    <t>ROOM-0049</t>
  </si>
  <si>
    <t>N5</t>
  </si>
  <si>
    <t>ROOM-0050</t>
  </si>
  <si>
    <t>N6</t>
  </si>
  <si>
    <t>9. สัญญาเช่ารายเดือน (tbl_Monthly_Contracts)</t>
  </si>
  <si>
    <t>contract_id</t>
  </si>
  <si>
    <t>customer_name</t>
  </si>
  <si>
    <t>start_date</t>
  </si>
  <si>
    <t>end_date</t>
  </si>
  <si>
    <t>deposit</t>
  </si>
  <si>
    <t>monthly_rate</t>
  </si>
  <si>
    <t>CONTRACT-0001</t>
  </si>
  <si>
    <t>น.ส.กมลวรรณ แสงลี</t>
  </si>
  <si>
    <t>2024-01-01</t>
  </si>
  <si>
    <t>กำลังเช่า</t>
  </si>
  <si>
    <t>CONTRACT-0002</t>
  </si>
  <si>
    <t>นาย สัญญา วารุกะ</t>
  </si>
  <si>
    <t>CONTRACT-0003</t>
  </si>
  <si>
    <t>น.ส. จีรัญญา มหาคม</t>
  </si>
  <si>
    <t>CONTRACT-0004</t>
  </si>
  <si>
    <t>นาย ณัฐภัทร  ไกรรัตน์</t>
  </si>
  <si>
    <t>CONTRACT-0005</t>
  </si>
  <si>
    <t>หน่วยงาน กรองปราบปราม</t>
  </si>
  <si>
    <t>บ้านแฝด 2</t>
  </si>
  <si>
    <t>CONTRACT-0006</t>
  </si>
  <si>
    <t>นาย อชิรวิชญ์ ใจชื่น</t>
  </si>
  <si>
    <t>CONTRACT-0007</t>
  </si>
  <si>
    <t>2025-07-28</t>
  </si>
  <si>
    <t>2025-11-26</t>
  </si>
  <si>
    <t>ย้ายออกแล้ว</t>
  </si>
  <si>
    <t>CONTRACT-0008</t>
  </si>
  <si>
    <t>จุฬาลักษ์</t>
  </si>
  <si>
    <t>2025-02-26</t>
  </si>
  <si>
    <t>รอต่อสัญญา</t>
  </si>
  <si>
    <t>CONTRACT-0009</t>
  </si>
  <si>
    <t>2025-01-14</t>
  </si>
  <si>
    <t>ค้างชำระ</t>
  </si>
  <si>
    <t>CONTRACT-0010</t>
  </si>
  <si>
    <t>CM01765</t>
  </si>
  <si>
    <t>2025-10-29</t>
  </si>
  <si>
    <t>CONTRACT-0011</t>
  </si>
  <si>
    <t>สิทธิโชค พานทอง</t>
  </si>
  <si>
    <t>2025-11-23</t>
  </si>
  <si>
    <t>CONTRACT-0012</t>
  </si>
  <si>
    <t>ครูแอ๋ว</t>
  </si>
  <si>
    <t>2025-10-24</t>
  </si>
  <si>
    <t>CONTRACT-0013</t>
  </si>
  <si>
    <t>2025-01-19</t>
  </si>
  <si>
    <t>CONTRACT-0014</t>
  </si>
  <si>
    <t>VP00429</t>
  </si>
  <si>
    <t>2025-02-06</t>
  </si>
  <si>
    <t>CONTRACT-0015</t>
  </si>
  <si>
    <t>2025-04-11</t>
  </si>
  <si>
    <t>2025-08-21</t>
  </si>
  <si>
    <t>CONTRACT-0016</t>
  </si>
  <si>
    <t>ประวิทย์</t>
  </si>
  <si>
    <t>2025-06-22</t>
  </si>
  <si>
    <t>2025-11-03</t>
  </si>
  <si>
    <t>CONTRACT-0017</t>
  </si>
  <si>
    <t>CM01788</t>
  </si>
  <si>
    <t>2025-11-11</t>
  </si>
  <si>
    <t>2026-02-04</t>
  </si>
  <si>
    <t>CONTRACT-0018</t>
  </si>
  <si>
    <t>2025-06-23</t>
  </si>
  <si>
    <t>CONTRACT-0019</t>
  </si>
  <si>
    <t>คุณเมย์</t>
  </si>
  <si>
    <t>2025-10-25</t>
  </si>
  <si>
    <t>CONTRACT-0020</t>
  </si>
  <si>
    <t>2025-11-06</t>
  </si>
  <si>
    <t>CONTRACT-0021</t>
  </si>
  <si>
    <t>2025-10-01</t>
  </si>
  <si>
    <t>CONTRACT-0022</t>
  </si>
  <si>
    <t>2025-09-05</t>
  </si>
  <si>
    <t>CONTRACT-0023</t>
  </si>
  <si>
    <t>สำเนาของ VP00445</t>
  </si>
  <si>
    <t>2025-02-20</t>
  </si>
  <si>
    <t>CONTRACT-0024</t>
  </si>
  <si>
    <t>ก.ส.ท.ช</t>
  </si>
  <si>
    <t>2025-06-12</t>
  </si>
  <si>
    <t>CONTRACT-0025</t>
  </si>
  <si>
    <t>CM01708</t>
  </si>
  <si>
    <t>2025-06-11</t>
  </si>
  <si>
    <t>CONTRACT-0026</t>
  </si>
  <si>
    <t>อารยา อินทรวงศ์</t>
  </si>
  <si>
    <t>2025-11-30</t>
  </si>
  <si>
    <t>CONTRACT-0027</t>
  </si>
  <si>
    <t>2025-08-19</t>
  </si>
  <si>
    <t>CONTRACT-0028</t>
  </si>
  <si>
    <t>โอนเงินให้คุณวิ</t>
  </si>
  <si>
    <t>2025-04-08</t>
  </si>
  <si>
    <t>CONTRACT-0029</t>
  </si>
  <si>
    <t>CM02005</t>
  </si>
  <si>
    <t>CONTRACT-0030</t>
  </si>
  <si>
    <t>CM01194</t>
  </si>
  <si>
    <t>2025-04-18</t>
  </si>
  <si>
    <t>2025-10-14</t>
  </si>
  <si>
    <t>10. ข้อมูลพนักงานเพิ่มเติม (tbl_Staff_Full)</t>
  </si>
  <si>
    <t>staff_id</t>
  </si>
  <si>
    <t>position</t>
  </si>
  <si>
    <t>salary</t>
  </si>
  <si>
    <t>hire_date</t>
  </si>
  <si>
    <t>STAFF-0001</t>
  </si>
  <si>
    <t>ว่าที่ร.ต.หญิง จิรดา  ล่ำสัน</t>
  </si>
  <si>
    <t>บัญชี</t>
  </si>
  <si>
    <t>STAFF-0002</t>
  </si>
  <si>
    <t>นาย ผลประสิทธิ เกตุพิมน</t>
  </si>
  <si>
    <t>ร.ป.ภ.</t>
  </si>
  <si>
    <t>STAFF-0003</t>
  </si>
  <si>
    <t>น.ส สุพัตรา  มาลัยเพิ่ม</t>
  </si>
  <si>
    <t>แม่บ้าน</t>
  </si>
  <si>
    <t>STAFF-0004</t>
  </si>
  <si>
    <t>น.ส.ขวัญชนก สันเดล</t>
  </si>
  <si>
    <t>STAFF-0005</t>
  </si>
  <si>
    <t>นาง พิกุล สึกชัย</t>
  </si>
  <si>
    <t>STAFF-0006</t>
  </si>
  <si>
    <t>นายพงษ์เพชร กันยารัตน์</t>
  </si>
  <si>
    <t>คนสวน</t>
  </si>
  <si>
    <t>STAFF-0007</t>
  </si>
  <si>
    <t>/12/2566</t>
  </si>
  <si>
    <t>ยอดรวม</t>
  </si>
  <si>
    <t>STAFF-0008</t>
  </si>
  <si>
    <t>ลงชื่อ ........................................................ ผู้มีอำนาจอนุมัติ</t>
  </si>
  <si>
    <t>STAFF-0009</t>
  </si>
  <si>
    <t>( นางวิพัฒน์   กาลจักร )</t>
  </si>
  <si>
    <t>STAFF-0010</t>
  </si>
  <si>
    <t>น.ส พรธิดา</t>
  </si>
  <si>
    <t>STAFF-0011</t>
  </si>
  <si>
    <t>นายพงษ์ศักดิ์ดา  กาญบุตร</t>
  </si>
  <si>
    <t>รปภ</t>
  </si>
  <si>
    <t>STAFF-0012</t>
  </si>
  <si>
    <t>นางสาวพรธิดา  กระจ่างศรี</t>
  </si>
  <si>
    <t>STAFF-0013</t>
  </si>
  <si>
    <t>นายสุพจน์ นาคเสน</t>
  </si>
  <si>
    <t>รปภ.</t>
  </si>
  <si>
    <t>STAFF-0014</t>
  </si>
  <si>
    <t>นายพงษ์เพชร กันนารัตน์</t>
  </si>
  <si>
    <t>STAFF-0015</t>
  </si>
  <si>
    <t>นางสมจิตร  จันทร์เมือง</t>
  </si>
  <si>
    <t>STAFF-0016</t>
  </si>
  <si>
    <t>นายเล็ก  มิตรรักษ์</t>
  </si>
  <si>
    <t>ช่าง</t>
  </si>
  <si>
    <t>STAFF-0017</t>
  </si>
  <si>
    <t>นายณัฐภัทร  สุวรรณโส</t>
  </si>
  <si>
    <t>STAFF-0018</t>
  </si>
  <si>
    <t>ธฤษิดา ศรีชลภัทร</t>
  </si>
  <si>
    <t>ผู้จัดการ</t>
  </si>
  <si>
    <t>STAFF-0019</t>
  </si>
  <si>
    <t>ช่างเตี้ย</t>
  </si>
  <si>
    <t>STAFF-0020</t>
  </si>
  <si>
    <t>ลงชื่อ  ........................................................  ( ผู้มีอำนาจอนุมัติ )</t>
  </si>
  <si>
    <t>STAFF-0021</t>
  </si>
  <si>
    <t>นายศิวะพงษ์ จันทร์ศรี</t>
  </si>
  <si>
    <t>ร.ป.ภ</t>
  </si>
  <si>
    <t>STAFF-0022</t>
  </si>
  <si>
    <t>นาย ณัฐภัทร  สุวรรณโส</t>
  </si>
  <si>
    <t>STAFF-0023</t>
  </si>
  <si>
    <t>นาย พงษ์เพชร กันนารัตน์</t>
  </si>
  <si>
    <t>STAFF-0024</t>
  </si>
  <si>
    <t>นาย ศิวะพงษ์ จันทร์ศรี</t>
  </si>
  <si>
    <t>การกำหนดค่า Named Ranges</t>
  </si>
  <si>
    <t>แผ่นงานนี้แสดงรายการ Named Ranges ที่ใช้ในระบบ</t>
  </si>
  <si>
    <t>Named Range</t>
  </si>
  <si>
    <t>คำอธิบาย</t>
  </si>
  <si>
    <t>อ้างอิง (Reference)</t>
  </si>
  <si>
    <t>ใช้งานใน</t>
  </si>
  <si>
    <t>Products</t>
  </si>
  <si>
    <t>ตารางสินค้าและบริการทั้งหมด</t>
  </si>
  <si>
    <t>DATA_MASTER!tbl_Products</t>
  </si>
  <si>
    <t>ทุกแผ่นงาน</t>
  </si>
  <si>
    <t>Partners</t>
  </si>
  <si>
    <t>ตารางคู่ค้าทั้งหมด</t>
  </si>
  <si>
    <t>DATA_MASTER!tbl_Partners</t>
  </si>
  <si>
    <t>TaxConfig</t>
  </si>
  <si>
    <t>ตารางการตั้งค่าภาษี</t>
  </si>
  <si>
    <t>DATA_MASTER!tbl_TaxConfig</t>
  </si>
  <si>
    <t>การคำนวณภาษี</t>
  </si>
  <si>
    <t>VAT_Rate</t>
  </si>
  <si>
    <t>อัตราภาษี VAT 7%</t>
  </si>
  <si>
    <t>0.07</t>
  </si>
  <si>
    <t>WHT_Service_Rate</t>
  </si>
  <si>
    <t>อัตราภาษีหัก ณ ที่จ่าย 3%</t>
  </si>
  <si>
    <t>0.03</t>
  </si>
  <si>
    <t>WHT_Rent_Rate</t>
  </si>
  <si>
    <t>อัตราภาษีหัก ณ ที่จ่าย 5%</t>
  </si>
  <si>
    <t>0.05</t>
  </si>
  <si>
    <t>แดชบอร์ดสรุปภาพรวม</t>
  </si>
  <si>
    <t>ตัวชี้วัดสำคัญ (KPI)</t>
  </si>
  <si>
    <t>ตัวชี้วัด</t>
  </si>
  <si>
    <t>ค่า</t>
  </si>
  <si>
    <t>หน่วย</t>
  </si>
  <si>
    <t>สถานะ</t>
  </si>
  <si>
    <t>จำนวนสินค้า/บริการ</t>
  </si>
  <si>
    <t>รายการ</t>
  </si>
  <si>
    <t>จำนวนคู่ค้า</t>
  </si>
  <si>
    <t>จำนวนลูกค้า</t>
  </si>
  <si>
    <t>ราย</t>
  </si>
  <si>
    <t>จำนวนผู้ขาย</t>
  </si>
  <si>
    <t>อัตราภาษี VAT</t>
  </si>
  <si>
    <t>%</t>
  </si>
  <si>
    <t>อัตราภาษีหัก ณ ที่จ่าย (บริการ)</t>
  </si>
  <si>
    <t>จำนวนห้องพักทั้งหมด</t>
  </si>
  <si>
    <t>ห้อง</t>
  </si>
  <si>
    <t>จำนวนห้องว่าง</t>
  </si>
  <si>
    <t>จำนวนการจองทั้งหมด</t>
  </si>
  <si>
    <t>รายได้จากการจอง</t>
  </si>
  <si>
    <t>บาท</t>
  </si>
  <si>
    <t>รายรับทั้งหมด</t>
  </si>
  <si>
    <t>รายจ่ายทั้งหมด</t>
  </si>
  <si>
    <t>กำไรสุทธิ</t>
  </si>
  <si>
    <t>มุมมองห้องพัก</t>
  </si>
  <si>
    <t>ข้อมูลดึงจาก DATA_MASTER.tbl_Rooms โดยอัตโนมัติ</t>
  </si>
  <si>
    <t>เลขห้อง</t>
  </si>
  <si>
    <t>ประเภท</t>
  </si>
  <si>
    <t>ชั้น</t>
  </si>
  <si>
    <t>อาคาร</t>
  </si>
  <si>
    <t>ราคา/คืน</t>
  </si>
  <si>
    <t>ผู้เข้าพักสูงสุด</t>
  </si>
  <si>
    <t>มุมมองการจอง</t>
  </si>
  <si>
    <t>ข้อมูลดึงจาก DATA_MASTER.tbl_Reservations โดยอัตโนมัติ</t>
  </si>
  <si>
    <t>เลขที่จอง</t>
  </si>
  <si>
    <t>เช็คอิน</t>
  </si>
  <si>
    <t>เช็คเอาท์</t>
  </si>
  <si>
    <t>จำนวนคืน</t>
  </si>
  <si>
    <t>ผู้เข้าพัก</t>
  </si>
  <si>
    <t>สถานะชำระ</t>
  </si>
  <si>
    <t>มุมมองบัญชี</t>
  </si>
  <si>
    <t>ข้อมูลดึงจาก DATA_MASTER.tbl_Transactions โดยอัตโนมัติ</t>
  </si>
  <si>
    <t>รหัส</t>
  </si>
  <si>
    <t>วันที่</t>
  </si>
  <si>
    <t>หมวดหมู่</t>
  </si>
  <si>
    <t>จำนวนเงิน</t>
  </si>
  <si>
    <t>ช่องทาง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</si>
</sst>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F4E78"/>
      <name val="Calibri"/>
      <scheme val="minor"/>
    </font>
    <font>
      <i/>
      <sz val="10.0"/>
      <color rgb="FF7F7F7F"/>
      <name val="Calibri"/>
      <scheme val="minor"/>
    </font>
    <font>
      <b/>
      <sz val="12.0"/>
      <color rgb="FFC00000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6.0"/>
      <color rgb="FF1F4E78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1" fillId="0" fontId="5" numFmtId="0" xfId="0" applyBorder="1" applyFont="1"/>
    <xf borderId="1" fillId="0" fontId="5" numFmtId="4" xfId="0" applyBorder="1" applyFont="1" applyNumberFormat="1"/>
    <xf borderId="1" fillId="0" fontId="5" numFmtId="3" xfId="0" applyBorder="1" applyFont="1" applyNumberFormat="1"/>
    <xf borderId="1" fillId="0" fontId="5" numFmtId="10" xfId="0" applyBorder="1" applyFont="1" applyNumberFormat="1"/>
    <xf borderId="1" fillId="2" fontId="4" numFmtId="0" xfId="0" applyAlignment="1" applyBorder="1" applyFont="1">
      <alignment horizontal="center" vertical="center"/>
    </xf>
    <xf borderId="1" fillId="0" fontId="5" numFmtId="0" xfId="0" applyBorder="1" applyFont="1"/>
    <xf borderId="0" fillId="0" fontId="6" numFmtId="0" xfId="0" applyFont="1"/>
    <xf borderId="0" fillId="0" fontId="7" numFmtId="0" xfId="0" applyFont="1"/>
    <xf borderId="1" fillId="0" fontId="5" numFmtId="4" xfId="0" applyBorder="1" applyFont="1" applyNumberFormat="1"/>
    <xf borderId="1" fillId="0" fontId="5" numFmtId="0" xfId="0" applyAlignment="1" applyBorder="1" applyFont="1">
      <alignment horizontal="center"/>
    </xf>
    <xf borderId="1" fillId="3" fontId="8" numFmtId="0" xfId="0" applyBorder="1" applyFill="1" applyFont="1"/>
    <xf borderId="1" fillId="0" fontId="5" numFmtId="3" xfId="0" applyBorder="1" applyFont="1" applyNumberFormat="1"/>
    <xf borderId="0" fillId="0" fontId="9" numFmtId="0" xfId="0" applyFont="1"/>
    <xf borderId="0" fillId="0" fontId="5" numFmtId="3" xfId="0" applyFont="1" applyNumberFormat="1"/>
    <xf borderId="0" fillId="0" fontId="5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0">
    <tableStyle count="3" pivot="0" name="DATA_MASTER-style">
      <tableStyleElement dxfId="1" type="headerRow"/>
      <tableStyleElement dxfId="2" type="firstRowStripe"/>
      <tableStyleElement dxfId="3" type="secondRowStripe"/>
    </tableStyle>
    <tableStyle count="3" pivot="0" name="DATA_MASTER-style 2">
      <tableStyleElement dxfId="1" type="headerRow"/>
      <tableStyleElement dxfId="2" type="firstRowStripe"/>
      <tableStyleElement dxfId="3" type="secondRowStripe"/>
    </tableStyle>
    <tableStyle count="3" pivot="0" name="DATA_MASTER-style 3">
      <tableStyleElement dxfId="1" type="headerRow"/>
      <tableStyleElement dxfId="2" type="firstRowStripe"/>
      <tableStyleElement dxfId="3" type="secondRowStripe"/>
    </tableStyle>
    <tableStyle count="3" pivot="0" name="DATA_MASTER-style 4">
      <tableStyleElement dxfId="1" type="headerRow"/>
      <tableStyleElement dxfId="2" type="firstRowStripe"/>
      <tableStyleElement dxfId="3" type="secondRowStripe"/>
    </tableStyle>
    <tableStyle count="3" pivot="0" name="DATA_MASTER-style 5">
      <tableStyleElement dxfId="1" type="headerRow"/>
      <tableStyleElement dxfId="2" type="firstRowStripe"/>
      <tableStyleElement dxfId="3" type="secondRowStripe"/>
    </tableStyle>
    <tableStyle count="3" pivot="0" name="DATA_MASTER-style 6">
      <tableStyleElement dxfId="1" type="headerRow"/>
      <tableStyleElement dxfId="2" type="firstRowStripe"/>
      <tableStyleElement dxfId="3" type="secondRowStripe"/>
    </tableStyle>
    <tableStyle count="3" pivot="0" name="DATA_MASTER-style 7">
      <tableStyleElement dxfId="1" type="headerRow"/>
      <tableStyleElement dxfId="2" type="firstRowStripe"/>
      <tableStyleElement dxfId="3" type="secondRowStripe"/>
    </tableStyle>
    <tableStyle count="3" pivot="0" name="DATA_MASTER-style 8">
      <tableStyleElement dxfId="1" type="headerRow"/>
      <tableStyleElement dxfId="2" type="firstRowStripe"/>
      <tableStyleElement dxfId="3" type="secondRowStripe"/>
    </tableStyle>
    <tableStyle count="3" pivot="0" name="DATA_MASTER-style 9">
      <tableStyleElement dxfId="1" type="headerRow"/>
      <tableStyleElement dxfId="2" type="firstRowStripe"/>
      <tableStyleElement dxfId="3" type="secondRowStripe"/>
    </tableStyle>
    <tableStyle count="3" pivot="0" name="DATA_MASTER-style 10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M13" displayName="Table_1" name="Table_1" id="1">
  <tableColumns count="13">
    <tableColumn name="product_id" id="1"/>
    <tableColumn name="product_name" id="2"/>
    <tableColumn name="product_type" id="3"/>
    <tableColumn name="category" id="4"/>
    <tableColumn name="base_unit" id="5"/>
    <tableColumn name="purchase_unit" id="6"/>
    <tableColumn name="purchase_ratio" id="7"/>
    <tableColumn name="sale_unit" id="8"/>
    <tableColumn name="sale_ratio" id="9"/>
    <tableColumn name="cost_price" id="10"/>
    <tableColumn name="sale_price" id="11"/>
    <tableColumn name="reorder_point" id="12"/>
    <tableColumn name="status" id="13"/>
  </tableColumns>
  <tableStyleInfo name="DATA_MASTER-style" showColumnStripes="0" showFirstColumn="1" showLastColumn="1" showRowStripes="1"/>
</table>
</file>

<file path=xl/tables/table2.xml><?xml version="1.0" encoding="utf-8"?>
<table xmlns="http://schemas.openxmlformats.org/spreadsheetml/2006/main" ref="A17:Q22" displayName="Table_2" name="Table_2" id="2">
  <tableColumns count="17">
    <tableColumn name="partner_id" id="1"/>
    <tableColumn name="partner_name" id="2"/>
    <tableColumn name="partner_type" id="3"/>
    <tableColumn name="business_type" id="4"/>
    <tableColumn name="tax_id" id="5"/>
    <tableColumn name="branch_code" id="6"/>
    <tableColumn name="branch_status" id="7"/>
    <tableColumn name="address" id="8"/>
    <tableColumn name="district" id="9"/>
    <tableColumn name="city" id="10"/>
    <tableColumn name="province" id="11"/>
    <tableColumn name="postal_code" id="12"/>
    <tableColumn name="phone" id="13"/>
    <tableColumn name="email" id="14"/>
    <tableColumn name="credit_limit" id="15"/>
    <tableColumn name="credit_days" id="16"/>
    <tableColumn name="status" id="17"/>
  </tableColumns>
  <tableStyleInfo name="DATA_MASTER-style 2" showColumnStripes="0" showFirstColumn="1" showLastColumn="1" showRowStripes="1"/>
</table>
</file>

<file path=xl/tables/table3.xml><?xml version="1.0" encoding="utf-8"?>
<table xmlns="http://schemas.openxmlformats.org/spreadsheetml/2006/main" ref="A26:F31" displayName="Table_3" name="Table_3" id="3">
  <tableColumns count="6">
    <tableColumn name="tax_code" id="1"/>
    <tableColumn name="tax_name" id="2"/>
    <tableColumn name="tax_type" id="3"/>
    <tableColumn name="tax_rate" id="4"/>
    <tableColumn name="description" id="5"/>
    <tableColumn name="is_active" id="6"/>
  </tableColumns>
  <tableStyleInfo name="DATA_MASTER-style 3" showColumnStripes="0" showFirstColumn="1" showLastColumn="1" showRowStripes="1"/>
</table>
</file>

<file path=xl/tables/table4.xml><?xml version="1.0" encoding="utf-8"?>
<table xmlns="http://schemas.openxmlformats.org/spreadsheetml/2006/main" ref="A35:I57" displayName="Table_4" name="Table_4" id="4">
  <tableColumns count="9">
    <tableColumn name="room_id" id="1"/>
    <tableColumn name="room_number" id="2"/>
    <tableColumn name="room_type" id="3"/>
    <tableColumn name="floor" id="4"/>
    <tableColumn name="building" id="5"/>
    <tableColumn name="status" id="6"/>
    <tableColumn name="price_per_night" id="7"/>
    <tableColumn name="max_guests" id="8"/>
    <tableColumn name="amenities" id="9"/>
  </tableColumns>
  <tableStyleInfo name="DATA_MASTER-style 4" showColumnStripes="0" showFirstColumn="1" showLastColumn="1" showRowStripes="1"/>
</table>
</file>

<file path=xl/tables/table5.xml><?xml version="1.0" encoding="utf-8"?>
<table xmlns="http://schemas.openxmlformats.org/spreadsheetml/2006/main" ref="A61:K66" displayName="Table_5" name="Table_5" id="5">
  <tableColumns count="11">
    <tableColumn name="reservation_id" id="1"/>
    <tableColumn name="room_id" id="2"/>
    <tableColumn name="partner_id" id="3"/>
    <tableColumn name="check_in_date" id="4"/>
    <tableColumn name="check_out_date" id="5"/>
    <tableColumn name="nights" id="6"/>
    <tableColumn name="guests" id="7"/>
    <tableColumn name="total_amount" id="8"/>
    <tableColumn name="payment_status" id="9"/>
    <tableColumn name="booking_date" id="10"/>
    <tableColumn name="status" id="11"/>
  </tableColumns>
  <tableStyleInfo name="DATA_MASTER-style 5" showColumnStripes="0" showFirstColumn="1" showLastColumn="1" showRowStripes="1"/>
</table>
</file>

<file path=xl/tables/table6.xml><?xml version="1.0" encoding="utf-8"?>
<table xmlns="http://schemas.openxmlformats.org/spreadsheetml/2006/main" ref="A70:H90" displayName="Table_6" name="Table_6" id="6">
  <tableColumns count="8">
    <tableColumn name="transaction_id" id="1"/>
    <tableColumn name="date" id="2"/>
    <tableColumn name="type" id="3"/>
    <tableColumn name="category" id="4"/>
    <tableColumn name="description" id="5"/>
    <tableColumn name="amount" id="6"/>
    <tableColumn name="payment_method" id="7"/>
    <tableColumn name="reference" id="8"/>
  </tableColumns>
  <tableStyleInfo name="DATA_MASTER-style 6" showColumnStripes="0" showFirstColumn="1" showLastColumn="1" showRowStripes="1"/>
</table>
</file>

<file path=xl/tables/table7.xml><?xml version="1.0" encoding="utf-8"?>
<table xmlns="http://schemas.openxmlformats.org/spreadsheetml/2006/main" ref="A94:F194" displayName="Table_7" name="Table_7" id="7">
  <tableColumns count="6">
    <tableColumn name="customer_id" id="1"/>
    <tableColumn name="name" id="2"/>
    <tableColumn name="phone" id="3"/>
    <tableColumn name="email" id="4"/>
    <tableColumn name="customer_type" id="5"/>
    <tableColumn name="loyalty_points" id="6"/>
  </tableColumns>
  <tableStyleInfo name="DATA_MASTER-style 7" showColumnStripes="0" showFirstColumn="1" showLastColumn="1" showRowStripes="1"/>
</table>
</file>

<file path=xl/tables/table8.xml><?xml version="1.0" encoding="utf-8"?>
<table xmlns="http://schemas.openxmlformats.org/spreadsheetml/2006/main" ref="A198:E248" displayName="Table_8" name="Table_8" id="8">
  <tableColumns count="5">
    <tableColumn name="room_id" id="1"/>
    <tableColumn name="room_number" id="2"/>
    <tableColumn name="status" id="3"/>
    <tableColumn name="price_daily" id="4"/>
    <tableColumn name="price_monthly" id="5"/>
  </tableColumns>
  <tableStyleInfo name="DATA_MASTER-style 8" showColumnStripes="0" showFirstColumn="1" showLastColumn="1" showRowStripes="1"/>
</table>
</file>

<file path=xl/tables/table9.xml><?xml version="1.0" encoding="utf-8"?>
<table xmlns="http://schemas.openxmlformats.org/spreadsheetml/2006/main" ref="A252:H282" displayName="Table_9" name="Table_9" id="9">
  <tableColumns count="8">
    <tableColumn name="contract_id" id="1"/>
    <tableColumn name="customer_name" id="2"/>
    <tableColumn name="room_number" id="3"/>
    <tableColumn name="start_date" id="4"/>
    <tableColumn name="end_date" id="5"/>
    <tableColumn name="deposit" id="6"/>
    <tableColumn name="monthly_rate" id="7"/>
    <tableColumn name="status" id="8"/>
  </tableColumns>
  <tableStyleInfo name="DATA_MASTER-style 9" showColumnStripes="0" showFirstColumn="1" showLastColumn="1" showRowStripes="1"/>
</table>
</file>

<file path=xl/tables/table10.xml><?xml version="1.0" encoding="utf-8"?>
<table xmlns="http://schemas.openxmlformats.org/spreadsheetml/2006/main" ref="A286:E310" displayName="Table_10" name="Table_10" id="10">
  <tableColumns count="5">
    <tableColumn name="staff_id" id="1"/>
    <tableColumn name="name" id="2"/>
    <tableColumn name="position" id="3"/>
    <tableColumn name="salary" id="4"/>
    <tableColumn name="hire_date" id="5"/>
  </tableColumns>
  <tableStyleInfo name="DATA_MASTER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62.86"/>
    <col customWidth="1" min="2" max="2" width="53.14"/>
    <col customWidth="1" min="3" max="4" width="13.71"/>
    <col customWidth="1" min="5" max="5" width="28.86"/>
    <col customWidth="1" min="6" max="6" width="13.57"/>
    <col customWidth="1" min="7" max="7" width="16.71"/>
    <col customWidth="1" min="8" max="8" width="16.57"/>
    <col customWidth="1" min="9" max="9" width="24.86"/>
    <col customWidth="1" min="10" max="10" width="13.14"/>
    <col customWidth="1" min="11" max="11" width="15.14"/>
    <col customWidth="1" min="12" max="12" width="13.29"/>
    <col customWidth="1" min="13" max="13" width="11.71"/>
    <col customWidth="1" min="14" max="14" width="25.29"/>
    <col customWidth="1" min="15" max="16" width="11.14"/>
    <col customWidth="1" min="17" max="17" width="6.43"/>
    <col customWidth="1" min="1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20</v>
      </c>
      <c r="G6" s="6">
        <v>1.0</v>
      </c>
      <c r="H6" s="5" t="s">
        <v>20</v>
      </c>
      <c r="I6" s="6">
        <v>1.0</v>
      </c>
      <c r="J6" s="6">
        <v>0.0</v>
      </c>
      <c r="K6" s="6">
        <v>1200.0</v>
      </c>
      <c r="L6" s="6">
        <v>0.0</v>
      </c>
      <c r="M6" s="5" t="s">
        <v>21</v>
      </c>
    </row>
    <row r="7">
      <c r="A7" s="5" t="s">
        <v>22</v>
      </c>
      <c r="B7" s="5" t="s">
        <v>23</v>
      </c>
      <c r="C7" s="5" t="s">
        <v>18</v>
      </c>
      <c r="D7" s="5" t="s">
        <v>19</v>
      </c>
      <c r="E7" s="5" t="s">
        <v>20</v>
      </c>
      <c r="F7" s="5" t="s">
        <v>20</v>
      </c>
      <c r="G7" s="6">
        <v>1.0</v>
      </c>
      <c r="H7" s="5" t="s">
        <v>20</v>
      </c>
      <c r="I7" s="6">
        <v>1.0</v>
      </c>
      <c r="J7" s="6">
        <v>0.0</v>
      </c>
      <c r="K7" s="6">
        <v>1500.0</v>
      </c>
      <c r="L7" s="6">
        <v>0.0</v>
      </c>
      <c r="M7" s="5" t="s">
        <v>21</v>
      </c>
    </row>
    <row r="8">
      <c r="A8" s="5" t="s">
        <v>24</v>
      </c>
      <c r="B8" s="5" t="s">
        <v>25</v>
      </c>
      <c r="C8" s="5" t="s">
        <v>18</v>
      </c>
      <c r="D8" s="5" t="s">
        <v>19</v>
      </c>
      <c r="E8" s="5" t="s">
        <v>20</v>
      </c>
      <c r="F8" s="5" t="s">
        <v>20</v>
      </c>
      <c r="G8" s="6">
        <v>1.0</v>
      </c>
      <c r="H8" s="5" t="s">
        <v>20</v>
      </c>
      <c r="I8" s="6">
        <v>1.0</v>
      </c>
      <c r="J8" s="6">
        <v>0.0</v>
      </c>
      <c r="K8" s="6">
        <v>2500.0</v>
      </c>
      <c r="L8" s="6">
        <v>0.0</v>
      </c>
      <c r="M8" s="5" t="s">
        <v>21</v>
      </c>
    </row>
    <row r="9">
      <c r="A9" s="5" t="s">
        <v>26</v>
      </c>
      <c r="B9" s="5" t="s">
        <v>27</v>
      </c>
      <c r="C9" s="5" t="s">
        <v>18</v>
      </c>
      <c r="D9" s="5" t="s">
        <v>28</v>
      </c>
      <c r="E9" s="5" t="s">
        <v>29</v>
      </c>
      <c r="F9" s="5" t="s">
        <v>29</v>
      </c>
      <c r="G9" s="6">
        <v>1.0</v>
      </c>
      <c r="H9" s="5" t="s">
        <v>29</v>
      </c>
      <c r="I9" s="6">
        <v>1.0</v>
      </c>
      <c r="J9" s="6">
        <v>20.0</v>
      </c>
      <c r="K9" s="6">
        <v>50.0</v>
      </c>
      <c r="L9" s="6">
        <v>0.0</v>
      </c>
      <c r="M9" s="5" t="s">
        <v>21</v>
      </c>
    </row>
    <row r="10">
      <c r="A10" s="5" t="s">
        <v>30</v>
      </c>
      <c r="B10" s="5" t="s">
        <v>31</v>
      </c>
      <c r="C10" s="5" t="s">
        <v>18</v>
      </c>
      <c r="D10" s="5" t="s">
        <v>28</v>
      </c>
      <c r="E10" s="5" t="s">
        <v>32</v>
      </c>
      <c r="F10" s="5" t="s">
        <v>32</v>
      </c>
      <c r="G10" s="6">
        <v>1.0</v>
      </c>
      <c r="H10" s="5" t="s">
        <v>32</v>
      </c>
      <c r="I10" s="6">
        <v>1.0</v>
      </c>
      <c r="J10" s="6">
        <v>80.0</v>
      </c>
      <c r="K10" s="6">
        <v>150.0</v>
      </c>
      <c r="L10" s="6">
        <v>0.0</v>
      </c>
      <c r="M10" s="5" t="s">
        <v>21</v>
      </c>
    </row>
    <row r="11">
      <c r="A11" s="5" t="s">
        <v>33</v>
      </c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  <c r="G11" s="6">
        <v>12.0</v>
      </c>
      <c r="H11" s="5" t="s">
        <v>37</v>
      </c>
      <c r="I11" s="6">
        <v>1.0</v>
      </c>
      <c r="J11" s="6">
        <v>8.0</v>
      </c>
      <c r="K11" s="6">
        <v>15.0</v>
      </c>
      <c r="L11" s="6">
        <v>24.0</v>
      </c>
      <c r="M11" s="5" t="s">
        <v>21</v>
      </c>
    </row>
    <row r="12">
      <c r="A12" s="5" t="s">
        <v>39</v>
      </c>
      <c r="B12" s="5" t="s">
        <v>40</v>
      </c>
      <c r="C12" s="5" t="s">
        <v>35</v>
      </c>
      <c r="D12" s="5" t="s">
        <v>41</v>
      </c>
      <c r="E12" s="5" t="s">
        <v>29</v>
      </c>
      <c r="F12" s="5" t="s">
        <v>42</v>
      </c>
      <c r="G12" s="6">
        <v>6.0</v>
      </c>
      <c r="H12" s="5" t="s">
        <v>29</v>
      </c>
      <c r="I12" s="6">
        <v>1.0</v>
      </c>
      <c r="J12" s="6">
        <v>50.0</v>
      </c>
      <c r="K12" s="6">
        <v>120.0</v>
      </c>
      <c r="L12" s="6">
        <v>12.0</v>
      </c>
      <c r="M12" s="5" t="s">
        <v>21</v>
      </c>
    </row>
    <row r="13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 t="s">
        <v>48</v>
      </c>
      <c r="G13" s="6">
        <v>3.785</v>
      </c>
      <c r="H13" s="5" t="s">
        <v>47</v>
      </c>
      <c r="I13" s="6">
        <v>1.0</v>
      </c>
      <c r="J13" s="6">
        <v>80.0</v>
      </c>
      <c r="K13" s="6">
        <v>0.0</v>
      </c>
      <c r="L13" s="6">
        <v>5.0</v>
      </c>
      <c r="M13" s="5" t="s">
        <v>21</v>
      </c>
    </row>
    <row r="16">
      <c r="A16" s="3" t="s">
        <v>49</v>
      </c>
    </row>
    <row r="17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54</v>
      </c>
      <c r="F17" s="4" t="s">
        <v>55</v>
      </c>
      <c r="G17" s="4" t="s">
        <v>56</v>
      </c>
      <c r="H17" s="4" t="s">
        <v>57</v>
      </c>
      <c r="I17" s="4" t="s">
        <v>58</v>
      </c>
      <c r="J17" s="4" t="s">
        <v>59</v>
      </c>
      <c r="K17" s="4" t="s">
        <v>60</v>
      </c>
      <c r="L17" s="4" t="s">
        <v>61</v>
      </c>
      <c r="M17" s="4" t="s">
        <v>62</v>
      </c>
      <c r="N17" s="4" t="s">
        <v>63</v>
      </c>
      <c r="O17" s="4" t="s">
        <v>64</v>
      </c>
      <c r="P17" s="4" t="s">
        <v>65</v>
      </c>
      <c r="Q17" s="4" t="s">
        <v>15</v>
      </c>
    </row>
    <row r="18">
      <c r="A18" s="5" t="s">
        <v>66</v>
      </c>
      <c r="B18" s="5" t="s">
        <v>67</v>
      </c>
      <c r="C18" s="5" t="s">
        <v>68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73</v>
      </c>
      <c r="I18" s="5" t="s">
        <v>74</v>
      </c>
      <c r="J18" s="5" t="s">
        <v>75</v>
      </c>
      <c r="K18" s="5" t="s">
        <v>76</v>
      </c>
      <c r="L18" s="5" t="s">
        <v>77</v>
      </c>
      <c r="M18" s="5" t="s">
        <v>78</v>
      </c>
      <c r="N18" s="5" t="s">
        <v>79</v>
      </c>
      <c r="O18" s="7">
        <v>100000.0</v>
      </c>
      <c r="P18" s="7">
        <v>30.0</v>
      </c>
      <c r="Q18" s="5" t="s">
        <v>21</v>
      </c>
    </row>
    <row r="19">
      <c r="A19" s="5" t="s">
        <v>80</v>
      </c>
      <c r="B19" s="5" t="s">
        <v>81</v>
      </c>
      <c r="C19" s="5" t="s">
        <v>82</v>
      </c>
      <c r="D19" s="5" t="s">
        <v>69</v>
      </c>
      <c r="E19" s="5" t="s">
        <v>83</v>
      </c>
      <c r="F19" s="5" t="s">
        <v>71</v>
      </c>
      <c r="G19" s="5" t="s">
        <v>72</v>
      </c>
      <c r="H19" s="5" t="s">
        <v>84</v>
      </c>
      <c r="I19" s="5" t="s">
        <v>85</v>
      </c>
      <c r="J19" s="5" t="s">
        <v>85</v>
      </c>
      <c r="K19" s="5" t="s">
        <v>76</v>
      </c>
      <c r="L19" s="5" t="s">
        <v>77</v>
      </c>
      <c r="M19" s="5" t="s">
        <v>86</v>
      </c>
      <c r="N19" s="5" t="s">
        <v>87</v>
      </c>
      <c r="O19" s="7">
        <v>50000.0</v>
      </c>
      <c r="P19" s="7">
        <v>15.0</v>
      </c>
      <c r="Q19" s="5" t="s">
        <v>21</v>
      </c>
    </row>
    <row r="20">
      <c r="A20" s="5" t="s">
        <v>88</v>
      </c>
      <c r="B20" s="5" t="s">
        <v>89</v>
      </c>
      <c r="C20" s="5" t="s">
        <v>68</v>
      </c>
      <c r="D20" s="5" t="s">
        <v>90</v>
      </c>
      <c r="E20" s="5" t="s">
        <v>91</v>
      </c>
      <c r="F20" s="5" t="s">
        <v>71</v>
      </c>
      <c r="G20" s="5" t="s">
        <v>72</v>
      </c>
      <c r="H20" s="5" t="s">
        <v>92</v>
      </c>
      <c r="I20" s="5" t="s">
        <v>93</v>
      </c>
      <c r="J20" s="5" t="s">
        <v>93</v>
      </c>
      <c r="K20" s="5" t="s">
        <v>76</v>
      </c>
      <c r="L20" s="5" t="s">
        <v>94</v>
      </c>
      <c r="M20" s="5" t="s">
        <v>95</v>
      </c>
      <c r="N20" s="5" t="s">
        <v>96</v>
      </c>
      <c r="O20" s="7">
        <v>0.0</v>
      </c>
      <c r="P20" s="7">
        <v>30.0</v>
      </c>
      <c r="Q20" s="5" t="s">
        <v>21</v>
      </c>
    </row>
    <row r="21" ht="15.75" customHeight="1">
      <c r="A21" s="5" t="s">
        <v>97</v>
      </c>
      <c r="B21" s="5" t="s">
        <v>98</v>
      </c>
      <c r="C21" s="5" t="s">
        <v>68</v>
      </c>
      <c r="D21" s="5" t="s">
        <v>90</v>
      </c>
      <c r="E21" s="5" t="s">
        <v>99</v>
      </c>
      <c r="F21" s="5" t="s">
        <v>71</v>
      </c>
      <c r="G21" s="5" t="s">
        <v>72</v>
      </c>
      <c r="H21" s="5" t="s">
        <v>100</v>
      </c>
      <c r="I21" s="5" t="s">
        <v>101</v>
      </c>
      <c r="J21" s="5" t="s">
        <v>102</v>
      </c>
      <c r="K21" s="5" t="s">
        <v>76</v>
      </c>
      <c r="L21" s="5" t="s">
        <v>103</v>
      </c>
      <c r="M21" s="5" t="s">
        <v>104</v>
      </c>
      <c r="N21" s="5" t="s">
        <v>105</v>
      </c>
      <c r="O21" s="7">
        <v>0.0</v>
      </c>
      <c r="P21" s="7">
        <v>15.0</v>
      </c>
      <c r="Q21" s="5" t="s">
        <v>21</v>
      </c>
    </row>
    <row r="22" ht="15.75" customHeight="1">
      <c r="A22" s="5" t="s">
        <v>106</v>
      </c>
      <c r="B22" s="5" t="s">
        <v>107</v>
      </c>
      <c r="C22" s="5" t="s">
        <v>68</v>
      </c>
      <c r="D22" s="5" t="s">
        <v>69</v>
      </c>
      <c r="E22" s="5" t="s">
        <v>108</v>
      </c>
      <c r="F22" s="5" t="s">
        <v>109</v>
      </c>
      <c r="G22" s="5" t="s">
        <v>110</v>
      </c>
      <c r="H22" s="5" t="s">
        <v>111</v>
      </c>
      <c r="I22" s="5" t="s">
        <v>112</v>
      </c>
      <c r="J22" s="5" t="s">
        <v>113</v>
      </c>
      <c r="K22" s="5" t="s">
        <v>76</v>
      </c>
      <c r="L22" s="5" t="s">
        <v>114</v>
      </c>
      <c r="M22" s="5" t="s">
        <v>115</v>
      </c>
      <c r="N22" s="5" t="s">
        <v>116</v>
      </c>
      <c r="O22" s="7">
        <v>200000.0</v>
      </c>
      <c r="P22" s="7">
        <v>45.0</v>
      </c>
      <c r="Q22" s="5" t="s">
        <v>21</v>
      </c>
    </row>
    <row r="23" ht="15.75" customHeight="1"/>
    <row r="24" ht="15.75" customHeight="1"/>
    <row r="25" ht="15.75" customHeight="1">
      <c r="A25" s="3" t="s">
        <v>117</v>
      </c>
    </row>
    <row r="26" ht="15.75" customHeight="1">
      <c r="A26" s="4" t="s">
        <v>118</v>
      </c>
      <c r="B26" s="4" t="s">
        <v>119</v>
      </c>
      <c r="C26" s="4" t="s">
        <v>120</v>
      </c>
      <c r="D26" s="4" t="s">
        <v>121</v>
      </c>
      <c r="E26" s="4" t="s">
        <v>122</v>
      </c>
      <c r="F26" s="4" t="s">
        <v>123</v>
      </c>
    </row>
    <row r="27" ht="15.75" customHeight="1">
      <c r="A27" s="5" t="s">
        <v>124</v>
      </c>
      <c r="B27" s="5" t="s">
        <v>125</v>
      </c>
      <c r="C27" s="5" t="s">
        <v>126</v>
      </c>
      <c r="D27" s="8">
        <v>0.07</v>
      </c>
      <c r="E27" s="5" t="s">
        <v>127</v>
      </c>
      <c r="F27" s="5" t="s">
        <v>128</v>
      </c>
    </row>
    <row r="28" ht="15.75" customHeight="1">
      <c r="A28" s="5" t="s">
        <v>129</v>
      </c>
      <c r="B28" s="5" t="s">
        <v>130</v>
      </c>
      <c r="C28" s="5" t="s">
        <v>126</v>
      </c>
      <c r="D28" s="8">
        <v>0.0</v>
      </c>
      <c r="E28" s="5" t="s">
        <v>131</v>
      </c>
      <c r="F28" s="5" t="s">
        <v>128</v>
      </c>
    </row>
    <row r="29" ht="15.75" customHeight="1">
      <c r="A29" s="5" t="s">
        <v>132</v>
      </c>
      <c r="B29" s="5" t="s">
        <v>133</v>
      </c>
      <c r="C29" s="5" t="s">
        <v>134</v>
      </c>
      <c r="D29" s="8">
        <v>0.03</v>
      </c>
      <c r="E29" s="5" t="s">
        <v>135</v>
      </c>
      <c r="F29" s="5" t="s">
        <v>128</v>
      </c>
    </row>
    <row r="30" ht="15.75" customHeight="1">
      <c r="A30" s="5" t="s">
        <v>136</v>
      </c>
      <c r="B30" s="5" t="s">
        <v>137</v>
      </c>
      <c r="C30" s="5" t="s">
        <v>134</v>
      </c>
      <c r="D30" s="8">
        <v>0.05</v>
      </c>
      <c r="E30" s="5" t="s">
        <v>138</v>
      </c>
      <c r="F30" s="5" t="s">
        <v>128</v>
      </c>
    </row>
    <row r="31" ht="15.75" customHeight="1">
      <c r="A31" s="5" t="s">
        <v>139</v>
      </c>
      <c r="B31" s="5" t="s">
        <v>140</v>
      </c>
      <c r="C31" s="5" t="s">
        <v>134</v>
      </c>
      <c r="D31" s="8">
        <v>0.1</v>
      </c>
      <c r="E31" s="5" t="s">
        <v>141</v>
      </c>
      <c r="F31" s="5" t="s">
        <v>128</v>
      </c>
    </row>
    <row r="32" ht="15.75" customHeight="1"/>
    <row r="33" ht="15.75" customHeight="1"/>
    <row r="34" ht="15.75" customHeight="1">
      <c r="A34" s="3" t="s">
        <v>142</v>
      </c>
    </row>
    <row r="35" ht="15.75" customHeight="1">
      <c r="A35" s="4" t="s">
        <v>143</v>
      </c>
      <c r="B35" s="4" t="s">
        <v>144</v>
      </c>
      <c r="C35" s="4" t="s">
        <v>145</v>
      </c>
      <c r="D35" s="4" t="s">
        <v>146</v>
      </c>
      <c r="E35" s="4" t="s">
        <v>147</v>
      </c>
      <c r="F35" s="4" t="s">
        <v>15</v>
      </c>
      <c r="G35" s="4" t="s">
        <v>148</v>
      </c>
      <c r="H35" s="4" t="s">
        <v>149</v>
      </c>
      <c r="I35" s="4" t="s">
        <v>150</v>
      </c>
    </row>
    <row r="36" ht="15.75" customHeight="1">
      <c r="A36" s="5" t="s">
        <v>151</v>
      </c>
      <c r="B36" s="5" t="s">
        <v>152</v>
      </c>
      <c r="C36" s="5" t="s">
        <v>16</v>
      </c>
      <c r="D36" s="5">
        <v>1.0</v>
      </c>
      <c r="E36" s="5" t="s">
        <v>153</v>
      </c>
      <c r="F36" s="5" t="s">
        <v>154</v>
      </c>
      <c r="G36" s="7">
        <v>1200.0</v>
      </c>
      <c r="H36" s="7">
        <v>2.0</v>
      </c>
      <c r="I36" s="5" t="s">
        <v>155</v>
      </c>
    </row>
    <row r="37" ht="15.75" customHeight="1">
      <c r="A37" s="5" t="s">
        <v>156</v>
      </c>
      <c r="B37" s="5" t="s">
        <v>157</v>
      </c>
      <c r="C37" s="5" t="s">
        <v>16</v>
      </c>
      <c r="D37" s="5">
        <v>1.0</v>
      </c>
      <c r="E37" s="5" t="s">
        <v>153</v>
      </c>
      <c r="F37" s="5" t="s">
        <v>154</v>
      </c>
      <c r="G37" s="7">
        <v>1200.0</v>
      </c>
      <c r="H37" s="7">
        <v>2.0</v>
      </c>
      <c r="I37" s="5" t="s">
        <v>155</v>
      </c>
    </row>
    <row r="38" ht="15.75" customHeight="1">
      <c r="A38" s="5" t="s">
        <v>158</v>
      </c>
      <c r="B38" s="5" t="s">
        <v>159</v>
      </c>
      <c r="C38" s="5" t="s">
        <v>16</v>
      </c>
      <c r="D38" s="5">
        <v>1.0</v>
      </c>
      <c r="E38" s="5" t="s">
        <v>153</v>
      </c>
      <c r="F38" s="5" t="s">
        <v>154</v>
      </c>
      <c r="G38" s="7">
        <v>1200.0</v>
      </c>
      <c r="H38" s="7">
        <v>2.0</v>
      </c>
      <c r="I38" s="5" t="s">
        <v>155</v>
      </c>
    </row>
    <row r="39" ht="15.75" customHeight="1">
      <c r="A39" s="5" t="s">
        <v>160</v>
      </c>
      <c r="B39" s="5" t="s">
        <v>161</v>
      </c>
      <c r="C39" s="5" t="s">
        <v>22</v>
      </c>
      <c r="D39" s="5">
        <v>1.0</v>
      </c>
      <c r="E39" s="5" t="s">
        <v>153</v>
      </c>
      <c r="F39" s="5" t="s">
        <v>154</v>
      </c>
      <c r="G39" s="7">
        <v>1500.0</v>
      </c>
      <c r="H39" s="7">
        <v>4.0</v>
      </c>
      <c r="I39" s="5" t="s">
        <v>155</v>
      </c>
    </row>
    <row r="40" ht="15.75" customHeight="1">
      <c r="A40" s="5" t="s">
        <v>162</v>
      </c>
      <c r="B40" s="5" t="s">
        <v>163</v>
      </c>
      <c r="C40" s="5" t="s">
        <v>22</v>
      </c>
      <c r="D40" s="5">
        <v>1.0</v>
      </c>
      <c r="E40" s="5" t="s">
        <v>153</v>
      </c>
      <c r="F40" s="5" t="s">
        <v>154</v>
      </c>
      <c r="G40" s="7">
        <v>1500.0</v>
      </c>
      <c r="H40" s="7">
        <v>4.0</v>
      </c>
      <c r="I40" s="5" t="s">
        <v>155</v>
      </c>
    </row>
    <row r="41" ht="15.75" customHeight="1">
      <c r="A41" s="5" t="s">
        <v>164</v>
      </c>
      <c r="B41" s="5" t="s">
        <v>165</v>
      </c>
      <c r="C41" s="5" t="s">
        <v>24</v>
      </c>
      <c r="D41" s="5">
        <v>1.0</v>
      </c>
      <c r="E41" s="5" t="s">
        <v>153</v>
      </c>
      <c r="F41" s="5" t="s">
        <v>154</v>
      </c>
      <c r="G41" s="7">
        <v>2500.0</v>
      </c>
      <c r="H41" s="7">
        <v>3.0</v>
      </c>
      <c r="I41" s="5" t="s">
        <v>155</v>
      </c>
    </row>
    <row r="42" ht="15.75" customHeight="1">
      <c r="A42" s="5" t="s">
        <v>166</v>
      </c>
      <c r="B42" s="5" t="s">
        <v>167</v>
      </c>
      <c r="C42" s="5" t="s">
        <v>24</v>
      </c>
      <c r="D42" s="5">
        <v>1.0</v>
      </c>
      <c r="E42" s="5" t="s">
        <v>153</v>
      </c>
      <c r="F42" s="5" t="s">
        <v>154</v>
      </c>
      <c r="G42" s="7">
        <v>2500.0</v>
      </c>
      <c r="H42" s="7">
        <v>3.0</v>
      </c>
      <c r="I42" s="5" t="s">
        <v>155</v>
      </c>
    </row>
    <row r="43" ht="15.75" customHeight="1">
      <c r="A43" s="5" t="s">
        <v>168</v>
      </c>
      <c r="B43" s="5" t="s">
        <v>169</v>
      </c>
      <c r="C43" s="5" t="s">
        <v>16</v>
      </c>
      <c r="D43" s="5">
        <v>2.0</v>
      </c>
      <c r="E43" s="5" t="s">
        <v>153</v>
      </c>
      <c r="F43" s="5" t="s">
        <v>154</v>
      </c>
      <c r="G43" s="7">
        <v>1200.0</v>
      </c>
      <c r="H43" s="7">
        <v>2.0</v>
      </c>
      <c r="I43" s="5" t="s">
        <v>155</v>
      </c>
    </row>
    <row r="44" ht="15.75" customHeight="1">
      <c r="A44" s="5" t="s">
        <v>170</v>
      </c>
      <c r="B44" s="5" t="s">
        <v>171</v>
      </c>
      <c r="C44" s="5" t="s">
        <v>16</v>
      </c>
      <c r="D44" s="5">
        <v>2.0</v>
      </c>
      <c r="E44" s="5" t="s">
        <v>153</v>
      </c>
      <c r="F44" s="5" t="s">
        <v>154</v>
      </c>
      <c r="G44" s="7">
        <v>1200.0</v>
      </c>
      <c r="H44" s="7">
        <v>2.0</v>
      </c>
      <c r="I44" s="5" t="s">
        <v>155</v>
      </c>
    </row>
    <row r="45" ht="15.75" customHeight="1">
      <c r="A45" s="5" t="s">
        <v>172</v>
      </c>
      <c r="B45" s="5" t="s">
        <v>173</v>
      </c>
      <c r="C45" s="5" t="s">
        <v>16</v>
      </c>
      <c r="D45" s="5">
        <v>2.0</v>
      </c>
      <c r="E45" s="5" t="s">
        <v>153</v>
      </c>
      <c r="F45" s="5" t="s">
        <v>154</v>
      </c>
      <c r="G45" s="7">
        <v>1200.0</v>
      </c>
      <c r="H45" s="7">
        <v>2.0</v>
      </c>
      <c r="I45" s="5" t="s">
        <v>155</v>
      </c>
    </row>
    <row r="46" ht="15.75" customHeight="1">
      <c r="A46" s="5" t="s">
        <v>174</v>
      </c>
      <c r="B46" s="5" t="s">
        <v>175</v>
      </c>
      <c r="C46" s="5" t="s">
        <v>22</v>
      </c>
      <c r="D46" s="5">
        <v>2.0</v>
      </c>
      <c r="E46" s="5" t="s">
        <v>153</v>
      </c>
      <c r="F46" s="5" t="s">
        <v>154</v>
      </c>
      <c r="G46" s="7">
        <v>1500.0</v>
      </c>
      <c r="H46" s="7">
        <v>4.0</v>
      </c>
      <c r="I46" s="5" t="s">
        <v>155</v>
      </c>
    </row>
    <row r="47" ht="15.75" customHeight="1">
      <c r="A47" s="5" t="s">
        <v>176</v>
      </c>
      <c r="B47" s="5" t="s">
        <v>177</v>
      </c>
      <c r="C47" s="5" t="s">
        <v>22</v>
      </c>
      <c r="D47" s="5">
        <v>2.0</v>
      </c>
      <c r="E47" s="5" t="s">
        <v>153</v>
      </c>
      <c r="F47" s="5" t="s">
        <v>154</v>
      </c>
      <c r="G47" s="7">
        <v>1500.0</v>
      </c>
      <c r="H47" s="7">
        <v>4.0</v>
      </c>
      <c r="I47" s="5" t="s">
        <v>155</v>
      </c>
    </row>
    <row r="48" ht="15.75" customHeight="1">
      <c r="A48" s="5" t="s">
        <v>178</v>
      </c>
      <c r="B48" s="5" t="s">
        <v>179</v>
      </c>
      <c r="C48" s="5" t="s">
        <v>24</v>
      </c>
      <c r="D48" s="5">
        <v>2.0</v>
      </c>
      <c r="E48" s="5" t="s">
        <v>153</v>
      </c>
      <c r="F48" s="5" t="s">
        <v>154</v>
      </c>
      <c r="G48" s="7">
        <v>2500.0</v>
      </c>
      <c r="H48" s="7">
        <v>3.0</v>
      </c>
      <c r="I48" s="5" t="s">
        <v>155</v>
      </c>
    </row>
    <row r="49" ht="15.75" customHeight="1">
      <c r="A49" s="5" t="s">
        <v>180</v>
      </c>
      <c r="B49" s="5" t="s">
        <v>181</v>
      </c>
      <c r="C49" s="5" t="s">
        <v>24</v>
      </c>
      <c r="D49" s="5">
        <v>2.0</v>
      </c>
      <c r="E49" s="5" t="s">
        <v>153</v>
      </c>
      <c r="F49" s="5" t="s">
        <v>154</v>
      </c>
      <c r="G49" s="7">
        <v>2500.0</v>
      </c>
      <c r="H49" s="7">
        <v>3.0</v>
      </c>
      <c r="I49" s="5" t="s">
        <v>155</v>
      </c>
    </row>
    <row r="50" ht="15.75" customHeight="1">
      <c r="A50" s="5" t="s">
        <v>182</v>
      </c>
      <c r="B50" s="5" t="s">
        <v>183</v>
      </c>
      <c r="C50" s="5" t="s">
        <v>22</v>
      </c>
      <c r="D50" s="5">
        <v>1.0</v>
      </c>
      <c r="E50" s="5" t="s">
        <v>184</v>
      </c>
      <c r="F50" s="5" t="s">
        <v>154</v>
      </c>
      <c r="G50" s="7">
        <v>1500.0</v>
      </c>
      <c r="H50" s="7">
        <v>4.0</v>
      </c>
      <c r="I50" s="5" t="s">
        <v>185</v>
      </c>
    </row>
    <row r="51" ht="15.75" customHeight="1">
      <c r="A51" s="5" t="s">
        <v>186</v>
      </c>
      <c r="B51" s="5" t="s">
        <v>187</v>
      </c>
      <c r="C51" s="5" t="s">
        <v>22</v>
      </c>
      <c r="D51" s="5">
        <v>1.0</v>
      </c>
      <c r="E51" s="5" t="s">
        <v>184</v>
      </c>
      <c r="F51" s="5" t="s">
        <v>154</v>
      </c>
      <c r="G51" s="7">
        <v>1500.0</v>
      </c>
      <c r="H51" s="7">
        <v>4.0</v>
      </c>
      <c r="I51" s="5" t="s">
        <v>185</v>
      </c>
    </row>
    <row r="52" ht="15.75" customHeight="1">
      <c r="A52" s="5" t="s">
        <v>188</v>
      </c>
      <c r="B52" s="5" t="s">
        <v>189</v>
      </c>
      <c r="C52" s="5" t="s">
        <v>22</v>
      </c>
      <c r="D52" s="5">
        <v>1.0</v>
      </c>
      <c r="E52" s="5" t="s">
        <v>184</v>
      </c>
      <c r="F52" s="5" t="s">
        <v>154</v>
      </c>
      <c r="G52" s="7">
        <v>1500.0</v>
      </c>
      <c r="H52" s="7">
        <v>4.0</v>
      </c>
      <c r="I52" s="5" t="s">
        <v>185</v>
      </c>
    </row>
    <row r="53" ht="15.75" customHeight="1">
      <c r="A53" s="5" t="s">
        <v>190</v>
      </c>
      <c r="B53" s="5" t="s">
        <v>191</v>
      </c>
      <c r="C53" s="5" t="s">
        <v>22</v>
      </c>
      <c r="D53" s="5">
        <v>1.0</v>
      </c>
      <c r="E53" s="5" t="s">
        <v>184</v>
      </c>
      <c r="F53" s="5" t="s">
        <v>154</v>
      </c>
      <c r="G53" s="7">
        <v>1500.0</v>
      </c>
      <c r="H53" s="7">
        <v>4.0</v>
      </c>
      <c r="I53" s="5" t="s">
        <v>185</v>
      </c>
    </row>
    <row r="54" ht="15.75" customHeight="1">
      <c r="A54" s="5" t="s">
        <v>192</v>
      </c>
      <c r="B54" s="5" t="s">
        <v>193</v>
      </c>
      <c r="C54" s="5" t="s">
        <v>22</v>
      </c>
      <c r="D54" s="5">
        <v>1.0</v>
      </c>
      <c r="E54" s="5" t="s">
        <v>184</v>
      </c>
      <c r="F54" s="5" t="s">
        <v>154</v>
      </c>
      <c r="G54" s="7">
        <v>1500.0</v>
      </c>
      <c r="H54" s="7">
        <v>4.0</v>
      </c>
      <c r="I54" s="5" t="s">
        <v>185</v>
      </c>
    </row>
    <row r="55" ht="15.75" customHeight="1">
      <c r="A55" s="5" t="s">
        <v>194</v>
      </c>
      <c r="B55" s="5" t="s">
        <v>195</v>
      </c>
      <c r="C55" s="5" t="s">
        <v>22</v>
      </c>
      <c r="D55" s="5">
        <v>1.0</v>
      </c>
      <c r="E55" s="5" t="s">
        <v>184</v>
      </c>
      <c r="F55" s="5" t="s">
        <v>154</v>
      </c>
      <c r="G55" s="7">
        <v>1500.0</v>
      </c>
      <c r="H55" s="7">
        <v>4.0</v>
      </c>
      <c r="I55" s="5" t="s">
        <v>185</v>
      </c>
    </row>
    <row r="56" ht="15.75" customHeight="1">
      <c r="A56" s="5" t="s">
        <v>196</v>
      </c>
      <c r="B56" s="5" t="s">
        <v>197</v>
      </c>
      <c r="C56" s="5" t="s">
        <v>22</v>
      </c>
      <c r="D56" s="5">
        <v>1.0</v>
      </c>
      <c r="E56" s="5" t="s">
        <v>184</v>
      </c>
      <c r="F56" s="5" t="s">
        <v>154</v>
      </c>
      <c r="G56" s="7">
        <v>1500.0</v>
      </c>
      <c r="H56" s="7">
        <v>4.0</v>
      </c>
      <c r="I56" s="5" t="s">
        <v>185</v>
      </c>
    </row>
    <row r="57" ht="15.75" customHeight="1">
      <c r="A57" s="5" t="s">
        <v>198</v>
      </c>
      <c r="B57" s="5" t="s">
        <v>199</v>
      </c>
      <c r="C57" s="5" t="s">
        <v>22</v>
      </c>
      <c r="D57" s="5">
        <v>1.0</v>
      </c>
      <c r="E57" s="5" t="s">
        <v>184</v>
      </c>
      <c r="F57" s="5" t="s">
        <v>154</v>
      </c>
      <c r="G57" s="7">
        <v>1500.0</v>
      </c>
      <c r="H57" s="7">
        <v>4.0</v>
      </c>
      <c r="I57" s="5" t="s">
        <v>185</v>
      </c>
    </row>
    <row r="58" ht="15.75" customHeight="1"/>
    <row r="59" ht="15.75" customHeight="1"/>
    <row r="60" ht="15.75" customHeight="1">
      <c r="A60" s="3" t="s">
        <v>200</v>
      </c>
    </row>
    <row r="61" ht="15.75" customHeight="1">
      <c r="A61" s="4" t="s">
        <v>201</v>
      </c>
      <c r="B61" s="4" t="s">
        <v>143</v>
      </c>
      <c r="C61" s="4" t="s">
        <v>50</v>
      </c>
      <c r="D61" s="4" t="s">
        <v>202</v>
      </c>
      <c r="E61" s="4" t="s">
        <v>203</v>
      </c>
      <c r="F61" s="4" t="s">
        <v>204</v>
      </c>
      <c r="G61" s="4" t="s">
        <v>205</v>
      </c>
      <c r="H61" s="4" t="s">
        <v>206</v>
      </c>
      <c r="I61" s="4" t="s">
        <v>207</v>
      </c>
      <c r="J61" s="4" t="s">
        <v>208</v>
      </c>
      <c r="K61" s="4" t="s">
        <v>15</v>
      </c>
    </row>
    <row r="62" ht="15.75" customHeight="1">
      <c r="A62" s="5" t="s">
        <v>209</v>
      </c>
      <c r="B62" s="5" t="s">
        <v>151</v>
      </c>
      <c r="C62" s="5" t="s">
        <v>66</v>
      </c>
      <c r="D62" s="5" t="s">
        <v>210</v>
      </c>
      <c r="E62" s="5" t="s">
        <v>211</v>
      </c>
      <c r="F62" s="7">
        <v>2.0</v>
      </c>
      <c r="G62" s="7">
        <v>2.0</v>
      </c>
      <c r="H62" s="7">
        <v>2400.0</v>
      </c>
      <c r="I62" s="5" t="s">
        <v>212</v>
      </c>
      <c r="J62" s="5" t="s">
        <v>213</v>
      </c>
      <c r="K62" s="5" t="s">
        <v>214</v>
      </c>
    </row>
    <row r="63" ht="15.75" customHeight="1">
      <c r="A63" s="5" t="s">
        <v>215</v>
      </c>
      <c r="B63" s="5" t="s">
        <v>156</v>
      </c>
      <c r="C63" s="5" t="s">
        <v>80</v>
      </c>
      <c r="D63" s="5" t="s">
        <v>216</v>
      </c>
      <c r="E63" s="5" t="s">
        <v>217</v>
      </c>
      <c r="F63" s="7">
        <v>3.0</v>
      </c>
      <c r="G63" s="7">
        <v>1.0</v>
      </c>
      <c r="H63" s="7">
        <v>3600.0</v>
      </c>
      <c r="I63" s="5" t="s">
        <v>218</v>
      </c>
      <c r="J63" s="5" t="s">
        <v>219</v>
      </c>
      <c r="K63" s="5" t="s">
        <v>214</v>
      </c>
    </row>
    <row r="64" ht="15.75" customHeight="1">
      <c r="A64" s="5" t="s">
        <v>220</v>
      </c>
      <c r="B64" s="5" t="s">
        <v>168</v>
      </c>
      <c r="C64" s="5" t="s">
        <v>106</v>
      </c>
      <c r="D64" s="5" t="s">
        <v>221</v>
      </c>
      <c r="E64" s="5" t="s">
        <v>222</v>
      </c>
      <c r="F64" s="7">
        <v>2.0</v>
      </c>
      <c r="G64" s="7">
        <v>4.0</v>
      </c>
      <c r="H64" s="7">
        <v>3000.0</v>
      </c>
      <c r="I64" s="5" t="s">
        <v>212</v>
      </c>
      <c r="J64" s="5" t="s">
        <v>223</v>
      </c>
      <c r="K64" s="5" t="s">
        <v>214</v>
      </c>
    </row>
    <row r="65" ht="15.75" customHeight="1">
      <c r="A65" s="5" t="s">
        <v>224</v>
      </c>
      <c r="B65" s="5" t="s">
        <v>182</v>
      </c>
      <c r="C65" s="5" t="s">
        <v>66</v>
      </c>
      <c r="D65" s="5" t="s">
        <v>225</v>
      </c>
      <c r="E65" s="5" t="s">
        <v>226</v>
      </c>
      <c r="F65" s="7">
        <v>2.0</v>
      </c>
      <c r="G65" s="7">
        <v>3.0</v>
      </c>
      <c r="H65" s="7">
        <v>3000.0</v>
      </c>
      <c r="I65" s="5" t="s">
        <v>218</v>
      </c>
      <c r="J65" s="5" t="s">
        <v>227</v>
      </c>
      <c r="K65" s="5" t="s">
        <v>214</v>
      </c>
    </row>
    <row r="66" ht="15.75" customHeight="1">
      <c r="A66" s="5" t="s">
        <v>228</v>
      </c>
      <c r="B66" s="5" t="s">
        <v>166</v>
      </c>
      <c r="C66" s="5" t="s">
        <v>80</v>
      </c>
      <c r="D66" s="5" t="s">
        <v>229</v>
      </c>
      <c r="E66" s="5" t="s">
        <v>230</v>
      </c>
      <c r="F66" s="7">
        <v>3.0</v>
      </c>
      <c r="G66" s="7">
        <v>2.0</v>
      </c>
      <c r="H66" s="7">
        <v>7500.0</v>
      </c>
      <c r="I66" s="5" t="s">
        <v>212</v>
      </c>
      <c r="J66" s="5" t="s">
        <v>231</v>
      </c>
      <c r="K66" s="5" t="s">
        <v>214</v>
      </c>
    </row>
    <row r="67" ht="15.75" customHeight="1"/>
    <row r="68" ht="15.75" customHeight="1"/>
    <row r="69" ht="15.75" customHeight="1">
      <c r="A69" s="3" t="s">
        <v>232</v>
      </c>
    </row>
    <row r="70" ht="15.75" customHeight="1">
      <c r="A70" s="4" t="s">
        <v>233</v>
      </c>
      <c r="B70" s="4" t="s">
        <v>234</v>
      </c>
      <c r="C70" s="4" t="s">
        <v>235</v>
      </c>
      <c r="D70" s="4" t="s">
        <v>6</v>
      </c>
      <c r="E70" s="4" t="s">
        <v>122</v>
      </c>
      <c r="F70" s="4" t="s">
        <v>236</v>
      </c>
      <c r="G70" s="4" t="s">
        <v>237</v>
      </c>
      <c r="H70" s="4" t="s">
        <v>238</v>
      </c>
    </row>
    <row r="71" ht="15.75" customHeight="1">
      <c r="A71" s="5" t="s">
        <v>239</v>
      </c>
      <c r="B71" s="5"/>
      <c r="C71" s="5" t="s">
        <v>240</v>
      </c>
      <c r="D71" s="5" t="s">
        <v>241</v>
      </c>
      <c r="E71" s="5"/>
      <c r="F71" s="6">
        <v>0.0</v>
      </c>
      <c r="G71" s="5" t="s">
        <v>242</v>
      </c>
      <c r="H71" s="5"/>
    </row>
    <row r="72" ht="15.75" customHeight="1">
      <c r="A72" s="5" t="s">
        <v>243</v>
      </c>
      <c r="B72" s="5" t="s">
        <v>244</v>
      </c>
      <c r="C72" s="5" t="s">
        <v>240</v>
      </c>
      <c r="D72" s="5" t="s">
        <v>241</v>
      </c>
      <c r="E72" s="5"/>
      <c r="F72" s="6">
        <v>0.0</v>
      </c>
      <c r="G72" s="5" t="s">
        <v>242</v>
      </c>
      <c r="H72" s="5"/>
    </row>
    <row r="73" ht="15.75" customHeight="1">
      <c r="A73" s="5" t="s">
        <v>245</v>
      </c>
      <c r="B73" s="5" t="s">
        <v>244</v>
      </c>
      <c r="C73" s="5" t="s">
        <v>240</v>
      </c>
      <c r="D73" s="5" t="s">
        <v>241</v>
      </c>
      <c r="E73" s="5"/>
      <c r="F73" s="6">
        <v>0.0</v>
      </c>
      <c r="G73" s="5" t="s">
        <v>242</v>
      </c>
      <c r="H73" s="5"/>
    </row>
    <row r="74" ht="15.75" customHeight="1">
      <c r="A74" s="5" t="s">
        <v>246</v>
      </c>
      <c r="B74" s="5" t="s">
        <v>244</v>
      </c>
      <c r="C74" s="5" t="s">
        <v>240</v>
      </c>
      <c r="D74" s="5" t="s">
        <v>241</v>
      </c>
      <c r="E74" s="5"/>
      <c r="F74" s="6">
        <v>0.0</v>
      </c>
      <c r="G74" s="5" t="s">
        <v>242</v>
      </c>
      <c r="H74" s="5"/>
    </row>
    <row r="75" ht="15.75" customHeight="1">
      <c r="A75" s="5" t="s">
        <v>247</v>
      </c>
      <c r="B75" s="5" t="s">
        <v>244</v>
      </c>
      <c r="C75" s="5" t="s">
        <v>240</v>
      </c>
      <c r="D75" s="5" t="s">
        <v>241</v>
      </c>
      <c r="E75" s="5"/>
      <c r="F75" s="6">
        <v>0.0</v>
      </c>
      <c r="G75" s="5" t="s">
        <v>242</v>
      </c>
      <c r="H75" s="5"/>
    </row>
    <row r="76" ht="15.75" customHeight="1">
      <c r="A76" s="5" t="s">
        <v>248</v>
      </c>
      <c r="B76" s="5" t="s">
        <v>244</v>
      </c>
      <c r="C76" s="5" t="s">
        <v>240</v>
      </c>
      <c r="D76" s="5" t="s">
        <v>241</v>
      </c>
      <c r="E76" s="5"/>
      <c r="F76" s="6">
        <v>0.0</v>
      </c>
      <c r="G76" s="5" t="s">
        <v>242</v>
      </c>
      <c r="H76" s="5"/>
    </row>
    <row r="77" ht="15.75" customHeight="1">
      <c r="A77" s="5" t="s">
        <v>249</v>
      </c>
      <c r="B77" s="5" t="s">
        <v>244</v>
      </c>
      <c r="C77" s="5" t="s">
        <v>240</v>
      </c>
      <c r="D77" s="5" t="s">
        <v>241</v>
      </c>
      <c r="E77" s="5"/>
      <c r="F77" s="6">
        <v>0.0</v>
      </c>
      <c r="G77" s="5" t="s">
        <v>242</v>
      </c>
      <c r="H77" s="5"/>
    </row>
    <row r="78" ht="15.75" customHeight="1">
      <c r="A78" s="5" t="s">
        <v>250</v>
      </c>
      <c r="B78" s="5" t="s">
        <v>244</v>
      </c>
      <c r="C78" s="5" t="s">
        <v>240</v>
      </c>
      <c r="D78" s="5" t="s">
        <v>241</v>
      </c>
      <c r="E78" s="5"/>
      <c r="F78" s="6">
        <v>0.0</v>
      </c>
      <c r="G78" s="5" t="s">
        <v>242</v>
      </c>
      <c r="H78" s="5"/>
    </row>
    <row r="79" ht="15.75" customHeight="1">
      <c r="A79" s="5" t="s">
        <v>251</v>
      </c>
      <c r="B79" s="5" t="s">
        <v>244</v>
      </c>
      <c r="C79" s="5" t="s">
        <v>240</v>
      </c>
      <c r="D79" s="5" t="s">
        <v>241</v>
      </c>
      <c r="E79" s="5"/>
      <c r="F79" s="6">
        <v>0.0</v>
      </c>
      <c r="G79" s="5" t="s">
        <v>242</v>
      </c>
      <c r="H79" s="5"/>
    </row>
    <row r="80" ht="15.75" customHeight="1">
      <c r="A80" s="5" t="s">
        <v>252</v>
      </c>
      <c r="B80" s="5" t="s">
        <v>244</v>
      </c>
      <c r="C80" s="5" t="s">
        <v>240</v>
      </c>
      <c r="D80" s="5" t="s">
        <v>241</v>
      </c>
      <c r="E80" s="5"/>
      <c r="F80" s="6">
        <v>0.0</v>
      </c>
      <c r="G80" s="5" t="s">
        <v>242</v>
      </c>
      <c r="H80" s="5"/>
    </row>
    <row r="81" ht="15.75" customHeight="1">
      <c r="A81" s="5" t="s">
        <v>253</v>
      </c>
      <c r="B81" s="5"/>
      <c r="C81" s="5" t="s">
        <v>240</v>
      </c>
      <c r="D81" s="5" t="s">
        <v>241</v>
      </c>
      <c r="E81" s="5"/>
      <c r="F81" s="6">
        <v>0.0</v>
      </c>
      <c r="G81" s="5" t="s">
        <v>242</v>
      </c>
      <c r="H81" s="5"/>
    </row>
    <row r="82" ht="15.75" customHeight="1">
      <c r="A82" s="5" t="s">
        <v>254</v>
      </c>
      <c r="B82" s="5" t="s">
        <v>255</v>
      </c>
      <c r="C82" s="5" t="s">
        <v>240</v>
      </c>
      <c r="D82" s="5" t="s">
        <v>241</v>
      </c>
      <c r="E82" s="5"/>
      <c r="F82" s="6">
        <v>0.0</v>
      </c>
      <c r="G82" s="5" t="s">
        <v>242</v>
      </c>
      <c r="H82" s="5"/>
    </row>
    <row r="83" ht="15.75" customHeight="1">
      <c r="A83" s="5" t="s">
        <v>256</v>
      </c>
      <c r="B83" s="5" t="s">
        <v>255</v>
      </c>
      <c r="C83" s="5" t="s">
        <v>240</v>
      </c>
      <c r="D83" s="5" t="s">
        <v>241</v>
      </c>
      <c r="E83" s="5"/>
      <c r="F83" s="6">
        <v>0.0</v>
      </c>
      <c r="G83" s="5" t="s">
        <v>242</v>
      </c>
      <c r="H83" s="5"/>
    </row>
    <row r="84" ht="15.75" customHeight="1">
      <c r="A84" s="5" t="s">
        <v>257</v>
      </c>
      <c r="B84" s="5" t="s">
        <v>255</v>
      </c>
      <c r="C84" s="5" t="s">
        <v>240</v>
      </c>
      <c r="D84" s="5" t="s">
        <v>241</v>
      </c>
      <c r="E84" s="5"/>
      <c r="F84" s="6">
        <v>0.0</v>
      </c>
      <c r="G84" s="5" t="s">
        <v>242</v>
      </c>
      <c r="H84" s="5"/>
    </row>
    <row r="85" ht="15.75" customHeight="1">
      <c r="A85" s="5" t="s">
        <v>258</v>
      </c>
      <c r="B85" s="5" t="s">
        <v>255</v>
      </c>
      <c r="C85" s="5" t="s">
        <v>240</v>
      </c>
      <c r="D85" s="5" t="s">
        <v>241</v>
      </c>
      <c r="E85" s="5"/>
      <c r="F85" s="6">
        <v>0.0</v>
      </c>
      <c r="G85" s="5" t="s">
        <v>242</v>
      </c>
      <c r="H85" s="5"/>
    </row>
    <row r="86" ht="15.75" customHeight="1">
      <c r="A86" s="5" t="s">
        <v>259</v>
      </c>
      <c r="B86" s="5" t="s">
        <v>255</v>
      </c>
      <c r="C86" s="5" t="s">
        <v>240</v>
      </c>
      <c r="D86" s="5" t="s">
        <v>241</v>
      </c>
      <c r="E86" s="5"/>
      <c r="F86" s="6">
        <v>0.0</v>
      </c>
      <c r="G86" s="5" t="s">
        <v>242</v>
      </c>
      <c r="H86" s="5"/>
    </row>
    <row r="87" ht="15.75" customHeight="1">
      <c r="A87" s="5" t="s">
        <v>260</v>
      </c>
      <c r="B87" s="5" t="s">
        <v>255</v>
      </c>
      <c r="C87" s="5" t="s">
        <v>240</v>
      </c>
      <c r="D87" s="5" t="s">
        <v>241</v>
      </c>
      <c r="E87" s="5"/>
      <c r="F87" s="6">
        <v>0.0</v>
      </c>
      <c r="G87" s="5" t="s">
        <v>242</v>
      </c>
      <c r="H87" s="5"/>
    </row>
    <row r="88" ht="15.75" customHeight="1">
      <c r="A88" s="5" t="s">
        <v>261</v>
      </c>
      <c r="B88" s="5" t="s">
        <v>255</v>
      </c>
      <c r="C88" s="5" t="s">
        <v>240</v>
      </c>
      <c r="D88" s="5" t="s">
        <v>241</v>
      </c>
      <c r="E88" s="5"/>
      <c r="F88" s="6">
        <v>0.0</v>
      </c>
      <c r="G88" s="5" t="s">
        <v>242</v>
      </c>
      <c r="H88" s="5"/>
    </row>
    <row r="89" ht="15.75" customHeight="1">
      <c r="A89" s="5" t="s">
        <v>262</v>
      </c>
      <c r="B89" s="5" t="s">
        <v>255</v>
      </c>
      <c r="C89" s="5" t="s">
        <v>240</v>
      </c>
      <c r="D89" s="5" t="s">
        <v>241</v>
      </c>
      <c r="E89" s="5"/>
      <c r="F89" s="6">
        <v>0.0</v>
      </c>
      <c r="G89" s="5" t="s">
        <v>242</v>
      </c>
      <c r="H89" s="5"/>
    </row>
    <row r="90" ht="15.75" customHeight="1">
      <c r="A90" s="5" t="s">
        <v>263</v>
      </c>
      <c r="B90" s="5" t="s">
        <v>255</v>
      </c>
      <c r="C90" s="5" t="s">
        <v>240</v>
      </c>
      <c r="D90" s="5" t="s">
        <v>241</v>
      </c>
      <c r="E90" s="5"/>
      <c r="F90" s="6">
        <v>0.0</v>
      </c>
      <c r="G90" s="5" t="s">
        <v>242</v>
      </c>
      <c r="H90" s="5"/>
    </row>
    <row r="91" ht="15.75" customHeight="1"/>
    <row r="92" ht="15.75" customHeight="1"/>
    <row r="93" ht="15.75" customHeight="1">
      <c r="A93" s="3" t="s">
        <v>264</v>
      </c>
    </row>
    <row r="94" ht="15.75" customHeight="1">
      <c r="A94" s="4" t="s">
        <v>265</v>
      </c>
      <c r="B94" s="4" t="s">
        <v>266</v>
      </c>
      <c r="C94" s="4" t="s">
        <v>62</v>
      </c>
      <c r="D94" s="4" t="s">
        <v>63</v>
      </c>
      <c r="E94" s="4" t="s">
        <v>267</v>
      </c>
      <c r="F94" s="4" t="s">
        <v>268</v>
      </c>
    </row>
    <row r="95" ht="15.75" customHeight="1">
      <c r="A95" s="5" t="s">
        <v>269</v>
      </c>
      <c r="B95" s="5" t="s">
        <v>270</v>
      </c>
      <c r="C95" s="5"/>
      <c r="D95" s="5"/>
      <c r="E95" s="5" t="s">
        <v>271</v>
      </c>
      <c r="F95" s="5">
        <v>0.0</v>
      </c>
    </row>
    <row r="96" ht="15.75" customHeight="1">
      <c r="A96" s="5" t="s">
        <v>272</v>
      </c>
      <c r="B96" s="5" t="s">
        <v>273</v>
      </c>
      <c r="C96" s="5"/>
      <c r="D96" s="5"/>
      <c r="E96" s="5" t="s">
        <v>271</v>
      </c>
      <c r="F96" s="5">
        <v>0.0</v>
      </c>
    </row>
    <row r="97" ht="15.75" customHeight="1">
      <c r="A97" s="5" t="s">
        <v>274</v>
      </c>
      <c r="B97" s="5" t="s">
        <v>275</v>
      </c>
      <c r="C97" s="5"/>
      <c r="D97" s="5"/>
      <c r="E97" s="5" t="s">
        <v>271</v>
      </c>
      <c r="F97" s="5">
        <v>0.0</v>
      </c>
    </row>
    <row r="98" ht="15.75" customHeight="1">
      <c r="A98" s="5" t="s">
        <v>276</v>
      </c>
      <c r="B98" s="5" t="s">
        <v>277</v>
      </c>
      <c r="C98" s="5" t="s">
        <v>278</v>
      </c>
      <c r="D98" s="5"/>
      <c r="E98" s="5" t="s">
        <v>271</v>
      </c>
      <c r="F98" s="5">
        <v>0.0</v>
      </c>
    </row>
    <row r="99" ht="15.75" customHeight="1">
      <c r="A99" s="5" t="s">
        <v>279</v>
      </c>
      <c r="B99" s="5" t="s">
        <v>280</v>
      </c>
      <c r="C99" s="5"/>
      <c r="D99" s="5"/>
      <c r="E99" s="5" t="s">
        <v>271</v>
      </c>
      <c r="F99" s="5">
        <v>0.0</v>
      </c>
    </row>
    <row r="100" ht="15.75" customHeight="1">
      <c r="A100" s="5" t="s">
        <v>281</v>
      </c>
      <c r="B100" s="5" t="s">
        <v>282</v>
      </c>
      <c r="C100" s="5"/>
      <c r="D100" s="5"/>
      <c r="E100" s="5" t="s">
        <v>271</v>
      </c>
      <c r="F100" s="5">
        <v>0.0</v>
      </c>
    </row>
    <row r="101" ht="15.75" customHeight="1">
      <c r="A101" s="5" t="s">
        <v>283</v>
      </c>
      <c r="B101" s="5" t="s">
        <v>284</v>
      </c>
      <c r="C101" s="5"/>
      <c r="D101" s="5"/>
      <c r="E101" s="5" t="s">
        <v>271</v>
      </c>
      <c r="F101" s="5">
        <v>0.0</v>
      </c>
    </row>
    <row r="102" ht="15.75" customHeight="1">
      <c r="A102" s="5" t="s">
        <v>285</v>
      </c>
      <c r="B102" s="5" t="s">
        <v>286</v>
      </c>
      <c r="C102" s="5" t="s">
        <v>287</v>
      </c>
      <c r="D102" s="5"/>
      <c r="E102" s="5" t="s">
        <v>271</v>
      </c>
      <c r="F102" s="5">
        <v>0.0</v>
      </c>
    </row>
    <row r="103" ht="15.75" customHeight="1">
      <c r="A103" s="5" t="s">
        <v>288</v>
      </c>
      <c r="B103" s="5" t="s">
        <v>289</v>
      </c>
      <c r="C103" s="5"/>
      <c r="D103" s="5"/>
      <c r="E103" s="5" t="s">
        <v>271</v>
      </c>
      <c r="F103" s="5">
        <v>0.0</v>
      </c>
    </row>
    <row r="104" ht="15.75" customHeight="1">
      <c r="A104" s="5" t="s">
        <v>290</v>
      </c>
      <c r="B104" s="5" t="s">
        <v>291</v>
      </c>
      <c r="C104" s="5"/>
      <c r="D104" s="5"/>
      <c r="E104" s="5" t="s">
        <v>271</v>
      </c>
      <c r="F104" s="5">
        <v>0.0</v>
      </c>
    </row>
    <row r="105" ht="15.75" customHeight="1">
      <c r="A105" s="5" t="s">
        <v>292</v>
      </c>
      <c r="B105" s="5" t="s">
        <v>293</v>
      </c>
      <c r="C105" s="5"/>
      <c r="D105" s="5"/>
      <c r="E105" s="5" t="s">
        <v>271</v>
      </c>
      <c r="F105" s="5">
        <v>0.0</v>
      </c>
    </row>
    <row r="106" ht="15.75" customHeight="1">
      <c r="A106" s="5" t="s">
        <v>294</v>
      </c>
      <c r="B106" s="5" t="s">
        <v>295</v>
      </c>
      <c r="C106" s="5"/>
      <c r="D106" s="5"/>
      <c r="E106" s="5" t="s">
        <v>271</v>
      </c>
      <c r="F106" s="5">
        <v>0.0</v>
      </c>
    </row>
    <row r="107" ht="15.75" customHeight="1">
      <c r="A107" s="5" t="s">
        <v>296</v>
      </c>
      <c r="B107" s="5" t="s">
        <v>297</v>
      </c>
      <c r="C107" s="5"/>
      <c r="D107" s="5"/>
      <c r="E107" s="5" t="s">
        <v>271</v>
      </c>
      <c r="F107" s="5">
        <v>0.0</v>
      </c>
    </row>
    <row r="108" ht="15.75" customHeight="1">
      <c r="A108" s="5" t="s">
        <v>298</v>
      </c>
      <c r="B108" s="5" t="s">
        <v>299</v>
      </c>
      <c r="C108" s="5" t="s">
        <v>300</v>
      </c>
      <c r="D108" s="5"/>
      <c r="E108" s="5" t="s">
        <v>271</v>
      </c>
      <c r="F108" s="5">
        <v>0.0</v>
      </c>
    </row>
    <row r="109" ht="15.75" customHeight="1">
      <c r="A109" s="5" t="s">
        <v>301</v>
      </c>
      <c r="B109" s="5" t="s">
        <v>302</v>
      </c>
      <c r="C109" s="5" t="s">
        <v>303</v>
      </c>
      <c r="D109" s="5"/>
      <c r="E109" s="5" t="s">
        <v>271</v>
      </c>
      <c r="F109" s="5">
        <v>0.0</v>
      </c>
    </row>
    <row r="110" ht="15.75" customHeight="1">
      <c r="A110" s="5" t="s">
        <v>304</v>
      </c>
      <c r="B110" s="5" t="s">
        <v>305</v>
      </c>
      <c r="C110" s="5"/>
      <c r="D110" s="5"/>
      <c r="E110" s="5" t="s">
        <v>271</v>
      </c>
      <c r="F110" s="5">
        <v>0.0</v>
      </c>
    </row>
    <row r="111" ht="15.75" customHeight="1">
      <c r="A111" s="5" t="s">
        <v>306</v>
      </c>
      <c r="B111" s="5" t="s">
        <v>307</v>
      </c>
      <c r="C111" s="5" t="s">
        <v>308</v>
      </c>
      <c r="D111" s="5"/>
      <c r="E111" s="5" t="s">
        <v>271</v>
      </c>
      <c r="F111" s="5">
        <v>0.0</v>
      </c>
    </row>
    <row r="112" ht="15.75" customHeight="1">
      <c r="A112" s="5" t="s">
        <v>309</v>
      </c>
      <c r="B112" s="5" t="s">
        <v>310</v>
      </c>
      <c r="C112" s="5"/>
      <c r="D112" s="5"/>
      <c r="E112" s="5" t="s">
        <v>271</v>
      </c>
      <c r="F112" s="5">
        <v>0.0</v>
      </c>
    </row>
    <row r="113" ht="15.75" customHeight="1">
      <c r="A113" s="5" t="s">
        <v>311</v>
      </c>
      <c r="B113" s="5" t="s">
        <v>312</v>
      </c>
      <c r="C113" s="5"/>
      <c r="D113" s="5"/>
      <c r="E113" s="5" t="s">
        <v>271</v>
      </c>
      <c r="F113" s="5">
        <v>0.0</v>
      </c>
    </row>
    <row r="114" ht="15.75" customHeight="1">
      <c r="A114" s="5" t="s">
        <v>313</v>
      </c>
      <c r="B114" s="5" t="s">
        <v>314</v>
      </c>
      <c r="C114" s="5"/>
      <c r="D114" s="5"/>
      <c r="E114" s="5" t="s">
        <v>271</v>
      </c>
      <c r="F114" s="5">
        <v>0.0</v>
      </c>
    </row>
    <row r="115" ht="15.75" customHeight="1">
      <c r="A115" s="5" t="s">
        <v>315</v>
      </c>
      <c r="B115" s="5" t="s">
        <v>316</v>
      </c>
      <c r="C115" s="5"/>
      <c r="D115" s="5"/>
      <c r="E115" s="5" t="s">
        <v>271</v>
      </c>
      <c r="F115" s="5">
        <v>0.0</v>
      </c>
    </row>
    <row r="116" ht="15.75" customHeight="1">
      <c r="A116" s="5" t="s">
        <v>317</v>
      </c>
      <c r="B116" s="5" t="s">
        <v>318</v>
      </c>
      <c r="C116" s="5" t="s">
        <v>319</v>
      </c>
      <c r="D116" s="5"/>
      <c r="E116" s="5" t="s">
        <v>271</v>
      </c>
      <c r="F116" s="5">
        <v>0.0</v>
      </c>
    </row>
    <row r="117" ht="15.75" customHeight="1">
      <c r="A117" s="5" t="s">
        <v>320</v>
      </c>
      <c r="B117" s="5" t="s">
        <v>321</v>
      </c>
      <c r="C117" s="5"/>
      <c r="D117" s="5"/>
      <c r="E117" s="5" t="s">
        <v>271</v>
      </c>
      <c r="F117" s="5">
        <v>0.0</v>
      </c>
    </row>
    <row r="118" ht="15.75" customHeight="1">
      <c r="A118" s="5" t="s">
        <v>322</v>
      </c>
      <c r="B118" s="5" t="s">
        <v>323</v>
      </c>
      <c r="C118" s="5" t="s">
        <v>324</v>
      </c>
      <c r="D118" s="5"/>
      <c r="E118" s="5" t="s">
        <v>271</v>
      </c>
      <c r="F118" s="5">
        <v>0.0</v>
      </c>
    </row>
    <row r="119" ht="15.75" customHeight="1">
      <c r="A119" s="5" t="s">
        <v>325</v>
      </c>
      <c r="B119" s="5" t="s">
        <v>326</v>
      </c>
      <c r="C119" s="5"/>
      <c r="D119" s="5"/>
      <c r="E119" s="5" t="s">
        <v>271</v>
      </c>
      <c r="F119" s="5">
        <v>0.0</v>
      </c>
    </row>
    <row r="120" ht="15.75" customHeight="1">
      <c r="A120" s="5" t="s">
        <v>327</v>
      </c>
      <c r="B120" s="5" t="s">
        <v>328</v>
      </c>
      <c r="C120" s="5" t="s">
        <v>329</v>
      </c>
      <c r="D120" s="5"/>
      <c r="E120" s="5" t="s">
        <v>271</v>
      </c>
      <c r="F120" s="5">
        <v>0.0</v>
      </c>
    </row>
    <row r="121" ht="15.75" customHeight="1">
      <c r="A121" s="5" t="s">
        <v>330</v>
      </c>
      <c r="B121" s="5" t="s">
        <v>331</v>
      </c>
      <c r="C121" s="5"/>
      <c r="D121" s="5"/>
      <c r="E121" s="5" t="s">
        <v>271</v>
      </c>
      <c r="F121" s="5">
        <v>0.0</v>
      </c>
    </row>
    <row r="122" ht="15.75" customHeight="1">
      <c r="A122" s="5" t="s">
        <v>332</v>
      </c>
      <c r="B122" s="5" t="s">
        <v>333</v>
      </c>
      <c r="C122" s="5"/>
      <c r="D122" s="5"/>
      <c r="E122" s="5" t="s">
        <v>271</v>
      </c>
      <c r="F122" s="5">
        <v>0.0</v>
      </c>
    </row>
    <row r="123" ht="15.75" customHeight="1">
      <c r="A123" s="5" t="s">
        <v>334</v>
      </c>
      <c r="B123" s="5" t="s">
        <v>335</v>
      </c>
      <c r="C123" s="5"/>
      <c r="D123" s="5"/>
      <c r="E123" s="5" t="s">
        <v>271</v>
      </c>
      <c r="F123" s="5">
        <v>0.0</v>
      </c>
    </row>
    <row r="124" ht="15.75" customHeight="1">
      <c r="A124" s="5" t="s">
        <v>336</v>
      </c>
      <c r="B124" s="5" t="s">
        <v>337</v>
      </c>
      <c r="C124" s="5"/>
      <c r="D124" s="5"/>
      <c r="E124" s="5" t="s">
        <v>271</v>
      </c>
      <c r="F124" s="5">
        <v>0.0</v>
      </c>
    </row>
    <row r="125" ht="15.75" customHeight="1">
      <c r="A125" s="5" t="s">
        <v>338</v>
      </c>
      <c r="B125" s="5" t="s">
        <v>339</v>
      </c>
      <c r="C125" s="5"/>
      <c r="D125" s="5"/>
      <c r="E125" s="5" t="s">
        <v>271</v>
      </c>
      <c r="F125" s="5">
        <v>0.0</v>
      </c>
    </row>
    <row r="126" ht="15.75" customHeight="1">
      <c r="A126" s="5" t="s">
        <v>340</v>
      </c>
      <c r="B126" s="5" t="s">
        <v>341</v>
      </c>
      <c r="C126" s="5"/>
      <c r="D126" s="5"/>
      <c r="E126" s="5" t="s">
        <v>271</v>
      </c>
      <c r="F126" s="5">
        <v>0.0</v>
      </c>
    </row>
    <row r="127" ht="15.75" customHeight="1">
      <c r="A127" s="5" t="s">
        <v>342</v>
      </c>
      <c r="B127" s="5" t="s">
        <v>343</v>
      </c>
      <c r="C127" s="5"/>
      <c r="D127" s="5"/>
      <c r="E127" s="5" t="s">
        <v>271</v>
      </c>
      <c r="F127" s="5">
        <v>0.0</v>
      </c>
    </row>
    <row r="128" ht="15.75" customHeight="1">
      <c r="A128" s="5" t="s">
        <v>344</v>
      </c>
      <c r="B128" s="5" t="s">
        <v>345</v>
      </c>
      <c r="C128" s="5"/>
      <c r="D128" s="5"/>
      <c r="E128" s="5" t="s">
        <v>271</v>
      </c>
      <c r="F128" s="5">
        <v>0.0</v>
      </c>
    </row>
    <row r="129" ht="15.75" customHeight="1">
      <c r="A129" s="5" t="s">
        <v>346</v>
      </c>
      <c r="B129" s="5" t="s">
        <v>347</v>
      </c>
      <c r="C129" s="5"/>
      <c r="D129" s="5"/>
      <c r="E129" s="5" t="s">
        <v>271</v>
      </c>
      <c r="F129" s="5">
        <v>0.0</v>
      </c>
    </row>
    <row r="130" ht="15.75" customHeight="1">
      <c r="A130" s="5" t="s">
        <v>348</v>
      </c>
      <c r="B130" s="5" t="s">
        <v>349</v>
      </c>
      <c r="C130" s="5"/>
      <c r="D130" s="5"/>
      <c r="E130" s="5" t="s">
        <v>271</v>
      </c>
      <c r="F130" s="5">
        <v>0.0</v>
      </c>
    </row>
    <row r="131" ht="15.75" customHeight="1">
      <c r="A131" s="5" t="s">
        <v>350</v>
      </c>
      <c r="B131" s="5" t="s">
        <v>351</v>
      </c>
      <c r="C131" s="5"/>
      <c r="D131" s="5"/>
      <c r="E131" s="5" t="s">
        <v>271</v>
      </c>
      <c r="F131" s="5">
        <v>0.0</v>
      </c>
    </row>
    <row r="132" ht="15.75" customHeight="1">
      <c r="A132" s="5" t="s">
        <v>352</v>
      </c>
      <c r="B132" s="5" t="s">
        <v>353</v>
      </c>
      <c r="C132" s="5"/>
      <c r="D132" s="5"/>
      <c r="E132" s="5" t="s">
        <v>271</v>
      </c>
      <c r="F132" s="5">
        <v>0.0</v>
      </c>
    </row>
    <row r="133" ht="15.75" customHeight="1">
      <c r="A133" s="5" t="s">
        <v>354</v>
      </c>
      <c r="B133" s="5" t="s">
        <v>355</v>
      </c>
      <c r="C133" s="5"/>
      <c r="D133" s="5"/>
      <c r="E133" s="5" t="s">
        <v>271</v>
      </c>
      <c r="F133" s="5">
        <v>0.0</v>
      </c>
    </row>
    <row r="134" ht="15.75" customHeight="1">
      <c r="A134" s="5" t="s">
        <v>356</v>
      </c>
      <c r="B134" s="5" t="s">
        <v>357</v>
      </c>
      <c r="C134" s="5"/>
      <c r="D134" s="5"/>
      <c r="E134" s="5" t="s">
        <v>271</v>
      </c>
      <c r="F134" s="5">
        <v>0.0</v>
      </c>
    </row>
    <row r="135" ht="15.75" customHeight="1">
      <c r="A135" s="5" t="s">
        <v>358</v>
      </c>
      <c r="B135" s="5" t="s">
        <v>359</v>
      </c>
      <c r="C135" s="5"/>
      <c r="D135" s="5"/>
      <c r="E135" s="5" t="s">
        <v>271</v>
      </c>
      <c r="F135" s="5">
        <v>0.0</v>
      </c>
    </row>
    <row r="136" ht="15.75" customHeight="1">
      <c r="A136" s="5" t="s">
        <v>360</v>
      </c>
      <c r="B136" s="5" t="s">
        <v>361</v>
      </c>
      <c r="C136" s="5"/>
      <c r="D136" s="5"/>
      <c r="E136" s="5" t="s">
        <v>271</v>
      </c>
      <c r="F136" s="5">
        <v>0.0</v>
      </c>
    </row>
    <row r="137" ht="15.75" customHeight="1">
      <c r="A137" s="5" t="s">
        <v>362</v>
      </c>
      <c r="B137" s="5" t="s">
        <v>363</v>
      </c>
      <c r="C137" s="5"/>
      <c r="D137" s="5"/>
      <c r="E137" s="5" t="s">
        <v>271</v>
      </c>
      <c r="F137" s="5">
        <v>0.0</v>
      </c>
    </row>
    <row r="138" ht="15.75" customHeight="1">
      <c r="A138" s="5" t="s">
        <v>364</v>
      </c>
      <c r="B138" s="5" t="s">
        <v>365</v>
      </c>
      <c r="C138" s="5"/>
      <c r="D138" s="5"/>
      <c r="E138" s="5" t="s">
        <v>271</v>
      </c>
      <c r="F138" s="5">
        <v>0.0</v>
      </c>
    </row>
    <row r="139" ht="15.75" customHeight="1">
      <c r="A139" s="5" t="s">
        <v>366</v>
      </c>
      <c r="B139" s="5" t="s">
        <v>367</v>
      </c>
      <c r="C139" s="5"/>
      <c r="D139" s="5"/>
      <c r="E139" s="5" t="s">
        <v>271</v>
      </c>
      <c r="F139" s="5">
        <v>0.0</v>
      </c>
    </row>
    <row r="140" ht="15.75" customHeight="1">
      <c r="A140" s="5" t="s">
        <v>368</v>
      </c>
      <c r="B140" s="5" t="s">
        <v>369</v>
      </c>
      <c r="C140" s="5"/>
      <c r="D140" s="5"/>
      <c r="E140" s="5" t="s">
        <v>271</v>
      </c>
      <c r="F140" s="5">
        <v>0.0</v>
      </c>
    </row>
    <row r="141" ht="15.75" customHeight="1">
      <c r="A141" s="5" t="s">
        <v>370</v>
      </c>
      <c r="B141" s="5" t="s">
        <v>371</v>
      </c>
      <c r="C141" s="5"/>
      <c r="D141" s="5"/>
      <c r="E141" s="5" t="s">
        <v>271</v>
      </c>
      <c r="F141" s="5">
        <v>0.0</v>
      </c>
    </row>
    <row r="142" ht="15.75" customHeight="1">
      <c r="A142" s="5" t="s">
        <v>372</v>
      </c>
      <c r="B142" s="5" t="s">
        <v>373</v>
      </c>
      <c r="C142" s="5"/>
      <c r="D142" s="5"/>
      <c r="E142" s="5" t="s">
        <v>271</v>
      </c>
      <c r="F142" s="5">
        <v>0.0</v>
      </c>
    </row>
    <row r="143" ht="15.75" customHeight="1">
      <c r="A143" s="5" t="s">
        <v>374</v>
      </c>
      <c r="B143" s="5" t="s">
        <v>375</v>
      </c>
      <c r="C143" s="5" t="s">
        <v>376</v>
      </c>
      <c r="D143" s="5"/>
      <c r="E143" s="5" t="s">
        <v>271</v>
      </c>
      <c r="F143" s="5">
        <v>0.0</v>
      </c>
    </row>
    <row r="144" ht="15.75" customHeight="1">
      <c r="A144" s="5" t="s">
        <v>377</v>
      </c>
      <c r="B144" s="5" t="s">
        <v>378</v>
      </c>
      <c r="C144" s="5"/>
      <c r="D144" s="5"/>
      <c r="E144" s="5" t="s">
        <v>271</v>
      </c>
      <c r="F144" s="5">
        <v>0.0</v>
      </c>
    </row>
    <row r="145" ht="15.75" customHeight="1">
      <c r="A145" s="5" t="s">
        <v>379</v>
      </c>
      <c r="B145" s="5" t="s">
        <v>380</v>
      </c>
      <c r="C145" s="5"/>
      <c r="D145" s="5"/>
      <c r="E145" s="5" t="s">
        <v>271</v>
      </c>
      <c r="F145" s="5">
        <v>0.0</v>
      </c>
    </row>
    <row r="146" ht="15.75" customHeight="1">
      <c r="A146" s="5" t="s">
        <v>381</v>
      </c>
      <c r="B146" s="5" t="s">
        <v>382</v>
      </c>
      <c r="C146" s="5" t="s">
        <v>383</v>
      </c>
      <c r="D146" s="5"/>
      <c r="E146" s="5" t="s">
        <v>271</v>
      </c>
      <c r="F146" s="5">
        <v>0.0</v>
      </c>
    </row>
    <row r="147" ht="15.75" customHeight="1">
      <c r="A147" s="5" t="s">
        <v>384</v>
      </c>
      <c r="B147" s="5" t="s">
        <v>385</v>
      </c>
      <c r="C147" s="5"/>
      <c r="D147" s="5"/>
      <c r="E147" s="5" t="s">
        <v>271</v>
      </c>
      <c r="F147" s="5">
        <v>0.0</v>
      </c>
    </row>
    <row r="148" ht="15.75" customHeight="1">
      <c r="A148" s="5" t="s">
        <v>386</v>
      </c>
      <c r="B148" s="5" t="s">
        <v>387</v>
      </c>
      <c r="C148" s="5"/>
      <c r="D148" s="5"/>
      <c r="E148" s="5" t="s">
        <v>271</v>
      </c>
      <c r="F148" s="5">
        <v>0.0</v>
      </c>
    </row>
    <row r="149" ht="15.75" customHeight="1">
      <c r="A149" s="5" t="s">
        <v>388</v>
      </c>
      <c r="B149" s="5" t="s">
        <v>389</v>
      </c>
      <c r="C149" s="5"/>
      <c r="D149" s="5"/>
      <c r="E149" s="5" t="s">
        <v>271</v>
      </c>
      <c r="F149" s="5">
        <v>0.0</v>
      </c>
    </row>
    <row r="150" ht="15.75" customHeight="1">
      <c r="A150" s="5" t="s">
        <v>390</v>
      </c>
      <c r="B150" s="5" t="s">
        <v>391</v>
      </c>
      <c r="C150" s="5"/>
      <c r="D150" s="5"/>
      <c r="E150" s="5" t="s">
        <v>271</v>
      </c>
      <c r="F150" s="5">
        <v>0.0</v>
      </c>
    </row>
    <row r="151" ht="15.75" customHeight="1">
      <c r="A151" s="5" t="s">
        <v>392</v>
      </c>
      <c r="B151" s="5" t="s">
        <v>393</v>
      </c>
      <c r="C151" s="5"/>
      <c r="D151" s="5"/>
      <c r="E151" s="5" t="s">
        <v>271</v>
      </c>
      <c r="F151" s="5">
        <v>0.0</v>
      </c>
    </row>
    <row r="152" ht="15.75" customHeight="1">
      <c r="A152" s="5" t="s">
        <v>394</v>
      </c>
      <c r="B152" s="5" t="s">
        <v>395</v>
      </c>
      <c r="C152" s="5" t="s">
        <v>396</v>
      </c>
      <c r="D152" s="5"/>
      <c r="E152" s="5" t="s">
        <v>271</v>
      </c>
      <c r="F152" s="5">
        <v>0.0</v>
      </c>
    </row>
    <row r="153" ht="15.75" customHeight="1">
      <c r="A153" s="5" t="s">
        <v>397</v>
      </c>
      <c r="B153" s="5" t="s">
        <v>398</v>
      </c>
      <c r="C153" s="5"/>
      <c r="D153" s="5"/>
      <c r="E153" s="5" t="s">
        <v>271</v>
      </c>
      <c r="F153" s="5">
        <v>0.0</v>
      </c>
    </row>
    <row r="154" ht="15.75" customHeight="1">
      <c r="A154" s="5" t="s">
        <v>399</v>
      </c>
      <c r="B154" s="5" t="s">
        <v>400</v>
      </c>
      <c r="C154" s="5" t="s">
        <v>401</v>
      </c>
      <c r="D154" s="5"/>
      <c r="E154" s="5" t="s">
        <v>271</v>
      </c>
      <c r="F154" s="5">
        <v>0.0</v>
      </c>
    </row>
    <row r="155" ht="15.75" customHeight="1">
      <c r="A155" s="5" t="s">
        <v>402</v>
      </c>
      <c r="B155" s="5" t="s">
        <v>403</v>
      </c>
      <c r="C155" s="5" t="s">
        <v>404</v>
      </c>
      <c r="D155" s="5"/>
      <c r="E155" s="5" t="s">
        <v>271</v>
      </c>
      <c r="F155" s="5">
        <v>0.0</v>
      </c>
    </row>
    <row r="156" ht="15.75" customHeight="1">
      <c r="A156" s="5" t="s">
        <v>405</v>
      </c>
      <c r="B156" s="5" t="s">
        <v>406</v>
      </c>
      <c r="C156" s="5" t="s">
        <v>407</v>
      </c>
      <c r="D156" s="5"/>
      <c r="E156" s="5" t="s">
        <v>271</v>
      </c>
      <c r="F156" s="5">
        <v>0.0</v>
      </c>
    </row>
    <row r="157" ht="15.75" customHeight="1">
      <c r="A157" s="5" t="s">
        <v>408</v>
      </c>
      <c r="B157" s="5" t="s">
        <v>409</v>
      </c>
      <c r="C157" s="5"/>
      <c r="D157" s="5"/>
      <c r="E157" s="5" t="s">
        <v>271</v>
      </c>
      <c r="F157" s="5">
        <v>0.0</v>
      </c>
    </row>
    <row r="158" ht="15.75" customHeight="1">
      <c r="A158" s="5" t="s">
        <v>410</v>
      </c>
      <c r="B158" s="5" t="s">
        <v>411</v>
      </c>
      <c r="C158" s="5" t="s">
        <v>412</v>
      </c>
      <c r="D158" s="5"/>
      <c r="E158" s="5" t="s">
        <v>271</v>
      </c>
      <c r="F158" s="5">
        <v>0.0</v>
      </c>
    </row>
    <row r="159" ht="15.75" customHeight="1">
      <c r="A159" s="5" t="s">
        <v>413</v>
      </c>
      <c r="B159" s="5" t="s">
        <v>414</v>
      </c>
      <c r="C159" s="5"/>
      <c r="D159" s="5"/>
      <c r="E159" s="5" t="s">
        <v>271</v>
      </c>
      <c r="F159" s="5">
        <v>0.0</v>
      </c>
    </row>
    <row r="160" ht="15.75" customHeight="1">
      <c r="A160" s="5" t="s">
        <v>415</v>
      </c>
      <c r="B160" s="5" t="s">
        <v>416</v>
      </c>
      <c r="C160" s="5"/>
      <c r="D160" s="5"/>
      <c r="E160" s="5" t="s">
        <v>271</v>
      </c>
      <c r="F160" s="5">
        <v>0.0</v>
      </c>
    </row>
    <row r="161" ht="15.75" customHeight="1">
      <c r="A161" s="5" t="s">
        <v>417</v>
      </c>
      <c r="B161" s="5" t="s">
        <v>418</v>
      </c>
      <c r="C161" s="5"/>
      <c r="D161" s="5"/>
      <c r="E161" s="5" t="s">
        <v>271</v>
      </c>
      <c r="F161" s="5">
        <v>0.0</v>
      </c>
    </row>
    <row r="162" ht="15.75" customHeight="1">
      <c r="A162" s="5" t="s">
        <v>419</v>
      </c>
      <c r="B162" s="5" t="s">
        <v>420</v>
      </c>
      <c r="C162" s="5" t="s">
        <v>421</v>
      </c>
      <c r="D162" s="5"/>
      <c r="E162" s="5" t="s">
        <v>271</v>
      </c>
      <c r="F162" s="5">
        <v>0.0</v>
      </c>
    </row>
    <row r="163" ht="15.75" customHeight="1">
      <c r="A163" s="5" t="s">
        <v>422</v>
      </c>
      <c r="B163" s="5" t="s">
        <v>423</v>
      </c>
      <c r="C163" s="5"/>
      <c r="D163" s="5"/>
      <c r="E163" s="5" t="s">
        <v>271</v>
      </c>
      <c r="F163" s="5">
        <v>0.0</v>
      </c>
    </row>
    <row r="164" ht="15.75" customHeight="1">
      <c r="A164" s="5" t="s">
        <v>424</v>
      </c>
      <c r="B164" s="5" t="s">
        <v>425</v>
      </c>
      <c r="C164" s="5"/>
      <c r="D164" s="5"/>
      <c r="E164" s="5" t="s">
        <v>271</v>
      </c>
      <c r="F164" s="5">
        <v>0.0</v>
      </c>
    </row>
    <row r="165" ht="15.75" customHeight="1">
      <c r="A165" s="5" t="s">
        <v>426</v>
      </c>
      <c r="B165" s="5" t="s">
        <v>427</v>
      </c>
      <c r="C165" s="5"/>
      <c r="D165" s="5"/>
      <c r="E165" s="5" t="s">
        <v>271</v>
      </c>
      <c r="F165" s="5">
        <v>0.0</v>
      </c>
    </row>
    <row r="166" ht="15.75" customHeight="1">
      <c r="A166" s="5" t="s">
        <v>428</v>
      </c>
      <c r="B166" s="5" t="s">
        <v>429</v>
      </c>
      <c r="C166" s="5"/>
      <c r="D166" s="5"/>
      <c r="E166" s="5" t="s">
        <v>271</v>
      </c>
      <c r="F166" s="5">
        <v>0.0</v>
      </c>
    </row>
    <row r="167" ht="15.75" customHeight="1">
      <c r="A167" s="5" t="s">
        <v>430</v>
      </c>
      <c r="B167" s="5" t="s">
        <v>431</v>
      </c>
      <c r="C167" s="5"/>
      <c r="D167" s="5"/>
      <c r="E167" s="5" t="s">
        <v>271</v>
      </c>
      <c r="F167" s="5">
        <v>0.0</v>
      </c>
    </row>
    <row r="168" ht="15.75" customHeight="1">
      <c r="A168" s="5" t="s">
        <v>432</v>
      </c>
      <c r="B168" s="5" t="s">
        <v>433</v>
      </c>
      <c r="C168" s="5" t="s">
        <v>434</v>
      </c>
      <c r="D168" s="5"/>
      <c r="E168" s="5" t="s">
        <v>271</v>
      </c>
      <c r="F168" s="5">
        <v>0.0</v>
      </c>
    </row>
    <row r="169" ht="15.75" customHeight="1">
      <c r="A169" s="5" t="s">
        <v>435</v>
      </c>
      <c r="B169" s="5" t="s">
        <v>436</v>
      </c>
      <c r="C169" s="5"/>
      <c r="D169" s="5"/>
      <c r="E169" s="5" t="s">
        <v>271</v>
      </c>
      <c r="F169" s="5">
        <v>0.0</v>
      </c>
    </row>
    <row r="170" ht="15.75" customHeight="1">
      <c r="A170" s="5" t="s">
        <v>437</v>
      </c>
      <c r="B170" s="5" t="s">
        <v>438</v>
      </c>
      <c r="C170" s="5" t="s">
        <v>439</v>
      </c>
      <c r="D170" s="5"/>
      <c r="E170" s="5" t="s">
        <v>271</v>
      </c>
      <c r="F170" s="5">
        <v>0.0</v>
      </c>
    </row>
    <row r="171" ht="15.75" customHeight="1">
      <c r="A171" s="5" t="s">
        <v>440</v>
      </c>
      <c r="B171" s="5" t="s">
        <v>441</v>
      </c>
      <c r="C171" s="5"/>
      <c r="D171" s="5"/>
      <c r="E171" s="5" t="s">
        <v>271</v>
      </c>
      <c r="F171" s="5">
        <v>0.0</v>
      </c>
    </row>
    <row r="172" ht="15.75" customHeight="1">
      <c r="A172" s="5" t="s">
        <v>442</v>
      </c>
      <c r="B172" s="5" t="s">
        <v>443</v>
      </c>
      <c r="C172" s="5"/>
      <c r="D172" s="5"/>
      <c r="E172" s="5" t="s">
        <v>271</v>
      </c>
      <c r="F172" s="5">
        <v>0.0</v>
      </c>
    </row>
    <row r="173" ht="15.75" customHeight="1">
      <c r="A173" s="5" t="s">
        <v>444</v>
      </c>
      <c r="B173" s="5" t="s">
        <v>445</v>
      </c>
      <c r="C173" s="5"/>
      <c r="D173" s="5"/>
      <c r="E173" s="5" t="s">
        <v>271</v>
      </c>
      <c r="F173" s="5">
        <v>0.0</v>
      </c>
    </row>
    <row r="174" ht="15.75" customHeight="1">
      <c r="A174" s="5" t="s">
        <v>446</v>
      </c>
      <c r="B174" s="5" t="s">
        <v>447</v>
      </c>
      <c r="C174" s="5"/>
      <c r="D174" s="5"/>
      <c r="E174" s="5" t="s">
        <v>271</v>
      </c>
      <c r="F174" s="5">
        <v>0.0</v>
      </c>
    </row>
    <row r="175" ht="15.75" customHeight="1">
      <c r="A175" s="5" t="s">
        <v>448</v>
      </c>
      <c r="B175" s="5" t="s">
        <v>449</v>
      </c>
      <c r="C175" s="5"/>
      <c r="D175" s="5"/>
      <c r="E175" s="5" t="s">
        <v>271</v>
      </c>
      <c r="F175" s="5">
        <v>0.0</v>
      </c>
    </row>
    <row r="176" ht="15.75" customHeight="1">
      <c r="A176" s="5" t="s">
        <v>450</v>
      </c>
      <c r="B176" s="5" t="s">
        <v>451</v>
      </c>
      <c r="C176" s="5"/>
      <c r="D176" s="5"/>
      <c r="E176" s="5" t="s">
        <v>271</v>
      </c>
      <c r="F176" s="5">
        <v>0.0</v>
      </c>
    </row>
    <row r="177" ht="15.75" customHeight="1">
      <c r="A177" s="5" t="s">
        <v>452</v>
      </c>
      <c r="B177" s="5" t="s">
        <v>453</v>
      </c>
      <c r="C177" s="5" t="s">
        <v>454</v>
      </c>
      <c r="D177" s="5"/>
      <c r="E177" s="5" t="s">
        <v>271</v>
      </c>
      <c r="F177" s="5">
        <v>0.0</v>
      </c>
    </row>
    <row r="178" ht="15.75" customHeight="1">
      <c r="A178" s="5" t="s">
        <v>455</v>
      </c>
      <c r="B178" s="5" t="s">
        <v>456</v>
      </c>
      <c r="C178" s="5" t="s">
        <v>457</v>
      </c>
      <c r="D178" s="5"/>
      <c r="E178" s="5" t="s">
        <v>271</v>
      </c>
      <c r="F178" s="5">
        <v>0.0</v>
      </c>
    </row>
    <row r="179" ht="15.75" customHeight="1">
      <c r="A179" s="5" t="s">
        <v>458</v>
      </c>
      <c r="B179" s="5" t="s">
        <v>459</v>
      </c>
      <c r="C179" s="5" t="s">
        <v>460</v>
      </c>
      <c r="D179" s="5"/>
      <c r="E179" s="5" t="s">
        <v>271</v>
      </c>
      <c r="F179" s="5">
        <v>0.0</v>
      </c>
    </row>
    <row r="180" ht="15.75" customHeight="1">
      <c r="A180" s="5" t="s">
        <v>461</v>
      </c>
      <c r="B180" s="5" t="s">
        <v>462</v>
      </c>
      <c r="C180" s="5"/>
      <c r="D180" s="5"/>
      <c r="E180" s="5" t="s">
        <v>271</v>
      </c>
      <c r="F180" s="5">
        <v>0.0</v>
      </c>
    </row>
    <row r="181" ht="15.75" customHeight="1">
      <c r="A181" s="5" t="s">
        <v>463</v>
      </c>
      <c r="B181" s="5" t="s">
        <v>464</v>
      </c>
      <c r="C181" s="5"/>
      <c r="D181" s="5"/>
      <c r="E181" s="5" t="s">
        <v>271</v>
      </c>
      <c r="F181" s="5">
        <v>0.0</v>
      </c>
    </row>
    <row r="182" ht="15.75" customHeight="1">
      <c r="A182" s="5" t="s">
        <v>465</v>
      </c>
      <c r="B182" s="5" t="s">
        <v>466</v>
      </c>
      <c r="C182" s="5" t="s">
        <v>467</v>
      </c>
      <c r="D182" s="5"/>
      <c r="E182" s="5" t="s">
        <v>271</v>
      </c>
      <c r="F182" s="5">
        <v>0.0</v>
      </c>
    </row>
    <row r="183" ht="15.75" customHeight="1">
      <c r="A183" s="5" t="s">
        <v>468</v>
      </c>
      <c r="B183" s="5" t="s">
        <v>469</v>
      </c>
      <c r="C183" s="5" t="s">
        <v>470</v>
      </c>
      <c r="D183" s="5"/>
      <c r="E183" s="5" t="s">
        <v>271</v>
      </c>
      <c r="F183" s="5">
        <v>0.0</v>
      </c>
    </row>
    <row r="184" ht="15.75" customHeight="1">
      <c r="A184" s="5" t="s">
        <v>471</v>
      </c>
      <c r="B184" s="5" t="s">
        <v>472</v>
      </c>
      <c r="C184" s="5" t="s">
        <v>473</v>
      </c>
      <c r="D184" s="5"/>
      <c r="E184" s="5" t="s">
        <v>271</v>
      </c>
      <c r="F184" s="5">
        <v>0.0</v>
      </c>
    </row>
    <row r="185" ht="15.75" customHeight="1">
      <c r="A185" s="5" t="s">
        <v>474</v>
      </c>
      <c r="B185" s="5" t="s">
        <v>475</v>
      </c>
      <c r="C185" s="5" t="s">
        <v>476</v>
      </c>
      <c r="D185" s="5"/>
      <c r="E185" s="5" t="s">
        <v>271</v>
      </c>
      <c r="F185" s="5">
        <v>0.0</v>
      </c>
    </row>
    <row r="186" ht="15.75" customHeight="1">
      <c r="A186" s="5" t="s">
        <v>477</v>
      </c>
      <c r="B186" s="5" t="s">
        <v>478</v>
      </c>
      <c r="C186" s="5" t="s">
        <v>479</v>
      </c>
      <c r="D186" s="5"/>
      <c r="E186" s="5" t="s">
        <v>271</v>
      </c>
      <c r="F186" s="5">
        <v>0.0</v>
      </c>
    </row>
    <row r="187" ht="15.75" customHeight="1">
      <c r="A187" s="5" t="s">
        <v>480</v>
      </c>
      <c r="B187" s="5" t="s">
        <v>481</v>
      </c>
      <c r="C187" s="5" t="s">
        <v>482</v>
      </c>
      <c r="D187" s="5"/>
      <c r="E187" s="5" t="s">
        <v>271</v>
      </c>
      <c r="F187" s="5">
        <v>0.0</v>
      </c>
    </row>
    <row r="188" ht="15.75" customHeight="1">
      <c r="A188" s="5" t="s">
        <v>483</v>
      </c>
      <c r="B188" s="5" t="s">
        <v>484</v>
      </c>
      <c r="C188" s="5"/>
      <c r="D188" s="5"/>
      <c r="E188" s="5" t="s">
        <v>271</v>
      </c>
      <c r="F188" s="5">
        <v>0.0</v>
      </c>
    </row>
    <row r="189" ht="15.75" customHeight="1">
      <c r="A189" s="5" t="s">
        <v>485</v>
      </c>
      <c r="B189" s="5" t="s">
        <v>486</v>
      </c>
      <c r="C189" s="5"/>
      <c r="D189" s="5"/>
      <c r="E189" s="5" t="s">
        <v>271</v>
      </c>
      <c r="F189" s="5">
        <v>0.0</v>
      </c>
    </row>
    <row r="190" ht="15.75" customHeight="1">
      <c r="A190" s="5" t="s">
        <v>487</v>
      </c>
      <c r="B190" s="5" t="s">
        <v>488</v>
      </c>
      <c r="C190" s="5"/>
      <c r="D190" s="5"/>
      <c r="E190" s="5" t="s">
        <v>271</v>
      </c>
      <c r="F190" s="5">
        <v>0.0</v>
      </c>
    </row>
    <row r="191" ht="15.75" customHeight="1">
      <c r="A191" s="5" t="s">
        <v>489</v>
      </c>
      <c r="B191" s="5" t="s">
        <v>490</v>
      </c>
      <c r="C191" s="5"/>
      <c r="D191" s="5"/>
      <c r="E191" s="5" t="s">
        <v>271</v>
      </c>
      <c r="F191" s="5">
        <v>0.0</v>
      </c>
    </row>
    <row r="192" ht="15.75" customHeight="1">
      <c r="A192" s="5" t="s">
        <v>491</v>
      </c>
      <c r="B192" s="5" t="s">
        <v>492</v>
      </c>
      <c r="C192" s="5"/>
      <c r="D192" s="5"/>
      <c r="E192" s="5" t="s">
        <v>271</v>
      </c>
      <c r="F192" s="5">
        <v>0.0</v>
      </c>
    </row>
    <row r="193" ht="15.75" customHeight="1">
      <c r="A193" s="5" t="s">
        <v>493</v>
      </c>
      <c r="B193" s="5" t="s">
        <v>494</v>
      </c>
      <c r="C193" s="5"/>
      <c r="D193" s="5"/>
      <c r="E193" s="5" t="s">
        <v>271</v>
      </c>
      <c r="F193" s="5">
        <v>0.0</v>
      </c>
    </row>
    <row r="194" ht="15.75" customHeight="1">
      <c r="A194" s="5" t="s">
        <v>495</v>
      </c>
      <c r="B194" s="5" t="s">
        <v>496</v>
      </c>
      <c r="C194" s="5"/>
      <c r="D194" s="5"/>
      <c r="E194" s="5" t="s">
        <v>271</v>
      </c>
      <c r="F194" s="5">
        <v>0.0</v>
      </c>
    </row>
    <row r="195" ht="15.75" customHeight="1"/>
    <row r="196" ht="15.75" customHeight="1"/>
    <row r="197" ht="15.75" customHeight="1">
      <c r="A197" s="3" t="s">
        <v>497</v>
      </c>
    </row>
    <row r="198" ht="15.75" customHeight="1">
      <c r="A198" s="4" t="s">
        <v>143</v>
      </c>
      <c r="B198" s="4" t="s">
        <v>144</v>
      </c>
      <c r="C198" s="4" t="s">
        <v>15</v>
      </c>
      <c r="D198" s="4" t="s">
        <v>498</v>
      </c>
      <c r="E198" s="4" t="s">
        <v>499</v>
      </c>
    </row>
    <row r="199" ht="15.75" customHeight="1">
      <c r="A199" s="5" t="s">
        <v>500</v>
      </c>
      <c r="B199" s="5" t="s">
        <v>152</v>
      </c>
      <c r="C199" s="5" t="s">
        <v>501</v>
      </c>
      <c r="D199" s="6">
        <v>500.0</v>
      </c>
      <c r="E199" s="6">
        <v>4000.0</v>
      </c>
    </row>
    <row r="200" ht="15.75" customHeight="1">
      <c r="A200" s="5" t="s">
        <v>502</v>
      </c>
      <c r="B200" s="5" t="s">
        <v>157</v>
      </c>
      <c r="C200" s="5" t="s">
        <v>501</v>
      </c>
      <c r="D200" s="6">
        <v>500.0</v>
      </c>
      <c r="E200" s="6">
        <v>4000.0</v>
      </c>
    </row>
    <row r="201" ht="15.75" customHeight="1">
      <c r="A201" s="5" t="s">
        <v>503</v>
      </c>
      <c r="B201" s="5" t="s">
        <v>159</v>
      </c>
      <c r="C201" s="5" t="s">
        <v>501</v>
      </c>
      <c r="D201" s="6">
        <v>500.0</v>
      </c>
      <c r="E201" s="6">
        <v>4000.0</v>
      </c>
    </row>
    <row r="202" ht="15.75" customHeight="1">
      <c r="A202" s="5" t="s">
        <v>504</v>
      </c>
      <c r="B202" s="5" t="s">
        <v>161</v>
      </c>
      <c r="C202" s="5" t="s">
        <v>501</v>
      </c>
      <c r="D202" s="6">
        <v>500.0</v>
      </c>
      <c r="E202" s="6">
        <v>4000.0</v>
      </c>
    </row>
    <row r="203" ht="15.75" customHeight="1">
      <c r="A203" s="5" t="s">
        <v>505</v>
      </c>
      <c r="B203" s="5" t="s">
        <v>163</v>
      </c>
      <c r="C203" s="5" t="s">
        <v>501</v>
      </c>
      <c r="D203" s="6">
        <v>500.0</v>
      </c>
      <c r="E203" s="6">
        <v>4000.0</v>
      </c>
    </row>
    <row r="204" ht="15.75" customHeight="1">
      <c r="A204" s="5" t="s">
        <v>506</v>
      </c>
      <c r="B204" s="5" t="s">
        <v>165</v>
      </c>
      <c r="C204" s="5" t="s">
        <v>501</v>
      </c>
      <c r="D204" s="6">
        <v>500.0</v>
      </c>
      <c r="E204" s="6">
        <v>4000.0</v>
      </c>
    </row>
    <row r="205" ht="15.75" customHeight="1">
      <c r="A205" s="5" t="s">
        <v>507</v>
      </c>
      <c r="B205" s="5" t="s">
        <v>167</v>
      </c>
      <c r="C205" s="5" t="s">
        <v>501</v>
      </c>
      <c r="D205" s="6">
        <v>500.0</v>
      </c>
      <c r="E205" s="6">
        <v>4000.0</v>
      </c>
    </row>
    <row r="206" ht="15.75" customHeight="1">
      <c r="A206" s="5" t="s">
        <v>508</v>
      </c>
      <c r="B206" s="5" t="s">
        <v>509</v>
      </c>
      <c r="C206" s="5" t="s">
        <v>501</v>
      </c>
      <c r="D206" s="6">
        <v>500.0</v>
      </c>
      <c r="E206" s="6">
        <v>4000.0</v>
      </c>
    </row>
    <row r="207" ht="15.75" customHeight="1">
      <c r="A207" s="5" t="s">
        <v>510</v>
      </c>
      <c r="B207" s="5" t="s">
        <v>511</v>
      </c>
      <c r="C207" s="5" t="s">
        <v>501</v>
      </c>
      <c r="D207" s="6">
        <v>500.0</v>
      </c>
      <c r="E207" s="6">
        <v>4000.0</v>
      </c>
    </row>
    <row r="208" ht="15.75" customHeight="1">
      <c r="A208" s="5" t="s">
        <v>512</v>
      </c>
      <c r="B208" s="5" t="s">
        <v>513</v>
      </c>
      <c r="C208" s="5" t="s">
        <v>501</v>
      </c>
      <c r="D208" s="6">
        <v>500.0</v>
      </c>
      <c r="E208" s="6">
        <v>4000.0</v>
      </c>
    </row>
    <row r="209" ht="15.75" customHeight="1">
      <c r="A209" s="5" t="s">
        <v>514</v>
      </c>
      <c r="B209" s="5" t="s">
        <v>515</v>
      </c>
      <c r="C209" s="5" t="s">
        <v>501</v>
      </c>
      <c r="D209" s="6">
        <v>500.0</v>
      </c>
      <c r="E209" s="6">
        <v>4000.0</v>
      </c>
    </row>
    <row r="210" ht="15.75" customHeight="1">
      <c r="A210" s="5" t="s">
        <v>516</v>
      </c>
      <c r="B210" s="5" t="s">
        <v>169</v>
      </c>
      <c r="C210" s="5" t="s">
        <v>501</v>
      </c>
      <c r="D210" s="6">
        <v>500.0</v>
      </c>
      <c r="E210" s="6">
        <v>4000.0</v>
      </c>
    </row>
    <row r="211" ht="15.75" customHeight="1">
      <c r="A211" s="5" t="s">
        <v>517</v>
      </c>
      <c r="B211" s="5" t="s">
        <v>171</v>
      </c>
      <c r="C211" s="5" t="s">
        <v>501</v>
      </c>
      <c r="D211" s="6">
        <v>500.0</v>
      </c>
      <c r="E211" s="6">
        <v>4000.0</v>
      </c>
    </row>
    <row r="212" ht="15.75" customHeight="1">
      <c r="A212" s="5" t="s">
        <v>518</v>
      </c>
      <c r="B212" s="5" t="s">
        <v>173</v>
      </c>
      <c r="C212" s="5" t="s">
        <v>501</v>
      </c>
      <c r="D212" s="6">
        <v>500.0</v>
      </c>
      <c r="E212" s="6">
        <v>4000.0</v>
      </c>
    </row>
    <row r="213" ht="15.75" customHeight="1">
      <c r="A213" s="5" t="s">
        <v>519</v>
      </c>
      <c r="B213" s="5" t="s">
        <v>175</v>
      </c>
      <c r="C213" s="5" t="s">
        <v>501</v>
      </c>
      <c r="D213" s="6">
        <v>500.0</v>
      </c>
      <c r="E213" s="6">
        <v>4000.0</v>
      </c>
    </row>
    <row r="214" ht="15.75" customHeight="1">
      <c r="A214" s="5" t="s">
        <v>520</v>
      </c>
      <c r="B214" s="5" t="s">
        <v>177</v>
      </c>
      <c r="C214" s="5" t="s">
        <v>501</v>
      </c>
      <c r="D214" s="6">
        <v>500.0</v>
      </c>
      <c r="E214" s="6">
        <v>4000.0</v>
      </c>
    </row>
    <row r="215" ht="15.75" customHeight="1">
      <c r="A215" s="5" t="s">
        <v>521</v>
      </c>
      <c r="B215" s="5" t="s">
        <v>179</v>
      </c>
      <c r="C215" s="5" t="s">
        <v>501</v>
      </c>
      <c r="D215" s="6">
        <v>500.0</v>
      </c>
      <c r="E215" s="6">
        <v>4000.0</v>
      </c>
    </row>
    <row r="216" ht="15.75" customHeight="1">
      <c r="A216" s="5" t="s">
        <v>522</v>
      </c>
      <c r="B216" s="5" t="s">
        <v>181</v>
      </c>
      <c r="C216" s="5" t="s">
        <v>501</v>
      </c>
      <c r="D216" s="6">
        <v>500.0</v>
      </c>
      <c r="E216" s="6">
        <v>4000.0</v>
      </c>
    </row>
    <row r="217" ht="15.75" customHeight="1">
      <c r="A217" s="5" t="s">
        <v>523</v>
      </c>
      <c r="B217" s="5" t="s">
        <v>524</v>
      </c>
      <c r="C217" s="5" t="s">
        <v>501</v>
      </c>
      <c r="D217" s="6">
        <v>500.0</v>
      </c>
      <c r="E217" s="6">
        <v>4000.0</v>
      </c>
    </row>
    <row r="218" ht="15.75" customHeight="1">
      <c r="A218" s="5" t="s">
        <v>525</v>
      </c>
      <c r="B218" s="5" t="s">
        <v>526</v>
      </c>
      <c r="C218" s="5" t="s">
        <v>501</v>
      </c>
      <c r="D218" s="6">
        <v>500.0</v>
      </c>
      <c r="E218" s="6">
        <v>4000.0</v>
      </c>
    </row>
    <row r="219" ht="15.75" customHeight="1">
      <c r="A219" s="5" t="s">
        <v>527</v>
      </c>
      <c r="B219" s="5" t="s">
        <v>528</v>
      </c>
      <c r="C219" s="5" t="s">
        <v>501</v>
      </c>
      <c r="D219" s="6">
        <v>500.0</v>
      </c>
      <c r="E219" s="6">
        <v>4000.0</v>
      </c>
    </row>
    <row r="220" ht="15.75" customHeight="1">
      <c r="A220" s="5" t="s">
        <v>529</v>
      </c>
      <c r="B220" s="5" t="s">
        <v>530</v>
      </c>
      <c r="C220" s="5" t="s">
        <v>501</v>
      </c>
      <c r="D220" s="6">
        <v>500.0</v>
      </c>
      <c r="E220" s="6">
        <v>4000.0</v>
      </c>
    </row>
    <row r="221" ht="15.75" customHeight="1">
      <c r="A221" s="5" t="s">
        <v>531</v>
      </c>
      <c r="B221" s="5" t="s">
        <v>183</v>
      </c>
      <c r="C221" s="5" t="s">
        <v>501</v>
      </c>
      <c r="D221" s="6">
        <v>500.0</v>
      </c>
      <c r="E221" s="6">
        <v>4000.0</v>
      </c>
    </row>
    <row r="222" ht="15.75" customHeight="1">
      <c r="A222" s="5" t="s">
        <v>532</v>
      </c>
      <c r="B222" s="5" t="s">
        <v>187</v>
      </c>
      <c r="C222" s="5" t="s">
        <v>501</v>
      </c>
      <c r="D222" s="6">
        <v>500.0</v>
      </c>
      <c r="E222" s="6">
        <v>4000.0</v>
      </c>
    </row>
    <row r="223" ht="15.75" customHeight="1">
      <c r="A223" s="5" t="s">
        <v>533</v>
      </c>
      <c r="B223" s="5" t="s">
        <v>189</v>
      </c>
      <c r="C223" s="5" t="s">
        <v>501</v>
      </c>
      <c r="D223" s="6">
        <v>500.0</v>
      </c>
      <c r="E223" s="6">
        <v>4000.0</v>
      </c>
    </row>
    <row r="224" ht="15.75" customHeight="1">
      <c r="A224" s="5" t="s">
        <v>534</v>
      </c>
      <c r="B224" s="5" t="s">
        <v>191</v>
      </c>
      <c r="C224" s="5" t="s">
        <v>501</v>
      </c>
      <c r="D224" s="6">
        <v>500.0</v>
      </c>
      <c r="E224" s="6">
        <v>4000.0</v>
      </c>
    </row>
    <row r="225" ht="15.75" customHeight="1">
      <c r="A225" s="5" t="s">
        <v>535</v>
      </c>
      <c r="B225" s="5" t="s">
        <v>193</v>
      </c>
      <c r="C225" s="5" t="s">
        <v>501</v>
      </c>
      <c r="D225" s="6">
        <v>500.0</v>
      </c>
      <c r="E225" s="6">
        <v>4000.0</v>
      </c>
    </row>
    <row r="226" ht="15.75" customHeight="1">
      <c r="A226" s="5" t="s">
        <v>536</v>
      </c>
      <c r="B226" s="5" t="s">
        <v>195</v>
      </c>
      <c r="C226" s="5" t="s">
        <v>501</v>
      </c>
      <c r="D226" s="6">
        <v>500.0</v>
      </c>
      <c r="E226" s="6">
        <v>4000.0</v>
      </c>
    </row>
    <row r="227" ht="15.75" customHeight="1">
      <c r="A227" s="5" t="s">
        <v>537</v>
      </c>
      <c r="B227" s="5" t="s">
        <v>197</v>
      </c>
      <c r="C227" s="5" t="s">
        <v>501</v>
      </c>
      <c r="D227" s="6">
        <v>500.0</v>
      </c>
      <c r="E227" s="6">
        <v>4000.0</v>
      </c>
    </row>
    <row r="228" ht="15.75" customHeight="1">
      <c r="A228" s="5" t="s">
        <v>538</v>
      </c>
      <c r="B228" s="5" t="s">
        <v>199</v>
      </c>
      <c r="C228" s="5" t="s">
        <v>501</v>
      </c>
      <c r="D228" s="6">
        <v>500.0</v>
      </c>
      <c r="E228" s="6">
        <v>4000.0</v>
      </c>
    </row>
    <row r="229" ht="15.75" customHeight="1">
      <c r="A229" s="5" t="s">
        <v>539</v>
      </c>
      <c r="B229" s="5" t="s">
        <v>540</v>
      </c>
      <c r="C229" s="5" t="s">
        <v>501</v>
      </c>
      <c r="D229" s="6">
        <v>500.0</v>
      </c>
      <c r="E229" s="6">
        <v>4000.0</v>
      </c>
    </row>
    <row r="230" ht="15.75" customHeight="1">
      <c r="A230" s="5" t="s">
        <v>541</v>
      </c>
      <c r="B230" s="5" t="s">
        <v>542</v>
      </c>
      <c r="C230" s="5" t="s">
        <v>501</v>
      </c>
      <c r="D230" s="6">
        <v>500.0</v>
      </c>
      <c r="E230" s="6">
        <v>4000.0</v>
      </c>
    </row>
    <row r="231" ht="15.75" customHeight="1">
      <c r="A231" s="5" t="s">
        <v>543</v>
      </c>
      <c r="B231" s="5" t="s">
        <v>544</v>
      </c>
      <c r="C231" s="5" t="s">
        <v>501</v>
      </c>
      <c r="D231" s="6">
        <v>500.0</v>
      </c>
      <c r="E231" s="6">
        <v>4000.0</v>
      </c>
    </row>
    <row r="232" ht="15.75" customHeight="1">
      <c r="A232" s="5" t="s">
        <v>545</v>
      </c>
      <c r="B232" s="5" t="s">
        <v>546</v>
      </c>
      <c r="C232" s="5" t="s">
        <v>501</v>
      </c>
      <c r="D232" s="6">
        <v>500.0</v>
      </c>
      <c r="E232" s="6">
        <v>4000.0</v>
      </c>
    </row>
    <row r="233" ht="15.75" customHeight="1">
      <c r="A233" s="5" t="s">
        <v>547</v>
      </c>
      <c r="B233" s="5" t="s">
        <v>548</v>
      </c>
      <c r="C233" s="5" t="s">
        <v>501</v>
      </c>
      <c r="D233" s="6">
        <v>500.0</v>
      </c>
      <c r="E233" s="6">
        <v>4000.0</v>
      </c>
    </row>
    <row r="234" ht="15.75" customHeight="1">
      <c r="A234" s="5" t="s">
        <v>549</v>
      </c>
      <c r="B234" s="5" t="s">
        <v>550</v>
      </c>
      <c r="C234" s="5" t="s">
        <v>501</v>
      </c>
      <c r="D234" s="6">
        <v>500.0</v>
      </c>
      <c r="E234" s="6">
        <v>4000.0</v>
      </c>
    </row>
    <row r="235" ht="15.75" customHeight="1">
      <c r="A235" s="5" t="s">
        <v>551</v>
      </c>
      <c r="B235" s="5" t="s">
        <v>552</v>
      </c>
      <c r="C235" s="5" t="s">
        <v>501</v>
      </c>
      <c r="D235" s="6">
        <v>500.0</v>
      </c>
      <c r="E235" s="6">
        <v>4000.0</v>
      </c>
    </row>
    <row r="236" ht="15.75" customHeight="1">
      <c r="A236" s="5" t="s">
        <v>553</v>
      </c>
      <c r="B236" s="5" t="s">
        <v>554</v>
      </c>
      <c r="C236" s="5" t="s">
        <v>501</v>
      </c>
      <c r="D236" s="6">
        <v>500.0</v>
      </c>
      <c r="E236" s="6">
        <v>4000.0</v>
      </c>
    </row>
    <row r="237" ht="15.75" customHeight="1">
      <c r="A237" s="5" t="s">
        <v>555</v>
      </c>
      <c r="B237" s="5" t="s">
        <v>556</v>
      </c>
      <c r="C237" s="5" t="s">
        <v>501</v>
      </c>
      <c r="D237" s="6">
        <v>500.0</v>
      </c>
      <c r="E237" s="6">
        <v>4000.0</v>
      </c>
    </row>
    <row r="238" ht="15.75" customHeight="1">
      <c r="A238" s="5" t="s">
        <v>557</v>
      </c>
      <c r="B238" s="5" t="s">
        <v>558</v>
      </c>
      <c r="C238" s="5" t="s">
        <v>501</v>
      </c>
      <c r="D238" s="6">
        <v>500.0</v>
      </c>
      <c r="E238" s="6">
        <v>4000.0</v>
      </c>
    </row>
    <row r="239" ht="15.75" customHeight="1">
      <c r="A239" s="5" t="s">
        <v>559</v>
      </c>
      <c r="B239" s="5" t="s">
        <v>560</v>
      </c>
      <c r="C239" s="5" t="s">
        <v>501</v>
      </c>
      <c r="D239" s="6">
        <v>500.0</v>
      </c>
      <c r="E239" s="6">
        <v>4000.0</v>
      </c>
    </row>
    <row r="240" ht="15.75" customHeight="1">
      <c r="A240" s="5" t="s">
        <v>561</v>
      </c>
      <c r="B240" s="5" t="s">
        <v>562</v>
      </c>
      <c r="C240" s="5" t="s">
        <v>501</v>
      </c>
      <c r="D240" s="6">
        <v>500.0</v>
      </c>
      <c r="E240" s="6">
        <v>4000.0</v>
      </c>
    </row>
    <row r="241" ht="15.75" customHeight="1">
      <c r="A241" s="5" t="s">
        <v>563</v>
      </c>
      <c r="B241" s="5" t="s">
        <v>564</v>
      </c>
      <c r="C241" s="5" t="s">
        <v>501</v>
      </c>
      <c r="D241" s="6">
        <v>500.0</v>
      </c>
      <c r="E241" s="6">
        <v>4000.0</v>
      </c>
    </row>
    <row r="242" ht="15.75" customHeight="1">
      <c r="A242" s="5" t="s">
        <v>565</v>
      </c>
      <c r="B242" s="5" t="s">
        <v>566</v>
      </c>
      <c r="C242" s="5" t="s">
        <v>501</v>
      </c>
      <c r="D242" s="6">
        <v>500.0</v>
      </c>
      <c r="E242" s="6">
        <v>4000.0</v>
      </c>
    </row>
    <row r="243" ht="15.75" customHeight="1">
      <c r="A243" s="5" t="s">
        <v>567</v>
      </c>
      <c r="B243" s="5" t="s">
        <v>568</v>
      </c>
      <c r="C243" s="5" t="s">
        <v>501</v>
      </c>
      <c r="D243" s="6">
        <v>500.0</v>
      </c>
      <c r="E243" s="6">
        <v>4000.0</v>
      </c>
    </row>
    <row r="244" ht="15.75" customHeight="1">
      <c r="A244" s="5" t="s">
        <v>569</v>
      </c>
      <c r="B244" s="5" t="s">
        <v>570</v>
      </c>
      <c r="C244" s="5" t="s">
        <v>501</v>
      </c>
      <c r="D244" s="6">
        <v>500.0</v>
      </c>
      <c r="E244" s="6">
        <v>4000.0</v>
      </c>
    </row>
    <row r="245" ht="15.75" customHeight="1">
      <c r="A245" s="5" t="s">
        <v>571</v>
      </c>
      <c r="B245" s="5" t="s">
        <v>572</v>
      </c>
      <c r="C245" s="5" t="s">
        <v>501</v>
      </c>
      <c r="D245" s="6">
        <v>500.0</v>
      </c>
      <c r="E245" s="6">
        <v>4000.0</v>
      </c>
    </row>
    <row r="246" ht="15.75" customHeight="1">
      <c r="A246" s="5" t="s">
        <v>573</v>
      </c>
      <c r="B246" s="5" t="s">
        <v>574</v>
      </c>
      <c r="C246" s="5" t="s">
        <v>501</v>
      </c>
      <c r="D246" s="6">
        <v>500.0</v>
      </c>
      <c r="E246" s="6">
        <v>4000.0</v>
      </c>
    </row>
    <row r="247" ht="15.75" customHeight="1">
      <c r="A247" s="5" t="s">
        <v>575</v>
      </c>
      <c r="B247" s="5" t="s">
        <v>576</v>
      </c>
      <c r="C247" s="5" t="s">
        <v>501</v>
      </c>
      <c r="D247" s="6">
        <v>500.0</v>
      </c>
      <c r="E247" s="6">
        <v>4000.0</v>
      </c>
    </row>
    <row r="248" ht="15.75" customHeight="1">
      <c r="A248" s="5" t="s">
        <v>577</v>
      </c>
      <c r="B248" s="5" t="s">
        <v>578</v>
      </c>
      <c r="C248" s="5" t="s">
        <v>501</v>
      </c>
      <c r="D248" s="6">
        <v>500.0</v>
      </c>
      <c r="E248" s="6">
        <v>4000.0</v>
      </c>
    </row>
    <row r="249" ht="15.75" customHeight="1"/>
    <row r="250" ht="15.75" customHeight="1"/>
    <row r="251" ht="15.75" customHeight="1">
      <c r="A251" s="3" t="s">
        <v>579</v>
      </c>
    </row>
    <row r="252" ht="15.75" customHeight="1">
      <c r="A252" s="4" t="s">
        <v>580</v>
      </c>
      <c r="B252" s="4" t="s">
        <v>581</v>
      </c>
      <c r="C252" s="4" t="s">
        <v>144</v>
      </c>
      <c r="D252" s="4" t="s">
        <v>582</v>
      </c>
      <c r="E252" s="4" t="s">
        <v>583</v>
      </c>
      <c r="F252" s="4" t="s">
        <v>584</v>
      </c>
      <c r="G252" s="4" t="s">
        <v>585</v>
      </c>
      <c r="H252" s="4" t="s">
        <v>15</v>
      </c>
    </row>
    <row r="253" ht="15.75" customHeight="1">
      <c r="A253" s="5" t="s">
        <v>586</v>
      </c>
      <c r="B253" s="5" t="s">
        <v>587</v>
      </c>
      <c r="C253" s="5" t="s">
        <v>179</v>
      </c>
      <c r="D253" s="5" t="s">
        <v>588</v>
      </c>
      <c r="E253" s="5"/>
      <c r="F253" s="6">
        <v>0.0</v>
      </c>
      <c r="G253" s="6">
        <v>3500.0</v>
      </c>
      <c r="H253" s="5" t="s">
        <v>589</v>
      </c>
    </row>
    <row r="254" ht="15.75" customHeight="1">
      <c r="A254" s="5" t="s">
        <v>590</v>
      </c>
      <c r="B254" s="5" t="s">
        <v>591</v>
      </c>
      <c r="C254" s="5" t="s">
        <v>524</v>
      </c>
      <c r="D254" s="5" t="s">
        <v>588</v>
      </c>
      <c r="E254" s="5"/>
      <c r="F254" s="6">
        <v>0.0</v>
      </c>
      <c r="G254" s="6">
        <v>3500.0</v>
      </c>
      <c r="H254" s="5" t="s">
        <v>589</v>
      </c>
    </row>
    <row r="255" ht="15.75" customHeight="1">
      <c r="A255" s="5" t="s">
        <v>592</v>
      </c>
      <c r="B255" s="5" t="s">
        <v>593</v>
      </c>
      <c r="C255" s="5" t="s">
        <v>177</v>
      </c>
      <c r="D255" s="5" t="s">
        <v>588</v>
      </c>
      <c r="E255" s="5"/>
      <c r="F255" s="6">
        <v>0.0</v>
      </c>
      <c r="G255" s="6">
        <v>0.0</v>
      </c>
      <c r="H255" s="5" t="s">
        <v>589</v>
      </c>
    </row>
    <row r="256" ht="15.75" customHeight="1">
      <c r="A256" s="5" t="s">
        <v>594</v>
      </c>
      <c r="B256" s="5" t="s">
        <v>595</v>
      </c>
      <c r="C256" s="5" t="s">
        <v>175</v>
      </c>
      <c r="D256" s="5" t="s">
        <v>588</v>
      </c>
      <c r="E256" s="5"/>
      <c r="F256" s="6">
        <v>0.0</v>
      </c>
      <c r="G256" s="6">
        <v>0.0</v>
      </c>
      <c r="H256" s="5" t="s">
        <v>589</v>
      </c>
    </row>
    <row r="257" ht="15.75" customHeight="1">
      <c r="A257" s="5" t="s">
        <v>596</v>
      </c>
      <c r="B257" s="5" t="s">
        <v>597</v>
      </c>
      <c r="C257" s="5" t="s">
        <v>598</v>
      </c>
      <c r="D257" s="5" t="s">
        <v>588</v>
      </c>
      <c r="E257" s="5"/>
      <c r="F257" s="6">
        <v>0.0</v>
      </c>
      <c r="G257" s="6">
        <v>0.0</v>
      </c>
      <c r="H257" s="5" t="s">
        <v>589</v>
      </c>
    </row>
    <row r="258" ht="15.75" customHeight="1">
      <c r="A258" s="5" t="s">
        <v>599</v>
      </c>
      <c r="B258" s="5" t="s">
        <v>600</v>
      </c>
      <c r="C258" s="5" t="s">
        <v>530</v>
      </c>
      <c r="D258" s="5" t="s">
        <v>588</v>
      </c>
      <c r="E258" s="5"/>
      <c r="F258" s="6">
        <v>0.0</v>
      </c>
      <c r="G258" s="6">
        <v>0.0</v>
      </c>
      <c r="H258" s="5" t="s">
        <v>589</v>
      </c>
    </row>
    <row r="259" ht="15.75" customHeight="1">
      <c r="A259" s="5" t="s">
        <v>601</v>
      </c>
      <c r="B259" s="5"/>
      <c r="C259" s="5" t="s">
        <v>152</v>
      </c>
      <c r="D259" s="5" t="s">
        <v>602</v>
      </c>
      <c r="E259" s="5" t="s">
        <v>603</v>
      </c>
      <c r="F259" s="6">
        <v>8000.0</v>
      </c>
      <c r="G259" s="6">
        <v>4000.0</v>
      </c>
      <c r="H259" s="5" t="s">
        <v>604</v>
      </c>
    </row>
    <row r="260" ht="15.75" customHeight="1">
      <c r="A260" s="5" t="s">
        <v>605</v>
      </c>
      <c r="B260" s="5" t="s">
        <v>606</v>
      </c>
      <c r="C260" s="5" t="s">
        <v>161</v>
      </c>
      <c r="D260" s="5" t="s">
        <v>607</v>
      </c>
      <c r="E260" s="5"/>
      <c r="F260" s="6">
        <v>8000.0</v>
      </c>
      <c r="G260" s="6">
        <v>4000.0</v>
      </c>
      <c r="H260" s="5" t="s">
        <v>608</v>
      </c>
    </row>
    <row r="261" ht="15.75" customHeight="1">
      <c r="A261" s="5" t="s">
        <v>609</v>
      </c>
      <c r="B261" s="5" t="s">
        <v>282</v>
      </c>
      <c r="C261" s="5" t="s">
        <v>163</v>
      </c>
      <c r="D261" s="5" t="s">
        <v>610</v>
      </c>
      <c r="E261" s="5"/>
      <c r="F261" s="6">
        <v>8000.0</v>
      </c>
      <c r="G261" s="6">
        <v>4000.0</v>
      </c>
      <c r="H261" s="5" t="s">
        <v>611</v>
      </c>
    </row>
    <row r="262" ht="15.75" customHeight="1">
      <c r="A262" s="5" t="s">
        <v>612</v>
      </c>
      <c r="B262" s="5" t="s">
        <v>613</v>
      </c>
      <c r="C262" s="5" t="s">
        <v>165</v>
      </c>
      <c r="D262" s="5" t="s">
        <v>614</v>
      </c>
      <c r="E262" s="5"/>
      <c r="F262" s="6">
        <v>8000.0</v>
      </c>
      <c r="G262" s="6">
        <v>4000.0</v>
      </c>
      <c r="H262" s="5" t="s">
        <v>608</v>
      </c>
    </row>
    <row r="263" ht="15.75" customHeight="1">
      <c r="A263" s="5" t="s">
        <v>615</v>
      </c>
      <c r="B263" s="5" t="s">
        <v>616</v>
      </c>
      <c r="C263" s="5" t="s">
        <v>167</v>
      </c>
      <c r="D263" s="5" t="s">
        <v>617</v>
      </c>
      <c r="E263" s="5"/>
      <c r="F263" s="6">
        <v>8000.0</v>
      </c>
      <c r="G263" s="6">
        <v>4000.0</v>
      </c>
      <c r="H263" s="5" t="s">
        <v>608</v>
      </c>
    </row>
    <row r="264" ht="15.75" customHeight="1">
      <c r="A264" s="5" t="s">
        <v>618</v>
      </c>
      <c r="B264" s="5" t="s">
        <v>619</v>
      </c>
      <c r="C264" s="5" t="s">
        <v>511</v>
      </c>
      <c r="D264" s="5" t="s">
        <v>620</v>
      </c>
      <c r="E264" s="5"/>
      <c r="F264" s="6">
        <v>8000.0</v>
      </c>
      <c r="G264" s="6">
        <v>4000.0</v>
      </c>
      <c r="H264" s="5" t="s">
        <v>611</v>
      </c>
    </row>
    <row r="265" ht="15.75" customHeight="1">
      <c r="A265" s="5" t="s">
        <v>621</v>
      </c>
      <c r="B265" s="5" t="s">
        <v>282</v>
      </c>
      <c r="C265" s="5" t="s">
        <v>513</v>
      </c>
      <c r="D265" s="5" t="s">
        <v>622</v>
      </c>
      <c r="E265" s="5"/>
      <c r="F265" s="6">
        <v>8000.0</v>
      </c>
      <c r="G265" s="6">
        <v>4000.0</v>
      </c>
      <c r="H265" s="5" t="s">
        <v>589</v>
      </c>
    </row>
    <row r="266" ht="15.75" customHeight="1">
      <c r="A266" s="5" t="s">
        <v>623</v>
      </c>
      <c r="B266" s="5" t="s">
        <v>624</v>
      </c>
      <c r="C266" s="5" t="s">
        <v>515</v>
      </c>
      <c r="D266" s="5" t="s">
        <v>625</v>
      </c>
      <c r="E266" s="5"/>
      <c r="F266" s="6">
        <v>8000.0</v>
      </c>
      <c r="G266" s="6">
        <v>4000.0</v>
      </c>
      <c r="H266" s="5" t="s">
        <v>611</v>
      </c>
    </row>
    <row r="267" ht="15.75" customHeight="1">
      <c r="A267" s="5" t="s">
        <v>626</v>
      </c>
      <c r="B267" s="5" t="s">
        <v>414</v>
      </c>
      <c r="C267" s="5" t="s">
        <v>169</v>
      </c>
      <c r="D267" s="5" t="s">
        <v>627</v>
      </c>
      <c r="E267" s="5" t="s">
        <v>628</v>
      </c>
      <c r="F267" s="6">
        <v>8000.0</v>
      </c>
      <c r="G267" s="6">
        <v>4000.0</v>
      </c>
      <c r="H267" s="5" t="s">
        <v>604</v>
      </c>
    </row>
    <row r="268" ht="15.75" customHeight="1">
      <c r="A268" s="5" t="s">
        <v>629</v>
      </c>
      <c r="B268" s="5" t="s">
        <v>630</v>
      </c>
      <c r="C268" s="5" t="s">
        <v>171</v>
      </c>
      <c r="D268" s="5" t="s">
        <v>631</v>
      </c>
      <c r="E268" s="5" t="s">
        <v>632</v>
      </c>
      <c r="F268" s="6">
        <v>8000.0</v>
      </c>
      <c r="G268" s="6">
        <v>4000.0</v>
      </c>
      <c r="H268" s="5" t="s">
        <v>604</v>
      </c>
    </row>
    <row r="269" ht="15.75" customHeight="1">
      <c r="A269" s="5" t="s">
        <v>633</v>
      </c>
      <c r="B269" s="5" t="s">
        <v>634</v>
      </c>
      <c r="C269" s="5" t="s">
        <v>173</v>
      </c>
      <c r="D269" s="5" t="s">
        <v>635</v>
      </c>
      <c r="E269" s="5" t="s">
        <v>636</v>
      </c>
      <c r="F269" s="6">
        <v>8000.0</v>
      </c>
      <c r="G269" s="6">
        <v>4000.0</v>
      </c>
      <c r="H269" s="5" t="s">
        <v>604</v>
      </c>
    </row>
    <row r="270" ht="15.75" customHeight="1">
      <c r="A270" s="5" t="s">
        <v>637</v>
      </c>
      <c r="B270" s="5" t="s">
        <v>456</v>
      </c>
      <c r="C270" s="5" t="s">
        <v>175</v>
      </c>
      <c r="D270" s="5" t="s">
        <v>638</v>
      </c>
      <c r="E270" s="5"/>
      <c r="F270" s="6">
        <v>8000.0</v>
      </c>
      <c r="G270" s="6">
        <v>4000.0</v>
      </c>
      <c r="H270" s="5" t="s">
        <v>589</v>
      </c>
    </row>
    <row r="271" ht="15.75" customHeight="1">
      <c r="A271" s="5" t="s">
        <v>639</v>
      </c>
      <c r="B271" s="5" t="s">
        <v>640</v>
      </c>
      <c r="C271" s="5" t="s">
        <v>177</v>
      </c>
      <c r="D271" s="5" t="s">
        <v>641</v>
      </c>
      <c r="E271" s="5"/>
      <c r="F271" s="6">
        <v>8000.0</v>
      </c>
      <c r="G271" s="6">
        <v>4000.0</v>
      </c>
      <c r="H271" s="5" t="s">
        <v>608</v>
      </c>
    </row>
    <row r="272" ht="15.75" customHeight="1">
      <c r="A272" s="5" t="s">
        <v>642</v>
      </c>
      <c r="B272" s="5" t="s">
        <v>355</v>
      </c>
      <c r="C272" s="5" t="s">
        <v>179</v>
      </c>
      <c r="D272" s="5" t="s">
        <v>643</v>
      </c>
      <c r="E272" s="5"/>
      <c r="F272" s="6">
        <v>8000.0</v>
      </c>
      <c r="G272" s="6">
        <v>4000.0</v>
      </c>
      <c r="H272" s="5" t="s">
        <v>589</v>
      </c>
    </row>
    <row r="273" ht="15.75" customHeight="1">
      <c r="A273" s="5" t="s">
        <v>644</v>
      </c>
      <c r="B273" s="5" t="s">
        <v>341</v>
      </c>
      <c r="C273" s="5" t="s">
        <v>181</v>
      </c>
      <c r="D273" s="5" t="s">
        <v>645</v>
      </c>
      <c r="E273" s="5"/>
      <c r="F273" s="6">
        <v>8000.0</v>
      </c>
      <c r="G273" s="6">
        <v>4000.0</v>
      </c>
      <c r="H273" s="5" t="s">
        <v>608</v>
      </c>
    </row>
    <row r="274" ht="15.75" customHeight="1">
      <c r="A274" s="5" t="s">
        <v>646</v>
      </c>
      <c r="B274" s="5" t="s">
        <v>373</v>
      </c>
      <c r="C274" s="5" t="s">
        <v>524</v>
      </c>
      <c r="D274" s="5" t="s">
        <v>647</v>
      </c>
      <c r="E274" s="5"/>
      <c r="F274" s="6">
        <v>8000.0</v>
      </c>
      <c r="G274" s="6">
        <v>4000.0</v>
      </c>
      <c r="H274" s="5" t="s">
        <v>611</v>
      </c>
    </row>
    <row r="275" ht="15.75" customHeight="1">
      <c r="A275" s="5" t="s">
        <v>648</v>
      </c>
      <c r="B275" s="5" t="s">
        <v>649</v>
      </c>
      <c r="C275" s="5" t="s">
        <v>526</v>
      </c>
      <c r="D275" s="5" t="s">
        <v>650</v>
      </c>
      <c r="E275" s="5"/>
      <c r="F275" s="6">
        <v>8000.0</v>
      </c>
      <c r="G275" s="6">
        <v>4000.0</v>
      </c>
      <c r="H275" s="5" t="s">
        <v>608</v>
      </c>
    </row>
    <row r="276" ht="15.75" customHeight="1">
      <c r="A276" s="5" t="s">
        <v>651</v>
      </c>
      <c r="B276" s="5" t="s">
        <v>652</v>
      </c>
      <c r="C276" s="5" t="s">
        <v>528</v>
      </c>
      <c r="D276" s="5" t="s">
        <v>653</v>
      </c>
      <c r="E276" s="5"/>
      <c r="F276" s="6">
        <v>8000.0</v>
      </c>
      <c r="G276" s="6">
        <v>4000.0</v>
      </c>
      <c r="H276" s="5" t="s">
        <v>589</v>
      </c>
    </row>
    <row r="277" ht="15.75" customHeight="1">
      <c r="A277" s="5" t="s">
        <v>654</v>
      </c>
      <c r="B277" s="5" t="s">
        <v>655</v>
      </c>
      <c r="C277" s="5" t="s">
        <v>530</v>
      </c>
      <c r="D277" s="5" t="s">
        <v>656</v>
      </c>
      <c r="E277" s="5"/>
      <c r="F277" s="6">
        <v>8000.0</v>
      </c>
      <c r="G277" s="6">
        <v>4000.0</v>
      </c>
      <c r="H277" s="5" t="s">
        <v>589</v>
      </c>
    </row>
    <row r="278" ht="15.75" customHeight="1">
      <c r="A278" s="5" t="s">
        <v>657</v>
      </c>
      <c r="B278" s="5" t="s">
        <v>658</v>
      </c>
      <c r="C278" s="5" t="s">
        <v>183</v>
      </c>
      <c r="D278" s="5" t="s">
        <v>659</v>
      </c>
      <c r="E278" s="5"/>
      <c r="F278" s="6">
        <v>8000.0</v>
      </c>
      <c r="G278" s="6">
        <v>4000.0</v>
      </c>
      <c r="H278" s="5" t="s">
        <v>611</v>
      </c>
    </row>
    <row r="279" ht="15.75" customHeight="1">
      <c r="A279" s="5" t="s">
        <v>660</v>
      </c>
      <c r="B279" s="5" t="s">
        <v>652</v>
      </c>
      <c r="C279" s="5" t="s">
        <v>187</v>
      </c>
      <c r="D279" s="5" t="s">
        <v>661</v>
      </c>
      <c r="E279" s="5"/>
      <c r="F279" s="6">
        <v>8000.0</v>
      </c>
      <c r="G279" s="6">
        <v>4000.0</v>
      </c>
      <c r="H279" s="5" t="s">
        <v>589</v>
      </c>
    </row>
    <row r="280" ht="15.75" customHeight="1">
      <c r="A280" s="5" t="s">
        <v>662</v>
      </c>
      <c r="B280" s="5" t="s">
        <v>663</v>
      </c>
      <c r="C280" s="5" t="s">
        <v>189</v>
      </c>
      <c r="D280" s="5" t="s">
        <v>664</v>
      </c>
      <c r="E280" s="5"/>
      <c r="F280" s="6">
        <v>8000.0</v>
      </c>
      <c r="G280" s="6">
        <v>4000.0</v>
      </c>
      <c r="H280" s="5" t="s">
        <v>608</v>
      </c>
    </row>
    <row r="281" ht="15.75" customHeight="1">
      <c r="A281" s="5" t="s">
        <v>665</v>
      </c>
      <c r="B281" s="5" t="s">
        <v>666</v>
      </c>
      <c r="C281" s="5" t="s">
        <v>191</v>
      </c>
      <c r="D281" s="5" t="s">
        <v>602</v>
      </c>
      <c r="E281" s="5"/>
      <c r="F281" s="6">
        <v>8000.0</v>
      </c>
      <c r="G281" s="6">
        <v>4000.0</v>
      </c>
      <c r="H281" s="5" t="s">
        <v>608</v>
      </c>
    </row>
    <row r="282" ht="15.75" customHeight="1">
      <c r="A282" s="5" t="s">
        <v>667</v>
      </c>
      <c r="B282" s="5" t="s">
        <v>668</v>
      </c>
      <c r="C282" s="5" t="s">
        <v>193</v>
      </c>
      <c r="D282" s="5" t="s">
        <v>669</v>
      </c>
      <c r="E282" s="5" t="s">
        <v>670</v>
      </c>
      <c r="F282" s="6">
        <v>8000.0</v>
      </c>
      <c r="G282" s="6">
        <v>4000.0</v>
      </c>
      <c r="H282" s="5" t="s">
        <v>604</v>
      </c>
    </row>
    <row r="283" ht="15.75" customHeight="1"/>
    <row r="284" ht="15.75" customHeight="1"/>
    <row r="285" ht="15.75" customHeight="1">
      <c r="A285" s="3" t="s">
        <v>671</v>
      </c>
    </row>
    <row r="286" ht="15.75" customHeight="1">
      <c r="A286" s="4" t="s">
        <v>672</v>
      </c>
      <c r="B286" s="4" t="s">
        <v>266</v>
      </c>
      <c r="C286" s="4" t="s">
        <v>673</v>
      </c>
      <c r="D286" s="4" t="s">
        <v>674</v>
      </c>
      <c r="E286" s="4" t="s">
        <v>675</v>
      </c>
    </row>
    <row r="287" ht="15.75" customHeight="1">
      <c r="A287" s="5" t="s">
        <v>676</v>
      </c>
      <c r="B287" s="5" t="s">
        <v>677</v>
      </c>
      <c r="C287" s="5" t="s">
        <v>678</v>
      </c>
      <c r="D287" s="6">
        <v>4550.0</v>
      </c>
      <c r="E287" s="5" t="s">
        <v>588</v>
      </c>
    </row>
    <row r="288" ht="15.75" customHeight="1">
      <c r="A288" s="5" t="s">
        <v>679</v>
      </c>
      <c r="B288" s="5" t="s">
        <v>680</v>
      </c>
      <c r="C288" s="5" t="s">
        <v>681</v>
      </c>
      <c r="D288" s="6">
        <v>7900.0</v>
      </c>
      <c r="E288" s="5" t="s">
        <v>588</v>
      </c>
    </row>
    <row r="289" ht="15.75" customHeight="1">
      <c r="A289" s="5" t="s">
        <v>682</v>
      </c>
      <c r="B289" s="5" t="s">
        <v>683</v>
      </c>
      <c r="C289" s="5" t="s">
        <v>684</v>
      </c>
      <c r="D289" s="6">
        <v>7000.0</v>
      </c>
      <c r="E289" s="5" t="s">
        <v>588</v>
      </c>
    </row>
    <row r="290" ht="15.75" customHeight="1">
      <c r="A290" s="5" t="s">
        <v>685</v>
      </c>
      <c r="B290" s="5" t="s">
        <v>686</v>
      </c>
      <c r="C290" s="5" t="s">
        <v>684</v>
      </c>
      <c r="D290" s="6">
        <v>2495.0</v>
      </c>
      <c r="E290" s="5" t="s">
        <v>588</v>
      </c>
    </row>
    <row r="291" ht="15.75" customHeight="1">
      <c r="A291" s="5" t="s">
        <v>687</v>
      </c>
      <c r="B291" s="5" t="s">
        <v>688</v>
      </c>
      <c r="C291" s="5" t="s">
        <v>684</v>
      </c>
      <c r="D291" s="6">
        <v>5120.0</v>
      </c>
      <c r="E291" s="5" t="s">
        <v>588</v>
      </c>
    </row>
    <row r="292" ht="15.75" customHeight="1">
      <c r="A292" s="5" t="s">
        <v>689</v>
      </c>
      <c r="B292" s="5" t="s">
        <v>690</v>
      </c>
      <c r="C292" s="5" t="s">
        <v>691</v>
      </c>
      <c r="D292" s="6">
        <v>5375.0</v>
      </c>
      <c r="E292" s="5" t="s">
        <v>588</v>
      </c>
    </row>
    <row r="293" ht="15.75" customHeight="1">
      <c r="A293" s="5" t="s">
        <v>692</v>
      </c>
      <c r="B293" s="5" t="s">
        <v>693</v>
      </c>
      <c r="C293" s="5" t="s">
        <v>694</v>
      </c>
      <c r="D293" s="6">
        <v>29100.0</v>
      </c>
      <c r="E293" s="5" t="s">
        <v>588</v>
      </c>
    </row>
    <row r="294" ht="15.75" customHeight="1">
      <c r="A294" s="5" t="s">
        <v>695</v>
      </c>
      <c r="B294" s="5" t="s">
        <v>696</v>
      </c>
      <c r="C294" s="5"/>
      <c r="D294" s="6">
        <v>0.0</v>
      </c>
      <c r="E294" s="5" t="s">
        <v>588</v>
      </c>
    </row>
    <row r="295" ht="15.75" customHeight="1">
      <c r="A295" s="5" t="s">
        <v>697</v>
      </c>
      <c r="B295" s="5" t="s">
        <v>698</v>
      </c>
      <c r="C295" s="5"/>
      <c r="D295" s="6">
        <v>0.0</v>
      </c>
      <c r="E295" s="5" t="s">
        <v>588</v>
      </c>
    </row>
    <row r="296" ht="15.75" customHeight="1">
      <c r="A296" s="5" t="s">
        <v>699</v>
      </c>
      <c r="B296" s="5" t="s">
        <v>700</v>
      </c>
      <c r="C296" s="5" t="s">
        <v>678</v>
      </c>
      <c r="D296" s="6">
        <v>4775.0</v>
      </c>
      <c r="E296" s="5" t="s">
        <v>588</v>
      </c>
    </row>
    <row r="297" ht="15.75" customHeight="1">
      <c r="A297" s="5" t="s">
        <v>701</v>
      </c>
      <c r="B297" s="5" t="s">
        <v>702</v>
      </c>
      <c r="C297" s="5" t="s">
        <v>703</v>
      </c>
      <c r="D297" s="6">
        <v>5200.0</v>
      </c>
      <c r="E297" s="5" t="s">
        <v>588</v>
      </c>
    </row>
    <row r="298" ht="15.75" customHeight="1">
      <c r="A298" s="5" t="s">
        <v>704</v>
      </c>
      <c r="B298" s="5" t="s">
        <v>705</v>
      </c>
      <c r="C298" s="5" t="s">
        <v>678</v>
      </c>
      <c r="D298" s="6">
        <v>4667.0</v>
      </c>
      <c r="E298" s="5" t="s">
        <v>588</v>
      </c>
    </row>
    <row r="299" ht="15.75" customHeight="1">
      <c r="A299" s="5" t="s">
        <v>706</v>
      </c>
      <c r="B299" s="5" t="s">
        <v>707</v>
      </c>
      <c r="C299" s="5" t="s">
        <v>708</v>
      </c>
      <c r="D299" s="6">
        <v>6400.0</v>
      </c>
      <c r="E299" s="5" t="s">
        <v>588</v>
      </c>
    </row>
    <row r="300" ht="15.75" customHeight="1">
      <c r="A300" s="5" t="s">
        <v>709</v>
      </c>
      <c r="B300" s="5" t="s">
        <v>710</v>
      </c>
      <c r="C300" s="5" t="s">
        <v>691</v>
      </c>
      <c r="D300" s="6">
        <v>6975.0</v>
      </c>
      <c r="E300" s="5" t="s">
        <v>588</v>
      </c>
    </row>
    <row r="301" ht="15.75" customHeight="1">
      <c r="A301" s="5" t="s">
        <v>711</v>
      </c>
      <c r="B301" s="5" t="s">
        <v>712</v>
      </c>
      <c r="C301" s="5" t="s">
        <v>678</v>
      </c>
      <c r="D301" s="6">
        <v>5000.0</v>
      </c>
      <c r="E301" s="5" t="s">
        <v>588</v>
      </c>
    </row>
    <row r="302" ht="15.75" customHeight="1">
      <c r="A302" s="5" t="s">
        <v>713</v>
      </c>
      <c r="B302" s="5" t="s">
        <v>714</v>
      </c>
      <c r="C302" s="5" t="s">
        <v>715</v>
      </c>
      <c r="D302" s="6">
        <v>0.0</v>
      </c>
      <c r="E302" s="5" t="s">
        <v>588</v>
      </c>
    </row>
    <row r="303" ht="15.75" customHeight="1">
      <c r="A303" s="5" t="s">
        <v>716</v>
      </c>
      <c r="B303" s="5" t="s">
        <v>717</v>
      </c>
      <c r="C303" s="5" t="s">
        <v>678</v>
      </c>
      <c r="D303" s="6">
        <v>7200.0</v>
      </c>
      <c r="E303" s="5" t="s">
        <v>588</v>
      </c>
    </row>
    <row r="304" ht="15.75" customHeight="1">
      <c r="A304" s="5" t="s">
        <v>718</v>
      </c>
      <c r="B304" s="5" t="s">
        <v>719</v>
      </c>
      <c r="C304" s="5" t="s">
        <v>720</v>
      </c>
      <c r="D304" s="6">
        <v>7500.0</v>
      </c>
      <c r="E304" s="5" t="s">
        <v>588</v>
      </c>
    </row>
    <row r="305" ht="15.75" customHeight="1">
      <c r="A305" s="5" t="s">
        <v>721</v>
      </c>
      <c r="B305" s="5" t="s">
        <v>722</v>
      </c>
      <c r="C305" s="5" t="s">
        <v>715</v>
      </c>
      <c r="D305" s="6">
        <v>4100.0</v>
      </c>
      <c r="E305" s="5" t="s">
        <v>588</v>
      </c>
    </row>
    <row r="306" ht="15.75" customHeight="1">
      <c r="A306" s="5" t="s">
        <v>723</v>
      </c>
      <c r="B306" s="5" t="s">
        <v>724</v>
      </c>
      <c r="C306" s="5"/>
      <c r="D306" s="6">
        <v>0.0</v>
      </c>
      <c r="E306" s="5" t="s">
        <v>588</v>
      </c>
    </row>
    <row r="307" ht="15.75" customHeight="1">
      <c r="A307" s="5" t="s">
        <v>725</v>
      </c>
      <c r="B307" s="5" t="s">
        <v>726</v>
      </c>
      <c r="C307" s="5" t="s">
        <v>727</v>
      </c>
      <c r="D307" s="6">
        <v>4000.0</v>
      </c>
      <c r="E307" s="5" t="s">
        <v>588</v>
      </c>
    </row>
    <row r="308" ht="15.75" customHeight="1">
      <c r="A308" s="5" t="s">
        <v>728</v>
      </c>
      <c r="B308" s="5" t="s">
        <v>729</v>
      </c>
      <c r="C308" s="5" t="s">
        <v>678</v>
      </c>
      <c r="D308" s="6">
        <v>4500.0</v>
      </c>
      <c r="E308" s="5" t="s">
        <v>588</v>
      </c>
    </row>
    <row r="309" ht="15.75" customHeight="1">
      <c r="A309" s="5" t="s">
        <v>730</v>
      </c>
      <c r="B309" s="5" t="s">
        <v>731</v>
      </c>
      <c r="C309" s="5" t="s">
        <v>691</v>
      </c>
      <c r="D309" s="6">
        <v>6175.0</v>
      </c>
      <c r="E309" s="5" t="s">
        <v>588</v>
      </c>
    </row>
    <row r="310" ht="15.75" customHeight="1">
      <c r="A310" s="5" t="s">
        <v>732</v>
      </c>
      <c r="B310" s="5" t="s">
        <v>733</v>
      </c>
      <c r="C310" s="5" t="s">
        <v>727</v>
      </c>
      <c r="D310" s="6">
        <v>6000.0</v>
      </c>
      <c r="E310" s="5" t="s">
        <v>588</v>
      </c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35.0"/>
    <col customWidth="1" min="4" max="4" width="25.0"/>
    <col customWidth="1" min="5" max="26" width="8.71"/>
  </cols>
  <sheetData>
    <row r="1">
      <c r="A1" s="1" t="s">
        <v>734</v>
      </c>
    </row>
    <row r="2">
      <c r="A2" s="2" t="s">
        <v>735</v>
      </c>
    </row>
    <row r="4">
      <c r="A4" s="9" t="s">
        <v>736</v>
      </c>
      <c r="B4" s="9" t="s">
        <v>737</v>
      </c>
      <c r="C4" s="9" t="s">
        <v>738</v>
      </c>
      <c r="D4" s="9" t="s">
        <v>739</v>
      </c>
    </row>
    <row r="5">
      <c r="A5" s="10" t="s">
        <v>740</v>
      </c>
      <c r="B5" s="10" t="s">
        <v>741</v>
      </c>
      <c r="C5" s="10" t="s">
        <v>742</v>
      </c>
      <c r="D5" s="10" t="s">
        <v>743</v>
      </c>
    </row>
    <row r="6">
      <c r="A6" s="10" t="s">
        <v>744</v>
      </c>
      <c r="B6" s="10" t="s">
        <v>745</v>
      </c>
      <c r="C6" s="10" t="s">
        <v>746</v>
      </c>
      <c r="D6" s="10" t="s">
        <v>743</v>
      </c>
    </row>
    <row r="7">
      <c r="A7" s="10" t="s">
        <v>747</v>
      </c>
      <c r="B7" s="10" t="s">
        <v>748</v>
      </c>
      <c r="C7" s="10" t="s">
        <v>749</v>
      </c>
      <c r="D7" s="10" t="s">
        <v>750</v>
      </c>
    </row>
    <row r="8">
      <c r="A8" s="10" t="s">
        <v>751</v>
      </c>
      <c r="B8" s="10" t="s">
        <v>752</v>
      </c>
      <c r="C8" s="10" t="s">
        <v>753</v>
      </c>
      <c r="D8" s="10" t="s">
        <v>750</v>
      </c>
    </row>
    <row r="9">
      <c r="A9" s="10" t="s">
        <v>754</v>
      </c>
      <c r="B9" s="10" t="s">
        <v>755</v>
      </c>
      <c r="C9" s="10" t="s">
        <v>756</v>
      </c>
      <c r="D9" s="10" t="s">
        <v>750</v>
      </c>
    </row>
    <row r="10">
      <c r="A10" s="10" t="s">
        <v>757</v>
      </c>
      <c r="B10" s="10" t="s">
        <v>758</v>
      </c>
      <c r="C10" s="10" t="s">
        <v>759</v>
      </c>
      <c r="D10" s="10" t="s">
        <v>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5.0"/>
    <col customWidth="1" min="3" max="3" width="12.0"/>
    <col customWidth="1" min="4" max="4" width="15.0"/>
    <col customWidth="1" min="5" max="26" width="8.71"/>
  </cols>
  <sheetData>
    <row r="1">
      <c r="A1" s="11" t="s">
        <v>760</v>
      </c>
    </row>
    <row r="3">
      <c r="A3" s="12" t="s">
        <v>761</v>
      </c>
    </row>
    <row r="4">
      <c r="A4" s="9" t="s">
        <v>762</v>
      </c>
      <c r="B4" s="9" t="s">
        <v>763</v>
      </c>
      <c r="C4" s="9" t="s">
        <v>764</v>
      </c>
      <c r="D4" s="9" t="s">
        <v>765</v>
      </c>
    </row>
    <row r="5">
      <c r="A5" s="10" t="s">
        <v>766</v>
      </c>
      <c r="B5" s="13">
        <f>COUNTA(DATA_MASTER!$A$6:$A$13)</f>
        <v>8</v>
      </c>
      <c r="C5" s="14" t="s">
        <v>767</v>
      </c>
      <c r="D5" s="10"/>
    </row>
    <row r="6">
      <c r="A6" s="10" t="s">
        <v>768</v>
      </c>
      <c r="B6" s="13">
        <f>COUNTA(DATA_MASTER!$A$18:$A$22)</f>
        <v>5</v>
      </c>
      <c r="C6" s="14" t="s">
        <v>767</v>
      </c>
      <c r="D6" s="10"/>
    </row>
    <row r="7">
      <c r="A7" s="10" t="s">
        <v>769</v>
      </c>
      <c r="B7" s="13">
        <f>COUNTIF(DATA_MASTER!$D$18:$D$22,"ลูกค้า")</f>
        <v>3</v>
      </c>
      <c r="C7" s="14" t="s">
        <v>770</v>
      </c>
      <c r="D7" s="10"/>
    </row>
    <row r="8">
      <c r="A8" s="10" t="s">
        <v>771</v>
      </c>
      <c r="B8" s="13">
        <f>COUNTIF(DATA_MASTER!$D$18:$D$22,"ผู้ขาย")</f>
        <v>2</v>
      </c>
      <c r="C8" s="14" t="s">
        <v>770</v>
      </c>
      <c r="D8" s="10"/>
    </row>
    <row r="9">
      <c r="A9" s="10" t="s">
        <v>772</v>
      </c>
      <c r="B9" s="13">
        <f>VAT_Rate</f>
        <v>0.07</v>
      </c>
      <c r="C9" s="14" t="s">
        <v>773</v>
      </c>
      <c r="D9" s="10"/>
    </row>
    <row r="10">
      <c r="A10" s="10" t="s">
        <v>774</v>
      </c>
      <c r="B10" s="13">
        <f>WHT_Service_Rate</f>
        <v>0.03</v>
      </c>
      <c r="C10" s="14" t="s">
        <v>773</v>
      </c>
      <c r="D10" s="10"/>
    </row>
    <row r="11">
      <c r="A11" s="15" t="s">
        <v>775</v>
      </c>
      <c r="B11" s="16">
        <f>COUNTA(DATA_MASTER!$A$36:$A$57)</f>
        <v>22</v>
      </c>
      <c r="C11" s="10" t="s">
        <v>776</v>
      </c>
      <c r="D11" s="10"/>
    </row>
    <row r="12">
      <c r="A12" s="15" t="s">
        <v>777</v>
      </c>
      <c r="B12" s="16">
        <f>COUNTIF(DATA_MASTER!$F$36:$F$57,"Available")</f>
        <v>22</v>
      </c>
      <c r="C12" s="10" t="s">
        <v>776</v>
      </c>
      <c r="D12" s="10"/>
    </row>
    <row r="13">
      <c r="A13" s="15" t="s">
        <v>778</v>
      </c>
      <c r="B13" s="16">
        <f>COUNTA(DATA_MASTER!$A$62:$A$66)</f>
        <v>5</v>
      </c>
      <c r="C13" s="10" t="s">
        <v>767</v>
      </c>
      <c r="D13" s="10"/>
    </row>
    <row r="14">
      <c r="A14" s="15" t="s">
        <v>779</v>
      </c>
      <c r="B14" s="13">
        <f>SUM(DATA_MASTER!$H$62:$H$66)</f>
        <v>19500</v>
      </c>
      <c r="C14" s="10" t="s">
        <v>780</v>
      </c>
      <c r="D14" s="10"/>
    </row>
    <row r="15">
      <c r="A15" s="15" t="s">
        <v>781</v>
      </c>
      <c r="B15" s="13">
        <f>SUMIF(DATA_MASTER!$C$71:$C$90,"รายรับ",DATA_MASTER!$F$71:$F$90)</f>
        <v>0</v>
      </c>
      <c r="C15" s="10" t="s">
        <v>780</v>
      </c>
      <c r="D15" s="10"/>
    </row>
    <row r="16">
      <c r="A16" s="15" t="s">
        <v>782</v>
      </c>
      <c r="B16" s="13">
        <f>SUMIF(DATA_MASTER!$C$71:$C$90,"รายจ่าย",DATA_MASTER!$F$71:$F$90)</f>
        <v>0</v>
      </c>
      <c r="C16" s="10" t="s">
        <v>780</v>
      </c>
      <c r="D16" s="10"/>
    </row>
    <row r="17">
      <c r="A17" s="15" t="s">
        <v>783</v>
      </c>
      <c r="B17" s="13">
        <f>SUMIF(DATA_MASTER!$C$71:$C$90,"รายรับ",DATA_MASTER!$F$71:$F$90)-SUMIF(DATA_MASTER!$C$71:$C$90,"รายจ่าย",DATA_MASTER!$F$71:$F$90)</f>
        <v>0</v>
      </c>
      <c r="C17" s="10" t="s">
        <v>780</v>
      </c>
      <c r="D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784</v>
      </c>
    </row>
    <row r="2">
      <c r="A2" s="2" t="s">
        <v>785</v>
      </c>
    </row>
    <row r="4">
      <c r="A4" s="9" t="s">
        <v>786</v>
      </c>
      <c r="B4" s="9" t="s">
        <v>787</v>
      </c>
      <c r="C4" s="9" t="s">
        <v>788</v>
      </c>
      <c r="D4" s="9" t="s">
        <v>789</v>
      </c>
      <c r="E4" s="9" t="s">
        <v>765</v>
      </c>
      <c r="F4" s="9" t="s">
        <v>790</v>
      </c>
      <c r="G4" s="9" t="s">
        <v>791</v>
      </c>
    </row>
    <row r="5">
      <c r="A5" s="17" t="str">
        <f t="array" ref="A5">INDEX(DATA_MASTER!$B$36:$B$57,1)</f>
        <v>A101</v>
      </c>
      <c r="B5" s="17" t="str">
        <f t="array" ref="B5">INDEX(DATA_MASTER!$C$36:$C$57,1)</f>
        <v>ROOM-001</v>
      </c>
      <c r="C5" s="17">
        <f t="array" ref="C5">INDEX(DATA_MASTER!$D$36:$D$57,1)</f>
        <v>1</v>
      </c>
      <c r="D5" s="17" t="str">
        <f t="array" ref="D5">INDEX(DATA_MASTER!$E$36:$E$57,1)</f>
        <v>A</v>
      </c>
      <c r="E5" s="17" t="str">
        <f t="array" ref="E5">INDEX(DATA_MASTER!$F$36:$F$57,1)</f>
        <v>Available</v>
      </c>
      <c r="F5" s="18">
        <f t="array" ref="F5">INDEX(DATA_MASTER!$G$36:$G$57,1)</f>
        <v>1200</v>
      </c>
      <c r="G5" s="18">
        <f t="array" ref="G5">INDEX(DATA_MASTER!$H$36:$H$57,1)</f>
        <v>2</v>
      </c>
    </row>
    <row r="6">
      <c r="A6" s="17" t="str">
        <f t="array" ref="A6">INDEX(DATA_MASTER!$B$36:$B$57,2)</f>
        <v>A102</v>
      </c>
      <c r="B6" s="17" t="str">
        <f t="array" ref="B6">INDEX(DATA_MASTER!$C$36:$C$57,2)</f>
        <v>ROOM-001</v>
      </c>
      <c r="C6" s="17">
        <f t="array" ref="C6">INDEX(DATA_MASTER!$D$36:$D$57,2)</f>
        <v>1</v>
      </c>
      <c r="D6" s="17" t="str">
        <f t="array" ref="D6">INDEX(DATA_MASTER!$E$36:$E$57,2)</f>
        <v>A</v>
      </c>
      <c r="E6" s="17" t="str">
        <f t="array" ref="E6">INDEX(DATA_MASTER!$F$36:$F$57,2)</f>
        <v>Available</v>
      </c>
      <c r="F6" s="18">
        <f t="array" ref="F6">INDEX(DATA_MASTER!$G$36:$G$57,2)</f>
        <v>1200</v>
      </c>
      <c r="G6" s="18">
        <f t="array" ref="G6">INDEX(DATA_MASTER!$H$36:$H$57,2)</f>
        <v>2</v>
      </c>
    </row>
    <row r="7">
      <c r="A7" s="17" t="str">
        <f t="array" ref="A7">INDEX(DATA_MASTER!$B$36:$B$57,3)</f>
        <v>A103</v>
      </c>
      <c r="B7" s="17" t="str">
        <f t="array" ref="B7">INDEX(DATA_MASTER!$C$36:$C$57,3)</f>
        <v>ROOM-001</v>
      </c>
      <c r="C7" s="17">
        <f t="array" ref="C7">INDEX(DATA_MASTER!$D$36:$D$57,3)</f>
        <v>1</v>
      </c>
      <c r="D7" s="17" t="str">
        <f t="array" ref="D7">INDEX(DATA_MASTER!$E$36:$E$57,3)</f>
        <v>A</v>
      </c>
      <c r="E7" s="17" t="str">
        <f t="array" ref="E7">INDEX(DATA_MASTER!$F$36:$F$57,3)</f>
        <v>Available</v>
      </c>
      <c r="F7" s="18">
        <f t="array" ref="F7">INDEX(DATA_MASTER!$G$36:$G$57,3)</f>
        <v>1200</v>
      </c>
      <c r="G7" s="18">
        <f t="array" ref="G7">INDEX(DATA_MASTER!$H$36:$H$57,3)</f>
        <v>2</v>
      </c>
    </row>
    <row r="8">
      <c r="A8" s="17" t="str">
        <f t="array" ref="A8">INDEX(DATA_MASTER!$B$36:$B$57,4)</f>
        <v>A104</v>
      </c>
      <c r="B8" s="17" t="str">
        <f t="array" ref="B8">INDEX(DATA_MASTER!$C$36:$C$57,4)</f>
        <v>ROOM-002</v>
      </c>
      <c r="C8" s="17">
        <f t="array" ref="C8">INDEX(DATA_MASTER!$D$36:$D$57,4)</f>
        <v>1</v>
      </c>
      <c r="D8" s="17" t="str">
        <f t="array" ref="D8">INDEX(DATA_MASTER!$E$36:$E$57,4)</f>
        <v>A</v>
      </c>
      <c r="E8" s="17" t="str">
        <f t="array" ref="E8">INDEX(DATA_MASTER!$F$36:$F$57,4)</f>
        <v>Available</v>
      </c>
      <c r="F8" s="18">
        <f t="array" ref="F8">INDEX(DATA_MASTER!$G$36:$G$57,4)</f>
        <v>1500</v>
      </c>
      <c r="G8" s="18">
        <f t="array" ref="G8">INDEX(DATA_MASTER!$H$36:$H$57,4)</f>
        <v>4</v>
      </c>
    </row>
    <row r="9">
      <c r="A9" s="17" t="str">
        <f t="array" ref="A9">INDEX(DATA_MASTER!$B$36:$B$57,5)</f>
        <v>A105</v>
      </c>
      <c r="B9" s="17" t="str">
        <f t="array" ref="B9">INDEX(DATA_MASTER!$C$36:$C$57,5)</f>
        <v>ROOM-002</v>
      </c>
      <c r="C9" s="17">
        <f t="array" ref="C9">INDEX(DATA_MASTER!$D$36:$D$57,5)</f>
        <v>1</v>
      </c>
      <c r="D9" s="17" t="str">
        <f t="array" ref="D9">INDEX(DATA_MASTER!$E$36:$E$57,5)</f>
        <v>A</v>
      </c>
      <c r="E9" s="17" t="str">
        <f t="array" ref="E9">INDEX(DATA_MASTER!$F$36:$F$57,5)</f>
        <v>Available</v>
      </c>
      <c r="F9" s="18">
        <f t="array" ref="F9">INDEX(DATA_MASTER!$G$36:$G$57,5)</f>
        <v>1500</v>
      </c>
      <c r="G9" s="18">
        <f t="array" ref="G9">INDEX(DATA_MASTER!$H$36:$H$57,5)</f>
        <v>4</v>
      </c>
    </row>
    <row r="10">
      <c r="A10" s="17" t="str">
        <f t="array" ref="A10">INDEX(DATA_MASTER!$B$36:$B$57,6)</f>
        <v>A106</v>
      </c>
      <c r="B10" s="17" t="str">
        <f t="array" ref="B10">INDEX(DATA_MASTER!$C$36:$C$57,6)</f>
        <v>ROOM-003</v>
      </c>
      <c r="C10" s="17">
        <f t="array" ref="C10">INDEX(DATA_MASTER!$D$36:$D$57,6)</f>
        <v>1</v>
      </c>
      <c r="D10" s="17" t="str">
        <f t="array" ref="D10">INDEX(DATA_MASTER!$E$36:$E$57,6)</f>
        <v>A</v>
      </c>
      <c r="E10" s="17" t="str">
        <f t="array" ref="E10">INDEX(DATA_MASTER!$F$36:$F$57,6)</f>
        <v>Available</v>
      </c>
      <c r="F10" s="18">
        <f t="array" ref="F10">INDEX(DATA_MASTER!$G$36:$G$57,6)</f>
        <v>2500</v>
      </c>
      <c r="G10" s="18">
        <f t="array" ref="G10">INDEX(DATA_MASTER!$H$36:$H$57,6)</f>
        <v>3</v>
      </c>
    </row>
    <row r="11">
      <c r="A11" s="17" t="str">
        <f t="array" ref="A11">INDEX(DATA_MASTER!$B$36:$B$57,7)</f>
        <v>A107</v>
      </c>
      <c r="B11" s="17" t="str">
        <f t="array" ref="B11">INDEX(DATA_MASTER!$C$36:$C$57,7)</f>
        <v>ROOM-003</v>
      </c>
      <c r="C11" s="17">
        <f t="array" ref="C11">INDEX(DATA_MASTER!$D$36:$D$57,7)</f>
        <v>1</v>
      </c>
      <c r="D11" s="17" t="str">
        <f t="array" ref="D11">INDEX(DATA_MASTER!$E$36:$E$57,7)</f>
        <v>A</v>
      </c>
      <c r="E11" s="17" t="str">
        <f t="array" ref="E11">INDEX(DATA_MASTER!$F$36:$F$57,7)</f>
        <v>Available</v>
      </c>
      <c r="F11" s="18">
        <f t="array" ref="F11">INDEX(DATA_MASTER!$G$36:$G$57,7)</f>
        <v>2500</v>
      </c>
      <c r="G11" s="18">
        <f t="array" ref="G11">INDEX(DATA_MASTER!$H$36:$H$57,7)</f>
        <v>3</v>
      </c>
    </row>
    <row r="12">
      <c r="A12" s="17" t="str">
        <f t="array" ref="A12">INDEX(DATA_MASTER!$B$36:$B$57,8)</f>
        <v>A201</v>
      </c>
      <c r="B12" s="17" t="str">
        <f t="array" ref="B12">INDEX(DATA_MASTER!$C$36:$C$57,8)</f>
        <v>ROOM-001</v>
      </c>
      <c r="C12" s="17">
        <f t="array" ref="C12">INDEX(DATA_MASTER!$D$36:$D$57,8)</f>
        <v>2</v>
      </c>
      <c r="D12" s="17" t="str">
        <f t="array" ref="D12">INDEX(DATA_MASTER!$E$36:$E$57,8)</f>
        <v>A</v>
      </c>
      <c r="E12" s="17" t="str">
        <f t="array" ref="E12">INDEX(DATA_MASTER!$F$36:$F$57,8)</f>
        <v>Available</v>
      </c>
      <c r="F12" s="18">
        <f t="array" ref="F12">INDEX(DATA_MASTER!$G$36:$G$57,8)</f>
        <v>1200</v>
      </c>
      <c r="G12" s="18">
        <f t="array" ref="G12">INDEX(DATA_MASTER!$H$36:$H$57,8)</f>
        <v>2</v>
      </c>
    </row>
    <row r="13">
      <c r="A13" s="17" t="str">
        <f t="array" ref="A13">INDEX(DATA_MASTER!$B$36:$B$57,9)</f>
        <v>A202</v>
      </c>
      <c r="B13" s="17" t="str">
        <f t="array" ref="B13">INDEX(DATA_MASTER!$C$36:$C$57,9)</f>
        <v>ROOM-001</v>
      </c>
      <c r="C13" s="17">
        <f t="array" ref="C13">INDEX(DATA_MASTER!$D$36:$D$57,9)</f>
        <v>2</v>
      </c>
      <c r="D13" s="17" t="str">
        <f t="array" ref="D13">INDEX(DATA_MASTER!$E$36:$E$57,9)</f>
        <v>A</v>
      </c>
      <c r="E13" s="17" t="str">
        <f t="array" ref="E13">INDEX(DATA_MASTER!$F$36:$F$57,9)</f>
        <v>Available</v>
      </c>
      <c r="F13" s="18">
        <f t="array" ref="F13">INDEX(DATA_MASTER!$G$36:$G$57,9)</f>
        <v>1200</v>
      </c>
      <c r="G13" s="18">
        <f t="array" ref="G13">INDEX(DATA_MASTER!$H$36:$H$57,9)</f>
        <v>2</v>
      </c>
    </row>
    <row r="14">
      <c r="A14" s="17" t="str">
        <f t="array" ref="A14">INDEX(DATA_MASTER!$B$36:$B$57,10)</f>
        <v>A203</v>
      </c>
      <c r="B14" s="17" t="str">
        <f t="array" ref="B14">INDEX(DATA_MASTER!$C$36:$C$57,10)</f>
        <v>ROOM-001</v>
      </c>
      <c r="C14" s="17">
        <f t="array" ref="C14">INDEX(DATA_MASTER!$D$36:$D$57,10)</f>
        <v>2</v>
      </c>
      <c r="D14" s="17" t="str">
        <f t="array" ref="D14">INDEX(DATA_MASTER!$E$36:$E$57,10)</f>
        <v>A</v>
      </c>
      <c r="E14" s="17" t="str">
        <f t="array" ref="E14">INDEX(DATA_MASTER!$F$36:$F$57,10)</f>
        <v>Available</v>
      </c>
      <c r="F14" s="18">
        <f t="array" ref="F14">INDEX(DATA_MASTER!$G$36:$G$57,10)</f>
        <v>1200</v>
      </c>
      <c r="G14" s="18">
        <f t="array" ref="G14">INDEX(DATA_MASTER!$H$36:$H$57,10)</f>
        <v>2</v>
      </c>
    </row>
    <row r="15">
      <c r="A15" s="17" t="str">
        <f t="array" ref="A15">INDEX(DATA_MASTER!$B$36:$B$57,11)</f>
        <v>A204</v>
      </c>
      <c r="B15" s="17" t="str">
        <f t="array" ref="B15">INDEX(DATA_MASTER!$C$36:$C$57,11)</f>
        <v>ROOM-002</v>
      </c>
      <c r="C15" s="17">
        <f t="array" ref="C15">INDEX(DATA_MASTER!$D$36:$D$57,11)</f>
        <v>2</v>
      </c>
      <c r="D15" s="17" t="str">
        <f t="array" ref="D15">INDEX(DATA_MASTER!$E$36:$E$57,11)</f>
        <v>A</v>
      </c>
      <c r="E15" s="17" t="str">
        <f t="array" ref="E15">INDEX(DATA_MASTER!$F$36:$F$57,11)</f>
        <v>Available</v>
      </c>
      <c r="F15" s="18">
        <f t="array" ref="F15">INDEX(DATA_MASTER!$G$36:$G$57,11)</f>
        <v>1500</v>
      </c>
      <c r="G15" s="18">
        <f t="array" ref="G15">INDEX(DATA_MASTER!$H$36:$H$57,11)</f>
        <v>4</v>
      </c>
    </row>
    <row r="16">
      <c r="A16" s="17" t="str">
        <f t="array" ref="A16">INDEX(DATA_MASTER!$B$36:$B$57,12)</f>
        <v>A205</v>
      </c>
      <c r="B16" s="17" t="str">
        <f t="array" ref="B16">INDEX(DATA_MASTER!$C$36:$C$57,12)</f>
        <v>ROOM-002</v>
      </c>
      <c r="C16" s="17">
        <f t="array" ref="C16">INDEX(DATA_MASTER!$D$36:$D$57,12)</f>
        <v>2</v>
      </c>
      <c r="D16" s="17" t="str">
        <f t="array" ref="D16">INDEX(DATA_MASTER!$E$36:$E$57,12)</f>
        <v>A</v>
      </c>
      <c r="E16" s="17" t="str">
        <f t="array" ref="E16">INDEX(DATA_MASTER!$F$36:$F$57,12)</f>
        <v>Available</v>
      </c>
      <c r="F16" s="18">
        <f t="array" ref="F16">INDEX(DATA_MASTER!$G$36:$G$57,12)</f>
        <v>1500</v>
      </c>
      <c r="G16" s="18">
        <f t="array" ref="G16">INDEX(DATA_MASTER!$H$36:$H$57,12)</f>
        <v>4</v>
      </c>
    </row>
    <row r="17">
      <c r="A17" s="17" t="str">
        <f t="array" ref="A17">INDEX(DATA_MASTER!$B$36:$B$57,13)</f>
        <v>A206</v>
      </c>
      <c r="B17" s="17" t="str">
        <f t="array" ref="B17">INDEX(DATA_MASTER!$C$36:$C$57,13)</f>
        <v>ROOM-003</v>
      </c>
      <c r="C17" s="17">
        <f t="array" ref="C17">INDEX(DATA_MASTER!$D$36:$D$57,13)</f>
        <v>2</v>
      </c>
      <c r="D17" s="17" t="str">
        <f t="array" ref="D17">INDEX(DATA_MASTER!$E$36:$E$57,13)</f>
        <v>A</v>
      </c>
      <c r="E17" s="17" t="str">
        <f t="array" ref="E17">INDEX(DATA_MASTER!$F$36:$F$57,13)</f>
        <v>Available</v>
      </c>
      <c r="F17" s="18">
        <f t="array" ref="F17">INDEX(DATA_MASTER!$G$36:$G$57,13)</f>
        <v>2500</v>
      </c>
      <c r="G17" s="18">
        <f t="array" ref="G17">INDEX(DATA_MASTER!$H$36:$H$57,13)</f>
        <v>3</v>
      </c>
    </row>
    <row r="18">
      <c r="A18" s="17" t="str">
        <f t="array" ref="A18">INDEX(DATA_MASTER!$B$36:$B$57,14)</f>
        <v>A207</v>
      </c>
      <c r="B18" s="17" t="str">
        <f t="array" ref="B18">INDEX(DATA_MASTER!$C$36:$C$57,14)</f>
        <v>ROOM-003</v>
      </c>
      <c r="C18" s="17">
        <f t="array" ref="C18">INDEX(DATA_MASTER!$D$36:$D$57,14)</f>
        <v>2</v>
      </c>
      <c r="D18" s="17" t="str">
        <f t="array" ref="D18">INDEX(DATA_MASTER!$E$36:$E$57,14)</f>
        <v>A</v>
      </c>
      <c r="E18" s="17" t="str">
        <f t="array" ref="E18">INDEX(DATA_MASTER!$F$36:$F$57,14)</f>
        <v>Available</v>
      </c>
      <c r="F18" s="18">
        <f t="array" ref="F18">INDEX(DATA_MASTER!$G$36:$G$57,14)</f>
        <v>2500</v>
      </c>
      <c r="G18" s="18">
        <f t="array" ref="G18">INDEX(DATA_MASTER!$H$36:$H$57,14)</f>
        <v>3</v>
      </c>
    </row>
    <row r="19">
      <c r="A19" s="17" t="str">
        <f t="array" ref="A19">INDEX(DATA_MASTER!$B$36:$B$57,15)</f>
        <v>B101</v>
      </c>
      <c r="B19" s="17" t="str">
        <f t="array" ref="B19">INDEX(DATA_MASTER!$C$36:$C$57,15)</f>
        <v>ROOM-002</v>
      </c>
      <c r="C19" s="17">
        <f t="array" ref="C19">INDEX(DATA_MASTER!$D$36:$D$57,15)</f>
        <v>1</v>
      </c>
      <c r="D19" s="17" t="str">
        <f t="array" ref="D19">INDEX(DATA_MASTER!$E$36:$E$57,15)</f>
        <v>B</v>
      </c>
      <c r="E19" s="17" t="str">
        <f t="array" ref="E19">INDEX(DATA_MASTER!$F$36:$F$57,15)</f>
        <v>Available</v>
      </c>
      <c r="F19" s="18">
        <f t="array" ref="F19">INDEX(DATA_MASTER!$G$36:$G$57,15)</f>
        <v>1500</v>
      </c>
      <c r="G19" s="18">
        <f t="array" ref="G19">INDEX(DATA_MASTER!$H$36:$H$57,15)</f>
        <v>4</v>
      </c>
    </row>
    <row r="20">
      <c r="A20" s="17" t="str">
        <f t="array" ref="A20">INDEX(DATA_MASTER!$B$36:$B$57,16)</f>
        <v>B102</v>
      </c>
      <c r="B20" s="17" t="str">
        <f t="array" ref="B20">INDEX(DATA_MASTER!$C$36:$C$57,16)</f>
        <v>ROOM-002</v>
      </c>
      <c r="C20" s="17">
        <f t="array" ref="C20">INDEX(DATA_MASTER!$D$36:$D$57,16)</f>
        <v>1</v>
      </c>
      <c r="D20" s="17" t="str">
        <f t="array" ref="D20">INDEX(DATA_MASTER!$E$36:$E$57,16)</f>
        <v>B</v>
      </c>
      <c r="E20" s="17" t="str">
        <f t="array" ref="E20">INDEX(DATA_MASTER!$F$36:$F$57,16)</f>
        <v>Available</v>
      </c>
      <c r="F20" s="18">
        <f t="array" ref="F20">INDEX(DATA_MASTER!$G$36:$G$57,16)</f>
        <v>1500</v>
      </c>
      <c r="G20" s="18">
        <f t="array" ref="G20">INDEX(DATA_MASTER!$H$36:$H$57,16)</f>
        <v>4</v>
      </c>
    </row>
    <row r="21" ht="15.75" customHeight="1">
      <c r="A21" s="17" t="str">
        <f t="array" ref="A21">INDEX(DATA_MASTER!$B$36:$B$57,17)</f>
        <v>B103</v>
      </c>
      <c r="B21" s="17" t="str">
        <f t="array" ref="B21">INDEX(DATA_MASTER!$C$36:$C$57,17)</f>
        <v>ROOM-002</v>
      </c>
      <c r="C21" s="17">
        <f t="array" ref="C21">INDEX(DATA_MASTER!$D$36:$D$57,17)</f>
        <v>1</v>
      </c>
      <c r="D21" s="17" t="str">
        <f t="array" ref="D21">INDEX(DATA_MASTER!$E$36:$E$57,17)</f>
        <v>B</v>
      </c>
      <c r="E21" s="17" t="str">
        <f t="array" ref="E21">INDEX(DATA_MASTER!$F$36:$F$57,17)</f>
        <v>Available</v>
      </c>
      <c r="F21" s="18">
        <f t="array" ref="F21">INDEX(DATA_MASTER!$G$36:$G$57,17)</f>
        <v>1500</v>
      </c>
      <c r="G21" s="18">
        <f t="array" ref="G21">INDEX(DATA_MASTER!$H$36:$H$57,17)</f>
        <v>4</v>
      </c>
    </row>
    <row r="22" ht="15.75" customHeight="1">
      <c r="A22" s="17" t="str">
        <f t="array" ref="A22">INDEX(DATA_MASTER!$B$36:$B$57,18)</f>
        <v>B104</v>
      </c>
      <c r="B22" s="17" t="str">
        <f t="array" ref="B22">INDEX(DATA_MASTER!$C$36:$C$57,18)</f>
        <v>ROOM-002</v>
      </c>
      <c r="C22" s="17">
        <f t="array" ref="C22">INDEX(DATA_MASTER!$D$36:$D$57,18)</f>
        <v>1</v>
      </c>
      <c r="D22" s="17" t="str">
        <f t="array" ref="D22">INDEX(DATA_MASTER!$E$36:$E$57,18)</f>
        <v>B</v>
      </c>
      <c r="E22" s="17" t="str">
        <f t="array" ref="E22">INDEX(DATA_MASTER!$F$36:$F$57,18)</f>
        <v>Available</v>
      </c>
      <c r="F22" s="18">
        <f t="array" ref="F22">INDEX(DATA_MASTER!$G$36:$G$57,18)</f>
        <v>1500</v>
      </c>
      <c r="G22" s="18">
        <f t="array" ref="G22">INDEX(DATA_MASTER!$H$36:$H$57,18)</f>
        <v>4</v>
      </c>
    </row>
    <row r="23" ht="15.75" customHeight="1">
      <c r="A23" s="17" t="str">
        <f t="array" ref="A23">INDEX(DATA_MASTER!$B$36:$B$57,19)</f>
        <v>B105</v>
      </c>
      <c r="B23" s="17" t="str">
        <f t="array" ref="B23">INDEX(DATA_MASTER!$C$36:$C$57,19)</f>
        <v>ROOM-002</v>
      </c>
      <c r="C23" s="17">
        <f t="array" ref="C23">INDEX(DATA_MASTER!$D$36:$D$57,19)</f>
        <v>1</v>
      </c>
      <c r="D23" s="17" t="str">
        <f t="array" ref="D23">INDEX(DATA_MASTER!$E$36:$E$57,19)</f>
        <v>B</v>
      </c>
      <c r="E23" s="17" t="str">
        <f t="array" ref="E23">INDEX(DATA_MASTER!$F$36:$F$57,19)</f>
        <v>Available</v>
      </c>
      <c r="F23" s="18">
        <f t="array" ref="F23">INDEX(DATA_MASTER!$G$36:$G$57,19)</f>
        <v>1500</v>
      </c>
      <c r="G23" s="18">
        <f t="array" ref="G23">INDEX(DATA_MASTER!$H$36:$H$57,19)</f>
        <v>4</v>
      </c>
    </row>
    <row r="24" ht="15.75" customHeight="1">
      <c r="A24" s="17" t="str">
        <f t="array" ref="A24">INDEX(DATA_MASTER!$B$36:$B$57,20)</f>
        <v>B106</v>
      </c>
      <c r="B24" s="17" t="str">
        <f t="array" ref="B24">INDEX(DATA_MASTER!$C$36:$C$57,20)</f>
        <v>ROOM-002</v>
      </c>
      <c r="C24" s="17">
        <f t="array" ref="C24">INDEX(DATA_MASTER!$D$36:$D$57,20)</f>
        <v>1</v>
      </c>
      <c r="D24" s="17" t="str">
        <f t="array" ref="D24">INDEX(DATA_MASTER!$E$36:$E$57,20)</f>
        <v>B</v>
      </c>
      <c r="E24" s="17" t="str">
        <f t="array" ref="E24">INDEX(DATA_MASTER!$F$36:$F$57,20)</f>
        <v>Available</v>
      </c>
      <c r="F24" s="18">
        <f t="array" ref="F24">INDEX(DATA_MASTER!$G$36:$G$57,20)</f>
        <v>1500</v>
      </c>
      <c r="G24" s="18">
        <f t="array" ref="G24">INDEX(DATA_MASTER!$H$36:$H$57,20)</f>
        <v>4</v>
      </c>
    </row>
    <row r="25" ht="15.75" customHeight="1">
      <c r="A25" s="17" t="str">
        <f t="array" ref="A25">INDEX(DATA_MASTER!$B$36:$B$57,21)</f>
        <v>B107</v>
      </c>
      <c r="B25" s="17" t="str">
        <f t="array" ref="B25">INDEX(DATA_MASTER!$C$36:$C$57,21)</f>
        <v>ROOM-002</v>
      </c>
      <c r="C25" s="17">
        <f t="array" ref="C25">INDEX(DATA_MASTER!$D$36:$D$57,21)</f>
        <v>1</v>
      </c>
      <c r="D25" s="17" t="str">
        <f t="array" ref="D25">INDEX(DATA_MASTER!$E$36:$E$57,21)</f>
        <v>B</v>
      </c>
      <c r="E25" s="17" t="str">
        <f t="array" ref="E25">INDEX(DATA_MASTER!$F$36:$F$57,21)</f>
        <v>Available</v>
      </c>
      <c r="F25" s="18">
        <f t="array" ref="F25">INDEX(DATA_MASTER!$G$36:$G$57,21)</f>
        <v>1500</v>
      </c>
      <c r="G25" s="18">
        <f t="array" ref="G25">INDEX(DATA_MASTER!$H$36:$H$57,21)</f>
        <v>4</v>
      </c>
    </row>
    <row r="26" ht="15.75" customHeight="1">
      <c r="A26" s="17" t="str">
        <f t="array" ref="A26">INDEX(DATA_MASTER!$B$36:$B$57,22)</f>
        <v>B108</v>
      </c>
      <c r="B26" s="17" t="str">
        <f t="array" ref="B26">INDEX(DATA_MASTER!$C$36:$C$57,22)</f>
        <v>ROOM-002</v>
      </c>
      <c r="C26" s="17">
        <f t="array" ref="C26">INDEX(DATA_MASTER!$D$36:$D$57,22)</f>
        <v>1</v>
      </c>
      <c r="D26" s="17" t="str">
        <f t="array" ref="D26">INDEX(DATA_MASTER!$E$36:$E$57,22)</f>
        <v>B</v>
      </c>
      <c r="E26" s="17" t="str">
        <f t="array" ref="E26">INDEX(DATA_MASTER!$F$36:$F$57,22)</f>
        <v>Available</v>
      </c>
      <c r="F26" s="18">
        <f t="array" ref="F26">INDEX(DATA_MASTER!$G$36:$G$57,22)</f>
        <v>1500</v>
      </c>
      <c r="G26" s="18">
        <f t="array" ref="G26">INDEX(DATA_MASTER!$H$36:$H$57,22)</f>
        <v>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0" width="14.0"/>
    <col customWidth="1" min="11" max="26" width="8.71"/>
  </cols>
  <sheetData>
    <row r="1">
      <c r="A1" s="1" t="s">
        <v>792</v>
      </c>
    </row>
    <row r="2">
      <c r="A2" s="2" t="s">
        <v>793</v>
      </c>
    </row>
    <row r="4">
      <c r="A4" s="9" t="s">
        <v>794</v>
      </c>
      <c r="B4" s="9" t="s">
        <v>786</v>
      </c>
      <c r="C4" s="9" t="s">
        <v>69</v>
      </c>
      <c r="D4" s="9" t="s">
        <v>795</v>
      </c>
      <c r="E4" s="9" t="s">
        <v>796</v>
      </c>
      <c r="F4" s="9" t="s">
        <v>797</v>
      </c>
      <c r="G4" s="9" t="s">
        <v>798</v>
      </c>
      <c r="H4" s="9" t="s">
        <v>694</v>
      </c>
      <c r="I4" s="9" t="s">
        <v>799</v>
      </c>
      <c r="J4" s="9" t="s">
        <v>765</v>
      </c>
    </row>
    <row r="5">
      <c r="A5" s="17" t="str">
        <f t="array" ref="A5">INDEX(DATA_MASTER!$A$62:$A$66,1)</f>
        <v>RSV-001</v>
      </c>
      <c r="B5" s="17" t="str">
        <f t="array" ref="B5">INDEX(DATA_MASTER!$B$62:$B$66,1)</f>
        <v>R-A101</v>
      </c>
      <c r="C5" s="17" t="str">
        <f t="array" ref="C5">INDEX(DATA_MASTER!$C$62:$C$66,1)</f>
        <v>CUST-001</v>
      </c>
      <c r="D5" s="17" t="str">
        <f t="array" ref="D5">INDEX(DATA_MASTER!$D$62:$D$66,1)</f>
        <v>2026-01-10</v>
      </c>
      <c r="E5" s="17" t="str">
        <f t="array" ref="E5">INDEX(DATA_MASTER!$E$62:$E$66,1)</f>
        <v>2026-01-12</v>
      </c>
      <c r="F5" s="18">
        <f t="array" ref="F5">INDEX(DATA_MASTER!$F$62:$F$66,1)</f>
        <v>2</v>
      </c>
      <c r="G5" s="18">
        <f t="array" ref="G5">INDEX(DATA_MASTER!$G$62:$G$66,1)</f>
        <v>2</v>
      </c>
      <c r="H5" s="18">
        <f t="array" ref="H5">INDEX(DATA_MASTER!$H$62:$H$66,1)</f>
        <v>2400</v>
      </c>
      <c r="I5" s="17" t="str">
        <f t="array" ref="I5">INDEX(DATA_MASTER!$I$62:$I$66,1)</f>
        <v>Paid</v>
      </c>
      <c r="J5" s="17" t="str">
        <f t="array" ref="J5">INDEX(DATA_MASTER!$K$62:$K$66,1)</f>
        <v>Confirmed</v>
      </c>
    </row>
    <row r="6">
      <c r="A6" s="17" t="str">
        <f t="array" ref="A6">INDEX(DATA_MASTER!$A$62:$A$66,2)</f>
        <v>RSV-002</v>
      </c>
      <c r="B6" s="17" t="str">
        <f t="array" ref="B6">INDEX(DATA_MASTER!$B$62:$B$66,2)</f>
        <v>R-A102</v>
      </c>
      <c r="C6" s="17" t="str">
        <f t="array" ref="C6">INDEX(DATA_MASTER!$C$62:$C$66,2)</f>
        <v>CUST-002</v>
      </c>
      <c r="D6" s="17" t="str">
        <f t="array" ref="D6">INDEX(DATA_MASTER!$D$62:$D$66,2)</f>
        <v>2026-01-11</v>
      </c>
      <c r="E6" s="17" t="str">
        <f t="array" ref="E6">INDEX(DATA_MASTER!$E$62:$E$66,2)</f>
        <v>2026-01-14</v>
      </c>
      <c r="F6" s="18">
        <f t="array" ref="F6">INDEX(DATA_MASTER!$F$62:$F$66,2)</f>
        <v>3</v>
      </c>
      <c r="G6" s="18">
        <f t="array" ref="G6">INDEX(DATA_MASTER!$G$62:$G$66,2)</f>
        <v>1</v>
      </c>
      <c r="H6" s="18">
        <f t="array" ref="H6">INDEX(DATA_MASTER!$H$62:$H$66,2)</f>
        <v>3600</v>
      </c>
      <c r="I6" s="17" t="str">
        <f t="array" ref="I6">INDEX(DATA_MASTER!$I$62:$I$66,2)</f>
        <v>Pending</v>
      </c>
      <c r="J6" s="17" t="str">
        <f t="array" ref="J6">INDEX(DATA_MASTER!$K$62:$K$66,2)</f>
        <v>Confirmed</v>
      </c>
    </row>
    <row r="7">
      <c r="A7" s="17" t="str">
        <f t="array" ref="A7">INDEX(DATA_MASTER!$A$62:$A$66,3)</f>
        <v>RSV-003</v>
      </c>
      <c r="B7" s="17" t="str">
        <f t="array" ref="B7">INDEX(DATA_MASTER!$B$62:$B$66,3)</f>
        <v>R-A201</v>
      </c>
      <c r="C7" s="17" t="str">
        <f t="array" ref="C7">INDEX(DATA_MASTER!$C$62:$C$66,3)</f>
        <v>CUST-003</v>
      </c>
      <c r="D7" s="17" t="str">
        <f t="array" ref="D7">INDEX(DATA_MASTER!$D$62:$D$66,3)</f>
        <v>2026-01-15</v>
      </c>
      <c r="E7" s="17" t="str">
        <f t="array" ref="E7">INDEX(DATA_MASTER!$E$62:$E$66,3)</f>
        <v>2026-01-17</v>
      </c>
      <c r="F7" s="18">
        <f t="array" ref="F7">INDEX(DATA_MASTER!$F$62:$F$66,3)</f>
        <v>2</v>
      </c>
      <c r="G7" s="18">
        <f t="array" ref="G7">INDEX(DATA_MASTER!$G$62:$G$66,3)</f>
        <v>4</v>
      </c>
      <c r="H7" s="18">
        <f t="array" ref="H7">INDEX(DATA_MASTER!$H$62:$H$66,3)</f>
        <v>3000</v>
      </c>
      <c r="I7" s="17" t="str">
        <f t="array" ref="I7">INDEX(DATA_MASTER!$I$62:$I$66,3)</f>
        <v>Paid</v>
      </c>
      <c r="J7" s="17" t="str">
        <f t="array" ref="J7">INDEX(DATA_MASTER!$K$62:$K$66,3)</f>
        <v>Confirmed</v>
      </c>
    </row>
    <row r="8">
      <c r="A8" s="17" t="str">
        <f t="array" ref="A8">INDEX(DATA_MASTER!$A$62:$A$66,4)</f>
        <v>RSV-004</v>
      </c>
      <c r="B8" s="17" t="str">
        <f t="array" ref="B8">INDEX(DATA_MASTER!$B$62:$B$66,4)</f>
        <v>R-B101</v>
      </c>
      <c r="C8" s="17" t="str">
        <f t="array" ref="C8">INDEX(DATA_MASTER!$C$62:$C$66,4)</f>
        <v>CUST-001</v>
      </c>
      <c r="D8" s="17" t="str">
        <f t="array" ref="D8">INDEX(DATA_MASTER!$D$62:$D$66,4)</f>
        <v>2026-01-20</v>
      </c>
      <c r="E8" s="17" t="str">
        <f t="array" ref="E8">INDEX(DATA_MASTER!$E$62:$E$66,4)</f>
        <v>2026-01-22</v>
      </c>
      <c r="F8" s="18">
        <f t="array" ref="F8">INDEX(DATA_MASTER!$F$62:$F$66,4)</f>
        <v>2</v>
      </c>
      <c r="G8" s="18">
        <f t="array" ref="G8">INDEX(DATA_MASTER!$G$62:$G$66,4)</f>
        <v>3</v>
      </c>
      <c r="H8" s="18">
        <f t="array" ref="H8">INDEX(DATA_MASTER!$H$62:$H$66,4)</f>
        <v>3000</v>
      </c>
      <c r="I8" s="17" t="str">
        <f t="array" ref="I8">INDEX(DATA_MASTER!$I$62:$I$66,4)</f>
        <v>Pending</v>
      </c>
      <c r="J8" s="17" t="str">
        <f t="array" ref="J8">INDEX(DATA_MASTER!$K$62:$K$66,4)</f>
        <v>Confirmed</v>
      </c>
    </row>
    <row r="9">
      <c r="A9" s="17" t="str">
        <f t="array" ref="A9">INDEX(DATA_MASTER!$A$62:$A$66,5)</f>
        <v>RSV-005</v>
      </c>
      <c r="B9" s="17" t="str">
        <f t="array" ref="B9">INDEX(DATA_MASTER!$B$62:$B$66,5)</f>
        <v>R-A107</v>
      </c>
      <c r="C9" s="17" t="str">
        <f t="array" ref="C9">INDEX(DATA_MASTER!$C$62:$C$66,5)</f>
        <v>CUST-002</v>
      </c>
      <c r="D9" s="17" t="str">
        <f t="array" ref="D9">INDEX(DATA_MASTER!$D$62:$D$66,5)</f>
        <v>2026-01-25</v>
      </c>
      <c r="E9" s="17" t="str">
        <f t="array" ref="E9">INDEX(DATA_MASTER!$E$62:$E$66,5)</f>
        <v>2026-01-28</v>
      </c>
      <c r="F9" s="18">
        <f t="array" ref="F9">INDEX(DATA_MASTER!$F$62:$F$66,5)</f>
        <v>3</v>
      </c>
      <c r="G9" s="18">
        <f t="array" ref="G9">INDEX(DATA_MASTER!$G$62:$G$66,5)</f>
        <v>2</v>
      </c>
      <c r="H9" s="18">
        <f t="array" ref="H9">INDEX(DATA_MASTER!$H$62:$H$66,5)</f>
        <v>7500</v>
      </c>
      <c r="I9" s="17" t="str">
        <f t="array" ref="I9">INDEX(DATA_MASTER!$I$62:$I$66,5)</f>
        <v>Paid</v>
      </c>
      <c r="J9" s="17" t="str">
        <f t="array" ref="J9">INDEX(DATA_MASTER!$K$62:$K$66,5)</f>
        <v>Confirmed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0.0"/>
    <col customWidth="1" min="4" max="4" width="15.0"/>
    <col customWidth="1" min="5" max="5" width="30.0"/>
    <col customWidth="1" min="6" max="6" width="15.0"/>
    <col customWidth="1" min="7" max="7" width="12.0"/>
    <col customWidth="1" min="8" max="26" width="8.71"/>
  </cols>
  <sheetData>
    <row r="1">
      <c r="A1" s="1" t="s">
        <v>800</v>
      </c>
    </row>
    <row r="2">
      <c r="A2" s="2" t="s">
        <v>801</v>
      </c>
    </row>
    <row r="4">
      <c r="A4" s="9" t="s">
        <v>802</v>
      </c>
      <c r="B4" s="9" t="s">
        <v>803</v>
      </c>
      <c r="C4" s="9" t="s">
        <v>787</v>
      </c>
      <c r="D4" s="9" t="s">
        <v>804</v>
      </c>
      <c r="E4" s="9" t="s">
        <v>767</v>
      </c>
      <c r="F4" s="9" t="s">
        <v>805</v>
      </c>
      <c r="G4" s="9" t="s">
        <v>806</v>
      </c>
    </row>
    <row r="5">
      <c r="A5" s="17" t="str">
        <f t="array" ref="A5">INDEX(DATA_MASTER!$A$71:$A$90,1)</f>
        <v>TXN-0001</v>
      </c>
      <c r="B5" s="17" t="str">
        <f t="array" ref="B5">INDEX(DATA_MASTER!$B$71:$B$90,1)</f>
        <v/>
      </c>
      <c r="C5" s="17" t="str">
        <f t="array" ref="C5">INDEX(DATA_MASTER!$C$71:$C$90,1)</f>
        <v>รายจ่าย</v>
      </c>
      <c r="D5" s="17" t="str">
        <f t="array" ref="D5">INDEX(DATA_MASTER!$D$71:$D$90,1)</f>
        <v>อื่นๆ</v>
      </c>
      <c r="E5" s="17" t="str">
        <f t="array" ref="E5">INDEX(DATA_MASTER!$E$71:$E$90,1)</f>
        <v/>
      </c>
      <c r="F5" s="19">
        <f t="array" ref="F5">INDEX(DATA_MASTER!$F$71:$F$90,1)</f>
        <v>0</v>
      </c>
      <c r="G5" s="17" t="str">
        <f t="array" ref="G5">INDEX(DATA_MASTER!$G$71:$G$90,1)</f>
        <v>เงินสด</v>
      </c>
    </row>
    <row r="6">
      <c r="A6" s="17" t="str">
        <f t="array" ref="A6">INDEX(DATA_MASTER!$A$71:$A$90,2)</f>
        <v>TXN-0002</v>
      </c>
      <c r="B6" s="17" t="str">
        <f t="array" ref="B6">INDEX(DATA_MASTER!$B$71:$B$90,2)</f>
        <v>1-12-68</v>
      </c>
      <c r="C6" s="17" t="str">
        <f t="array" ref="C6">INDEX(DATA_MASTER!$C$71:$C$90,2)</f>
        <v>รายจ่าย</v>
      </c>
      <c r="D6" s="17" t="str">
        <f t="array" ref="D6">INDEX(DATA_MASTER!$D$71:$D$90,2)</f>
        <v>อื่นๆ</v>
      </c>
      <c r="E6" s="17" t="str">
        <f t="array" ref="E6">INDEX(DATA_MASTER!$E$71:$E$90,2)</f>
        <v/>
      </c>
      <c r="F6" s="19">
        <f t="array" ref="F6">INDEX(DATA_MASTER!$F$71:$F$90,2)</f>
        <v>0</v>
      </c>
      <c r="G6" s="17" t="str">
        <f t="array" ref="G6">INDEX(DATA_MASTER!$G$71:$G$90,2)</f>
        <v>เงินสด</v>
      </c>
    </row>
    <row r="7">
      <c r="A7" s="17" t="str">
        <f t="array" ref="A7">INDEX(DATA_MASTER!$A$71:$A$90,3)</f>
        <v>TXN-0003</v>
      </c>
      <c r="B7" s="17" t="str">
        <f t="array" ref="B7">INDEX(DATA_MASTER!$B$71:$B$90,3)</f>
        <v>1-12-68</v>
      </c>
      <c r="C7" s="17" t="str">
        <f t="array" ref="C7">INDEX(DATA_MASTER!$C$71:$C$90,3)</f>
        <v>รายจ่าย</v>
      </c>
      <c r="D7" s="17" t="str">
        <f t="array" ref="D7">INDEX(DATA_MASTER!$D$71:$D$90,3)</f>
        <v>อื่นๆ</v>
      </c>
      <c r="E7" s="17" t="str">
        <f t="array" ref="E7">INDEX(DATA_MASTER!$E$71:$E$90,3)</f>
        <v/>
      </c>
      <c r="F7" s="19">
        <f t="array" ref="F7">INDEX(DATA_MASTER!$F$71:$F$90,3)</f>
        <v>0</v>
      </c>
      <c r="G7" s="17" t="str">
        <f t="array" ref="G7">INDEX(DATA_MASTER!$G$71:$G$90,3)</f>
        <v>เงินสด</v>
      </c>
    </row>
    <row r="8">
      <c r="A8" s="17" t="str">
        <f t="array" ref="A8">INDEX(DATA_MASTER!$A$71:$A$90,4)</f>
        <v>TXN-0004</v>
      </c>
      <c r="B8" s="17" t="str">
        <f t="array" ref="B8">INDEX(DATA_MASTER!$B$71:$B$90,4)</f>
        <v>1-12-68</v>
      </c>
      <c r="C8" s="17" t="str">
        <f t="array" ref="C8">INDEX(DATA_MASTER!$C$71:$C$90,4)</f>
        <v>รายจ่าย</v>
      </c>
      <c r="D8" s="17" t="str">
        <f t="array" ref="D8">INDEX(DATA_MASTER!$D$71:$D$90,4)</f>
        <v>อื่นๆ</v>
      </c>
      <c r="E8" s="17" t="str">
        <f t="array" ref="E8">INDEX(DATA_MASTER!$E$71:$E$90,4)</f>
        <v/>
      </c>
      <c r="F8" s="19">
        <f t="array" ref="F8">INDEX(DATA_MASTER!$F$71:$F$90,4)</f>
        <v>0</v>
      </c>
      <c r="G8" s="17" t="str">
        <f t="array" ref="G8">INDEX(DATA_MASTER!$G$71:$G$90,4)</f>
        <v>เงินสด</v>
      </c>
    </row>
    <row r="9">
      <c r="A9" s="17" t="str">
        <f t="array" ref="A9">INDEX(DATA_MASTER!$A$71:$A$90,5)</f>
        <v>TXN-0005</v>
      </c>
      <c r="B9" s="17" t="str">
        <f t="array" ref="B9">INDEX(DATA_MASTER!$B$71:$B$90,5)</f>
        <v>1-12-68</v>
      </c>
      <c r="C9" s="17" t="str">
        <f t="array" ref="C9">INDEX(DATA_MASTER!$C$71:$C$90,5)</f>
        <v>รายจ่าย</v>
      </c>
      <c r="D9" s="17" t="str">
        <f t="array" ref="D9">INDEX(DATA_MASTER!$D$71:$D$90,5)</f>
        <v>อื่นๆ</v>
      </c>
      <c r="E9" s="17" t="str">
        <f t="array" ref="E9">INDEX(DATA_MASTER!$E$71:$E$90,5)</f>
        <v/>
      </c>
      <c r="F9" s="19">
        <f t="array" ref="F9">INDEX(DATA_MASTER!$F$71:$F$90,5)</f>
        <v>0</v>
      </c>
      <c r="G9" s="17" t="str">
        <f t="array" ref="G9">INDEX(DATA_MASTER!$G$71:$G$90,5)</f>
        <v>เงินสด</v>
      </c>
    </row>
    <row r="10">
      <c r="A10" s="17" t="str">
        <f t="array" ref="A10">INDEX(DATA_MASTER!$A$71:$A$90,6)</f>
        <v>TXN-0006</v>
      </c>
      <c r="B10" s="17" t="str">
        <f t="array" ref="B10">INDEX(DATA_MASTER!$B$71:$B$90,6)</f>
        <v>1-12-68</v>
      </c>
      <c r="C10" s="17" t="str">
        <f t="array" ref="C10">INDEX(DATA_MASTER!$C$71:$C$90,6)</f>
        <v>รายจ่าย</v>
      </c>
      <c r="D10" s="17" t="str">
        <f t="array" ref="D10">INDEX(DATA_MASTER!$D$71:$D$90,6)</f>
        <v>อื่นๆ</v>
      </c>
      <c r="E10" s="17" t="str">
        <f t="array" ref="E10">INDEX(DATA_MASTER!$E$71:$E$90,6)</f>
        <v/>
      </c>
      <c r="F10" s="19">
        <f t="array" ref="F10">INDEX(DATA_MASTER!$F$71:$F$90,6)</f>
        <v>0</v>
      </c>
      <c r="G10" s="17" t="str">
        <f t="array" ref="G10">INDEX(DATA_MASTER!$G$71:$G$90,6)</f>
        <v>เงินสด</v>
      </c>
    </row>
    <row r="11">
      <c r="A11" s="17" t="str">
        <f t="array" ref="A11">INDEX(DATA_MASTER!$A$71:$A$90,7)</f>
        <v>TXN-0007</v>
      </c>
      <c r="B11" s="17" t="str">
        <f t="array" ref="B11">INDEX(DATA_MASTER!$B$71:$B$90,7)</f>
        <v>1-12-68</v>
      </c>
      <c r="C11" s="17" t="str">
        <f t="array" ref="C11">INDEX(DATA_MASTER!$C$71:$C$90,7)</f>
        <v>รายจ่าย</v>
      </c>
      <c r="D11" s="17" t="str">
        <f t="array" ref="D11">INDEX(DATA_MASTER!$D$71:$D$90,7)</f>
        <v>อื่นๆ</v>
      </c>
      <c r="E11" s="17" t="str">
        <f t="array" ref="E11">INDEX(DATA_MASTER!$E$71:$E$90,7)</f>
        <v/>
      </c>
      <c r="F11" s="19">
        <f t="array" ref="F11">INDEX(DATA_MASTER!$F$71:$F$90,7)</f>
        <v>0</v>
      </c>
      <c r="G11" s="17" t="str">
        <f t="array" ref="G11">INDEX(DATA_MASTER!$G$71:$G$90,7)</f>
        <v>เงินสด</v>
      </c>
    </row>
    <row r="12">
      <c r="A12" s="17" t="str">
        <f t="array" ref="A12">INDEX(DATA_MASTER!$A$71:$A$90,8)</f>
        <v>TXN-0008</v>
      </c>
      <c r="B12" s="17" t="str">
        <f t="array" ref="B12">INDEX(DATA_MASTER!$B$71:$B$90,8)</f>
        <v>1-12-68</v>
      </c>
      <c r="C12" s="17" t="str">
        <f t="array" ref="C12">INDEX(DATA_MASTER!$C$71:$C$90,8)</f>
        <v>รายจ่าย</v>
      </c>
      <c r="D12" s="17" t="str">
        <f t="array" ref="D12">INDEX(DATA_MASTER!$D$71:$D$90,8)</f>
        <v>อื่นๆ</v>
      </c>
      <c r="E12" s="17" t="str">
        <f t="array" ref="E12">INDEX(DATA_MASTER!$E$71:$E$90,8)</f>
        <v/>
      </c>
      <c r="F12" s="19">
        <f t="array" ref="F12">INDEX(DATA_MASTER!$F$71:$F$90,8)</f>
        <v>0</v>
      </c>
      <c r="G12" s="17" t="str">
        <f t="array" ref="G12">INDEX(DATA_MASTER!$G$71:$G$90,8)</f>
        <v>เงินสด</v>
      </c>
    </row>
    <row r="13">
      <c r="A13" s="17" t="str">
        <f t="array" ref="A13">INDEX(DATA_MASTER!$A$71:$A$90,9)</f>
        <v>TXN-0009</v>
      </c>
      <c r="B13" s="17" t="str">
        <f t="array" ref="B13">INDEX(DATA_MASTER!$B$71:$B$90,9)</f>
        <v>1-12-68</v>
      </c>
      <c r="C13" s="17" t="str">
        <f t="array" ref="C13">INDEX(DATA_MASTER!$C$71:$C$90,9)</f>
        <v>รายจ่าย</v>
      </c>
      <c r="D13" s="17" t="str">
        <f t="array" ref="D13">INDEX(DATA_MASTER!$D$71:$D$90,9)</f>
        <v>อื่นๆ</v>
      </c>
      <c r="E13" s="17" t="str">
        <f t="array" ref="E13">INDEX(DATA_MASTER!$E$71:$E$90,9)</f>
        <v/>
      </c>
      <c r="F13" s="19">
        <f t="array" ref="F13">INDEX(DATA_MASTER!$F$71:$F$90,9)</f>
        <v>0</v>
      </c>
      <c r="G13" s="17" t="str">
        <f t="array" ref="G13">INDEX(DATA_MASTER!$G$71:$G$90,9)</f>
        <v>เงินสด</v>
      </c>
    </row>
    <row r="14">
      <c r="A14" s="17" t="str">
        <f t="array" ref="A14">INDEX(DATA_MASTER!$A$71:$A$90,10)</f>
        <v>TXN-0010</v>
      </c>
      <c r="B14" s="17" t="str">
        <f t="array" ref="B14">INDEX(DATA_MASTER!$B$71:$B$90,10)</f>
        <v>1-12-68</v>
      </c>
      <c r="C14" s="17" t="str">
        <f t="array" ref="C14">INDEX(DATA_MASTER!$C$71:$C$90,10)</f>
        <v>รายจ่าย</v>
      </c>
      <c r="D14" s="17" t="str">
        <f t="array" ref="D14">INDEX(DATA_MASTER!$D$71:$D$90,10)</f>
        <v>อื่นๆ</v>
      </c>
      <c r="E14" s="17" t="str">
        <f t="array" ref="E14">INDEX(DATA_MASTER!$E$71:$E$90,10)</f>
        <v/>
      </c>
      <c r="F14" s="19">
        <f t="array" ref="F14">INDEX(DATA_MASTER!$F$71:$F$90,10)</f>
        <v>0</v>
      </c>
      <c r="G14" s="17" t="str">
        <f t="array" ref="G14">INDEX(DATA_MASTER!$G$71:$G$90,10)</f>
        <v>เงินสด</v>
      </c>
    </row>
    <row r="15">
      <c r="A15" s="17" t="str">
        <f t="array" ref="A15">INDEX(DATA_MASTER!$A$71:$A$90,11)</f>
        <v>TXN-0011</v>
      </c>
      <c r="B15" s="17" t="str">
        <f t="array" ref="B15">INDEX(DATA_MASTER!$B$71:$B$90,11)</f>
        <v/>
      </c>
      <c r="C15" s="17" t="str">
        <f t="array" ref="C15">INDEX(DATA_MASTER!$C$71:$C$90,11)</f>
        <v>รายจ่าย</v>
      </c>
      <c r="D15" s="17" t="str">
        <f t="array" ref="D15">INDEX(DATA_MASTER!$D$71:$D$90,11)</f>
        <v>อื่นๆ</v>
      </c>
      <c r="E15" s="17" t="str">
        <f t="array" ref="E15">INDEX(DATA_MASTER!$E$71:$E$90,11)</f>
        <v/>
      </c>
      <c r="F15" s="19">
        <f t="array" ref="F15">INDEX(DATA_MASTER!$F$71:$F$90,11)</f>
        <v>0</v>
      </c>
      <c r="G15" s="17" t="str">
        <f t="array" ref="G15">INDEX(DATA_MASTER!$G$71:$G$90,11)</f>
        <v>เงินสด</v>
      </c>
    </row>
    <row r="16">
      <c r="A16" s="17" t="str">
        <f t="array" ref="A16">INDEX(DATA_MASTER!$A$71:$A$90,12)</f>
        <v>TXN-0012</v>
      </c>
      <c r="B16" s="17" t="str">
        <f t="array" ref="B16">INDEX(DATA_MASTER!$B$71:$B$90,12)</f>
        <v>2-12-68</v>
      </c>
      <c r="C16" s="17" t="str">
        <f t="array" ref="C16">INDEX(DATA_MASTER!$C$71:$C$90,12)</f>
        <v>รายจ่าย</v>
      </c>
      <c r="D16" s="17" t="str">
        <f t="array" ref="D16">INDEX(DATA_MASTER!$D$71:$D$90,12)</f>
        <v>อื่นๆ</v>
      </c>
      <c r="E16" s="17" t="str">
        <f t="array" ref="E16">INDEX(DATA_MASTER!$E$71:$E$90,12)</f>
        <v/>
      </c>
      <c r="F16" s="19">
        <f t="array" ref="F16">INDEX(DATA_MASTER!$F$71:$F$90,12)</f>
        <v>0</v>
      </c>
      <c r="G16" s="17" t="str">
        <f t="array" ref="G16">INDEX(DATA_MASTER!$G$71:$G$90,12)</f>
        <v>เงินสด</v>
      </c>
    </row>
    <row r="17">
      <c r="A17" s="17" t="str">
        <f t="array" ref="A17">INDEX(DATA_MASTER!$A$71:$A$90,13)</f>
        <v>TXN-0013</v>
      </c>
      <c r="B17" s="17" t="str">
        <f t="array" ref="B17">INDEX(DATA_MASTER!$B$71:$B$90,13)</f>
        <v>2-12-68</v>
      </c>
      <c r="C17" s="17" t="str">
        <f t="array" ref="C17">INDEX(DATA_MASTER!$C$71:$C$90,13)</f>
        <v>รายจ่าย</v>
      </c>
      <c r="D17" s="17" t="str">
        <f t="array" ref="D17">INDEX(DATA_MASTER!$D$71:$D$90,13)</f>
        <v>อื่นๆ</v>
      </c>
      <c r="E17" s="17" t="str">
        <f t="array" ref="E17">INDEX(DATA_MASTER!$E$71:$E$90,13)</f>
        <v/>
      </c>
      <c r="F17" s="19">
        <f t="array" ref="F17">INDEX(DATA_MASTER!$F$71:$F$90,13)</f>
        <v>0</v>
      </c>
      <c r="G17" s="17" t="str">
        <f t="array" ref="G17">INDEX(DATA_MASTER!$G$71:$G$90,13)</f>
        <v>เงินสด</v>
      </c>
    </row>
    <row r="18">
      <c r="A18" s="17" t="str">
        <f t="array" ref="A18">INDEX(DATA_MASTER!$A$71:$A$90,14)</f>
        <v>TXN-0014</v>
      </c>
      <c r="B18" s="17" t="str">
        <f t="array" ref="B18">INDEX(DATA_MASTER!$B$71:$B$90,14)</f>
        <v>2-12-68</v>
      </c>
      <c r="C18" s="17" t="str">
        <f t="array" ref="C18">INDEX(DATA_MASTER!$C$71:$C$90,14)</f>
        <v>รายจ่าย</v>
      </c>
      <c r="D18" s="17" t="str">
        <f t="array" ref="D18">INDEX(DATA_MASTER!$D$71:$D$90,14)</f>
        <v>อื่นๆ</v>
      </c>
      <c r="E18" s="17" t="str">
        <f t="array" ref="E18">INDEX(DATA_MASTER!$E$71:$E$90,14)</f>
        <v/>
      </c>
      <c r="F18" s="19">
        <f t="array" ref="F18">INDEX(DATA_MASTER!$F$71:$F$90,14)</f>
        <v>0</v>
      </c>
      <c r="G18" s="17" t="str">
        <f t="array" ref="G18">INDEX(DATA_MASTER!$G$71:$G$90,14)</f>
        <v>เงินสด</v>
      </c>
    </row>
    <row r="19">
      <c r="A19" s="17" t="str">
        <f t="array" ref="A19">INDEX(DATA_MASTER!$A$71:$A$90,15)</f>
        <v>TXN-0015</v>
      </c>
      <c r="B19" s="17" t="str">
        <f t="array" ref="B19">INDEX(DATA_MASTER!$B$71:$B$90,15)</f>
        <v>2-12-68</v>
      </c>
      <c r="C19" s="17" t="str">
        <f t="array" ref="C19">INDEX(DATA_MASTER!$C$71:$C$90,15)</f>
        <v>รายจ่าย</v>
      </c>
      <c r="D19" s="17" t="str">
        <f t="array" ref="D19">INDEX(DATA_MASTER!$D$71:$D$90,15)</f>
        <v>อื่นๆ</v>
      </c>
      <c r="E19" s="17" t="str">
        <f t="array" ref="E19">INDEX(DATA_MASTER!$E$71:$E$90,15)</f>
        <v/>
      </c>
      <c r="F19" s="19">
        <f t="array" ref="F19">INDEX(DATA_MASTER!$F$71:$F$90,15)</f>
        <v>0</v>
      </c>
      <c r="G19" s="17" t="str">
        <f t="array" ref="G19">INDEX(DATA_MASTER!$G$71:$G$90,15)</f>
        <v>เงินสด</v>
      </c>
    </row>
    <row r="20">
      <c r="A20" s="17" t="str">
        <f t="array" ref="A20">INDEX(DATA_MASTER!$A$71:$A$90,16)</f>
        <v>TXN-0016</v>
      </c>
      <c r="B20" s="17" t="str">
        <f t="array" ref="B20">INDEX(DATA_MASTER!$B$71:$B$90,16)</f>
        <v>2-12-68</v>
      </c>
      <c r="C20" s="17" t="str">
        <f t="array" ref="C20">INDEX(DATA_MASTER!$C$71:$C$90,16)</f>
        <v>รายจ่าย</v>
      </c>
      <c r="D20" s="17" t="str">
        <f t="array" ref="D20">INDEX(DATA_MASTER!$D$71:$D$90,16)</f>
        <v>อื่นๆ</v>
      </c>
      <c r="E20" s="17" t="str">
        <f t="array" ref="E20">INDEX(DATA_MASTER!$E$71:$E$90,16)</f>
        <v/>
      </c>
      <c r="F20" s="19">
        <f t="array" ref="F20">INDEX(DATA_MASTER!$F$71:$F$90,16)</f>
        <v>0</v>
      </c>
      <c r="G20" s="17" t="str">
        <f t="array" ref="G20">INDEX(DATA_MASTER!$G$71:$G$90,16)</f>
        <v>เงินสด</v>
      </c>
    </row>
    <row r="21" ht="15.75" customHeight="1">
      <c r="A21" s="17" t="str">
        <f t="array" ref="A21">INDEX(DATA_MASTER!$A$71:$A$90,17)</f>
        <v>TXN-0017</v>
      </c>
      <c r="B21" s="17" t="str">
        <f t="array" ref="B21">INDEX(DATA_MASTER!$B$71:$B$90,17)</f>
        <v>2-12-68</v>
      </c>
      <c r="C21" s="17" t="str">
        <f t="array" ref="C21">INDEX(DATA_MASTER!$C$71:$C$90,17)</f>
        <v>รายจ่าย</v>
      </c>
      <c r="D21" s="17" t="str">
        <f t="array" ref="D21">INDEX(DATA_MASTER!$D$71:$D$90,17)</f>
        <v>อื่นๆ</v>
      </c>
      <c r="E21" s="17" t="str">
        <f t="array" ref="E21">INDEX(DATA_MASTER!$E$71:$E$90,17)</f>
        <v/>
      </c>
      <c r="F21" s="19">
        <f t="array" ref="F21">INDEX(DATA_MASTER!$F$71:$F$90,17)</f>
        <v>0</v>
      </c>
      <c r="G21" s="17" t="str">
        <f t="array" ref="G21">INDEX(DATA_MASTER!$G$71:$G$90,17)</f>
        <v>เงินสด</v>
      </c>
    </row>
    <row r="22" ht="15.75" customHeight="1">
      <c r="A22" s="17" t="str">
        <f t="array" ref="A22">INDEX(DATA_MASTER!$A$71:$A$90,18)</f>
        <v>TXN-0018</v>
      </c>
      <c r="B22" s="17" t="str">
        <f t="array" ref="B22">INDEX(DATA_MASTER!$B$71:$B$90,18)</f>
        <v>2-12-68</v>
      </c>
      <c r="C22" s="17" t="str">
        <f t="array" ref="C22">INDEX(DATA_MASTER!$C$71:$C$90,18)</f>
        <v>รายจ่าย</v>
      </c>
      <c r="D22" s="17" t="str">
        <f t="array" ref="D22">INDEX(DATA_MASTER!$D$71:$D$90,18)</f>
        <v>อื่นๆ</v>
      </c>
      <c r="E22" s="17" t="str">
        <f t="array" ref="E22">INDEX(DATA_MASTER!$E$71:$E$90,18)</f>
        <v/>
      </c>
      <c r="F22" s="19">
        <f t="array" ref="F22">INDEX(DATA_MASTER!$F$71:$F$90,18)</f>
        <v>0</v>
      </c>
      <c r="G22" s="17" t="str">
        <f t="array" ref="G22">INDEX(DATA_MASTER!$G$71:$G$90,18)</f>
        <v>เงินสด</v>
      </c>
    </row>
    <row r="23" ht="15.75" customHeight="1">
      <c r="A23" s="17" t="str">
        <f t="array" ref="A23">INDEX(DATA_MASTER!$A$71:$A$90,19)</f>
        <v>TXN-0019</v>
      </c>
      <c r="B23" s="17" t="str">
        <f t="array" ref="B23">INDEX(DATA_MASTER!$B$71:$B$90,19)</f>
        <v>2-12-68</v>
      </c>
      <c r="C23" s="17" t="str">
        <f t="array" ref="C23">INDEX(DATA_MASTER!$C$71:$C$90,19)</f>
        <v>รายจ่าย</v>
      </c>
      <c r="D23" s="17" t="str">
        <f t="array" ref="D23">INDEX(DATA_MASTER!$D$71:$D$90,19)</f>
        <v>อื่นๆ</v>
      </c>
      <c r="E23" s="17" t="str">
        <f t="array" ref="E23">INDEX(DATA_MASTER!$E$71:$E$90,19)</f>
        <v/>
      </c>
      <c r="F23" s="19">
        <f t="array" ref="F23">INDEX(DATA_MASTER!$F$71:$F$90,19)</f>
        <v>0</v>
      </c>
      <c r="G23" s="17" t="str">
        <f t="array" ref="G23">INDEX(DATA_MASTER!$G$71:$G$90,19)</f>
        <v>เงินสด</v>
      </c>
    </row>
    <row r="24" ht="15.75" customHeight="1">
      <c r="A24" s="17" t="str">
        <f t="array" ref="A24">INDEX(DATA_MASTER!$A$71:$A$90,20)</f>
        <v>TXN-0020</v>
      </c>
      <c r="B24" s="17" t="str">
        <f t="array" ref="B24">INDEX(DATA_MASTER!$B$71:$B$90,20)</f>
        <v>2-12-68</v>
      </c>
      <c r="C24" s="17" t="str">
        <f t="array" ref="C24">INDEX(DATA_MASTER!$C$71:$C$90,20)</f>
        <v>รายจ่าย</v>
      </c>
      <c r="D24" s="17" t="str">
        <f t="array" ref="D24">INDEX(DATA_MASTER!$D$71:$D$90,20)</f>
        <v>อื่นๆ</v>
      </c>
      <c r="E24" s="17" t="str">
        <f t="array" ref="E24">INDEX(DATA_MASTER!$E$71:$E$90,20)</f>
        <v/>
      </c>
      <c r="F24" s="19">
        <f t="array" ref="F24">INDEX(DATA_MASTER!$F$71:$F$90,20)</f>
        <v>0</v>
      </c>
      <c r="G24" s="17" t="str">
        <f t="array" ref="G24">INDEX(DATA_MASTER!$G$71:$G$90,20)</f>
        <v>เงินสด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
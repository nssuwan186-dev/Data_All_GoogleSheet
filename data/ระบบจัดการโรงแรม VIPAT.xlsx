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ดิบ" sheetId="1" r:id="rId5"/>
    <sheet state="visible" name="ชีต14" sheetId="2" r:id="rId6"/>
    <sheet state="visible" name="ฐานข้อมูลห้องพัก" sheetId="3" r:id="rId7"/>
    <sheet state="visible" name="⚙️ Config" sheetId="4" r:id="rId8"/>
    <sheet state="hidden" name="ฟอร์มเทศบาล_ทะเบียนผู้เข้าพัก" sheetId="5" r:id="rId9"/>
    <sheet state="visible" name="สำเนาของ ชีต1" sheetId="6" r:id="rId10"/>
    <sheet state="visible" name="ชีต12" sheetId="7" r:id="rId11"/>
    <sheet state="visible" name="ฐานข้อมูลประวัติการเข้าพัก" sheetId="8" r:id="rId12"/>
    <sheet state="visible" name="ฟอร์มอบจ_ค่าธรรมเนียม" sheetId="9" r:id="rId13"/>
    <sheet state="visible" name="ฟอร์มใบเสร็จรับเงิน-ห้องพัก" sheetId="10" r:id="rId14"/>
    <sheet state="hidden" name="ใบแจ้งค่าเช่าห้อง-A204" sheetId="11" r:id="rId15"/>
    <sheet state="visible" name="DocList" sheetId="12" r:id="rId16"/>
    <sheet state="hidden" name="ใบแจ้งค่าเช่าห้อง-A205" sheetId="13" r:id="rId17"/>
    <sheet state="visible" name="Log_Status" sheetId="14" r:id="rId18"/>
    <sheet state="visible" name="สำเนาของ ชีต2" sheetId="15" r:id="rId19"/>
    <sheet state="visible" name="สำเนาของ ชีต1 1" sheetId="16" r:id="rId20"/>
  </sheets>
  <definedNames>
    <definedName name="Addsync_Row_ID_661927423">#REF!</definedName>
    <definedName name="Addsync_Last_Modified_661927423">#REF!</definedName>
    <definedName name="Addsync_Last_Modified_300521247">#REF!</definedName>
    <definedName name="Addsync_Row_ID_300521247">#REF!</definedName>
    <definedName localSheetId="9" name="ID">'ฟอร์มใบเสร็จรับเงิน-ห้องพัก'!$E$3</definedName>
    <definedName name="Addsync_Last_Modified_131360551">#REF!</definedName>
    <definedName name="Addsync_Row_ID_131360551">#REF!</definedName>
    <definedName hidden="1" localSheetId="0" name="_xlnm._FilterDatabase">'ข้อมูลดิบ'!$A$1:$N$589</definedName>
    <definedName hidden="1" localSheetId="4" name="_xlnm._FilterDatabase">'ฟอร์มเทศบาล_ทะเบียนผู้เข้าพัก'!$A$2:$M$606</definedName>
    <definedName hidden="1" localSheetId="8" name="_xlnm._FilterDatabase">'ฟอร์มอบจ_ค่าธรรมเนียม'!$A$8:$H$193</definedName>
    <definedName hidden="1" localSheetId="7" name="Z_4AC30485_FAB5_47B0_85A9_A7781841546D_.wvu.FilterData">'ฐานข้อมูลประวัติการเข้าพัก'!$B$1:$E$590</definedName>
    <definedName hidden="1" localSheetId="7" name="Z_F5B9A73A_9E59_4479_9CF1_406360024F0F_.wvu.FilterData">'ฐานข้อมูลประวัติการเข้าพัก'!$B$1:$E$590</definedName>
    <definedName name="MY_FUNCTION1">LAMBDA(IFERROR(
  LET(
    trans_id, 'ฟอร์มใบเสร็จรับเงิน-ห้องพัก'!$E$3,
    check_in, VLOOKUP(trans_id, 'ข้อมูลดิบ'!$B:$I, 8, FALSE),
    room_num, VLOOKUP(trans_id, 'ข้อมูลดิบ'!$B:$J, 9, FALSE),
    check_out, VLOOKUP(trans_id, 'ข้อมูลดิบ'!$B:$O, 14, FALSE),
    room_type, VLOOKUP(TRIM(room_num), 'ฐานข้อมูลห้องพัก'!$A:$B, 2, FALSE),
    "ค่าห้องพัก " &amp; room_type &amp; " " &amp; room_num &amp; " (" &amp; TEXT(check_in, "dd/mm/yy") &amp; " - " &amp; TEXT(check_out, "dd/mm/yy") &amp; ")"
  ), 
  ""
))</definedName>
  </definedNames>
  <calcPr/>
  <customWorkbookViews>
    <customWorkbookView activeSheetId="0" maximized="1" windowHeight="0" windowWidth="0" guid="{F5B9A73A-9E59-4479-9CF1-406360024F0F}" name="สำเนาของ ตัวกรอง 1"/>
    <customWorkbookView activeSheetId="0" maximized="1" windowHeight="0" windowWidth="0" guid="{4AC30485-FAB5-47B0-85A9-A7781841546D}" name="ตัวกรอง 1"/>
  </customWorkbookViews>
</workbook>
</file>

<file path=xl/sharedStrings.xml><?xml version="1.0" encoding="utf-8"?>
<sst xmlns="http://schemas.openxmlformats.org/spreadsheetml/2006/main" count="13902" uniqueCount="2970">
  <si>
    <t>เลขที่ลำดับ</t>
  </si>
  <si>
    <t>Transaction ID</t>
  </si>
  <si>
    <t>ชื่อ นามสกุล</t>
  </si>
  <si>
    <t>ที่อยู่</t>
  </si>
  <si>
    <t>หมายเลขบัตรประชาชน</t>
  </si>
  <si>
    <t>เบอร์ติดต่อกลับ</t>
  </si>
  <si>
    <t>ประเภทการชำระเงิน</t>
  </si>
  <si>
    <t xml:space="preserve">  วันเวลา เข้ามาพัก</t>
  </si>
  <si>
    <t>ห้องพักเลขที่</t>
  </si>
  <si>
    <t>สัญชาติ</t>
  </si>
  <si>
    <t>อาชีพ</t>
  </si>
  <si>
    <t>มาจากตำบล อำเภอ จังหวัด หรือประเทศใด</t>
  </si>
  <si>
    <t>จะไปตำบล อำเภอ จังหวัด หรือประเทศใด</t>
  </si>
  <si>
    <t>วันเวลาที่ออกไป</t>
  </si>
  <si>
    <t>ชัชพล หลวงชา</t>
  </si>
  <si>
    <t>-</t>
  </si>
  <si>
    <t>091-8673-787</t>
  </si>
  <si>
    <t>เงินโอน QR</t>
  </si>
  <si>
    <t>A101</t>
  </si>
  <si>
    <t>ไทย</t>
  </si>
  <si>
    <t>รับจ้าง</t>
  </si>
  <si>
    <t>บึงกาฬ</t>
  </si>
  <si>
    <t>VP01156</t>
  </si>
  <si>
    <t>คุณปอนด์</t>
  </si>
  <si>
    <t>06-2414-378</t>
  </si>
  <si>
    <t>B102</t>
  </si>
  <si>
    <t>VP01157</t>
  </si>
  <si>
    <t>เพลง</t>
  </si>
  <si>
    <t>081-9524-051</t>
  </si>
  <si>
    <t>เงินสด</t>
  </si>
  <si>
    <t>A106</t>
  </si>
  <si>
    <t>VP01158</t>
  </si>
  <si>
    <t>โสภณ</t>
  </si>
  <si>
    <t>083-7257-244</t>
  </si>
  <si>
    <t>A105</t>
  </si>
  <si>
    <t>VP01159</t>
  </si>
  <si>
    <t>บริษัท โชวี่</t>
  </si>
  <si>
    <t>081-7369-113</t>
  </si>
  <si>
    <t>A104</t>
  </si>
  <si>
    <t>VP01160</t>
  </si>
  <si>
    <t>คุณส้ม</t>
  </si>
  <si>
    <t>065-9208-391</t>
  </si>
  <si>
    <t>N7</t>
  </si>
  <si>
    <t>VP01161</t>
  </si>
  <si>
    <t>เต้</t>
  </si>
  <si>
    <t>088-2744-477</t>
  </si>
  <si>
    <t>B108</t>
  </si>
  <si>
    <t>VP01162</t>
  </si>
  <si>
    <t>อธิวัฒน์ ยาทองไชย</t>
  </si>
  <si>
    <t>063-5250-916</t>
  </si>
  <si>
    <t>B107</t>
  </si>
  <si>
    <t>VP01163</t>
  </si>
  <si>
    <t>พัชรินทร์</t>
  </si>
  <si>
    <t>080-2104-363</t>
  </si>
  <si>
    <t>B109</t>
  </si>
  <si>
    <t>VP01164</t>
  </si>
  <si>
    <t>ราชสีมา</t>
  </si>
  <si>
    <t>VP01165</t>
  </si>
  <si>
    <t>กำธร โพธิ์เสน</t>
  </si>
  <si>
    <t>089-5305-462</t>
  </si>
  <si>
    <t>B105</t>
  </si>
  <si>
    <t>VP01166</t>
  </si>
  <si>
    <t>คุณเป๊ก</t>
  </si>
  <si>
    <t>065-1193-844</t>
  </si>
  <si>
    <t>A103</t>
  </si>
  <si>
    <t>VP01167</t>
  </si>
  <si>
    <t>พิชิตชัย</t>
  </si>
  <si>
    <t>080-0138-270</t>
  </si>
  <si>
    <t>VP01168</t>
  </si>
  <si>
    <t>คุณ พีระ ตรีบวรกุศล</t>
  </si>
  <si>
    <t>085-6672-260</t>
  </si>
  <si>
    <t>VP01169</t>
  </si>
  <si>
    <t>บรรเจิด หอยทอง</t>
  </si>
  <si>
    <t>081-4410-591</t>
  </si>
  <si>
    <t>VP01170</t>
  </si>
  <si>
    <t>สมภพ โชติวงษ์</t>
  </si>
  <si>
    <t>089-2087-259</t>
  </si>
  <si>
    <t>VP01171</t>
  </si>
  <si>
    <t>คุณสุพัตรา</t>
  </si>
  <si>
    <t>099-4526-649</t>
  </si>
  <si>
    <t>B106</t>
  </si>
  <si>
    <t>ปากคาด</t>
  </si>
  <si>
    <t>VP01172</t>
  </si>
  <si>
    <t>ลุงเลียม</t>
  </si>
  <si>
    <t>088-7479-892</t>
  </si>
  <si>
    <t>VP01173</t>
  </si>
  <si>
    <t>วิชิต</t>
  </si>
  <si>
    <t>093-1011-156</t>
  </si>
  <si>
    <t>B101</t>
  </si>
  <si>
    <t>VP01174</t>
  </si>
  <si>
    <t>น้องฟ้า</t>
  </si>
  <si>
    <t>080-1805-376</t>
  </si>
  <si>
    <t>VP01175</t>
  </si>
  <si>
    <t>ธีรพงษ์</t>
  </si>
  <si>
    <t>080-4651-451</t>
  </si>
  <si>
    <t>B110</t>
  </si>
  <si>
    <t>VP01176</t>
  </si>
  <si>
    <t>คมกริช กุหลาบขาว</t>
  </si>
  <si>
    <t>กทม</t>
  </si>
  <si>
    <t>VP01177</t>
  </si>
  <si>
    <t>คุณวัน</t>
  </si>
  <si>
    <t>A107</t>
  </si>
  <si>
    <t>VP01178</t>
  </si>
  <si>
    <t>สำเริง เดือนคล้อย</t>
  </si>
  <si>
    <t>089-2542-788</t>
  </si>
  <si>
    <t>VP01179</t>
  </si>
  <si>
    <t>จิณิพงษ์ ละการชั่ว</t>
  </si>
  <si>
    <t>080-2454-323</t>
  </si>
  <si>
    <t>VP01180</t>
  </si>
  <si>
    <t>ธาราวุธ</t>
  </si>
  <si>
    <t>082-2698-388</t>
  </si>
  <si>
    <t>B103</t>
  </si>
  <si>
    <t>VP01181</t>
  </si>
  <si>
    <t>จีระเดช แข็งขัน</t>
  </si>
  <si>
    <t>064-0100-598</t>
  </si>
  <si>
    <t>VP01182</t>
  </si>
  <si>
    <t>นายวิทยา ชัยระเทศ</t>
  </si>
  <si>
    <t>064-9929-890</t>
  </si>
  <si>
    <t>VP01183</t>
  </si>
  <si>
    <t>ชญานิศ ชินใหม่</t>
  </si>
  <si>
    <t>063-0290-136</t>
  </si>
  <si>
    <t>VP01184</t>
  </si>
  <si>
    <t>สุกัญญา</t>
  </si>
  <si>
    <t>096-5306-618</t>
  </si>
  <si>
    <t>B104</t>
  </si>
  <si>
    <t>นครปฐม</t>
  </si>
  <si>
    <t>VP01185</t>
  </si>
  <si>
    <t>ชัยศักดิ์ อัดตละ</t>
  </si>
  <si>
    <t>089-3977-374</t>
  </si>
  <si>
    <t>นนทบุรี</t>
  </si>
  <si>
    <t>VP01186</t>
  </si>
  <si>
    <t>ภณัชกร</t>
  </si>
  <si>
    <t>099-6864-837</t>
  </si>
  <si>
    <t>N2</t>
  </si>
  <si>
    <t>VP01187</t>
  </si>
  <si>
    <t>ต่าย</t>
  </si>
  <si>
    <t>094-4824-955</t>
  </si>
  <si>
    <t>อุดรธานี</t>
  </si>
  <si>
    <t>VP01188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</si>
  <si>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</si>
  <si>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</si>
  <si>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VP01189</t>
  </si>
  <si>
    <t>วิญญู</t>
  </si>
  <si>
    <t>082-8500-850</t>
  </si>
  <si>
    <t>N3</t>
  </si>
  <si>
    <t>VP01190</t>
  </si>
  <si>
    <t>คุณสมบัติ</t>
  </si>
  <si>
    <t>098-1834-229</t>
  </si>
  <si>
    <t>VP01191</t>
  </si>
  <si>
    <t>สันติ ขอมกิ่ง</t>
  </si>
  <si>
    <t>092-9526-159</t>
  </si>
  <si>
    <t>VP01192</t>
  </si>
  <si>
    <t>มนัส</t>
  </si>
  <si>
    <t>089-5126-243</t>
  </si>
  <si>
    <t>VP01193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</si>
  <si>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</si>
  <si>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</si>
  <si>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VP01194</t>
  </si>
  <si>
    <t>บริษัท ไบโอ</t>
  </si>
  <si>
    <t>VP01195</t>
  </si>
  <si>
    <t>ปณต โพธิ์สว่าง</t>
  </si>
  <si>
    <t>093-5435-843</t>
  </si>
  <si>
    <t>A108</t>
  </si>
  <si>
    <t>ปทุมธานี</t>
  </si>
  <si>
    <t>VP01196</t>
  </si>
  <si>
    <t>สุจิตรา ธรรมเจริญ</t>
  </si>
  <si>
    <t>092-8875-964</t>
  </si>
  <si>
    <t>VP01197</t>
  </si>
  <si>
    <t>ประนมไพร</t>
  </si>
  <si>
    <t>080-0556-182</t>
  </si>
  <si>
    <t>VP01198</t>
  </si>
  <si>
    <t>วินัย</t>
  </si>
  <si>
    <t>080-7710-888</t>
  </si>
  <si>
    <t>VP01199</t>
  </si>
  <si>
    <t>ชุตินันต์</t>
  </si>
  <si>
    <t>093-5202-132</t>
  </si>
  <si>
    <t>VP01200</t>
  </si>
  <si>
    <t>ธีรยุทธ</t>
  </si>
  <si>
    <t>VP01201</t>
  </si>
  <si>
    <t>นมดูเม็ก</t>
  </si>
  <si>
    <t>VP01202</t>
  </si>
  <si>
    <t>วงศ์วรัญ นารถชัย</t>
  </si>
  <si>
    <t>095-205-2957</t>
  </si>
  <si>
    <t>VP01203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</si>
  <si>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</si>
  <si>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</si>
  <si>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VP01204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</si>
  <si>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</si>
  <si>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</si>
  <si>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กทม.</t>
  </si>
  <si>
    <t>VP01205</t>
  </si>
  <si>
    <t>ศราวุฒิ</t>
  </si>
  <si>
    <t>091-0518-256</t>
  </si>
  <si>
    <t>A111</t>
  </si>
  <si>
    <t>เลย</t>
  </si>
  <si>
    <t>VP01206</t>
  </si>
  <si>
    <t>ครูยา</t>
  </si>
  <si>
    <t>081-0540-830</t>
  </si>
  <si>
    <t>VP01207</t>
  </si>
  <si>
    <t>ทองใส</t>
  </si>
  <si>
    <t>084-5929-022</t>
  </si>
  <si>
    <t>VP01208</t>
  </si>
  <si>
    <t>ยุทธพงษ์</t>
  </si>
  <si>
    <t>062-5782-534</t>
  </si>
  <si>
    <t>VP01209</t>
  </si>
  <si>
    <t>ช่อผกา</t>
  </si>
  <si>
    <t>086-4342-126</t>
  </si>
  <si>
    <t>VP01210</t>
  </si>
  <si>
    <t>รัฐธรรมนูญ</t>
  </si>
  <si>
    <t>086-2682-833</t>
  </si>
  <si>
    <t>VP01211</t>
  </si>
  <si>
    <t>จุติพร เทยเลอร์</t>
  </si>
  <si>
    <t>080-7014-582</t>
  </si>
  <si>
    <t>VP01212</t>
  </si>
  <si>
    <t>บริษัท เอคโค่</t>
  </si>
  <si>
    <t>098-6239-932</t>
  </si>
  <si>
    <t>VP01213</t>
  </si>
  <si>
    <t>วรวุธ</t>
  </si>
  <si>
    <t>091-8622-406</t>
  </si>
  <si>
    <t>VP01214</t>
  </si>
  <si>
    <t>คุณตุ๊</t>
  </si>
  <si>
    <t>098-2269-056</t>
  </si>
  <si>
    <t>VP01215</t>
  </si>
  <si>
    <t>น้องเบลล์</t>
  </si>
  <si>
    <t>VP01216</t>
  </si>
  <si>
    <t>วิจิตรา</t>
  </si>
  <si>
    <t>VP01217</t>
  </si>
  <si>
    <t>พิศิษ</t>
  </si>
  <si>
    <t>080-7569-935</t>
  </si>
  <si>
    <t>VP01218</t>
  </si>
  <si>
    <t>สุชาติ</t>
  </si>
  <si>
    <t>082-1130-448</t>
  </si>
  <si>
    <t>A102</t>
  </si>
  <si>
    <t>สกล</t>
  </si>
  <si>
    <t>VP01219</t>
  </si>
  <si>
    <t>ทนากร</t>
  </si>
  <si>
    <t>094-4985-514</t>
  </si>
  <si>
    <t>VP01220</t>
  </si>
  <si>
    <t>บริษัท ออโตคอร์ป โฮลดิ้ง จำกัด</t>
  </si>
  <si>
    <t>1111 หมู่ที่ 1 ถนนมะลิวัลย์ ตำบลบ้านทุ่ม อำเภอเมืองขอนแก่น จ.ขอนแก่น 40000</t>
  </si>
  <si>
    <t>086-2862-833</t>
  </si>
  <si>
    <t>VP01221</t>
  </si>
  <si>
    <t>เบนซ์</t>
  </si>
  <si>
    <t>VP01222</t>
  </si>
  <si>
    <t>คุณ ธนาธร</t>
  </si>
  <si>
    <t>VP01223</t>
  </si>
  <si>
    <t>คุณ วรพล</t>
  </si>
  <si>
    <t>094-6828-266</t>
  </si>
  <si>
    <t>VP01224</t>
  </si>
  <si>
    <t>มานพ</t>
  </si>
  <si>
    <t>082-8372-824</t>
  </si>
  <si>
    <t>VP01225</t>
  </si>
  <si>
    <t>กิ่งกานณ์ กุลาวงษ์</t>
  </si>
  <si>
    <t>082-9299-888</t>
  </si>
  <si>
    <t>VP01226</t>
  </si>
  <si>
    <t>กรรณิกา</t>
  </si>
  <si>
    <t>095-1655-445</t>
  </si>
  <si>
    <t>VP01227</t>
  </si>
  <si>
    <t>น.ส. ชนิทณี เดชบุรีรัมธ</t>
  </si>
  <si>
    <t>316 ม.4 อ.เมือง จ.บึงกาฬ</t>
  </si>
  <si>
    <t>086-3403-382</t>
  </si>
  <si>
    <t>VP01228</t>
  </si>
  <si>
    <t>รุ่่งโรจน์</t>
  </si>
  <si>
    <t>062-8573-585</t>
  </si>
  <si>
    <t>VP01229</t>
  </si>
  <si>
    <t>คุณ ปอนด์</t>
  </si>
  <si>
    <t>VP01230</t>
  </si>
  <si>
    <t>เตชิน</t>
  </si>
  <si>
    <t>098-7993-370</t>
  </si>
  <si>
    <t>VP01231</t>
  </si>
  <si>
    <t>ช่างซ่อมเครื่องซักผ้า</t>
  </si>
  <si>
    <t>VP01232</t>
  </si>
  <si>
    <t>ธวัชชัย</t>
  </si>
  <si>
    <t>083-0408-237</t>
  </si>
  <si>
    <t>VP01233</t>
  </si>
  <si>
    <t>อาทิตย์</t>
  </si>
  <si>
    <t>096-6317-976</t>
  </si>
  <si>
    <t>VP01234</t>
  </si>
  <si>
    <t>ชาวลิต</t>
  </si>
  <si>
    <t>098-7991-839</t>
  </si>
  <si>
    <t>VP01235</t>
  </si>
  <si>
    <t>สมควร</t>
  </si>
  <si>
    <t>095-8614-778</t>
  </si>
  <si>
    <t>VP01236</t>
  </si>
  <si>
    <t>คุณทาม</t>
  </si>
  <si>
    <t>090-192-0150</t>
  </si>
  <si>
    <t>VP01237</t>
  </si>
  <si>
    <t>ลลิตา</t>
  </si>
  <si>
    <t>064-3364-681</t>
  </si>
  <si>
    <t>VP01238</t>
  </si>
  <si>
    <t>คุณไพโรจน์</t>
  </si>
  <si>
    <t>VP01239</t>
  </si>
  <si>
    <t>คุณสนธยา</t>
  </si>
  <si>
    <t>080-8192-542</t>
  </si>
  <si>
    <t>VP01240</t>
  </si>
  <si>
    <t>คุณฉัตรชัย</t>
  </si>
  <si>
    <t>VP01241</t>
  </si>
  <si>
    <t>ฐิติกา</t>
  </si>
  <si>
    <t>064-0351-274</t>
  </si>
  <si>
    <t>VP01242</t>
  </si>
  <si>
    <t>วัชรินทร์</t>
  </si>
  <si>
    <t>095-2219-945</t>
  </si>
  <si>
    <t>VP01243</t>
  </si>
  <si>
    <t>ชญานี</t>
  </si>
  <si>
    <t>064-7293-821</t>
  </si>
  <si>
    <t>VP01244</t>
  </si>
  <si>
    <t>อนุชิต</t>
  </si>
  <si>
    <t>061-2598-988</t>
  </si>
  <si>
    <t>VP01245</t>
  </si>
  <si>
    <t>โชติรส</t>
  </si>
  <si>
    <t>063-3614-993</t>
  </si>
  <si>
    <t>VP01246</t>
  </si>
  <si>
    <t>ธิดารัตน์</t>
  </si>
  <si>
    <t>096-3453-706</t>
  </si>
  <si>
    <t>VP01247</t>
  </si>
  <si>
    <t>ภาณุวัฒน์</t>
  </si>
  <si>
    <t>098-3498-404</t>
  </si>
  <si>
    <t>VP01248</t>
  </si>
  <si>
    <t>สวภณ</t>
  </si>
  <si>
    <t>067-6435-832</t>
  </si>
  <si>
    <t>VP01249</t>
  </si>
  <si>
    <t>ณัฐภัทร</t>
  </si>
  <si>
    <t>085-4840-614</t>
  </si>
  <si>
    <t>VP01250</t>
  </si>
  <si>
    <t>ตองสาม</t>
  </si>
  <si>
    <t>088-8924-498</t>
  </si>
  <si>
    <t>VP01251</t>
  </si>
  <si>
    <t>ธิติยา</t>
  </si>
  <si>
    <t>062-1878-476</t>
  </si>
  <si>
    <t>VP01252</t>
  </si>
  <si>
    <t>สุระชัย</t>
  </si>
  <si>
    <t>088-9435-547</t>
  </si>
  <si>
    <t>VP01253</t>
  </si>
  <si>
    <t>อภิวัฒน์</t>
  </si>
  <si>
    <t>081-8724-322</t>
  </si>
  <si>
    <t>N4</t>
  </si>
  <si>
    <t>VP01254</t>
  </si>
  <si>
    <t>กชพรรณ</t>
  </si>
  <si>
    <t>098-2405-411</t>
  </si>
  <si>
    <t>VP01255</t>
  </si>
  <si>
    <t>เอ้</t>
  </si>
  <si>
    <t>089-4480-514</t>
  </si>
  <si>
    <t>VP01256</t>
  </si>
  <si>
    <t>วัฒนา สีอ่อง</t>
  </si>
  <si>
    <t>080-2372-464</t>
  </si>
  <si>
    <t>VP01257</t>
  </si>
  <si>
    <t>จรัสชัย</t>
  </si>
  <si>
    <t>096-0978-692</t>
  </si>
  <si>
    <t>VP01258</t>
  </si>
  <si>
    <t>วิษณุ</t>
  </si>
  <si>
    <t>VP01259</t>
  </si>
  <si>
    <t>สุนันท์</t>
  </si>
  <si>
    <t>063-7412-876</t>
  </si>
  <si>
    <t>VP01260</t>
  </si>
  <si>
    <t>เอกสิทธ์</t>
  </si>
  <si>
    <t>081-2868-092</t>
  </si>
  <si>
    <t>VP01261</t>
  </si>
  <si>
    <t>ชลธิชา</t>
  </si>
  <si>
    <t>VP01262</t>
  </si>
  <si>
    <t>คุณครเทวิน</t>
  </si>
  <si>
    <t>VP01263</t>
  </si>
  <si>
    <t>บริษัท ธนวัฒน์</t>
  </si>
  <si>
    <t>VP01264</t>
  </si>
  <si>
    <t>คุณกิจพงษ์</t>
  </si>
  <si>
    <t>081-5589-185</t>
  </si>
  <si>
    <t>VP01265</t>
  </si>
  <si>
    <t>มนต์ทรานสปอร์ต</t>
  </si>
  <si>
    <t>VP01266</t>
  </si>
  <si>
    <t>เสกสรรค์</t>
  </si>
  <si>
    <t>061-9941-942</t>
  </si>
  <si>
    <t>VP01267</t>
  </si>
  <si>
    <t>กรภัทร</t>
  </si>
  <si>
    <t>093-0286-088</t>
  </si>
  <si>
    <t>VP01268</t>
  </si>
  <si>
    <t>อริสรา</t>
  </si>
  <si>
    <t>093-6672-972</t>
  </si>
  <si>
    <t>VP01269</t>
  </si>
  <si>
    <t>นัฐพงษ์</t>
  </si>
  <si>
    <t>098-2567-909</t>
  </si>
  <si>
    <t>VP01270</t>
  </si>
  <si>
    <t>ประสงค์</t>
  </si>
  <si>
    <t>064-6474-674</t>
  </si>
  <si>
    <t>VP01271</t>
  </si>
  <si>
    <t>กรมประมง</t>
  </si>
  <si>
    <t>081-592-6392</t>
  </si>
  <si>
    <t>VP01272</t>
  </si>
  <si>
    <t>นาย นันฑิตา</t>
  </si>
  <si>
    <t>064-6266-016</t>
  </si>
  <si>
    <t>VP01273</t>
  </si>
  <si>
    <t>อภิญญา</t>
  </si>
  <si>
    <t>092-4520-992</t>
  </si>
  <si>
    <t>VP01274</t>
  </si>
  <si>
    <t>ศศิพร</t>
  </si>
  <si>
    <t>082-2054-703</t>
  </si>
  <si>
    <t>VP01275</t>
  </si>
  <si>
    <t>ดารินทร์</t>
  </si>
  <si>
    <t>063-7963-382</t>
  </si>
  <si>
    <t>VP01276</t>
  </si>
  <si>
    <t>จีรวัฒน์ ชฎาทอง</t>
  </si>
  <si>
    <t>VP01277</t>
  </si>
  <si>
    <t>ประวิทย์</t>
  </si>
  <si>
    <t>087-8985-543</t>
  </si>
  <si>
    <t>VP01278</t>
  </si>
  <si>
    <t>แทนรัก</t>
  </si>
  <si>
    <t>081-0700-537</t>
  </si>
  <si>
    <t>VP01279</t>
  </si>
  <si>
    <t>อรรณพ ลอนชา</t>
  </si>
  <si>
    <t>095-7852-257</t>
  </si>
  <si>
    <t>VP01280</t>
  </si>
  <si>
    <t>วิชัย ศรีมาลา</t>
  </si>
  <si>
    <t>084-3628-471</t>
  </si>
  <si>
    <t>VP01281</t>
  </si>
  <si>
    <t>สิรภพ สีพรม</t>
  </si>
  <si>
    <t>082-6815-568</t>
  </si>
  <si>
    <t>VP01282</t>
  </si>
  <si>
    <t>ธนพิทักษ์ อุปชัย</t>
  </si>
  <si>
    <t>095-9904-661</t>
  </si>
  <si>
    <t>VP01283</t>
  </si>
  <si>
    <t>คุณธีระ</t>
  </si>
  <si>
    <t>VP01284</t>
  </si>
  <si>
    <t>คุณหนึ่ง</t>
  </si>
  <si>
    <t>097-0151-712</t>
  </si>
  <si>
    <t>VP01285</t>
  </si>
  <si>
    <t>รุ่งนภา บัวโอกาส</t>
  </si>
  <si>
    <t>099-1846-116</t>
  </si>
  <si>
    <t>VP01286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</si>
  <si>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</si>
  <si>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</si>
  <si>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VP01287</t>
  </si>
  <si>
    <t>สามรวมมิตร</t>
  </si>
  <si>
    <t>061-3632-244</t>
  </si>
  <si>
    <t>VP01288</t>
  </si>
  <si>
    <t>สมชาย</t>
  </si>
  <si>
    <t>092-2812-637</t>
  </si>
  <si>
    <t>VP01289</t>
  </si>
  <si>
    <t>ปพิชญา นุสน</t>
  </si>
  <si>
    <t>VP01290</t>
  </si>
  <si>
    <t>ณัฐวัฒน์</t>
  </si>
  <si>
    <t>098-0389-895</t>
  </si>
  <si>
    <t>VP01291</t>
  </si>
  <si>
    <t>น.ส.ณัฐฌา</t>
  </si>
  <si>
    <t>098-3982-512</t>
  </si>
  <si>
    <t>VP01292</t>
  </si>
  <si>
    <t>วัชระ  พรหม</t>
  </si>
  <si>
    <t>085-6520-193</t>
  </si>
  <si>
    <t>VP01293</t>
  </si>
  <si>
    <t>คุณศรชัย</t>
  </si>
  <si>
    <t>088-7904-698</t>
  </si>
  <si>
    <t>VP01294</t>
  </si>
  <si>
    <t>ศรัณย์ รื่นรมย์</t>
  </si>
  <si>
    <t>089-7988-111</t>
  </si>
  <si>
    <t>VP01295</t>
  </si>
  <si>
    <t>วิชิต ผิวขวา</t>
  </si>
  <si>
    <t>093-1011-155</t>
  </si>
  <si>
    <t>A109</t>
  </si>
  <si>
    <t>VP01296</t>
  </si>
  <si>
    <t>ถิรายุ</t>
  </si>
  <si>
    <t>083-8135-668</t>
  </si>
  <si>
    <t>VP01297</t>
  </si>
  <si>
    <t>กฤษฎา</t>
  </si>
  <si>
    <t>062-1170-080</t>
  </si>
  <si>
    <t>VP01298</t>
  </si>
  <si>
    <t>วิรัตน์</t>
  </si>
  <si>
    <t>082-1141-788</t>
  </si>
  <si>
    <t>VP01299</t>
  </si>
  <si>
    <t>นาย สมใจ บุญส่ง</t>
  </si>
  <si>
    <t>089-5327-017</t>
  </si>
  <si>
    <t>A110</t>
  </si>
  <si>
    <t>VP01300</t>
  </si>
  <si>
    <t>รถน้ำส้ม</t>
  </si>
  <si>
    <t>VP01301</t>
  </si>
  <si>
    <t>สงกรานต์</t>
  </si>
  <si>
    <t>065-5987-445</t>
  </si>
  <si>
    <t>VP01302</t>
  </si>
  <si>
    <t>ธเนศ</t>
  </si>
  <si>
    <t>063-7305-666</t>
  </si>
  <si>
    <t>VP01303</t>
  </si>
  <si>
    <t>เกรียงศักดิ์</t>
  </si>
  <si>
    <t>098-5341-312</t>
  </si>
  <si>
    <t>VP01304</t>
  </si>
  <si>
    <t>เพ็ญระพร</t>
  </si>
  <si>
    <t>097-1426-523</t>
  </si>
  <si>
    <t>VP01305</t>
  </si>
  <si>
    <t>สังวาล</t>
  </si>
  <si>
    <t>083-4211-303</t>
  </si>
  <si>
    <t>VP01306</t>
  </si>
  <si>
    <t>อนุชิิต</t>
  </si>
  <si>
    <t>VP01307</t>
  </si>
  <si>
    <t>บริษัท ตระกลูชัย</t>
  </si>
  <si>
    <t>089-5699-346</t>
  </si>
  <si>
    <t>VP01308</t>
  </si>
  <si>
    <t>คมไพสิฐ</t>
  </si>
  <si>
    <t>096-1757-237</t>
  </si>
  <si>
    <t>VP01309</t>
  </si>
  <si>
    <t>คุณปั่น</t>
  </si>
  <si>
    <t>086-4666-146</t>
  </si>
  <si>
    <t>VP01310</t>
  </si>
  <si>
    <t>เสกศักดิ์</t>
  </si>
  <si>
    <t>VP01311</t>
  </si>
  <si>
    <t>สนธยา</t>
  </si>
  <si>
    <t>VP01312</t>
  </si>
  <si>
    <t>กัลยากร</t>
  </si>
  <si>
    <t>083-1800-908</t>
  </si>
  <si>
    <t>VP01313</t>
  </si>
  <si>
    <t>ธวัช</t>
  </si>
  <si>
    <t>084-1793-723</t>
  </si>
  <si>
    <t>VP01314</t>
  </si>
  <si>
    <t>นายธิติพงษ์ จรินร์โคตร</t>
  </si>
  <si>
    <t>VP01315</t>
  </si>
  <si>
    <t>ศศิธร  สามา</t>
  </si>
  <si>
    <t>094-2915-946</t>
  </si>
  <si>
    <t>VP01316</t>
  </si>
  <si>
    <t>ชัยโย</t>
  </si>
  <si>
    <t>088-1119-753</t>
  </si>
  <si>
    <t>VP01317</t>
  </si>
  <si>
    <t>น้ำจิ้มคุณนิด</t>
  </si>
  <si>
    <t>VP01318</t>
  </si>
  <si>
    <t>นรเสฎธิ์  ไหล่จิตรภาชัยกร</t>
  </si>
  <si>
    <t>083-3333-811</t>
  </si>
  <si>
    <t>VP01319</t>
  </si>
  <si>
    <t>ยุวดี  อุบลแก้ว</t>
  </si>
  <si>
    <t>085-4856-611</t>
  </si>
  <si>
    <t>VP01320</t>
  </si>
  <si>
    <t>เศตวรรต  ไชยสุระ</t>
  </si>
  <si>
    <t>064-4201-785</t>
  </si>
  <si>
    <t>VP01321</t>
  </si>
  <si>
    <t>ประดิษฐ์</t>
  </si>
  <si>
    <t>098-4880-344</t>
  </si>
  <si>
    <t>VP01322</t>
  </si>
  <si>
    <t>ภาคิน</t>
  </si>
  <si>
    <t>098-9053-956</t>
  </si>
  <si>
    <t>VP01323</t>
  </si>
  <si>
    <t>อภิรมศักดิ์  สุขะ</t>
  </si>
  <si>
    <t>098-9619-429</t>
  </si>
  <si>
    <t>VP01324</t>
  </si>
  <si>
    <t>มณีรัตน์</t>
  </si>
  <si>
    <t>083-3343-541</t>
  </si>
  <si>
    <t>VP01325</t>
  </si>
  <si>
    <t>ครรชิต</t>
  </si>
  <si>
    <t>093-1634-257</t>
  </si>
  <si>
    <t>VP01326</t>
  </si>
  <si>
    <t>พุทธิพงศ์</t>
  </si>
  <si>
    <t>VP01327</t>
  </si>
  <si>
    <t>อรรถวิชญ์  จรถวิล</t>
  </si>
  <si>
    <t>064-6767-675</t>
  </si>
  <si>
    <t>VP01328</t>
  </si>
  <si>
    <t>มังกร</t>
  </si>
  <si>
    <t>087-2153-411</t>
  </si>
  <si>
    <t>VP01329</t>
  </si>
  <si>
    <t>กิตติศักดิ์</t>
  </si>
  <si>
    <t>064-5935-847</t>
  </si>
  <si>
    <t>VP01330</t>
  </si>
  <si>
    <t>บุญเกิด</t>
  </si>
  <si>
    <t>090-3525-606</t>
  </si>
  <si>
    <t>VP01331</t>
  </si>
  <si>
    <t>คุณอนงค์</t>
  </si>
  <si>
    <t>080-5277-588</t>
  </si>
  <si>
    <t>VP01332</t>
  </si>
  <si>
    <t>ศิรินทิพย์   ทวี</t>
  </si>
  <si>
    <t>098-9611-336</t>
  </si>
  <si>
    <t>VP01333</t>
  </si>
  <si>
    <t>ศรินญา</t>
  </si>
  <si>
    <t>092-2149-818</t>
  </si>
  <si>
    <t>VP01334</t>
  </si>
  <si>
    <t>วุฒิชัย  เศษรักษา</t>
  </si>
  <si>
    <t>098-6460-740</t>
  </si>
  <si>
    <t>VP01335</t>
  </si>
  <si>
    <t>อาทิตย์ กองกาณ</t>
  </si>
  <si>
    <t>098-6773-611</t>
  </si>
  <si>
    <t>VP01336</t>
  </si>
  <si>
    <t>พรรณรัตน์</t>
  </si>
  <si>
    <t>063-1508-917</t>
  </si>
  <si>
    <t>VP01337</t>
  </si>
  <si>
    <t>น.ส.ธิติมา พิมปัดชา</t>
  </si>
  <si>
    <t>159 ม.5 ต.ท่าดอกคำ อ.บึงโขลหลง จ.บึงกาฬ</t>
  </si>
  <si>
    <t>087-9492-420</t>
  </si>
  <si>
    <t>VP01338</t>
  </si>
  <si>
    <t>อิสริยะ ภูนาเมือง</t>
  </si>
  <si>
    <t>061-1342-115</t>
  </si>
  <si>
    <t>B201</t>
  </si>
  <si>
    <t>VP01339</t>
  </si>
  <si>
    <t>จีรนันท์ มงคลเสริม</t>
  </si>
  <si>
    <t>092-5494-715</t>
  </si>
  <si>
    <t>B202</t>
  </si>
  <si>
    <t>VP01340</t>
  </si>
  <si>
    <t>นายประเวศ สาคี</t>
  </si>
  <si>
    <t>74 ม.3 ต.นาคูณใหญ่ อ.นาหว่า จ.นครพนม</t>
  </si>
  <si>
    <t>062-1461-060</t>
  </si>
  <si>
    <t>B203</t>
  </si>
  <si>
    <t>VP01341</t>
  </si>
  <si>
    <t>GUBEW</t>
  </si>
  <si>
    <t>099-1175-368</t>
  </si>
  <si>
    <t>B204</t>
  </si>
  <si>
    <t>VP01342</t>
  </si>
  <si>
    <t>เอกนกร โสมอินทร์</t>
  </si>
  <si>
    <t>098-5911-225</t>
  </si>
  <si>
    <t>B205</t>
  </si>
  <si>
    <t>VP01343</t>
  </si>
  <si>
    <t>ตุ๊ก</t>
  </si>
  <si>
    <t>094-3915-946</t>
  </si>
  <si>
    <t>B206</t>
  </si>
  <si>
    <t>VP01344</t>
  </si>
  <si>
    <t>ธาราธร</t>
  </si>
  <si>
    <t>B207</t>
  </si>
  <si>
    <t>VP01345</t>
  </si>
  <si>
    <t>นายพิชิชัย</t>
  </si>
  <si>
    <t>VP01346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</si>
  <si>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</si>
  <si>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</si>
  <si>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VP01347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</si>
  <si>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</si>
  <si>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</si>
  <si>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VP01348</t>
  </si>
  <si>
    <t>อภิชัย</t>
  </si>
  <si>
    <t>VP01349</t>
  </si>
  <si>
    <t>ชวลิต เข็มศิริ</t>
  </si>
  <si>
    <t>086-8585-674</t>
  </si>
  <si>
    <t>VP01350</t>
  </si>
  <si>
    <t>คุณกิ้</t>
  </si>
  <si>
    <t>084-3304-040</t>
  </si>
  <si>
    <t>VP01351</t>
  </si>
  <si>
    <t>น.ส.นภาวรรณ ถานัน</t>
  </si>
  <si>
    <t>170 ม.8 ต.ปากคาด อ.ปากคาด บึงกาฬ</t>
  </si>
  <si>
    <t>VP01352</t>
  </si>
  <si>
    <t>จิตสุภา เจริญพันธ์</t>
  </si>
  <si>
    <t>096-0673-804</t>
  </si>
  <si>
    <t>VP01353</t>
  </si>
  <si>
    <t>ชณัฐษิกาญจน์ สิงห์ทอง</t>
  </si>
  <si>
    <t>098-8398-854</t>
  </si>
  <si>
    <t>VP01354</t>
  </si>
  <si>
    <t>คุณอ้น</t>
  </si>
  <si>
    <t>VP01146</t>
  </si>
  <si>
    <t>เซาวลิต</t>
  </si>
  <si>
    <t>VP01147</t>
  </si>
  <si>
    <t>เหนือฟ้า</t>
  </si>
  <si>
    <t>064-3586-160</t>
  </si>
  <si>
    <t>VP01148</t>
  </si>
  <si>
    <t>ทวีศักดิ์</t>
  </si>
  <si>
    <t>082-8389-843</t>
  </si>
  <si>
    <t>VP01149</t>
  </si>
  <si>
    <t>สุริยันห์  ยิ่งลาท</t>
  </si>
  <si>
    <t>092-5202-651</t>
  </si>
  <si>
    <t>VP01150</t>
  </si>
  <si>
    <t>วีระยุทธ  วีระกร</t>
  </si>
  <si>
    <t>064-5919-705</t>
  </si>
  <si>
    <t>VP01151</t>
  </si>
  <si>
    <t>ดวงฤดี ธนพรรัชต์</t>
  </si>
  <si>
    <t>092-8067-515</t>
  </si>
  <si>
    <t>VP01152</t>
  </si>
  <si>
    <t>ณัฐวุฒิ โพธิ์สว่าง</t>
  </si>
  <si>
    <t>088-5605-004</t>
  </si>
  <si>
    <t>VP01153</t>
  </si>
  <si>
    <t>อภิชาติ</t>
  </si>
  <si>
    <t>082-2474-822</t>
  </si>
  <si>
    <t>VP01154</t>
  </si>
  <si>
    <t>วุฒิชัย เศษรักษา</t>
  </si>
  <si>
    <t>VP01355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</si>
  <si>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</si>
  <si>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</si>
  <si>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VP01356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</si>
  <si>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</si>
  <si>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</si>
  <si>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VP01357</t>
  </si>
  <si>
    <t>รภน้ำส้ม</t>
  </si>
  <si>
    <t>VP01358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</si>
  <si>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</si>
  <si>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</si>
  <si>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VP01359</t>
  </si>
  <si>
    <t>คุณสิทธิ์</t>
  </si>
  <si>
    <t>065-0786-675</t>
  </si>
  <si>
    <t>VP01360</t>
  </si>
  <si>
    <t>ณัชพล สุทธิโสรณ</t>
  </si>
  <si>
    <t>080-1589-565</t>
  </si>
  <si>
    <t>VP01361</t>
  </si>
  <si>
    <t>ฟ้า</t>
  </si>
  <si>
    <t>VP01362</t>
  </si>
  <si>
    <t>ปองทิพย์ สุขเป้ง</t>
  </si>
  <si>
    <t>097-2986-683</t>
  </si>
  <si>
    <t>VP01363</t>
  </si>
  <si>
    <t>มนต์เทียน  ช่างเตี้ย</t>
  </si>
  <si>
    <t>VP01364</t>
  </si>
  <si>
    <t>ชลิต</t>
  </si>
  <si>
    <t>093-1628-669</t>
  </si>
  <si>
    <t>VP01365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</si>
  <si>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</si>
  <si>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</si>
  <si>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VP01366</t>
  </si>
  <si>
    <t>เอกชัย จินมา</t>
  </si>
  <si>
    <t>098-3314-342</t>
  </si>
  <si>
    <t>N1</t>
  </si>
  <si>
    <t>VP01367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</si>
  <si>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</si>
  <si>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</si>
  <si>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VP01368</t>
  </si>
  <si>
    <t>ทวีทรัพย์ ไตรณรงค์</t>
  </si>
  <si>
    <t>080-9918-816</t>
  </si>
  <si>
    <t>VP01369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</si>
  <si>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</si>
  <si>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</si>
  <si>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VP01370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</si>
  <si>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</si>
  <si>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</si>
  <si>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VP01371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</si>
  <si>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</si>
  <si>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</si>
  <si>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VP01372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</si>
  <si>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</si>
  <si>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</si>
  <si>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VP01373</t>
  </si>
  <si>
    <t>สวภณ วงศ์กองแก้ว</t>
  </si>
  <si>
    <t>062-6455-832</t>
  </si>
  <si>
    <t>VP01374</t>
  </si>
  <si>
    <t>ร.ต.ท. สุรพล ถาวงศ์พันธ์</t>
  </si>
  <si>
    <t>095-2362-066</t>
  </si>
  <si>
    <t>VP01375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</si>
  <si>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</si>
  <si>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</si>
  <si>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VP01376</t>
  </si>
  <si>
    <t>สนธยา สุดาทิพย์</t>
  </si>
  <si>
    <t>VP01377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</si>
  <si>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</si>
  <si>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</si>
  <si>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VP01378</t>
  </si>
  <si>
    <t>วิทยาลัยเทคนิค  จ.หนองคาย</t>
  </si>
  <si>
    <t>062-9614-917</t>
  </si>
  <si>
    <t>VP01379</t>
  </si>
  <si>
    <t>คุณประเวศ สาดี</t>
  </si>
  <si>
    <t>VP01380</t>
  </si>
  <si>
    <t>มนตรี สุทธิเมทากุล</t>
  </si>
  <si>
    <t>VP01381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</si>
  <si>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</si>
  <si>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</si>
  <si>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VP01382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</si>
  <si>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</si>
  <si>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</si>
  <si>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VP01383</t>
  </si>
  <si>
    <t>ชาญชัย</t>
  </si>
  <si>
    <t>099-6175-516</t>
  </si>
  <si>
    <t>VP01384</t>
  </si>
  <si>
    <t>ฉัตรชัย มุกตรี</t>
  </si>
  <si>
    <t>095-8812-569</t>
  </si>
  <si>
    <t>VP01385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</si>
  <si>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</si>
  <si>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</si>
  <si>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VP01386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</si>
  <si>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</si>
  <si>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</si>
  <si>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VP01387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</si>
  <si>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</si>
  <si>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</si>
  <si>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VP01388</t>
  </si>
  <si>
    <t>ร้านใบหยก ค้าข้าว</t>
  </si>
  <si>
    <t>062-5613-164</t>
  </si>
  <si>
    <t>VP01389</t>
  </si>
  <si>
    <t>ประเวส  สาดี</t>
  </si>
  <si>
    <t>VP01390</t>
  </si>
  <si>
    <t>คุณเมย์</t>
  </si>
  <si>
    <t>VP01391</t>
  </si>
  <si>
    <t>หนูนา</t>
  </si>
  <si>
    <t>VP01392</t>
  </si>
  <si>
    <t>อนุวัฒน์</t>
  </si>
  <si>
    <t>083-9567-448</t>
  </si>
  <si>
    <t>VP01393</t>
  </si>
  <si>
    <t>วิทยาลัยเทคนิค  จ. เลย</t>
  </si>
  <si>
    <t>VP01394</t>
  </si>
  <si>
    <t>คุณสุกิต</t>
  </si>
  <si>
    <t>VP01395</t>
  </si>
  <si>
    <t>วิทยาลัยอาชีวะ  จ.อุดรธานี</t>
  </si>
  <si>
    <t>VP01396</t>
  </si>
  <si>
    <t>ภัทรากร แก้วศิริ</t>
  </si>
  <si>
    <t>062-8736-944</t>
  </si>
  <si>
    <t>VP01397</t>
  </si>
  <si>
    <t>คุณพลอย</t>
  </si>
  <si>
    <t>095-2411-669</t>
  </si>
  <si>
    <t>VP01398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</si>
  <si>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</si>
  <si>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</si>
  <si>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VP01399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</si>
  <si>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</si>
  <si>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</si>
  <si>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VP01400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</si>
  <si>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</si>
  <si>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</si>
  <si>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VP01401</t>
  </si>
  <si>
    <t>นิทาวดี</t>
  </si>
  <si>
    <t>095-6630-058</t>
  </si>
  <si>
    <t>VP01402</t>
  </si>
  <si>
    <t>เกรียงไกร</t>
  </si>
  <si>
    <t>083-2414-975</t>
  </si>
  <si>
    <t>VP01403</t>
  </si>
  <si>
    <t>อธิชา น้อยอามาต์ย</t>
  </si>
  <si>
    <t>VP01404</t>
  </si>
  <si>
    <t>มาดัน สิงห์</t>
  </si>
  <si>
    <t>086-7963-129</t>
  </si>
  <si>
    <t>VP01405</t>
  </si>
  <si>
    <t>ลุงวร</t>
  </si>
  <si>
    <t>062-4635-168</t>
  </si>
  <si>
    <t>VP01406</t>
  </si>
  <si>
    <t>คุณน้ำ</t>
  </si>
  <si>
    <t>092-3186-289</t>
  </si>
  <si>
    <t>VP01407</t>
  </si>
  <si>
    <t>คุณณัฐพล</t>
  </si>
  <si>
    <t>086-5331-517</t>
  </si>
  <si>
    <t>VP01408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</si>
  <si>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</si>
  <si>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</si>
  <si>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VP01409</t>
  </si>
  <si>
    <t>สมุนไพรเจ๊ซิ๊ม</t>
  </si>
  <si>
    <t>084-3033-740</t>
  </si>
  <si>
    <t>VP01410</t>
  </si>
  <si>
    <t>นฤมล</t>
  </si>
  <si>
    <t>081-4866-156</t>
  </si>
  <si>
    <t>VP01411</t>
  </si>
  <si>
    <t>บิ๊กวัน</t>
  </si>
  <si>
    <t>088-5554-628</t>
  </si>
  <si>
    <t>VP01412</t>
  </si>
  <si>
    <t>เจต</t>
  </si>
  <si>
    <t>064-6270-963</t>
  </si>
  <si>
    <t>VP01413</t>
  </si>
  <si>
    <t>มยุวดี</t>
  </si>
  <si>
    <t>061-3364-025</t>
  </si>
  <si>
    <t>VP01414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</si>
  <si>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</si>
  <si>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</si>
  <si>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VP01415</t>
  </si>
  <si>
    <t>กิตติพัฒน์</t>
  </si>
  <si>
    <t>063-205-6294</t>
  </si>
  <si>
    <t>VP01416</t>
  </si>
  <si>
    <t>เทพรัชชัย เจริญทิศ</t>
  </si>
  <si>
    <t>088-8740-569</t>
  </si>
  <si>
    <t>VP01417</t>
  </si>
  <si>
    <t>จิรายุ</t>
  </si>
  <si>
    <t>094-6144-325</t>
  </si>
  <si>
    <t>VP01418</t>
  </si>
  <si>
    <t>นวพล</t>
  </si>
  <si>
    <t>098-9866-873</t>
  </si>
  <si>
    <t>VP01419</t>
  </si>
  <si>
    <t>ตามนต์</t>
  </si>
  <si>
    <t>VP01420</t>
  </si>
  <si>
    <t>วรการต์</t>
  </si>
  <si>
    <t>082-2570-894</t>
  </si>
  <si>
    <t>VP01421</t>
  </si>
  <si>
    <t>มารุต</t>
  </si>
  <si>
    <t>089-9121-739</t>
  </si>
  <si>
    <t>VP01422</t>
  </si>
  <si>
    <t>คุณติ๊ก</t>
  </si>
  <si>
    <t>VP01423</t>
  </si>
  <si>
    <t>อินดา</t>
  </si>
  <si>
    <t>091-2293-979</t>
  </si>
  <si>
    <t>VP01424</t>
  </si>
  <si>
    <t>บุญคุ้ม</t>
  </si>
  <si>
    <t>VP01425</t>
  </si>
  <si>
    <t>สมพงษ์</t>
  </si>
  <si>
    <t>099-6455-686</t>
  </si>
  <si>
    <t>VP01426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</si>
  <si>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</si>
  <si>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</si>
  <si>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VP01427</t>
  </si>
  <si>
    <t>ภัคจิรา กุมผล</t>
  </si>
  <si>
    <t>085-7478-427</t>
  </si>
  <si>
    <t>VP01428</t>
  </si>
  <si>
    <t>ศาสวัต อ้วนอินทร์</t>
  </si>
  <si>
    <t>092-9927-666</t>
  </si>
  <si>
    <t>VP01429</t>
  </si>
  <si>
    <t>พิเชฐ</t>
  </si>
  <si>
    <t>085-3037-501</t>
  </si>
  <si>
    <t>VP01430</t>
  </si>
  <si>
    <t>โกเมศ</t>
  </si>
  <si>
    <t>082-5494-611</t>
  </si>
  <si>
    <t>N5</t>
  </si>
  <si>
    <t>VP01431</t>
  </si>
  <si>
    <t>ชริตา</t>
  </si>
  <si>
    <t>083-8814-886</t>
  </si>
  <si>
    <t>VP01432</t>
  </si>
  <si>
    <t>ทิติ</t>
  </si>
  <si>
    <t>093-4074-048</t>
  </si>
  <si>
    <t>VP01433</t>
  </si>
  <si>
    <t>จิระศักดิ์</t>
  </si>
  <si>
    <t>VP01434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</si>
  <si>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</si>
  <si>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</si>
  <si>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VP01435</t>
  </si>
  <si>
    <t>ธัญมน</t>
  </si>
  <si>
    <t>061-0702-482</t>
  </si>
  <si>
    <t>VP01436</t>
  </si>
  <si>
    <t>ชีโร</t>
  </si>
  <si>
    <t>VP01437</t>
  </si>
  <si>
    <t>เจษฎา</t>
  </si>
  <si>
    <t>VP01438</t>
  </si>
  <si>
    <t>คุณเมษา</t>
  </si>
  <si>
    <t>VP01439</t>
  </si>
  <si>
    <t>พิชิช</t>
  </si>
  <si>
    <t>VP01440</t>
  </si>
  <si>
    <t>สุวิทย์</t>
  </si>
  <si>
    <t>093-1625-588</t>
  </si>
  <si>
    <t>VP01441</t>
  </si>
  <si>
    <t>วิชัยยุทธ์</t>
  </si>
  <si>
    <t>087-9781-098</t>
  </si>
  <si>
    <t>VP01442</t>
  </si>
  <si>
    <t>คุณโค๊ช</t>
  </si>
  <si>
    <t>081-9626-145</t>
  </si>
  <si>
    <t>VP01443</t>
  </si>
  <si>
    <t>คุณจุฑา</t>
  </si>
  <si>
    <t>064-8173-770</t>
  </si>
  <si>
    <t>VP01444</t>
  </si>
  <si>
    <t>จีรศักดิ์</t>
  </si>
  <si>
    <t>095-5364-576</t>
  </si>
  <si>
    <t>VP01445</t>
  </si>
  <si>
    <t>วรพร</t>
  </si>
  <si>
    <t>085-5400-552</t>
  </si>
  <si>
    <t>VP01446</t>
  </si>
  <si>
    <t>นายธัญญารัตน์</t>
  </si>
  <si>
    <t>082-0698-116</t>
  </si>
  <si>
    <t>VP01447</t>
  </si>
  <si>
    <t>ธีรพงษ์ สนองเดช</t>
  </si>
  <si>
    <t>062-9419-155</t>
  </si>
  <si>
    <t>VP01448</t>
  </si>
  <si>
    <t>ตรียากร</t>
  </si>
  <si>
    <t>096-7843-811</t>
  </si>
  <si>
    <t>VP01449</t>
  </si>
  <si>
    <t>ลุงสุพจน์</t>
  </si>
  <si>
    <t>VP01450</t>
  </si>
  <si>
    <t>ชินดนัย</t>
  </si>
  <si>
    <t>064-3963-521</t>
  </si>
  <si>
    <t>VP01451</t>
  </si>
  <si>
    <t>คุณนุ้ย</t>
  </si>
  <si>
    <t>087-7426-778</t>
  </si>
  <si>
    <t>VP01452</t>
  </si>
  <si>
    <t>ครูแอ๋ว</t>
  </si>
  <si>
    <t>VP01453</t>
  </si>
  <si>
    <t>ธนเดช</t>
  </si>
  <si>
    <t>089-8621-739</t>
  </si>
  <si>
    <t>VP01454</t>
  </si>
  <si>
    <t>นายแสงจันทร์ โพธิ์คำพก</t>
  </si>
  <si>
    <t>087-9068-863</t>
  </si>
  <si>
    <t>VP01455</t>
  </si>
  <si>
    <t>นาย สุทธิ์พงษ์ พรรษา</t>
  </si>
  <si>
    <t>061-8994-796</t>
  </si>
  <si>
    <t>VP01456</t>
  </si>
  <si>
    <t>ศิริลัดดา</t>
  </si>
  <si>
    <t>VP01457</t>
  </si>
  <si>
    <t>เอกชัย</t>
  </si>
  <si>
    <t>095-6630-055</t>
  </si>
  <si>
    <t>VP01458</t>
  </si>
  <si>
    <t>ปริวัตร ภักดีแก้ว</t>
  </si>
  <si>
    <t>098-12746-186</t>
  </si>
  <si>
    <t>VP01459</t>
  </si>
  <si>
    <t>จุฑาทิพย์ พารโท</t>
  </si>
  <si>
    <t>098-1624-850</t>
  </si>
  <si>
    <t>VP01460</t>
  </si>
  <si>
    <t>พิมรภัชร</t>
  </si>
  <si>
    <t>095-5594-900</t>
  </si>
  <si>
    <t>VP01461</t>
  </si>
  <si>
    <t>นันทิพร</t>
  </si>
  <si>
    <t>081-1259-283</t>
  </si>
  <si>
    <t>VP01462</t>
  </si>
  <si>
    <t>นิวัชร์</t>
  </si>
  <si>
    <t>081-8722-434</t>
  </si>
  <si>
    <t>VP01463</t>
  </si>
  <si>
    <t>กรมพัฒนาฝีมือแรงงาน</t>
  </si>
  <si>
    <t>VP01464</t>
  </si>
  <si>
    <t>ทองศักดิ์</t>
  </si>
  <si>
    <t>096-9705-633</t>
  </si>
  <si>
    <t>VP01465</t>
  </si>
  <si>
    <t>นรินทร์</t>
  </si>
  <si>
    <t>082-6417-213</t>
  </si>
  <si>
    <t>VP01466</t>
  </si>
  <si>
    <t>พัฒนพงษ์</t>
  </si>
  <si>
    <t>095-7538-038</t>
  </si>
  <si>
    <t>VP01467</t>
  </si>
  <si>
    <t>อรอุมา</t>
  </si>
  <si>
    <t>084-0259-701</t>
  </si>
  <si>
    <t>VP01468</t>
  </si>
  <si>
    <t>ปิยมาศ</t>
  </si>
  <si>
    <t>061-4831-749</t>
  </si>
  <si>
    <t>VP01469</t>
  </si>
  <si>
    <t>ธนพล</t>
  </si>
  <si>
    <t>081-5064-081</t>
  </si>
  <si>
    <t>VP01470</t>
  </si>
  <si>
    <t>เมธาพร</t>
  </si>
  <si>
    <t>084-4784-918</t>
  </si>
  <si>
    <t>VP01471</t>
  </si>
  <si>
    <t>ภูรินทร์</t>
  </si>
  <si>
    <t>099-4102-494</t>
  </si>
  <si>
    <t>VP01472</t>
  </si>
  <si>
    <t>สุชาวดี</t>
  </si>
  <si>
    <t>093-2645-318</t>
  </si>
  <si>
    <t>VP01473</t>
  </si>
  <si>
    <t>นันทชัย</t>
  </si>
  <si>
    <t>VP01474</t>
  </si>
  <si>
    <t>สายทอง ภูแล</t>
  </si>
  <si>
    <t>095-4831-035</t>
  </si>
  <si>
    <t>VP01475</t>
  </si>
  <si>
    <t>พรหมรัตน์ อิสสระพงษ์</t>
  </si>
  <si>
    <t>VP01476</t>
  </si>
  <si>
    <t>ณรงภัทร</t>
  </si>
  <si>
    <t>VP01477</t>
  </si>
  <si>
    <t>อุรัสยา อไร</t>
  </si>
  <si>
    <t>090-2268-966</t>
  </si>
  <si>
    <t>VP01478</t>
  </si>
  <si>
    <t>รุ่งฤดี ไทยะวัฒน์</t>
  </si>
  <si>
    <t>098-3605-386</t>
  </si>
  <si>
    <t>VP01479</t>
  </si>
  <si>
    <t>อำพร</t>
  </si>
  <si>
    <t>085-1289-539</t>
  </si>
  <si>
    <t>VP01480</t>
  </si>
  <si>
    <t>อาคม</t>
  </si>
  <si>
    <t>084-3912-828</t>
  </si>
  <si>
    <t>VP01481</t>
  </si>
  <si>
    <t>เอกมิวสิก</t>
  </si>
  <si>
    <t>090-323-1876</t>
  </si>
  <si>
    <t>VP01482</t>
  </si>
  <si>
    <t>ณัชพล</t>
  </si>
  <si>
    <t>VP01483</t>
  </si>
  <si>
    <t>วรากานญ์</t>
  </si>
  <si>
    <t>VP01484</t>
  </si>
  <si>
    <t>อภิรัตน์</t>
  </si>
  <si>
    <t>VP01485</t>
  </si>
  <si>
    <t>สุทธิพงษ์</t>
  </si>
  <si>
    <t>062-0418-821</t>
  </si>
  <si>
    <t>VP01486</t>
  </si>
  <si>
    <t>วัฒน์</t>
  </si>
  <si>
    <t>VP01487</t>
  </si>
  <si>
    <t>จักรภัทร</t>
  </si>
  <si>
    <t>064-9415-265</t>
  </si>
  <si>
    <t>VP01488</t>
  </si>
  <si>
    <t>ประรินทร์</t>
  </si>
  <si>
    <t>096-6855-964</t>
  </si>
  <si>
    <t>VP01489</t>
  </si>
  <si>
    <t>ศุภกิตติ์ แผ่นทอง</t>
  </si>
  <si>
    <t>092-5681-864</t>
  </si>
  <si>
    <t>VP01490</t>
  </si>
  <si>
    <t>บริโภคไทย</t>
  </si>
  <si>
    <t>093-324-9754</t>
  </si>
  <si>
    <t>VP01491</t>
  </si>
  <si>
    <t>สงกรานณ์</t>
  </si>
  <si>
    <t>092-2658-168</t>
  </si>
  <si>
    <t>VP01492</t>
  </si>
  <si>
    <t>คนึงนิตย์</t>
  </si>
  <si>
    <t>081-0792-659</t>
  </si>
  <si>
    <t>VP01493</t>
  </si>
  <si>
    <t>ภานุพงศ์ ภักดีวุฒิ</t>
  </si>
  <si>
    <t>098-8531-521</t>
  </si>
  <si>
    <t>VP01494</t>
  </si>
  <si>
    <t>กองสี เทพนวน</t>
  </si>
  <si>
    <t>081-4688-739</t>
  </si>
  <si>
    <t>VP01495</t>
  </si>
  <si>
    <t>ยุวดี</t>
  </si>
  <si>
    <t>085-4646-667</t>
  </si>
  <si>
    <t>VP01496</t>
  </si>
  <si>
    <t>นพรัตน์</t>
  </si>
  <si>
    <t>093-4688-739</t>
  </si>
  <si>
    <t>VP01497</t>
  </si>
  <si>
    <t>วัฒนา เปาวะนา</t>
  </si>
  <si>
    <t>087-8074-802</t>
  </si>
  <si>
    <t>VP01498</t>
  </si>
  <si>
    <t>เชศฐ</t>
  </si>
  <si>
    <t>084-9344-894</t>
  </si>
  <si>
    <t>VP01499</t>
  </si>
  <si>
    <t>วรวัฒน์ เคลือบสูงเนิน</t>
  </si>
  <si>
    <t>จ.บุรีรัมย์ อ.ประโคนชัย ต.ไพต่อ เลขที่ 80 ม.14</t>
  </si>
  <si>
    <t>090-6138-276</t>
  </si>
  <si>
    <t>VP01500</t>
  </si>
  <si>
    <t>ลลิดา วรรณกูล</t>
  </si>
  <si>
    <t>064-3364-637</t>
  </si>
  <si>
    <t>VP01501</t>
  </si>
  <si>
    <t>จารุวรณ เสนาวงศ์</t>
  </si>
  <si>
    <t>094-3701-199</t>
  </si>
  <si>
    <t>VP01502</t>
  </si>
  <si>
    <t>อาทิตย์ กลางสุไพธิ์</t>
  </si>
  <si>
    <t>098-4311-900</t>
  </si>
  <si>
    <t>VP01503</t>
  </si>
  <si>
    <t>ออฟฟี่</t>
  </si>
  <si>
    <t>061-6613-511</t>
  </si>
  <si>
    <t>VP01504</t>
  </si>
  <si>
    <t>การยาง</t>
  </si>
  <si>
    <t>VP01505</t>
  </si>
  <si>
    <t>น้ำ</t>
  </si>
  <si>
    <t>082-2438-902</t>
  </si>
  <si>
    <t>VP01506</t>
  </si>
  <si>
    <t>ยศธร</t>
  </si>
  <si>
    <t>093-3561-060</t>
  </si>
  <si>
    <t>VP01507</t>
  </si>
  <si>
    <t>พันนิตา สุมาดง</t>
  </si>
  <si>
    <t>062-3311-611</t>
  </si>
  <si>
    <t>VP01508</t>
  </si>
  <si>
    <t>เฉลิมศักดิ์</t>
  </si>
  <si>
    <t>098-2622-609</t>
  </si>
  <si>
    <t>VP01509</t>
  </si>
  <si>
    <t>คณะมาร่วมงานศพ</t>
  </si>
  <si>
    <t>VP01510</t>
  </si>
  <si>
    <t>นนธวัช</t>
  </si>
  <si>
    <t>VP01511</t>
  </si>
  <si>
    <t>พรรศิรคล มากุล</t>
  </si>
  <si>
    <t>VP01512</t>
  </si>
  <si>
    <t>ทนงชัย</t>
  </si>
  <si>
    <t>082-1386-739</t>
  </si>
  <si>
    <t>VP01513</t>
  </si>
  <si>
    <t>วิริยะ</t>
  </si>
  <si>
    <t>VP01514</t>
  </si>
  <si>
    <t>ธีรภัทร</t>
  </si>
  <si>
    <t>089-0495-361</t>
  </si>
  <si>
    <t>VP01515</t>
  </si>
  <si>
    <t>บ่าวมิตรสกล</t>
  </si>
  <si>
    <t>082-8004-147</t>
  </si>
  <si>
    <t>VP01516</t>
  </si>
  <si>
    <t>อานิตชา อิ่มพูล</t>
  </si>
  <si>
    <t>จ.บึงกาฬ อ.เมือง บ้านเลขที่ 11</t>
  </si>
  <si>
    <t>065-8450-788</t>
  </si>
  <si>
    <t>VP01517</t>
  </si>
  <si>
    <t>จิรกาส เทียนอิน</t>
  </si>
  <si>
    <t>082-5691-223</t>
  </si>
  <si>
    <t>VP01518</t>
  </si>
  <si>
    <t>กิตติพงศ์ นาฮี</t>
  </si>
  <si>
    <t>064-1716-148</t>
  </si>
  <si>
    <t>VP01519</t>
  </si>
  <si>
    <t>ปัญทรัพย์</t>
  </si>
  <si>
    <t>080-4257-035</t>
  </si>
  <si>
    <t>VP01520</t>
  </si>
  <si>
    <t>รพินทร์</t>
  </si>
  <si>
    <t>VP01521</t>
  </si>
  <si>
    <t>ชัชพันธ์ ชาดี</t>
  </si>
  <si>
    <t>099-7156-879</t>
  </si>
  <si>
    <t>VP01522</t>
  </si>
  <si>
    <t>คุณ แลง</t>
  </si>
  <si>
    <t>083-2389-113</t>
  </si>
  <si>
    <t>VP01523</t>
  </si>
  <si>
    <t>จุฬาลักษ์</t>
  </si>
  <si>
    <t>063-4452-316</t>
  </si>
  <si>
    <t>VP01524</t>
  </si>
  <si>
    <t>บารเมชัฐ</t>
  </si>
  <si>
    <t>061-7939-107</t>
  </si>
  <si>
    <t>VP01525</t>
  </si>
  <si>
    <t>อนันต์ ทองสีมา</t>
  </si>
  <si>
    <t>062-7939-107</t>
  </si>
  <si>
    <t>VP01526</t>
  </si>
  <si>
    <t>ค้าอุปกณ์ยานยนต์</t>
  </si>
  <si>
    <t>VP01527</t>
  </si>
  <si>
    <t>ธนากร</t>
  </si>
  <si>
    <t>081-9883-054</t>
  </si>
  <si>
    <t>VP01528</t>
  </si>
  <si>
    <t>นัชวัฒน์</t>
  </si>
  <si>
    <t>097-2704-070</t>
  </si>
  <si>
    <t>VP01529</t>
  </si>
  <si>
    <t>วาณิชกร</t>
  </si>
  <si>
    <t>VP01530</t>
  </si>
  <si>
    <t>ภุสพงษ์</t>
  </si>
  <si>
    <t>098-2355-158</t>
  </si>
  <si>
    <t>VP01531</t>
  </si>
  <si>
    <t>ศิริกมล พลเยี่ยม</t>
  </si>
  <si>
    <t>094-425-969</t>
  </si>
  <si>
    <t>VP01532</t>
  </si>
  <si>
    <t>ว่าที่ ร.ต. ชายมงคล</t>
  </si>
  <si>
    <t>064-1172-945</t>
  </si>
  <si>
    <t>VP01533</t>
  </si>
  <si>
    <t>คุณแท็ก</t>
  </si>
  <si>
    <t>VP01534</t>
  </si>
  <si>
    <t>คุณมมนต์ชัย</t>
  </si>
  <si>
    <t>061-9949-496</t>
  </si>
  <si>
    <t>VP01535</t>
  </si>
  <si>
    <t>ธิติภา</t>
  </si>
  <si>
    <t>064-035-1274</t>
  </si>
  <si>
    <t>VP01536</t>
  </si>
  <si>
    <t>สมหวัง</t>
  </si>
  <si>
    <t>081-717-4394</t>
  </si>
  <si>
    <t>VP01537</t>
  </si>
  <si>
    <t>ณัฐพงษ์</t>
  </si>
  <si>
    <t>VP01538</t>
  </si>
  <si>
    <t>สยามร่วมมิตร</t>
  </si>
  <si>
    <t>061-363-2244</t>
  </si>
  <si>
    <t>VP01539</t>
  </si>
  <si>
    <t>วีระยุทธ</t>
  </si>
  <si>
    <t>093-572-9746</t>
  </si>
  <si>
    <t>VP01540</t>
  </si>
  <si>
    <t>ฐิตารีย์</t>
  </si>
  <si>
    <t>093-456-6364</t>
  </si>
  <si>
    <t>VP01541</t>
  </si>
  <si>
    <t>สุพัตรา กองทอง</t>
  </si>
  <si>
    <t>063-391-9631</t>
  </si>
  <si>
    <t>VP01542</t>
  </si>
  <si>
    <t>ภิรมย์ศักดิ์ สุขะ</t>
  </si>
  <si>
    <t>098-961-9429</t>
  </si>
  <si>
    <t>VP01543</t>
  </si>
  <si>
    <t>ผุ้พัน</t>
  </si>
  <si>
    <t>064-045-0828</t>
  </si>
  <si>
    <t>VP01544</t>
  </si>
  <si>
    <t>คนอง หนวดตีบ</t>
  </si>
  <si>
    <t>065-579-9833</t>
  </si>
  <si>
    <t>VP01545</t>
  </si>
  <si>
    <t>บิ๊กสตาร์</t>
  </si>
  <si>
    <t>084-265-5547</t>
  </si>
  <si>
    <t>VP01546</t>
  </si>
  <si>
    <t>คุณสุพจน์</t>
  </si>
  <si>
    <t>084-792-4215</t>
  </si>
  <si>
    <t>VP01547</t>
  </si>
  <si>
    <t>สายันต์</t>
  </si>
  <si>
    <t>089-843-9144</t>
  </si>
  <si>
    <t>VP01548</t>
  </si>
  <si>
    <t>พีระศักดิ์</t>
  </si>
  <si>
    <t>065-496-5625</t>
  </si>
  <si>
    <t>VP01549</t>
  </si>
  <si>
    <t>เอกวัฒน์</t>
  </si>
  <si>
    <t>VP01550</t>
  </si>
  <si>
    <t>เพรชรัตน์</t>
  </si>
  <si>
    <t>097-119-7316</t>
  </si>
  <si>
    <t>VP01551</t>
  </si>
  <si>
    <t>อดิศร</t>
  </si>
  <si>
    <t>VP01552</t>
  </si>
  <si>
    <t>อลิสา</t>
  </si>
  <si>
    <t>VP01553</t>
  </si>
  <si>
    <t>คูณจูน</t>
  </si>
  <si>
    <t>VP01554</t>
  </si>
  <si>
    <t>สัญญา</t>
  </si>
  <si>
    <t>088-313-4564</t>
  </si>
  <si>
    <t>VP01555</t>
  </si>
  <si>
    <t>แพรวนภา</t>
  </si>
  <si>
    <t>095-784-1539</t>
  </si>
  <si>
    <t>VP01556</t>
  </si>
  <si>
    <t>อาหารไทย</t>
  </si>
  <si>
    <t>099-449-3287</t>
  </si>
  <si>
    <t>VP01557</t>
  </si>
  <si>
    <t>ปุณญวิช</t>
  </si>
  <si>
    <t>093-474-3923</t>
  </si>
  <si>
    <t>A201</t>
  </si>
  <si>
    <t>VP01558</t>
  </si>
  <si>
    <t>จีรัชญาดา</t>
  </si>
  <si>
    <t>VP01559</t>
  </si>
  <si>
    <t>โทนี่</t>
  </si>
  <si>
    <t>064-171-6148</t>
  </si>
  <si>
    <t>VP01560</t>
  </si>
  <si>
    <t>สุรชัย</t>
  </si>
  <si>
    <t>093-824-2632</t>
  </si>
  <si>
    <t>VP01561</t>
  </si>
  <si>
    <t>นที แก้วกมลรัตน์</t>
  </si>
  <si>
    <t>063-412-1347</t>
  </si>
  <si>
    <t>VP01562</t>
  </si>
  <si>
    <t>มถุวดี</t>
  </si>
  <si>
    <t>061-336-4025</t>
  </si>
  <si>
    <t>VP01563</t>
  </si>
  <si>
    <t>ณชิตา</t>
  </si>
  <si>
    <t>063-724-4305</t>
  </si>
  <si>
    <t>VP01564</t>
  </si>
  <si>
    <t>วุฒิกร</t>
  </si>
  <si>
    <t>096-486-2089</t>
  </si>
  <si>
    <t>VP01565</t>
  </si>
  <si>
    <t>ธัชพันธุ์ สุวะ</t>
  </si>
  <si>
    <t>061-213-4169</t>
  </si>
  <si>
    <t>VP01566</t>
  </si>
  <si>
    <t>ดุริยะ</t>
  </si>
  <si>
    <t>A202</t>
  </si>
  <si>
    <t>VP01567</t>
  </si>
  <si>
    <t>เอกรินทร์</t>
  </si>
  <si>
    <t>A203</t>
  </si>
  <si>
    <t>VP01568</t>
  </si>
  <si>
    <t>วาสนา</t>
  </si>
  <si>
    <t>098-534-1312</t>
  </si>
  <si>
    <t>A204</t>
  </si>
  <si>
    <t>VP01569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</si>
  <si>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</si>
  <si>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</si>
  <si>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VP01570</t>
  </si>
  <si>
    <t>สำเริง</t>
  </si>
  <si>
    <t>VP01571</t>
  </si>
  <si>
    <t>ปรีชญา</t>
  </si>
  <si>
    <t>063-052-0107</t>
  </si>
  <si>
    <t>VP01572</t>
  </si>
  <si>
    <t>สถาพร</t>
  </si>
  <si>
    <t>090-221-2400</t>
  </si>
  <si>
    <t>VP01573</t>
  </si>
  <si>
    <t>สิทธิโชค เดชเสน</t>
  </si>
  <si>
    <t>095-158-3277</t>
  </si>
  <si>
    <t>VP01574</t>
  </si>
  <si>
    <t>กษิรา ศรีเชียงขาว</t>
  </si>
  <si>
    <t>080-462-6375</t>
  </si>
  <si>
    <t>VP01575</t>
  </si>
  <si>
    <t>เมฆ บริบูรณ์</t>
  </si>
  <si>
    <t>086-885-2927</t>
  </si>
  <si>
    <t>VP01576</t>
  </si>
  <si>
    <t>วงษ์กรต ศรีสุพรรณ</t>
  </si>
  <si>
    <t>090-660-1144</t>
  </si>
  <si>
    <t>VP01577</t>
  </si>
  <si>
    <t>วรรณิศา วัฒนกุล</t>
  </si>
  <si>
    <t>88 หมู่ 4 ต.โพธิ์หมากแข้ง อ.ศรีวิไล จ.บึงกาฬ</t>
  </si>
  <si>
    <t>089-7429992</t>
  </si>
  <si>
    <t>VP01578</t>
  </si>
  <si>
    <t>สุริยา คำแสน</t>
  </si>
  <si>
    <t>45/3 ต.บึงโขงหลง อ.บึงโขงหลง จ.บึงกาฬ</t>
  </si>
  <si>
    <t>084-5847792</t>
  </si>
  <si>
    <t>VP01579</t>
  </si>
  <si>
    <t>กิตติศักดิ์ พงษ์ไพบูลย์</t>
  </si>
  <si>
    <t>99/1 หมู่ 1 ต.หนองเดิ่น อ.บุ่งคล้า จ.บึงกาฬ</t>
  </si>
  <si>
    <t>083-3186295</t>
  </si>
  <si>
    <t>VP01580</t>
  </si>
  <si>
    <t>กิตติศักดิ์ แสงทอง</t>
  </si>
  <si>
    <t>082-5511484</t>
  </si>
  <si>
    <t>VP01581</t>
  </si>
  <si>
    <t>ณัฐพล สายชล</t>
  </si>
  <si>
    <t>12/7 ต.วิศิษฐ์ อ.เมือง จ.บึงกาฬ</t>
  </si>
  <si>
    <t>082-6166694</t>
  </si>
  <si>
    <t>VP01582</t>
  </si>
  <si>
    <t>อธิวัฒน์ โพธิ์ชัย</t>
  </si>
  <si>
    <t>088-7341691</t>
  </si>
  <si>
    <t>VP01583</t>
  </si>
  <si>
    <t>อธิวัฒน์ คำแสน</t>
  </si>
  <si>
    <t>123 หมู่ 5 ต.บึงกาฬ อ.เมืองบึงกาฬ จ.บึงกาฬ</t>
  </si>
  <si>
    <t>086-1398572</t>
  </si>
  <si>
    <t>VP01584</t>
  </si>
  <si>
    <t>วรรณิศา เรืองศรี</t>
  </si>
  <si>
    <t>088-4123322</t>
  </si>
  <si>
    <t>VP01585</t>
  </si>
  <si>
    <t>ธัญชนก สายชล</t>
  </si>
  <si>
    <t>087-7775793</t>
  </si>
  <si>
    <t>VP01586</t>
  </si>
  <si>
    <t>มนัสนันท์ ทองสิงห์</t>
  </si>
  <si>
    <t>085-1249542</t>
  </si>
  <si>
    <t>VP01587</t>
  </si>
  <si>
    <t>รัตนา ศรีมหา</t>
  </si>
  <si>
    <t>083-9486387</t>
  </si>
  <si>
    <t>VP01588</t>
  </si>
  <si>
    <t>รัตนา มีสุข</t>
  </si>
  <si>
    <t>088-1441780</t>
  </si>
  <si>
    <t>VP01589</t>
  </si>
  <si>
    <t>อาทิตยา ใจดี</t>
  </si>
  <si>
    <t>083-5373743</t>
  </si>
  <si>
    <t>VP01590</t>
  </si>
  <si>
    <t>จักรพงษ์ กล้าหาญ</t>
  </si>
  <si>
    <t>081-4054610</t>
  </si>
  <si>
    <t>VP01591</t>
  </si>
  <si>
    <t>สิทธิโชค อินทรวงศ์</t>
  </si>
  <si>
    <t>084-3463879</t>
  </si>
  <si>
    <t>VP01592</t>
  </si>
  <si>
    <t>ภูวดล ศรีมหา</t>
  </si>
  <si>
    <t>VP01593</t>
  </si>
  <si>
    <t>ณัฐพล คำแสน</t>
  </si>
  <si>
    <t>VP01594</t>
  </si>
  <si>
    <t>สุริยา รุ่งเรือง</t>
  </si>
  <si>
    <t>VP01595</t>
  </si>
  <si>
    <t>วรรณิศา พงษ์ไพบูลย์</t>
  </si>
  <si>
    <t>VP01596</t>
  </si>
  <si>
    <t>สุริยา ศรีมหา</t>
  </si>
  <si>
    <t>VP01597</t>
  </si>
  <si>
    <t>ชยพล สุขสม</t>
  </si>
  <si>
    <t>083-5747025</t>
  </si>
  <si>
    <t>A205</t>
  </si>
  <si>
    <t>VP01598</t>
  </si>
  <si>
    <t>อาทิตยา พงษ์ไพบูลย์</t>
  </si>
  <si>
    <t>086-9331110</t>
  </si>
  <si>
    <t>A206</t>
  </si>
  <si>
    <t>VP01599</t>
  </si>
  <si>
    <t>ภูวดล พงษ์ไพบูลย์</t>
  </si>
  <si>
    <t>083-7963927</t>
  </si>
  <si>
    <t>VP01600</t>
  </si>
  <si>
    <t>ภูวดล มีสุข</t>
  </si>
  <si>
    <t>088-1489871</t>
  </si>
  <si>
    <t>VP01601</t>
  </si>
  <si>
    <t>รัตนา คำแสน</t>
  </si>
  <si>
    <t>087-2844664</t>
  </si>
  <si>
    <t>VP01602</t>
  </si>
  <si>
    <t>ประเสริฐ โพธิ์ชัย</t>
  </si>
  <si>
    <t>A207</t>
  </si>
  <si>
    <t>VP01603</t>
  </si>
  <si>
    <t>ชยพล วัฒนกุล</t>
  </si>
  <si>
    <t>A208</t>
  </si>
  <si>
    <t>VP01604</t>
  </si>
  <si>
    <t>ภูวดล ใจดี</t>
  </si>
  <si>
    <t>VP01605</t>
  </si>
  <si>
    <t>ประเสริฐ แสงทอง</t>
  </si>
  <si>
    <t>080-6253253</t>
  </si>
  <si>
    <t>VP01606</t>
  </si>
  <si>
    <t>ภูวดล วัฒนกุล</t>
  </si>
  <si>
    <t>VP01607</t>
  </si>
  <si>
    <t>ธัญชนก กล้าหาญ</t>
  </si>
  <si>
    <t>VP01608</t>
  </si>
  <si>
    <t>อธิวัฒน์ วัฒนกุล</t>
  </si>
  <si>
    <t>VP01609</t>
  </si>
  <si>
    <t>กัลยารัตน์ ใจดี</t>
  </si>
  <si>
    <t>VP01610</t>
  </si>
  <si>
    <t>ณัฐพล รุ่งเรือง</t>
  </si>
  <si>
    <t>089-9540214</t>
  </si>
  <si>
    <t>VP01611</t>
  </si>
  <si>
    <t>อารยา สุขสม</t>
  </si>
  <si>
    <t>VP01612</t>
  </si>
  <si>
    <t>รัตนา อินทรวงศ์</t>
  </si>
  <si>
    <t>082-2679374</t>
  </si>
  <si>
    <t>VP01613</t>
  </si>
  <si>
    <t>นิภาพร กล้าหาญ</t>
  </si>
  <si>
    <t>080-6318559</t>
  </si>
  <si>
    <t>A209</t>
  </si>
  <si>
    <t>VP01614</t>
  </si>
  <si>
    <t>ประเสริฐ เรืองศรี</t>
  </si>
  <si>
    <t>087-2316086</t>
  </si>
  <si>
    <t>A210</t>
  </si>
  <si>
    <t>VP01615</t>
  </si>
  <si>
    <t>ภูวดล ศรีจันทร์</t>
  </si>
  <si>
    <t>087-3241695</t>
  </si>
  <si>
    <t>VP01616</t>
  </si>
  <si>
    <t>ภูวดล เรืองศรี</t>
  </si>
  <si>
    <t>088-5241431</t>
  </si>
  <si>
    <t>VP01617</t>
  </si>
  <si>
    <t>ยุพา แก้วใส</t>
  </si>
  <si>
    <t>089-7341600</t>
  </si>
  <si>
    <t>VP01618</t>
  </si>
  <si>
    <t>ชัยวัฒน์ แสงทอง</t>
  </si>
  <si>
    <t>086-2553247</t>
  </si>
  <si>
    <t>VP01619</t>
  </si>
  <si>
    <t>สุริยา พานทอง</t>
  </si>
  <si>
    <t>089-9802917</t>
  </si>
  <si>
    <t>VP01620</t>
  </si>
  <si>
    <t>สุริยา ใจดี</t>
  </si>
  <si>
    <t>089-6328418</t>
  </si>
  <si>
    <t>VP01621</t>
  </si>
  <si>
    <t>อาทิตยา รัตนพร</t>
  </si>
  <si>
    <t>083-4007516</t>
  </si>
  <si>
    <t>VP01622</t>
  </si>
  <si>
    <t>กัลยารัตน์ ศรีจันทร์</t>
  </si>
  <si>
    <t>081-5838763</t>
  </si>
  <si>
    <t>VP01623</t>
  </si>
  <si>
    <t>มนัสนันท์ พานทอง</t>
  </si>
  <si>
    <t>087-1808201</t>
  </si>
  <si>
    <t>VP01624</t>
  </si>
  <si>
    <t>สิทธิโชค ศรีจันทร์</t>
  </si>
  <si>
    <t>083-3102941</t>
  </si>
  <si>
    <t>VP01625</t>
  </si>
  <si>
    <t>อาทิตยา เรืองศรี</t>
  </si>
  <si>
    <t>082-9604494</t>
  </si>
  <si>
    <t>VP01626</t>
  </si>
  <si>
    <t>ชยพล ศรีจันทร์</t>
  </si>
  <si>
    <t>087-9664510</t>
  </si>
  <si>
    <t>VP01627</t>
  </si>
  <si>
    <t>อธิวัฒน์ แก้วใส</t>
  </si>
  <si>
    <t>083-1290420</t>
  </si>
  <si>
    <t>VP01628</t>
  </si>
  <si>
    <t>นิภาพร ใจดี</t>
  </si>
  <si>
    <t>087-2759934</t>
  </si>
  <si>
    <t>N6</t>
  </si>
  <si>
    <t>VP01629</t>
  </si>
  <si>
    <t>จักรพงษ์ โพธิ์ชัย</t>
  </si>
  <si>
    <t>088-7290833</t>
  </si>
  <si>
    <t>VP01630</t>
  </si>
  <si>
    <t>สิทธิโชค มีสุข</t>
  </si>
  <si>
    <t>082-7229565</t>
  </si>
  <si>
    <t>VP01631</t>
  </si>
  <si>
    <t>รัตนา บุญทวี</t>
  </si>
  <si>
    <t>080-3051753</t>
  </si>
  <si>
    <t>VP01632</t>
  </si>
  <si>
    <t>ณัฐพล แก้วใส</t>
  </si>
  <si>
    <t>083-8266616</t>
  </si>
  <si>
    <t>VP01633</t>
  </si>
  <si>
    <t>อธิวัฒน์ ศรีจันทร์</t>
  </si>
  <si>
    <t>088-9599725</t>
  </si>
  <si>
    <t>A211</t>
  </si>
  <si>
    <t>VP01634</t>
  </si>
  <si>
    <t>กัลยารัตน์ อินทรวงศ์</t>
  </si>
  <si>
    <t>088-8934133</t>
  </si>
  <si>
    <t>VP01635</t>
  </si>
  <si>
    <t>กิตติศักดิ์ บุญทวี</t>
  </si>
  <si>
    <t>089-4032206</t>
  </si>
  <si>
    <t>VP01636</t>
  </si>
  <si>
    <t>วรรณิศา พานทอง</t>
  </si>
  <si>
    <t>080-4365268</t>
  </si>
  <si>
    <t>VP01637</t>
  </si>
  <si>
    <t>อาทิตยา สุขสม</t>
  </si>
  <si>
    <t>082-8565527</t>
  </si>
  <si>
    <t>VP01638</t>
  </si>
  <si>
    <t>จักรพงษ์ ทองสิงห์</t>
  </si>
  <si>
    <t>086-1515845</t>
  </si>
  <si>
    <t>VP01639</t>
  </si>
  <si>
    <t>ณัฐพล กล้าหาญ</t>
  </si>
  <si>
    <t>VP01640</t>
  </si>
  <si>
    <t>จักรพงษ์ ศรีมหา</t>
  </si>
  <si>
    <t>086-4869089</t>
  </si>
  <si>
    <t>B111</t>
  </si>
  <si>
    <t>VP01641</t>
  </si>
  <si>
    <t>พัชรี สายชล</t>
  </si>
  <si>
    <t>089-6843031</t>
  </si>
  <si>
    <t>VP01642</t>
  </si>
  <si>
    <t>สุริยา พงษ์ไพบูลย์</t>
  </si>
  <si>
    <t>VP01643</t>
  </si>
  <si>
    <t>สุริยา กล้าหาญ</t>
  </si>
  <si>
    <t>VP01644</t>
  </si>
  <si>
    <t>ชยพล บุญทวี</t>
  </si>
  <si>
    <t>082-1217451</t>
  </si>
  <si>
    <t>VP01645</t>
  </si>
  <si>
    <t>กัลยารัตน์ มีสุข</t>
  </si>
  <si>
    <t>VP01646</t>
  </si>
  <si>
    <t>พัชรี ทองสิงห์</t>
  </si>
  <si>
    <t>VP01647</t>
  </si>
  <si>
    <t>ณัฐพล พานทอง</t>
  </si>
  <si>
    <t>VP01648</t>
  </si>
  <si>
    <t>ธัญชนก ทองสิงห์</t>
  </si>
  <si>
    <t>VP01649</t>
  </si>
  <si>
    <t>อธิวัฒน์ ศรีมหา</t>
  </si>
  <si>
    <t>085-5831977</t>
  </si>
  <si>
    <t>VP01650</t>
  </si>
  <si>
    <t>ชัยวัฒน์ พานทอง</t>
  </si>
  <si>
    <t>089-2132268</t>
  </si>
  <si>
    <t>VP01651</t>
  </si>
  <si>
    <t>อาทิตยา คำแสน</t>
  </si>
  <si>
    <t>080-4655978</t>
  </si>
  <si>
    <t>VP01652</t>
  </si>
  <si>
    <t>ธัญชนก สุขสม</t>
  </si>
  <si>
    <t>VP01653</t>
  </si>
  <si>
    <t>กิตติศักดิ์ สุขสม</t>
  </si>
  <si>
    <t>080-4071748</t>
  </si>
  <si>
    <t>VP01654</t>
  </si>
  <si>
    <t>พัชรี โพธิ์ชัย</t>
  </si>
  <si>
    <t>VP01655</t>
  </si>
  <si>
    <t>อาทิตยา กล้าหาญ</t>
  </si>
  <si>
    <t>080-9990235</t>
  </si>
  <si>
    <t>VP01656</t>
  </si>
  <si>
    <t>ยุพา มีสุข</t>
  </si>
  <si>
    <t>081-6445686</t>
  </si>
  <si>
    <t>VP01657</t>
  </si>
  <si>
    <t>พัชรี รุ่งเรือง</t>
  </si>
  <si>
    <t>083-8131879</t>
  </si>
  <si>
    <t>VP01658</t>
  </si>
  <si>
    <t>ประเสริฐ กล้าหาญ</t>
  </si>
  <si>
    <t>086-8783532</t>
  </si>
  <si>
    <t>VP01659</t>
  </si>
  <si>
    <t>อธิวัฒน์ มีสุข</t>
  </si>
  <si>
    <t>089-8285615</t>
  </si>
  <si>
    <t>VP01660</t>
  </si>
  <si>
    <t>พัชรี พานทอง</t>
  </si>
  <si>
    <t>089-9723292</t>
  </si>
  <si>
    <t>VP01661</t>
  </si>
  <si>
    <t>พัชรี มีสุข</t>
  </si>
  <si>
    <t>085-5836857</t>
  </si>
  <si>
    <t>VP01662</t>
  </si>
  <si>
    <t>อารยา แก้วใส</t>
  </si>
  <si>
    <t>VP01663</t>
  </si>
  <si>
    <t>สิทธิโชค บุญทวี</t>
  </si>
  <si>
    <t>087-8645184</t>
  </si>
  <si>
    <t>VP01664</t>
  </si>
  <si>
    <t>สุริยา วัฒนกุล</t>
  </si>
  <si>
    <t>086-6773431</t>
  </si>
  <si>
    <t>VP01665</t>
  </si>
  <si>
    <t>ธัญชนก วัฒนกุล</t>
  </si>
  <si>
    <t>081-4914091</t>
  </si>
  <si>
    <t>VP01666</t>
  </si>
  <si>
    <t>รัตนา ทองสิงห์</t>
  </si>
  <si>
    <t>084-2737883</t>
  </si>
  <si>
    <t>VP01667</t>
  </si>
  <si>
    <t>ธัญชนก แก้วใส</t>
  </si>
  <si>
    <t>085-8444497</t>
  </si>
  <si>
    <t>VP01668</t>
  </si>
  <si>
    <t>กัลยารัตน์ รุ่งเรือง</t>
  </si>
  <si>
    <t>081-6742660</t>
  </si>
  <si>
    <t>VP01669</t>
  </si>
  <si>
    <t>พัชรี บุญทวี</t>
  </si>
  <si>
    <t>087-7874425</t>
  </si>
  <si>
    <t>VP01670</t>
  </si>
  <si>
    <t>รัตนา กล้าหาญ</t>
  </si>
  <si>
    <t>VP01671</t>
  </si>
  <si>
    <t>จักรพงษ์ แก้วใส</t>
  </si>
  <si>
    <t>VP01672</t>
  </si>
  <si>
    <t>อธิวัฒน์ สุขสม</t>
  </si>
  <si>
    <t>081-7914279</t>
  </si>
  <si>
    <t>VP01673</t>
  </si>
  <si>
    <t>สิทธิโชค แสงทอง</t>
  </si>
  <si>
    <t>089-8386033</t>
  </si>
  <si>
    <t>VP01674</t>
  </si>
  <si>
    <t>วรรณิศา อินทรวงศ์</t>
  </si>
  <si>
    <t>086-6049037</t>
  </si>
  <si>
    <t>VP01675</t>
  </si>
  <si>
    <t>กัลยารัตน์ วัฒนกุล</t>
  </si>
  <si>
    <t>VP01676</t>
  </si>
  <si>
    <t>รัตนา เรืองศรี</t>
  </si>
  <si>
    <t>085-7821396</t>
  </si>
  <si>
    <t>VP01677</t>
  </si>
  <si>
    <t>ธัญชนก โพธิ์ชัย</t>
  </si>
  <si>
    <t>VP01678</t>
  </si>
  <si>
    <t>อารยา อินทรวงศ์</t>
  </si>
  <si>
    <t>VP01679</t>
  </si>
  <si>
    <t>สุริยา เรืองศรี</t>
  </si>
  <si>
    <t>VP01680</t>
  </si>
  <si>
    <t>นิภาพร แสงทอง</t>
  </si>
  <si>
    <t>VP01681</t>
  </si>
  <si>
    <t>ชยพล มีสุข</t>
  </si>
  <si>
    <t>VP01682</t>
  </si>
  <si>
    <t>วรรณิศา มีสุข</t>
  </si>
  <si>
    <t>082-4717723</t>
  </si>
  <si>
    <t>VP01683</t>
  </si>
  <si>
    <t>กิตติศักดิ์ คำแสน</t>
  </si>
  <si>
    <t>VP01684</t>
  </si>
  <si>
    <t>ชยพล คำแสน</t>
  </si>
  <si>
    <t>086-5642794</t>
  </si>
  <si>
    <t>VP01685</t>
  </si>
  <si>
    <t>มนัสนันท์ คำแสน</t>
  </si>
  <si>
    <t>085-6430969</t>
  </si>
  <si>
    <t>VP01686</t>
  </si>
  <si>
    <t>ยุพา รัตนพร</t>
  </si>
  <si>
    <t>088-7347304</t>
  </si>
  <si>
    <t>VP01687</t>
  </si>
  <si>
    <t>นิภาพร คำแสน</t>
  </si>
  <si>
    <t>085-1759537</t>
  </si>
  <si>
    <t>VP01688</t>
  </si>
  <si>
    <t>ยุพา วัฒนกุล</t>
  </si>
  <si>
    <t>085-5032289</t>
  </si>
  <si>
    <t>VP01689</t>
  </si>
  <si>
    <t>วรรณิศา สุขสม</t>
  </si>
  <si>
    <t>080-9136100</t>
  </si>
  <si>
    <t>VP01690</t>
  </si>
  <si>
    <t>สุริยา ศรีจันทร์</t>
  </si>
  <si>
    <t>086-4508043</t>
  </si>
  <si>
    <t>VP01691</t>
  </si>
  <si>
    <t>ชยพล ใจดี</t>
  </si>
  <si>
    <t>082-5266968</t>
  </si>
  <si>
    <t>VP01692</t>
  </si>
  <si>
    <t>ชยพล สายชล</t>
  </si>
  <si>
    <t>082-3997715</t>
  </si>
  <si>
    <t>VP01693</t>
  </si>
  <si>
    <t>สุริยา มีสุข</t>
  </si>
  <si>
    <t>081-9395254</t>
  </si>
  <si>
    <t>VP01694</t>
  </si>
  <si>
    <t>สิทธิโชค รัตนพร</t>
  </si>
  <si>
    <t>089-5245289</t>
  </si>
  <si>
    <t>VP01695</t>
  </si>
  <si>
    <t>กิตติศักดิ์ กล้าหาญ</t>
  </si>
  <si>
    <t>VP01696</t>
  </si>
  <si>
    <t>จักรพงษ์ ใจดี</t>
  </si>
  <si>
    <t>VP01697</t>
  </si>
  <si>
    <t>วรรณิศา บุญทวี</t>
  </si>
  <si>
    <t>VP01698</t>
  </si>
  <si>
    <t>ชยพล เรืองศรี</t>
  </si>
  <si>
    <t>088-6700170</t>
  </si>
  <si>
    <t>VP01699</t>
  </si>
  <si>
    <t>วรรณิศา สายชล</t>
  </si>
  <si>
    <t>VP01700</t>
  </si>
  <si>
    <t>อธิวัฒน์ เรืองศรี</t>
  </si>
  <si>
    <t>VP01701</t>
  </si>
  <si>
    <t>มนัสนันท์ มีสุข</t>
  </si>
  <si>
    <t>VP01702</t>
  </si>
  <si>
    <t>ณัฐพล อินทรวงศ์</t>
  </si>
  <si>
    <t>VP01703</t>
  </si>
  <si>
    <t>ยุพา ทองสิงห์</t>
  </si>
  <si>
    <t>VP01704</t>
  </si>
  <si>
    <t>กิตติศักดิ์ พานทอง</t>
  </si>
  <si>
    <t>VP01705</t>
  </si>
  <si>
    <t>อารยา ศรีจันทร์</t>
  </si>
  <si>
    <t>VP01706</t>
  </si>
  <si>
    <t>สุริยา รัตนพร</t>
  </si>
  <si>
    <t>VP01707</t>
  </si>
  <si>
    <t>จักรพงษ์ สุขสม</t>
  </si>
  <si>
    <t>VP01708</t>
  </si>
  <si>
    <t>มนัสนันท์ แสงทอง</t>
  </si>
  <si>
    <t>VP01709</t>
  </si>
  <si>
    <t>อารยา มีสุข</t>
  </si>
  <si>
    <t>VP01710</t>
  </si>
  <si>
    <t>ชัยวัฒน์ กล้าหาญ</t>
  </si>
  <si>
    <t>VP01711</t>
  </si>
  <si>
    <t>กัลยารัตน์ คำแสน</t>
  </si>
  <si>
    <t>082-5390515</t>
  </si>
  <si>
    <t>VP01712</t>
  </si>
  <si>
    <t>ประเสริฐ ศรีจันทร์</t>
  </si>
  <si>
    <t>087-4212745</t>
  </si>
  <si>
    <t>VP01713</t>
  </si>
  <si>
    <t>กิตติศักดิ์ วัฒนกุล</t>
  </si>
  <si>
    <t>VP01714</t>
  </si>
  <si>
    <t>กัลยารัตน์ โพธิ์ชัย</t>
  </si>
  <si>
    <t>085-7874537</t>
  </si>
  <si>
    <t>VP01715</t>
  </si>
  <si>
    <t>อาทิตยา บุญทวี</t>
  </si>
  <si>
    <t>083-4445175</t>
  </si>
  <si>
    <t>VP01716</t>
  </si>
  <si>
    <t>ยุพา พานทอง</t>
  </si>
  <si>
    <t>089-5154084</t>
  </si>
  <si>
    <t>VP01717</t>
  </si>
  <si>
    <t>อธิวัฒน์ กล้าหาญ</t>
  </si>
  <si>
    <t>087-5382701</t>
  </si>
  <si>
    <t>VP01718</t>
  </si>
  <si>
    <t>ธัญชนก บุญทวี</t>
  </si>
  <si>
    <t>086-5401653</t>
  </si>
  <si>
    <t>VP01719</t>
  </si>
  <si>
    <t>ณัฐพล เรืองศรี</t>
  </si>
  <si>
    <t>087-4546500</t>
  </si>
  <si>
    <t>VP01720</t>
  </si>
  <si>
    <t>ประเสริฐ รุ่งเรือง</t>
  </si>
  <si>
    <t>VP01721</t>
  </si>
  <si>
    <t>ภูวดล แก้วใส</t>
  </si>
  <si>
    <t>VP01722</t>
  </si>
  <si>
    <t>ภูวดล สายชล</t>
  </si>
  <si>
    <t>085-6779729</t>
  </si>
  <si>
    <t>VP01723</t>
  </si>
  <si>
    <t>อธิวัฒน์ รุ่งเรือง</t>
  </si>
  <si>
    <t>VP01724</t>
  </si>
  <si>
    <t>ชัยวัฒน์ รุ่งเรือง</t>
  </si>
  <si>
    <t>080-7415455</t>
  </si>
  <si>
    <t>VP01725</t>
  </si>
  <si>
    <t>อธิวัฒน์ ทองสิงห์</t>
  </si>
  <si>
    <t>080-5046739</t>
  </si>
  <si>
    <t>VP01726</t>
  </si>
  <si>
    <t>กิตติศักดิ์ ทองสิงห์</t>
  </si>
  <si>
    <t>VP01727</t>
  </si>
  <si>
    <t>นิภาพร มีสุข</t>
  </si>
  <si>
    <t>VP01728</t>
  </si>
  <si>
    <t>จักรพงษ์ สายชล</t>
  </si>
  <si>
    <t>VP01729</t>
  </si>
  <si>
    <t>ภูวดล รัตนพร</t>
  </si>
  <si>
    <t>084-6483968</t>
  </si>
  <si>
    <t>VP01730</t>
  </si>
  <si>
    <t>สิทธิโชค พานทอง</t>
  </si>
  <si>
    <t>VP01731</t>
  </si>
  <si>
    <t>ชยพล อินทรวงศ์</t>
  </si>
  <si>
    <t>089-9078399</t>
  </si>
  <si>
    <t>VP01732</t>
  </si>
  <si>
    <t>มนัสนันท์ พงษ์ไพบูลย์</t>
  </si>
  <si>
    <t>088-9917432</t>
  </si>
  <si>
    <t>VP01733</t>
  </si>
  <si>
    <t>รัตนา พงษ์ไพบูลย์</t>
  </si>
  <si>
    <t>082-1531078</t>
  </si>
  <si>
    <t>SourceBatch,"SheetDate","ลำดับ","วันที่เข้า","เวลาเข้า","ชื่อ-สกุล","เบอร์โทร","ห้อง","จำนวน","เงินสด-ราคาเต็ม","เงินสด-ค่าห้อง","เงินสด-ค่ามัดจำ","เงินโอน-ราคาเต็ม","เงินโอน-ค่าห้อง","เงินโอน-ค่ามัดจำ","วันที่ออก","เวลาออก","หมายเหตุ"</t>
  </si>
  <si>
    <t>Batch_3,"9/10/68","1","9/10","-","ปวีณา?","-","B102","1","400","","","","","","","","พักต่อ"</t>
  </si>
  <si>
    <t>Batch_3,"9/10/68","2","9/10","15.54","ปาริฉัตร","08968...","B108","1","500","400","100","","","","","","พักต่อ"</t>
  </si>
  <si>
    <t>Batch_3,"9/10/68","3","9/10","15.18","Edison?","09849...","B106","1","","","","500","400","100","","",""</t>
  </si>
  <si>
    <t>Batch_3,"9/10/68","4","9/10","16.11","ชลธิชา?","-","B108","1","","","","500","400","100","","","พักต่อ"</t>
  </si>
  <si>
    <t>Batch_3,"9/10/68","5","9/10","16.14","...[ไม่ชัดเจน]...","-","B108","1","500","400","100","","","","","","ออก 10"</t>
  </si>
  <si>
    <t>Batch_3,"9/10/68","6","9/10","19.52","...[ไม่ชัดเจน]...","-","A108","1","500","400","100","","","","","",""</t>
  </si>
  <si>
    <t>Batch_3,"9/10/68","7","9/10","20.19","อภิรักษ์","097...?","B101","1","500","400","100","","","","","",""</t>
  </si>
  <si>
    <t>Batch_3,"9/10/68","8","9/10","20.24","อภิรักษ์","097...?","A101","1","","","","500","400","100","","",""</t>
  </si>
  <si>
    <t>Batch_3,"9/10/68","9","9/10","20.52","...[ไม่ชัดเจน]...","085...?","B102","1","500","400","100","","","","","",""</t>
  </si>
  <si>
    <t>Batch_3,"9, 10/10/68","1","9/10","18.42","ลลิตา?","-","B106","2","400","","","","","","","",""</t>
  </si>
  <si>
    <t>Batch_3,"9, 10/10/68","2","9/10","18.42","สุรชัย","098-...?","B106","...","400","","","","","","","","พักต่อ"</t>
  </si>
  <si>
    <t>Batch_3,"9, 10/10/68","3","10/10","-","อภิรักษ์","-","B105","1","400","","","","","","","",""</t>
  </si>
  <si>
    <t>Batch_3,"9, 10/10/68","4","10/10","-","อภิชัย?","-","B110","1","","","","500","400","100","","",""</t>
  </si>
  <si>
    <t>Batch_3,"9, 10/10/68","5","10/10","-","...[ไม่ชัดเจน]...","-","B111","1","","","","600","500","100","","",""</t>
  </si>
  <si>
    <t>Batch_3,"9, 10/10/68","6","10/10","-","ทวี/...?","-","A111","1","","","","400","","","","","พักต่อ"</t>
  </si>
  <si>
    <t>Batch_3,"9, 10/10/68","7","10/10","21.1...","...[ไม่ชัดเจน]...","062-...?","A104","1","500","400","100","","","","","",""</t>
  </si>
  <si>
    <t>Batch_3,"9, 10/10/68","8","10/10","21.1...","...[ไม่ชัดเจน]...","063-...?","N2","1","","","","700","500","200","","",""</t>
  </si>
  <si>
    <t>Batch_3,"9, 10/10/68","9","10/10","-","อนันต์?","-","B109","1","500","400","100","","","","","",""</t>
  </si>
  <si>
    <t>Batch_3,"9, 10/10/68","10","10/10","04.57","...[ไม่ชัดเจน]...","-","N3","1","700","500","","","","","","","...[?]"</t>
  </si>
  <si>
    <t>Batch_3,"9, 10/10/68","11","10/10","-","Ascend","-","A105","1","","","","","","","","","Ascend"</t>
  </si>
  <si>
    <t>Batch_3,"9, 10/10/68","12","10/10","22.52","...[ไม่ชัดเจน]...","-","N2","1","700","500","200","","","","","",""</t>
  </si>
  <si>
    <t>Batch_3,"9, 10/10/68","13","10/10","18.44","จิต...[?]...","080-...?","B104","1","","","","500","400","100","","",""</t>
  </si>
  <si>
    <t>Batch_3,"10/10/68","1","10/10","-","เทพธิดา","-","N2","1","","","","500","","","","","พักต่อ"</t>
  </si>
  <si>
    <t>Batch_3,"10/10/68","2","10/10","-","เทพธิดา","-","N2","1","500","","","","","","","","พักต่อ"</t>
  </si>
  <si>
    <t>Batch_3,"10/10/68","3","10/10","19.31","ศรชัย/จิน...","089-...?","B109","1","500","400","100","","","","","","ออก 12"</t>
  </si>
  <si>
    <t>Batch_3,"10/10/68","4","10/10","18.00","...[?].../ลักษณ์","098...?","A108","1","500","400","100","","","","","","ออก 12"</t>
  </si>
  <si>
    <t>Batch_3,"10/10/68","5","10/10","21.57","วลัย...[?]...","09...?","A105","1","500","400","100","","","","","",""</t>
  </si>
  <si>
    <t>Batch_3,"10/10/68","6","10/10","00.50","...[?]...","099...?","A111","1","500","400","100","","","","","",""</t>
  </si>
  <si>
    <t>Batch_3,"11/10/68","1","11/10","14.10","...[?]...","-","B103","1","","","","500","400","100","","","พักต่อ"</t>
  </si>
  <si>
    <t>Batch_3,"11/10/68","2","11/10","10.31","...[?]...","-","B102","1","500","400","100","","","","","",""</t>
  </si>
  <si>
    <t>Batch_3,"11/10/68","3","11/10","16.05","อภิรักษ์","-","A104","1","","","","500","400","100","","",""</t>
  </si>
  <si>
    <t>Batch_3,"11/10/68","4","11/10","11.45","อรทัย","-","N2","1","","","","700","500","200","","",""</t>
  </si>
  <si>
    <t>Batch_3,"11/10/68","5","11/10","16.44","...[?]...","-","B105","1","","","","500","400","100","","","ออก 13"</t>
  </si>
  <si>
    <t>Batch_3,"11/10/68","6","11/10","17.36","...[?]...","-","A105","1","","","","500","400","100","","","ออก 12"</t>
  </si>
  <si>
    <t>Batch_3,"11/10/68","7","11/10","17.52","...[?]...","-","B110","1","","","","500","400","100","","",""</t>
  </si>
  <si>
    <t>Batch_3,"11/10/68","8","11/10","18.14","...[?].../ทอง","08...?","B107","1","500","400","100","","","","","",""</t>
  </si>
  <si>
    <t>Batch_3,"11/10/68","9","11/10","18.29","...[?].../พร","-","B206","1","500","400","100","","","","","",""</t>
  </si>
  <si>
    <t>Batch_3,"11/10/68","10","11/10","18.29","... (N) ...","-","B205","1","500","400","100","","","","","",""</t>
  </si>
  <si>
    <t>Batch_3,"11/10/68","11","11/10","18.29","... (N) ...","-","B204","1","500","400","100","","","","","",""</t>
  </si>
  <si>
    <t>Batch_3,"11/10/68","12","11/10","18.29","... (N) ...","-","B203","1","500","400","100","","","","","",""</t>
  </si>
  <si>
    <t>Batch_3,"11/10/68","13","11/10","19.25","จุฬาลักษณ์","065...?","B104","1","","","","500","400","100","","",""</t>
  </si>
  <si>
    <t>Batch_3,"11/10/68","14","11/10","19.25","...[?]...","09...?","B101","1","","","","500","400","100","","",""</t>
  </si>
  <si>
    <t>Batch_3,"11/10/68","15","11/10","18.12","...[?]...","-","A103","1","500","400","100","","","","","",""</t>
  </si>
  <si>
    <t>Batch_3,"11/10/68","16","11/10","19.40","...[?]...","09...?","A101","1","","","","500","400","100","","",""</t>
  </si>
  <si>
    <t>Batch_3,"11/10/68","17","11/10","19.39","...[?]...","08...?","B102","1","","","","500","400","100","","",""</t>
  </si>
  <si>
    <t>Batch_3,"11/10/68","18","11/10","20.44","...[?]...","08...?","A109","1","","","","500","400","100","","",""</t>
  </si>
  <si>
    <t>Batch_3,"11/10/68","19","11/10","20.44","...[?]...","08...?","A111","1","","","","600","500","100","","",""</t>
  </si>
  <si>
    <t>Batch_3,"11/10/68","20","11/10","20.44","...[?]...","08...?","A111","1","","","","500","400","100","","",""</t>
  </si>
  <si>
    <t>Batch_3,"11/10/68","21","11/10","21.15","...[?]...","...[?]...","A103","1","","","","","","","","","Ascend"</t>
  </si>
  <si>
    <t>Batch_3,"11/10/68","22","11/10","14.12","...[?]...","...[?]...","B103","1","","","","","","","","","Ascend"</t>
  </si>
  <si>
    <t>Batch_2_Revised,"11/10/68","1","11/10","21.45","จิรนันต์","09268...","B109","1","500","400","100","","","","","",""</t>
  </si>
  <si>
    <t>Batch_2_Revised,"11/10/68","2","11/10","21.45","ศรัณย์?","[ไม่ชัดเจน]","A208","1","500","400","100","","","","","",""</t>
  </si>
  <si>
    <t>Batch_2_Revised,"11/10/68","3","11/10","2.35","เทพธิดา","-","B209","1","500","400","100","","","","","",""</t>
  </si>
  <si>
    <t>Batch_2_Revised,"11/10/68","4","11/10","13.11","วรินทร","095-652...?","N2","1","","","","700","500","200","","",""</t>
  </si>
  <si>
    <t>Batch_2_Revised,"11/10/68","5","11/10","6.18","เกียรติศักดิ์","080-927...?","A207","1","500","400","100","","","","","",""</t>
  </si>
  <si>
    <t>Batch_2_Revised,"11/10/68","6","11/10","1.18","โอฬาร?","-","A209","1","","","","","","","","",""</t>
  </si>
  <si>
    <t>Batch_2_Revised,"11/10/68","7","11/10","5.19","พระพิษณุ?","085-006...?","A106","1","600","500","100","","","","","",""</t>
  </si>
  <si>
    <t>Batch_2_Revised,"12/10/68","1","12/10","-","ชคริต","-","A102","1","400","","","","","","","","พักต่อ"</t>
  </si>
  <si>
    <t>Batch_2_Revised,"12/10/68","2","12/10","-","ชนะศิลป์","-","B109","1","400","","","","","","","","พักต่อ"</t>
  </si>
  <si>
    <t>Batch_2_Revised,"12/10/68","3","12/10","-","อภิรักษ์","-","A104","1","","","","","","","","","พักต่อ"</t>
  </si>
  <si>
    <t>Batch_2_Revised,"12/10/68","4","12/10","-","วิโรจน์?","-","B107","4","","","","1700","1600","100","16/10","","ออก 3 คืน"</t>
  </si>
  <si>
    <t>Batch_2_Revised,"12/10/68","5","12/10","-","เทพธิดา","-","B101","1","400","","","","","","","","พักต่อ"</t>
  </si>
  <si>
    <t>Batch_2_Revised,"12/10/68","6","12/10","-","เทพธิดา","-","B102","1","400","","","","","","","","พักต่อ"</t>
  </si>
  <si>
    <t>Batch_2_Revised,"12/10/68","7","12/10","16.08","ธนชัย?","086-931-42..","B103","1","500","400","100","","","","","","ออก 13"</t>
  </si>
  <si>
    <t>Batch_2_Revised,"12/10/68","8","12/10","21.00","สรินทิพย์?","0845809900","A105","1","","","","500","400","100","","",""</t>
  </si>
  <si>
    <t>Batch_2_Revised,"12/10/68","9","12/10","21.24","พิงค์?","08013...?","A111","1","500","400","100","","","","","",""</t>
  </si>
  <si>
    <t>Batch_2_Revised,"13/10/68","1","13/10","-","เทพธิดา","-","B101","1","400","","","","","","","","พักต่อ"</t>
  </si>
  <si>
    <t>Batch_2_Revised,"13/10/68","2","13/10","-","เทพธิดา","-","B102","1","400","","","","","","","","พักต่อ"</t>
  </si>
  <si>
    <t>Batch_2_Revised,"13/10/68","3","13/10","12.59","ปิยพร","-","A109","2","","","","900","800","100","","","ออก 15"</t>
  </si>
  <si>
    <t>Batch_2_Revised,"13/10/68","4","13/10","10.53","A.D.D.A.","089-725...?","B111","1","500","400","100","","","","","",""</t>
  </si>
  <si>
    <t>Batch_2_Revised,"13/10/68","5","13/10","16.19","ศิริพร","086-533...?","B110","1","500","400","100","","","","","",""</t>
  </si>
  <si>
    <t>Batch_2_Revised,"13/10/68","6","13/10","17.50","น้าแอ๊ด?","-","A105","1","500","400","100","","","","","",""</t>
  </si>
  <si>
    <t>Batch_2_Revised,"13/10/68","7","13/10","17.10","พรทิพย์","089-038...?","A104","1","500","400","100","","","","","","ออก 17"</t>
  </si>
  <si>
    <t>Batch_2_Revised,"13/10/68","8","13/10","-","ธีระ...?","-","B107","3","","","","","","","16/10","","พักต่อ"</t>
  </si>
  <si>
    <t>Batch_2_Revised,"14/10/68","1","14/10","-","ธีระวัฒน์","-","B102","2","","","","","","","15/10","","พักต่อ"</t>
  </si>
  <si>
    <t>Batch_2_Revised,"14/10/68","2","14/10","-","อัญชพร","-","B109","1","","","","","","","15/10","","พักต่อ"</t>
  </si>
  <si>
    <t>Batch_2_Revised,"14/10/68","3","14/10","-","A.D.D.A.","-","A111","1","500","","","","","","15/10","","พักต่อ"</t>
  </si>
  <si>
    <t>Batch_2_Revised,"14/10/68","4","14/10","-","เทพธิดา","-","N2","1","500","","","","","","15/10","","พักต่อ"</t>
  </si>
  <si>
    <t>Batch_2_Revised,"14/10/68","5","14/10","16.30","ธรรศ/จิรา?","062-64...?","B106","1","","","","500","400","100","15/10","",""</t>
  </si>
  <si>
    <t>Batch_2_Revised,"14/10/68","6","14/10","16.48","นัท/โอปอ?","-","A111","1","500","400","100","","","","","",""</t>
  </si>
  <si>
    <t>Batch_2_Revised,"14/10/68","7","14/10","17.42","ธนรัตน์/กรก...","088...?","B108","1","500","400","100","","","","","",""</t>
  </si>
  <si>
    <t>Batch_2_Revised,"15/10/68","1","15/10","-","เทพธิดา","-","N2","1","","","","500","","","16/10","",""</t>
  </si>
  <si>
    <t>Batch_2_Revised,"15/10/68","2","15/10","-","เชษฐ์/พร","-","B106","1","500","400","100","","","","16/10","",""</t>
  </si>
  <si>
    <t>Batch_2_Revised,"15/10/68","3","15/10","-","สุดา/พร","-","A105","1","","","","700","400","100","16/10","","ออก 18"</t>
  </si>
  <si>
    <t>Batch_2_Revised,"15/10/68","4","15/10","-","มนตรี?","-","B102","1","","","","500","400","100","16/10","",""</t>
  </si>
  <si>
    <t>Batch_2_Revised,"15/10/68","5","15/10","-","สมฤทธิ์?","-","B105","1","","","","500","400","100","16/10","","ออก 17"</t>
  </si>
  <si>
    <t>Batch_2_Revised,"15/10/68","6","15/10","-","สุวรรณี?","-","B109","1","","","","","","","16/10","","ออก 17"</t>
  </si>
  <si>
    <t>Batch_2_Revised,"15/10/68","7","15/10","-","วิโรจน์?","-","B108","1","","","","500","400","100","16/10","",""</t>
  </si>
  <si>
    <t>Batch_2_Revised,"15/10/68","8","15/10","-","ทวีศักดิ์","-","A111","1","","","","500","400","100","16/10","",""</t>
  </si>
  <si>
    <t>Batch_2_Revised,"16/10/68","1","16/10","20.00","จรรยธร?","095...?","A207","1","500","400","100","","","","","",""</t>
  </si>
  <si>
    <t>Batch_2_Revised,"16/10/68","2","16/10","04.36","สิริ...?","-","N2","1","","","","700","500","200","","",""</t>
  </si>
  <si>
    <t>Batch_2_Revised,"16/10/68","1","16/10","12.40","เทพธิดา","-","N2","1","500","","","","","","17/10","","พักต่อ"</t>
  </si>
  <si>
    <t>Batch_2_Revised,"16/10/68","2","16/10","12.40","อาทิตย์?","-","B110","1","500","400","100","","","","17/10","",""</t>
  </si>
  <si>
    <t>Batch_2_Revised,"16/10/68","3","16/10","19.09","พีระวัฒน์","-","B107","1","","","","400","","","17/10","","พักต่อ"</t>
  </si>
  <si>
    <t>Batch_2_Revised,"16/10/68","4","16/10","13.23","อนันต์?","093-279...","N3","1","","","","700","500","200","17/10","",""</t>
  </si>
  <si>
    <t>Batch_2_Revised,"16/10/68","5","16/10","13.40","พรวิมล D&amp;T","087-56...?","B105","1","","","","500","400","100","17/10","","ออก 17"</t>
  </si>
  <si>
    <t>Batch_2_Revised,"16/10/68","6","16/10","-","ทวีศักดิ์","-","A111","1","400","","","","","","17/10","","พักต่อ"</t>
  </si>
  <si>
    <t>Batch_2_Revised,"16/10/68","7","16/10","10.53","ธิดารัตน์","063-90...?","B102","1","","","","500","400","100","17/10","",""</t>
  </si>
  <si>
    <t>Batch_2_Revised,"16/10/68","8","16/10","-","มนต์สิทธิ์","-","B108","1","","","","500","400","100","17/10","",""</t>
  </si>
  <si>
    <t>Batch_2_Revised,"16/10/68","9","16/10","9.50","ชัชรี","093...?","A102","1","","","","500","400","100","17/10","",""</t>
  </si>
  <si>
    <t>Batch_2_Revised,"16/10/68","10","16/10","18.16","จันทิมา/พร","098-...?","B109","1","500","400","100","","","","","",""</t>
  </si>
  <si>
    <t>Batch_2_Revised,"16/10/68","11","16/10","19.30","คนเล็ก?","081...?","B106","1","500","400","100","","","","","",""</t>
  </si>
  <si>
    <t>Batch_2_Revised,"16/10/68","12","16/10","19.50","คนเล็ก?","-","B104","1","500","400","100","","","","","",""</t>
  </si>
  <si>
    <t>Batch_2_Revised,"16/10/68","13","16/10","19.52","ปิยะ?","093...?","A105","1","","","","500","400","100","","","ออก 18"</t>
  </si>
  <si>
    <t>Batch_2_Revised,"16/10/68","14","16/10","19.30","สิริเพ็ญ?","098...?","B102","1","300","","","200","","","20.12","","..."</t>
  </si>
  <si>
    <t>Batch_2_Revised,"16/10/68","15","16/10","19.30","ปภัสสร","084...?","B101","1","500","400","100","","","","","",""</t>
  </si>
  <si>
    <t>Batch_2_Revised,"16/10/68","16","16/10","20.15","ทวีศักดิ์","-","A111","1","400","","","","","","","","พักต่อ"</t>
  </si>
  <si>
    <t>Batch_2_Revised,"16/10/68","17","16/10","21.12","อนันต์?","084...?","N3","1","800","600","200","","","","","",""</t>
  </si>
  <si>
    <t>Batch_2_Revised,"16/10/68","18","16/10","20.25","วิรัตน์","089...?","A103","1","","","","500","400","100","","",""</t>
  </si>
  <si>
    <t>Batch_2_Revised,"16/10/68","19","16/10","23.43","ธีรศักดิ์","099...?","A102","1","500","400","100","","","","","",""</t>
  </si>
  <si>
    <t>Batch_2_Revised,"16/10/68","20","16/10","23.50","จิรเมธ?","06...?","A101","1","500","400","100","","","","","",""</t>
  </si>
  <si>
    <t>Batch_2_Revised,"16/10/68","21","16/10","23.48","อภิเษก","064...?","A209","1","1000","800","200","","","","","",""</t>
  </si>
  <si>
    <t>Batch_2_Revised,"16/10/68","22","16/10","23.48","ธีรเดช","096...?","A211","1","500","400","100","","","","","",""</t>
  </si>
  <si>
    <t>Batch_2_Revised,"17/10/68","1","17/10","14.30","ชัยพร?","-","B102","1","500","400","100","","","","","","พักต่อ"</t>
  </si>
  <si>
    <t>Batch_2_Revised,"17/10/68","2","17/10","15.09","ธีรเดช","-","B108","1","500","400","100","","","","","","ออก 18"</t>
  </si>
  <si>
    <t>Batch_2_Revised,"17/10/68","3","17/10","15.09","ธีรเดช","-","B109","1","500","400","100","","","","","","ออก 18"</t>
  </si>
  <si>
    <t>Batch_2_Revised,"17/10/68","4","17/10","-","บอย?","-","B110","1","","","","500","400","100","","","ออก 18"</t>
  </si>
  <si>
    <t>Batch_2_Revised,"17/10/68","5","17/10","-","อ้อย?","-","A105","1","","","","500","400","100","","","ออก 18"</t>
  </si>
  <si>
    <t>Batch_2_Revised,"17/10/68","6","17/10","-","มิน?","-","N2","1","400","","","","","","","","พัก"</t>
  </si>
  <si>
    <t>Batch_2_Revised,"17/10/68","7","17/10","15.21","อาทิตย์","-","B110","1","100","","","400","","","","",""</t>
  </si>
  <si>
    <t>Batch_2_Revised,"17/10/68","8","17/10","16.27","สมพร","-","A104","1","500","400","100","","","","","",""</t>
  </si>
  <si>
    <t>Batch_2_Revised,"17/10/68","9","17/10","16.27","สมพร","-","A104","1","","","","500","400","100","","","ออก 18"</t>
  </si>
  <si>
    <t>Batch_2_Revised,"17/10/68","10","17/10","16.27","สุภาพ","-","A111","1","","","","500","400","100","","",""</t>
  </si>
  <si>
    <t>Batch_2_Revised,"17/10/68","11","17/10","18.03","อนันต์?","082-...?","B107","1","500","400","100","","","","","",""</t>
  </si>
  <si>
    <t>Batch_2_Revised,"17/10/68","12","17/10","15.13","สุพจน์?","080-...?","B102","1","","","","500","400","100","","",""</t>
  </si>
  <si>
    <t>Batch_2_Revised,"17/10/68","13","17/10","16.00","จิรา?","062-...?","B105","1","500","400","100","","","","","",""</t>
  </si>
  <si>
    <t>Batch_2_Revised,"17/10/68","14","17/10","-","[ไม่ชัดเจน]","096-021...","B101","1","","","","","","","","",""</t>
  </si>
  <si>
    <t>Batch_2_Revised,"18/10/68","1","18/10","-","ซูซูกิ?","-","B102","1","400","","","","","","","","...[?]"</t>
  </si>
  <si>
    <t>Batch_2_Revised,"18/10/68","2","18/10","-","เทพธิดา","-","B110","1","","","","","","","","",""</t>
  </si>
  <si>
    <t>Batch_2_Revised,"18/10/68","3","18/10","-","พรพิมล","-","N2","1","","","","500","","","","","พักต่อ"</t>
  </si>
  <si>
    <t>Batch_2_Revised,"18/10/68","4","18/10","16.50","ชาตรี","061-...?","A101","1","500","400","100","","","","","",""</t>
  </si>
  <si>
    <t>Batch_2_Revised,"18/10/68","5","18/10","16.50","ชาตรี","061-...?","A109","1","","","","500","400","100","","",""</t>
  </si>
  <si>
    <t>Batch_2_Revised,"18/10/68","6","18/10","16.50","ชาตรี","061-...?","A108","1","500","400","100","","","","","",""</t>
  </si>
  <si>
    <t>Batch_2_Revised,"18/10/68","7","18/10","16.50","ชาตรี","061-...?","A105","1","500","400","100","","","","","",""</t>
  </si>
  <si>
    <t>Batch_2_Revised,"18/10/68","8","18/10","-","กำธร","-","A106","1","","","","600","500","100","","","ออก 20"</t>
  </si>
  <si>
    <t>Batch_2_Revised,"18/10/68","9","18/10","18.19","รุ่งโรจน์","098...?","B108","1","500","400","100","","","","","",""</t>
  </si>
  <si>
    <t>Batch_2_Revised,"18/10/68","10","18/10","-","นาต/โจ","-","B110","1","400","","","","","","","","พักต่อ"</t>
  </si>
  <si>
    <t>Batch_2_Revised,"18/10/68","11","18/10","19.57","จินตนา","084...?","B106","1","","","","500","400","100","","",""</t>
  </si>
  <si>
    <t>Batch_2_Revised,"18/10/68","12","18/10","21.27","วรรณ","098...?","B105","1","300","400","100","","","","","",""</t>
  </si>
  <si>
    <t>Batch_2_Revised,"18/10/68","13","18/10","21.27","วรรณ","-","B103","1","500","400","100","","","","","",""</t>
  </si>
  <si>
    <t>Batch_2_Revised,"18/10/68","14","18/10","00.03","ศักดิ์?","09...?","B103","1","500","400","100","","","","","",""</t>
  </si>
  <si>
    <t>Batch_2_Revised,"18/10/68","15","18/10","-","สมเกียรติ","-","N2","1","700","500","200","","","","","",""</t>
  </si>
  <si>
    <t>Batch_2_Revised,"19/10/68","1","19/10","13.33","จิตติมา?","065...?","B101","1","","","","500","400","100","","",""</t>
  </si>
  <si>
    <t>Batch_2_Revised,"19/10/68","2","19/10","-","เทพธิดา","-","N2","1","","","","500","","","","","พักต่อ"</t>
  </si>
  <si>
    <t>Batch_2_Revised,"19/10/68","3","19/10","18.16","อนุชา","-","B108","1","500","400","100","","","","","",""</t>
  </si>
  <si>
    <t>Batch_2_Revised,"19/10/68","4","19/10","18.39","ธีระชัย","086-...?","B102","1","500","400","100","","","","","","ออก 20"</t>
  </si>
  <si>
    <t>Batch_2_Revised,"19/10/68","5","19/10","20.23","ปุ้ย?","098-...?","A111","1","","","","500","400","100","","",""</t>
  </si>
  <si>
    <t>Batch_1,"20/10/68","1","20/10","-","เทพธิดา?","-","N2","1","","","","500","","","","","พักต่อ"</t>
  </si>
  <si>
    <t>Batch_1,"20/10/68","2","20/10","16.34","ช่อ?","075-662-6182","A108","1","500","400","100","","","","","","ออก 23"</t>
  </si>
  <si>
    <t>Batch_1,"20/10/68","3","20/10","17.56","ASCEND","-","A104","4","","","","","100","","","",""</t>
  </si>
  <si>
    <t>Batch_1,"20/10/68","4","20/10","18.15","ธีรยุทธ","0935229944","N3","1","","","","700","500","200","","","ออก 22"</t>
  </si>
  <si>
    <t>Batch_1,"20/10/68","5","20/10","18.54","พัฒน์/ณิชา...?","088...?","A209","1","","","","500","400","100","","",""</t>
  </si>
  <si>
    <t>Batch_1,"20/10/68","6","20/10","18.54","พัฒน์/ณิชา...?","-","A210","1","","","","500","400","100","","",""</t>
  </si>
  <si>
    <t>Batch_1,"20/10/68","7","20/10","19.00","วิญญู?","064...?","A102","1","500","400","100","","","","","",""</t>
  </si>
  <si>
    <t>Batch_1,"20/10/68","8","20/10","19.02","อมรินทร์","09...?","A101","1","","","","500","400","100","","","ออก 22"</t>
  </si>
  <si>
    <t>Batch_1,"20/10/68","9","20/10","2..17","[อ่านไม่ออก]","080...?","A111","1","500","400","100","","","","","",""</t>
  </si>
  <si>
    <t>Batch_1,"22/10/68","1","22/10","-","Ascend","-","A104","2","","","","","","","","","พักต่อ"</t>
  </si>
  <si>
    <t>Batch_1,"22/10/68","2","22/10","-","เคฟ/ซีด?","-","B110","1","","","","400","","","","","พักต่อ"</t>
  </si>
  <si>
    <t>Batch_1,"22/10/68","3","22/10","17.00","ทวี/วัลย์","-","B105","1","","","","500","400","100","","",""</t>
  </si>
  <si>
    <t>Batch_1,"22/10/68","4","22/10","17.00","ธนภร","-","B106","1","500","400","100","","","","","",""</t>
  </si>
  <si>
    <t>Batch_1,"23/10/68","1","23/10","18.2...","Ascend","-","A104","1","","","","","","","","","พักต่อ"</t>
  </si>
  <si>
    <t>Batch_1,"23/10/68","2","23/10","17.00","ลา/น/ยา 1","-","N2","1","","","","700","500","200","","","ออก 25"</t>
  </si>
  <si>
    <t>Batch_1,"23/10/68","3","23/10","18.18","ป/เกศ","0657505666","A111","1","","","","500","400","100","","","ออก 25"</t>
  </si>
  <si>
    <t>Batch_1,"23/10/68","4","23/10","18.20","ยา/น/ยา 2","-","N3","[?]2?","1200","1000","200","","","","","","ออก 25"</t>
  </si>
  <si>
    <t>Batch_1,"24/10/68","1","24/10","18.10","ส/ม/ร","098-404-8841","N2","1","700","500","200","","","","","",""</t>
  </si>
  <si>
    <t>Batch_1,"24/10/68","2","24/10","14.10","อ/น/วั/ต","098-..-8761","N3","1","","","","700","500","200","","",""</t>
  </si>
  <si>
    <t>Batch_1,"24/10/68","3","24/10","16.10","จ/เ/อ/ร/์/ก","098-102-8761","N3","1","","","","700","500","200","","",""</t>
  </si>
  <si>
    <t>Batch_1,"24/10/68","4","24/10","16.39","ต/ร/า/ท/อ/ง 1","-","B106","1","","","","500","400","100","","",""</t>
  </si>
  <si>
    <t>Batch_1,"24/10/68","5","24/10","16.39","ต/ร/า/ท/อ/ง 2","-","B107","1","","","","","","","","",""</t>
  </si>
  <si>
    <t>Batch_1,"24/10/68","6","24/10","16.39","ต/ร/า/ท/อ/ง 3","-","B108","1","500","400","100","","","","","",""</t>
  </si>
  <si>
    <t>Batch_1,"24/10/68","7","24/10","17.15","ต/ร/า/ท/อ/ง 4","-","B109","1","500","400","100","","","","","",""</t>
  </si>
  <si>
    <t>Batch_1,"24/10/68","8","24/10","17.21","ต/ร/า/ท/อ/ง 5","-","B111","1","","","","","","","","","27/10 400"</t>
  </si>
  <si>
    <t>Batch_1,"24/10/68","9","24/10","17.59","ชิ/ม/ล/ส/วัสดิ์","-","B101","1","","","","500","400","100","","",""</t>
  </si>
  <si>
    <t>Batch_1,"24/10/68","10","24/10","19.08","ห/ท/ย/รั/ต/น์","088...?","B102","1","","","","500","400","100","","",""</t>
  </si>
  <si>
    <t>Batch_1,"24/10/68","11","24/10","18.39","ร/พี/พ/ร/ร/ณ","060-4962406","B105","1","","","","500","400","100","","",""</t>
  </si>
  <si>
    <t>Batch_1,"24/10/68","12","24/10","21.07","อ/ภ/เ/ษ/ก","080...?","B104","1","","","","500","400","100","","",""</t>
  </si>
  <si>
    <t>Batch_1,"24/10/68","13","24/10","21.07","อ/ภ/เ/ษ/ก","080...?","B102","1","","","","500","400","100","","",""</t>
  </si>
  <si>
    <t>Batch_1,"24/10/68","14","24/10","21.07","ด/า/ร/ิ/ก/า","-","A111","1","","","","50","400","100","","",""</t>
  </si>
  <si>
    <t>Batch_1,"24/10/68","15","24/10","-","ค/ร/บ 2","-","N2","1","","","","","","","","","พักต่อ"</t>
  </si>
  <si>
    <t>Batch_1,"25/10/68","1","25/10","11.37","จ/รา/พร","-","A105","1","500","400","100","","","","","",""</t>
  </si>
  <si>
    <t>Batch_1,"25/10/68","2","25/10","-","ช/ชิ/ตา","-","A111","1","400","","","","","","","","พักต่อ"</t>
  </si>
  <si>
    <t>Batch_1,"25/10/68","3","25/10","-","ต/ร/า/ท/อ/ง 3","-","B108","1","","","","400","","","","","พักต่อ"</t>
  </si>
  <si>
    <t>Batch_1,"25/10/68","4","25/10","-","ต/ร/า/ท/อ/ง 5","-","B111","1","400","","","","","","","","พักต่อ"</t>
  </si>
  <si>
    <t>Batch_1,"25/10/68","5","25/10","10.10","โก/้/...","086-9...?","A104","1","500","400","100","","","","","",""</t>
  </si>
  <si>
    <t>Batch_1,"25/10/68","6","25/10","14.15","น/ริ/ศ/รา","-","N3","1","700","500","200","","","","","",""</t>
  </si>
  <si>
    <t>Batch_1,"25/10/68","7","25/10","15.33","ต/ร/า/ท/อ/ง 2","-","B107","1","","","","500","400","100","","",""</t>
  </si>
  <si>
    <t>Batch_1,"25/10/68","8","25/10","15.55","ส/ม/นึก","-","A103","2","900","800","100","","","","27/10","","ออก 27"</t>
  </si>
  <si>
    <t>Batch_1,"25/10/68","9","25/10","17.21","น/ริ/ศ/รา","095...?","A101","1","500","400","100","","","","","",""</t>
  </si>
  <si>
    <t>Batch_1,"25/10/68","10","25/10","17.30","ป/วี/ณั/ฐ/์","015...?","B110","1","","","","500","400","100","","",""</t>
  </si>
  <si>
    <t>Batch_1,"25/10/68","11","25/10","18.46","ย/า/ง/ท/อ","-","A102","2","","","","700","500","200","","","ค้างจ่าย"</t>
  </si>
  <si>
    <t>Batch_1,"25/10/68","12","25/10","20.38","สุ/วิ/ทย์","-","N2","1","","","","700","500","200","","",""</t>
  </si>
  <si>
    <t>Batch_1,"26/10/68","1","26/10","-","ชาตรี/ธิดา","-","B103","1","","","","","","","","","พักต่อ..."</t>
  </si>
  <si>
    <t>Batch_1,"26/10/68","2","26/10","-","วาส/นาวา 2","-","B107","1","400","","","","","","","","พักต่อ"</t>
  </si>
  <si>
    <t>Batch_1,"26/10/68","3","26/10","-","สุภา/วดี A","-","B108","1","400","","","","","","","","พักต่อ"</t>
  </si>
  <si>
    <t>Batch_1,"26/10/68","4","26/10","19.11","ซา/ตรี","-","B102","1","","","","400","","","","","ไม่มี..."</t>
  </si>
  <si>
    <t>Batch_1,"26/10/68","5","26/10","-","วาส/นาวา 5","-","B111","1","","","","400","","","","","พักต่อ"</t>
  </si>
  <si>
    <t>Batch_1,"26/10/68","6","26/10","-","จิต/ติณณ์","-","B111","1","","","","400","","","","","พักต่อ"</t>
  </si>
  <si>
    <t>Batch_1,"26/10/68","7","26/10","-","ยุพ/ยงค์","-","A102","1","400","","","","","","","",""</t>
  </si>
  <si>
    <t>Batch_1,"27/10/68","1","27/10","-","พิ/ไชย","-","B104","1","","","","400","","","","","พักต่อ"</t>
  </si>
  <si>
    <t>Batch_1,"27/10/68","2","27/10","11.49","แพ/ร/ณ/รี/รัตน์","096-863-..[?]","A107","1","","","","500","","","","",""</t>
  </si>
  <si>
    <t>Batch_1,"27/10/68","3","27/10","11.48","แพ/ร/ณ/รี/รัตน์","096-863-..[?]","A108","1","","","","500","","","","",""</t>
  </si>
  <si>
    <t>Batch_1,"27/10/68","4","27/10","-","จ/ร/ห/ท/ชา","-","A105","1","500","400","100","","","","","",""</t>
  </si>
  <si>
    <t>Batch_1,"27/10/68","5","27/10","-","ณัฐ/ศักดิ์","-","A111","1","","","","400","","","","","พักต่อ"</t>
  </si>
  <si>
    <t>Batch_1,"27/10/68","6","27/10","00.55","บุญ/มี","-","A101","1","500","400","100","","","","","",""</t>
  </si>
  <si>
    <t>Batch_1,"27/10/68","7","27/10","07.10","จ/ร/กิจ","-","N2","1","","","","700","500","200","","",""</t>
  </si>
  <si>
    <t>Batch_1,"28/10/68","1","28/10","-","ช/ญา/ณี","-","B104","1","","","","400","","","","","พักต่อ"</t>
  </si>
  <si>
    <t>Batch_1,"28/10/68","2","28/10","-","ชิน/วัจน์","-","B105","1","500","400","100","","","","","",""</t>
  </si>
  <si>
    <t>Batch_1,"28/1Methods/68","3","28/10","-","สุ/วิ/มล","-","B110","1","500","400","100","","","","","",""</t>
  </si>
  <si>
    <t>Batch_1,"28/10/68","4","28/10","-","ทิว/า/วัลย์","-","A111","1","","","","400","","","","","พักต่อ"</t>
  </si>
  <si>
    <t>Batch_1,"28/10/68","5","28/10","-","ป/วี/ณา","-","N3","1","700","500","200","","","","","",""</t>
  </si>
  <si>
    <t>Batch_1,"28/10/68","6","28/10","-","ต้า/ฟ้า/ใส","-","A211","1","","","","500","400","100","","",""</t>
  </si>
  <si>
    <t>Batch_1,"28/10/68","7","28/10","-","มน/ส/วีย์","-","B101","1","","","","500","400","100","","",""</t>
  </si>
  <si>
    <t>Batch_1,"29/10/68","1","29/10","13.52","สุ/ธา/วัลย์","092...?","B106","1","500","400","100","","","","","",""</t>
  </si>
  <si>
    <t>Batch_1,"29/10/68","2","29/10","-","อภิ/สิทธิ์","-","A111","1","","","","400","","","","","พักต่อ"</t>
  </si>
  <si>
    <t>Batch_1,"29/10/68","3","29/10","-","ว/เ/เ/ธียร","-","A105","1","500","400","100","","","","","",""</t>
  </si>
  <si>
    <t>Batch_1,"29/10/68","4","29/10","18.44","ธี/ร/ศักดิ์","093...?","N2","1","","","","700","500","200","","",""</t>
  </si>
  <si>
    <t>Batch_1,"3/11/68","1","3/11","-","ฉัตร/ชัย","-","A103","1","","","","400","","","","","พักต่อ"</t>
  </si>
  <si>
    <t>Batch_1,"3/11/68","2","3/11","-","ตาร/สิทธิ์","-","A111","1","400","","","","","","","","พักต่อ"</t>
  </si>
  <si>
    <t>Batch_1,"3/11/68","3","3/11","12.01","ขวัญ","-","B106","1","500","400","100","","","","","",""</t>
  </si>
  <si>
    <t>Batch_1,"3/11/68","4","3/11","16.06","ณัฐ/ฐา/สินี","-","A105","1","","","","500","400","100","","","ออก 7/11"</t>
  </si>
  <si>
    <t>Batch_1,"3/11/68","5","3/11","18.06","สิ/เกตุ","-","B109","1","100","","","400","","","","","ออก 7/11"</t>
  </si>
  <si>
    <t>Batch_1,"3/11/68","6","3/11","00.16","อ้อม/เล็ก","-","N2","1","500","","","","","","","",""</t>
  </si>
  <si>
    <t>Batch_1,"3/11/68","7","3/11","19.35","ฟลุ/ส/การ์","-","N3","1","500","","","","","","","",""</t>
  </si>
  <si>
    <t>Batch_1,"3/11/68","8","3/11","4.19","ศ/รา/วุธ","-","A107","1","500","400","100","","","","","",""</t>
  </si>
  <si>
    <t>Room_Number</t>
  </si>
  <si>
    <t>Room_Type</t>
  </si>
  <si>
    <t>Price</t>
  </si>
  <si>
    <t>Status</t>
  </si>
  <si>
    <t>Standard</t>
  </si>
  <si>
    <t>ว่าง</t>
  </si>
  <si>
    <t>Standard Twin</t>
  </si>
  <si>
    <t>B208</t>
  </si>
  <si>
    <t>B209</t>
  </si>
  <si>
    <t>B210</t>
  </si>
  <si>
    <t>B211</t>
  </si>
  <si>
    <t>รายชื่อผู้ตรวจสอบ</t>
  </si>
  <si>
    <t>รายรับอื่นๆ</t>
  </si>
  <si>
    <t>ช่องทางการจอง</t>
  </si>
  <si>
    <t>Commission</t>
  </si>
  <si>
    <t>ข้อมูลบริษัท</t>
  </si>
  <si>
    <t>เป้าหมายอัตราเข้าพัก</t>
  </si>
  <si>
    <t>เช่ารายเดือน</t>
  </si>
  <si>
    <t>No.</t>
  </si>
  <si>
    <t>เดือน</t>
  </si>
  <si>
    <t>ชื่อย่อ</t>
  </si>
  <si>
    <t>พิกูล</t>
  </si>
  <si>
    <t>ค่าซักผ้า</t>
  </si>
  <si>
    <t>โทรศัพท์</t>
  </si>
  <si>
    <t>ชื่อบริษัท</t>
  </si>
  <si>
    <t>บริษัท วิพัฒน์โฮเทล.ดีเวลอปเมนท์ จำกัด</t>
  </si>
  <si>
    <t>หมายเลขห้อง</t>
  </si>
  <si>
    <t>มกราคม</t>
  </si>
  <si>
    <t>ม.ค.</t>
  </si>
  <si>
    <t>ครูแอ๊ว</t>
  </si>
  <si>
    <t>ค่าอาหาร</t>
  </si>
  <si>
    <t>Ascend</t>
  </si>
  <si>
    <t>ที่อยู่บริษัท</t>
  </si>
  <si>
    <t>426 หมู่ที่9 ตำบลบึงกาฬ อำเภอเมืองบึงกาฬ จังหวัดบึงกาฬ 38000</t>
  </si>
  <si>
    <t>ชื่อ</t>
  </si>
  <si>
    <t>น.ส.กมลวรรณ แสงลี</t>
  </si>
  <si>
    <t>กุมภาพันธ์</t>
  </si>
  <si>
    <t>ก.พ.</t>
  </si>
  <si>
    <t>จิ๋ม</t>
  </si>
  <si>
    <t>ค่าเสียหาย</t>
  </si>
  <si>
    <t>Walk-in</t>
  </si>
  <si>
    <t>เบอร์โทรศัพท์</t>
  </si>
  <si>
    <t>โทร 080-6254859,042-492641</t>
  </si>
  <si>
    <t>เลขประจำตัวประชาชน:</t>
  </si>
  <si>
    <t>1 4708 00288 60 7</t>
  </si>
  <si>
    <t>มีนาคม</t>
  </si>
  <si>
    <t>มี.ค.</t>
  </si>
  <si>
    <t>เอฟ</t>
  </si>
  <si>
    <t>ค่ารีดผ้า</t>
  </si>
  <si>
    <t>เลขประจำตัว</t>
  </si>
  <si>
    <t>เลขประจำตัวผู้เสียภาษีอากร  0-3855-59000-07-5</t>
  </si>
  <si>
    <t>วันเกิด:</t>
  </si>
  <si>
    <t>เมษายน</t>
  </si>
  <si>
    <t>เม.ย.</t>
  </si>
  <si>
    <t>ค่าเครื่องดื่ม</t>
  </si>
  <si>
    <t>อีเมล</t>
  </si>
  <si>
    <t>vipathotel@gmail.com</t>
  </si>
  <si>
    <t>ที่อยู่:</t>
  </si>
  <si>
    <t xml:space="preserve"> 73 หมู่ที่ 6 ตำบลวานรนิวาส อำเภอวานรนิวาส จังหวัดสกลนคร</t>
  </si>
  <si>
    <t>บ้านแฝด 1</t>
  </si>
  <si>
    <t>พฤษภาคม</t>
  </si>
  <si>
    <t>พ.ค.</t>
  </si>
  <si>
    <t>ค่ามินิบาร์</t>
  </si>
  <si>
    <t>Logo บริษัท</t>
  </si>
  <si>
    <t>วันที่เซ็นสัญญาเช่า:</t>
  </si>
  <si>
    <t>บ้านแฝด 2</t>
  </si>
  <si>
    <t>มิถุนายน</t>
  </si>
  <si>
    <t>มิ.ย.</t>
  </si>
  <si>
    <t>(สำนักงานใหญ่)</t>
  </si>
  <si>
    <t>กรกฎาคม</t>
  </si>
  <si>
    <t>ก.ค.</t>
  </si>
  <si>
    <t>สิงหาคม</t>
  </si>
  <si>
    <t>ส.ค.</t>
  </si>
  <si>
    <t>นาย สัญญา วารุกะ</t>
  </si>
  <si>
    <t>กันยายน</t>
  </si>
  <si>
    <t>ก.ย.</t>
  </si>
  <si>
    <t>4310 00183 60 3</t>
  </si>
  <si>
    <t>ตุลาคม</t>
  </si>
  <si>
    <t>ต.ค.</t>
  </si>
  <si>
    <t>พฤศจิกายน</t>
  </si>
  <si>
    <t>พ.ย.</t>
  </si>
  <si>
    <t>10 หมู่ที่ 2 ต.ปากคาด อ.ปากคาด จ.บึงกาฬ</t>
  </si>
  <si>
    <t>ธันวาคม</t>
  </si>
  <si>
    <t>ธ.ค.</t>
  </si>
  <si>
    <t>น.ส. จีรัญญา มหาคม</t>
  </si>
  <si>
    <t xml:space="preserve">นาย ณัฐภัทร  ไกรรัตน์ </t>
  </si>
  <si>
    <t>หน่วยงาน กรองปราบปราม</t>
  </si>
  <si>
    <t>ประจำเดือน</t>
  </si>
  <si>
    <t>ชื่อตัวและชื่อสกุล</t>
  </si>
  <si>
    <t xml:space="preserve"> เลขประจำตัวประชาชนหรือ ใบสำคัญประจำตัวคนต่างด้าว  หรือหนังสือเดินทาง เลขที่....ออกให้โดย</t>
  </si>
  <si>
    <t xml:space="preserve"> ที่อยู่ปัจจุบันอยู่ที่ ตำบล อำเภอ    จังหวัด หรือประเทศใด</t>
  </si>
  <si>
    <t>VP01155</t>
  </si>
  <si>
    <t/>
  </si>
  <si>
    <t>582 หมู่ 13 ถนนสุขุมวิท ต.หนองจิก อ.ปากช่อง จ.ขอนแก่น</t>
  </si>
  <si>
    <t>593 หมู่ 13 ถนนสุขุมวิท ต.หนองจิก อ.ปากช่อง จ.ขอนแก่น</t>
  </si>
  <si>
    <t>592 หมู่ 13 ถนนสุขุมวิท ต.หนองจิก อ.ปากช่อง จ.ขอนแก่น</t>
  </si>
  <si>
    <t>749 หมู่ 2 ถนนสุขุมวิท ต.หนองจิก อ.ลำลูกกา จ.นนทบุรี</t>
  </si>
  <si>
    <t>749 หมู่ 2 ถนนสุขุมวิท ต.หนองจิก อ.บ้านไผ่ จ.ขอนแก่น</t>
  </si>
  <si>
    <t>599 หมู่ 10 ถนนพหลโยธิน ต.โคกสูง อ.ท่าเรือ จ.สระบุรี</t>
  </si>
  <si>
    <t>568 หมู่ 13 ถนนสุขุมวิท ต.หนองจิก อ.ปากช่อง จ.ขอนแก่น</t>
  </si>
  <si>
    <t>571 หมู่ 13 ถนนสุขุมวิท ต.หนองจิก อ.ปากช่อง จ.ขอนแก่น</t>
  </si>
  <si>
    <t>572 หมู่ 13 ถนนสุขุมวิท ต.หนองจิก อ.ปากช่อง จ.ขอนแก่น</t>
  </si>
  <si>
    <t>577 หมู่ 13 ถนนสุขุมวิท ต.หนองจิก อ.ปากช่อง จ.ขอนแก่น</t>
  </si>
  <si>
    <t>594 หมู่ 13 ถนนสุขุมวิท ต.หนองจิก อ.ปากช่อง จ.ขอนแก่น</t>
  </si>
  <si>
    <t>578 หมู่ 13 ถนนสุขุมวิท ต.หนองจิก อ.ปากช่อง จ.ขอนแก่น</t>
  </si>
  <si>
    <t>580 หมู่ 13 ถนนสุขุมวิท ต.หนองจิก อ.ปากช่อง จ.ขอนแก่น</t>
  </si>
  <si>
    <t>599 หมู่ 13 ถนนสุขุมวิท ต.หนองจิก อ.ปากช่อง จ.ขอนแก่น</t>
  </si>
  <si>
    <t>603 หมู่ 13 ถนนสุขุมวิท ต.หนองจิก อ.ปากช่อง จ.ขอนแก่น</t>
  </si>
  <si>
    <t>ฉัตรชัย</t>
  </si>
  <si>
    <t>มนุษย์</t>
  </si>
  <si>
    <t>ประจวบ</t>
  </si>
  <si>
    <t>รุ่งนภา สาระสิทธิ์</t>
  </si>
  <si>
    <t>ปรัสสร จันทราช</t>
  </si>
  <si>
    <t>ศิรินทิพย์</t>
  </si>
  <si>
    <t>จรัล</t>
  </si>
  <si>
    <t>เคท สุขภัณฑ์ (หญิง)</t>
  </si>
  <si>
    <t>สุเทพ</t>
  </si>
  <si>
    <t>ชัยภักดิ์</t>
  </si>
  <si>
    <t>ปศุสัตว์</t>
  </si>
  <si>
    <t>เทพธิดา</t>
  </si>
  <si>
    <t>จิตรชัย</t>
  </si>
  <si>
    <t>สิเทค</t>
  </si>
  <si>
    <t>อนันต์</t>
  </si>
  <si>
    <t>วิ</t>
  </si>
  <si>
    <t>วันวิสา โทน</t>
  </si>
  <si>
    <t>ธีระชัย</t>
  </si>
  <si>
    <t>กมลลักษ์</t>
  </si>
  <si>
    <t>นิชพร</t>
  </si>
  <si>
    <t>พงษ์ศิริ</t>
  </si>
  <si>
    <t>วิจิตร</t>
  </si>
  <si>
    <t>ปภัสสร</t>
  </si>
  <si>
    <t>ชาตรี</t>
  </si>
  <si>
    <t>จิรชยา</t>
  </si>
  <si>
    <t>สหชัย</t>
  </si>
  <si>
    <t>บริษัท นานมีบุ๊ค</t>
  </si>
  <si>
    <t>บริษัท นานมีบุ๊ค (ต่อ)</t>
  </si>
  <si>
    <t>ชาญชัย กาญจน</t>
  </si>
  <si>
    <t>ฐิติพร</t>
  </si>
  <si>
    <t>สวภพ</t>
  </si>
  <si>
    <t>ฐิติมา</t>
  </si>
  <si>
    <t>วิเชียร</t>
  </si>
  <si>
    <t>ปิยะพร</t>
  </si>
  <si>
    <t>ฐิติมาพร</t>
  </si>
  <si>
    <t>ฟิว</t>
  </si>
  <si>
    <t>ธูปสิฟาร์ม</t>
  </si>
  <si>
    <t>วาล</t>
  </si>
  <si>
    <t>สายชล</t>
  </si>
  <si>
    <t>นิรันดร์พร</t>
  </si>
  <si>
    <t>จีระวัฒน์</t>
  </si>
  <si>
    <t>S.T. spec</t>
  </si>
  <si>
    <t>วันวิสา</t>
  </si>
  <si>
    <t>A108+106</t>
  </si>
  <si>
    <t>น.ส. พัชมณฑ์</t>
  </si>
  <si>
    <t>อภิรักษ์</t>
  </si>
  <si>
    <t>B108-B109</t>
  </si>
  <si>
    <t>ฐิติพงศ์</t>
  </si>
  <si>
    <t>วรวุฒิ ศรีนวล</t>
  </si>
  <si>
    <t>สุนันท์ แสงมี</t>
  </si>
  <si>
    <t>เดี่ยว</t>
  </si>
  <si>
    <t>ฉันท์รวี</t>
  </si>
  <si>
    <t>ฐานิตา</t>
  </si>
  <si>
    <t>ม.ฮะ ฮมิสซ่า (เดี่ยว)</t>
  </si>
  <si>
    <t>ทิพพาล</t>
  </si>
  <si>
    <t>แว่นตา ศรีนคร</t>
  </si>
  <si>
    <t>16 ห้อง</t>
  </si>
  <si>
    <t>ครูเกศกนก (จ่ายยอดที่เหลือ)</t>
  </si>
  <si>
    <t>18 ห้อง</t>
  </si>
  <si>
    <t>รองแหม่ม (จ่ายยอดที่เหลือ)</t>
  </si>
  <si>
    <t>ครู กิติศักดิ์</t>
  </si>
  <si>
    <t>นาย ศราวุฒิ</t>
  </si>
  <si>
    <t>ปวรา ชนะพจน์</t>
  </si>
  <si>
    <t>ห้า ม้าโอสถ</t>
  </si>
  <si>
    <t>B204 B205</t>
  </si>
  <si>
    <t>สมปอง (ทีมครูเกศกนก)</t>
  </si>
  <si>
    <t>อรอุมา สุขสบาย</t>
  </si>
  <si>
    <t>แพง ขลิบเลีย</t>
  </si>
  <si>
    <t>นาย มงคล กรรญา</t>
  </si>
  <si>
    <t>Mr. YAN YUE</t>
  </si>
  <si>
    <t>นาย เดี่ยว</t>
  </si>
  <si>
    <t>คนหอมสุรินทร์</t>
  </si>
  <si>
    <t>อานนท์</t>
  </si>
  <si>
    <t>ชนะพล</t>
  </si>
  <si>
    <t>ภิรมย์ศักดิ์</t>
  </si>
  <si>
    <t>บ.บิวตี้ฮีล</t>
  </si>
  <si>
    <t>บริษัท เติมน้ำดินเพลิง</t>
  </si>
  <si>
    <t>เป๊ปซี่</t>
  </si>
  <si>
    <t>NE เมเดียน</t>
  </si>
  <si>
    <t>ร้าน โอ.เค. ออโต้</t>
  </si>
  <si>
    <t>วีระยุทธ์</t>
  </si>
  <si>
    <t>หมอปศุสัตว์</t>
  </si>
  <si>
    <t>นธีกร</t>
  </si>
  <si>
    <t>คเณศ</t>
  </si>
  <si>
    <t>จักร</t>
  </si>
  <si>
    <t>มนต์ศักดิ์</t>
  </si>
  <si>
    <t>ชัยศักดิ์</t>
  </si>
  <si>
    <t>My. Kimchen Y</t>
  </si>
  <si>
    <t>Mr. Kimchen Y</t>
  </si>
  <si>
    <t>สมพงษ์ ลูกหว้า</t>
  </si>
  <si>
    <t>ศักดาพิสูจน์</t>
  </si>
  <si>
    <t>นิพากร</t>
  </si>
  <si>
    <t>ทวีภาส</t>
  </si>
  <si>
    <t>อภินันท์</t>
  </si>
  <si>
    <t>วีระศักดิ์</t>
  </si>
  <si>
    <t>พรทิพย์ 1</t>
  </si>
  <si>
    <t>พรทิพย์ 2</t>
  </si>
  <si>
    <t>จำเริญ สุขภักดิ์</t>
  </si>
  <si>
    <t>อพิน</t>
  </si>
  <si>
    <t>พรทิพย์ 3</t>
  </si>
  <si>
    <t>ลุงจร</t>
  </si>
  <si>
    <t>พรทิพย์</t>
  </si>
  <si>
    <t>พรเทพ</t>
  </si>
  <si>
    <t>ชัยยันต์</t>
  </si>
  <si>
    <t>ทิว</t>
  </si>
  <si>
    <t>คุณละเมียด</t>
  </si>
  <si>
    <t>พริตตี้ พูลสทรัพย์</t>
  </si>
  <si>
    <t>คุณทิว</t>
  </si>
  <si>
    <t>สมเดช</t>
  </si>
  <si>
    <t>พงษ์พยนต์</t>
  </si>
  <si>
    <t>สรวง ศิริภัทร</t>
  </si>
  <si>
    <t>ศกรรณ์</t>
  </si>
  <si>
    <t>ปัสสร</t>
  </si>
  <si>
    <t>จิรยา</t>
  </si>
  <si>
    <t>เต็นท์</t>
  </si>
  <si>
    <t>พีรพนธ์</t>
  </si>
  <si>
    <t>สุวรรณ</t>
  </si>
  <si>
    <t>ศรัณย์</t>
  </si>
  <si>
    <t>วิทยา</t>
  </si>
  <si>
    <t>ศุภากร</t>
  </si>
  <si>
    <t>สมชัย</t>
  </si>
  <si>
    <t>ใบแจ้งค่าใช้จ่าย</t>
  </si>
  <si>
    <t xml:space="preserve"> ชื่อ-สกุล</t>
  </si>
  <si>
    <t>รายการ</t>
  </si>
  <si>
    <t>มิเตอร์ครั้งก่อน</t>
  </si>
  <si>
    <t>มิเตอร์ครั้งใหม่</t>
  </si>
  <si>
    <t>รวมหน่วย</t>
  </si>
  <si>
    <t>หน่วยละ</t>
  </si>
  <si>
    <t>รวม</t>
  </si>
  <si>
    <t>ค่าห้องพัก</t>
  </si>
  <si>
    <t>ค่าไฟ</t>
  </si>
  <si>
    <t>ค่าน้ำ</t>
  </si>
  <si>
    <t>รายการเพิ่มเติม จำนวนวันที่ เกินกำหนดชำระ</t>
  </si>
  <si>
    <t>วัน</t>
  </si>
  <si>
    <t>รายเดือน</t>
  </si>
  <si>
    <t>ค่ามิเตอร์ไฟ</t>
  </si>
  <si>
    <t>ค่ามิเตอร์น้ำ</t>
  </si>
  <si>
    <t>ค่าเช่า</t>
  </si>
  <si>
    <t>ตั้งต้น</t>
  </si>
  <si>
    <t>&gt;&gt;&gt;</t>
  </si>
  <si>
    <t xml:space="preserve">   &gt;&gt;&gt;</t>
  </si>
  <si>
    <t>VP1733</t>
  </si>
  <si>
    <t>คุณเกียรติศักดิ์</t>
  </si>
  <si>
    <t>VP1734</t>
  </si>
  <si>
    <t>คุณพิชยดล</t>
  </si>
  <si>
    <t>VP1735</t>
  </si>
  <si>
    <t>คุณอนุรักษ์</t>
  </si>
  <si>
    <t>VP1911</t>
  </si>
  <si>
    <t>10/79</t>
  </si>
  <si>
    <t>VP1912</t>
  </si>
  <si>
    <t>10/80</t>
  </si>
  <si>
    <t>คุณจิราวัฒน์</t>
  </si>
  <si>
    <t>VP1913</t>
  </si>
  <si>
    <t>10/81</t>
  </si>
  <si>
    <t>คุณสุดารัตน์</t>
  </si>
  <si>
    <t>VP1736</t>
  </si>
  <si>
    <t>คุณกิตติชัย</t>
  </si>
  <si>
    <t>VP1737</t>
  </si>
  <si>
    <t>คุณกิติศักดิ์</t>
  </si>
  <si>
    <t>VP1738</t>
  </si>
  <si>
    <t>คุณคเชนทร์</t>
  </si>
  <si>
    <t>VP1914</t>
  </si>
  <si>
    <t>10/82</t>
  </si>
  <si>
    <t>คุณธนาธิป</t>
  </si>
  <si>
    <t>VP1915</t>
  </si>
  <si>
    <t>10/83</t>
  </si>
  <si>
    <t>คุณศราวุฒิ</t>
  </si>
  <si>
    <t>VP1916</t>
  </si>
  <si>
    <t>10/84</t>
  </si>
  <si>
    <t>VP1739</t>
  </si>
  <si>
    <t>567 หมู่ 13 ถนนสุขุมวิท ต.หนองจิก อ.ปากช่อง จ.ขอนแก่น</t>
  </si>
  <si>
    <t>VP1740</t>
  </si>
  <si>
    <t>41 หมู่ 13 ถนนรามอินทรา ต.ท่าศาลา อ.สีคิ้ว จ.พระนครศรีอยุธยา</t>
  </si>
  <si>
    <t>VP1917</t>
  </si>
  <si>
    <t>10/85</t>
  </si>
  <si>
    <t>คุณแสงจันทร์</t>
  </si>
  <si>
    <t>61 หมู่ 2 ถนนรามอินทรา ต.ท่าศาลา อ.บ้านไผ่ จ.นครปฐม</t>
  </si>
  <si>
    <t>VP1918</t>
  </si>
  <si>
    <t>10/86</t>
  </si>
  <si>
    <t>VP1741</t>
  </si>
  <si>
    <t>คุณปราโมทย์</t>
  </si>
  <si>
    <t>VP1742</t>
  </si>
  <si>
    <t>คุณรัศมี</t>
  </si>
  <si>
    <t>VP1743</t>
  </si>
  <si>
    <t>คุณพงษ์</t>
  </si>
  <si>
    <t>599 หมู่ 15 ถนนรัชดาภิเษก ต.หนองจิก อ.ปากช่อง จ.มหาสารคาม</t>
  </si>
  <si>
    <t>VP1919</t>
  </si>
  <si>
    <t>10/87</t>
  </si>
  <si>
    <t>VP1920</t>
  </si>
  <si>
    <t>10/88</t>
  </si>
  <si>
    <t>VP1921</t>
  </si>
  <si>
    <t>10/89</t>
  </si>
  <si>
    <t>VP1744</t>
  </si>
  <si>
    <t>VP1745</t>
  </si>
  <si>
    <t>09/13</t>
  </si>
  <si>
    <t>คุณกิตติคุณ</t>
  </si>
  <si>
    <t>866 หมู่ 10 ถนนมิตรภาพ ต.หนองจิก อ.สีคิ้ว จ.บุรีรัมย์</t>
  </si>
  <si>
    <t>VP1746</t>
  </si>
  <si>
    <t>09/14</t>
  </si>
  <si>
    <t>คุณจินตนา</t>
  </si>
  <si>
    <t>VP1922</t>
  </si>
  <si>
    <t>10/90</t>
  </si>
  <si>
    <t>VP1923</t>
  </si>
  <si>
    <t>10/91</t>
  </si>
  <si>
    <t>VP1924</t>
  </si>
  <si>
    <t>10/92</t>
  </si>
  <si>
    <t>VP1747</t>
  </si>
  <si>
    <t>09/15</t>
  </si>
  <si>
    <t>คุณทรงวุฒิ</t>
  </si>
  <si>
    <t>227 หมู่ 14 ถนนพหลโยธิน ต.ท่าศาลา อ.สีคิ้ว จ.สมุทรสาคร</t>
  </si>
  <si>
    <t>VP1748</t>
  </si>
  <si>
    <t>09/16</t>
  </si>
  <si>
    <t>VP1749</t>
  </si>
  <si>
    <t>09/17</t>
  </si>
  <si>
    <t>คุณนฤวุฒิ</t>
  </si>
  <si>
    <t>VP1925</t>
  </si>
  <si>
    <t>10/93</t>
  </si>
  <si>
    <t>VP1926</t>
  </si>
  <si>
    <t>10/94</t>
  </si>
  <si>
    <t>VP1927</t>
  </si>
  <si>
    <t>10/95</t>
  </si>
  <si>
    <t>VP1750</t>
  </si>
  <si>
    <t>09/18</t>
  </si>
  <si>
    <t>235 หมู่ 13 ถนนรามอินทรา ต.บ้านใหม่ อ.ปากช่อง จ.สุพรรณบุรี</t>
  </si>
  <si>
    <t>VP1751</t>
  </si>
  <si>
    <t>09/19</t>
  </si>
  <si>
    <t>คุณสมเกียรติ</t>
  </si>
  <si>
    <t>788 หมู่ 6 ถนนรามอินทรา ต.หนองจิก อ.สีคิ้ว จ.มหาสารคาม</t>
  </si>
  <si>
    <t>VP1752</t>
  </si>
  <si>
    <t>09/20</t>
  </si>
  <si>
    <t>คุณอภินันท์</t>
  </si>
  <si>
    <t>VP1928</t>
  </si>
  <si>
    <t>10/96</t>
  </si>
  <si>
    <t>VP1929</t>
  </si>
  <si>
    <t>10/97</t>
  </si>
  <si>
    <t>VP1930</t>
  </si>
  <si>
    <t>10/98</t>
  </si>
  <si>
    <t>VP1753</t>
  </si>
  <si>
    <t>09/21</t>
  </si>
  <si>
    <t>74 หมู่ 11 ถนนมิตรภาพ ต.ท่าศาลา อ.บ้านไผ่ จ.พระนครศรีอยุธยา</t>
  </si>
  <si>
    <t>VP1754</t>
  </si>
  <si>
    <t>09/22</t>
  </si>
  <si>
    <t>คุณมิน</t>
  </si>
  <si>
    <t>VP1755</t>
  </si>
  <si>
    <t>09/23</t>
  </si>
  <si>
    <t>คุณคมกริช</t>
  </si>
  <si>
    <t>VP1931</t>
  </si>
  <si>
    <t>10/99</t>
  </si>
  <si>
    <t>VP1932</t>
  </si>
  <si>
    <t>10/100</t>
  </si>
  <si>
    <t>VP1756</t>
  </si>
  <si>
    <t>09/24</t>
  </si>
  <si>
    <t>คุณพิสุทธ</t>
  </si>
  <si>
    <t>VP1757</t>
  </si>
  <si>
    <t>09/25</t>
  </si>
  <si>
    <t>227 หมู่ 11 ถนนพหลโยธิน ต.โคกสูง อ.ลำลูกกา จ.สุพรรณบุรี</t>
  </si>
  <si>
    <t>VP1758</t>
  </si>
  <si>
    <t>09/26</t>
  </si>
  <si>
    <t>คุณธนฤต</t>
  </si>
  <si>
    <t>VP1759</t>
  </si>
  <si>
    <t>09/27</t>
  </si>
  <si>
    <t>VP1760</t>
  </si>
  <si>
    <t>09/28</t>
  </si>
  <si>
    <t>VP1761</t>
  </si>
  <si>
    <t>09/29</t>
  </si>
  <si>
    <t>VP1762</t>
  </si>
  <si>
    <t>09/30</t>
  </si>
  <si>
    <t>380 หมู่ 6 ถนนพหลโยธิน ต.โคกสูง อ.ท่าเรือ จ.นนทบุรี</t>
  </si>
  <si>
    <t>VP1763</t>
  </si>
  <si>
    <t>09/31</t>
  </si>
  <si>
    <t>VP1764</t>
  </si>
  <si>
    <t>09/32</t>
  </si>
  <si>
    <t>925 หมู่ 13 ถนนสุขุมวิท ต.ท่าศาลา อ.ลำลูกกา จ.ชัยภูมิ</t>
  </si>
  <si>
    <t>VP1765</t>
  </si>
  <si>
    <t>09/33</t>
  </si>
  <si>
    <t>VP1766</t>
  </si>
  <si>
    <t>09/34</t>
  </si>
  <si>
    <t>VP1767</t>
  </si>
  <si>
    <t>09/35</t>
  </si>
  <si>
    <t>61 หมู่ 2 ถนนพหลโยธิน ต.บ้านใหม่ อ.ท่าเรือ จ.สุพรรณบุรี</t>
  </si>
  <si>
    <t>VP1768</t>
  </si>
  <si>
    <t>09/36</t>
  </si>
  <si>
    <t>คุณสุกัญญา</t>
  </si>
  <si>
    <t>VP1769</t>
  </si>
  <si>
    <t>09/37</t>
  </si>
  <si>
    <t>VP1770</t>
  </si>
  <si>
    <t>09/38</t>
  </si>
  <si>
    <t>คุณนุจิรา</t>
  </si>
  <si>
    <t>VP1771</t>
  </si>
  <si>
    <t>09/39</t>
  </si>
  <si>
    <t>คุณมิ้นท์</t>
  </si>
  <si>
    <t>VP1772</t>
  </si>
  <si>
    <t>09/40</t>
  </si>
  <si>
    <t>227 หมู่ 7 ถนนรามอินทรา ต.โคกสูง อ.ลำลูกกา จ.สระบุรี</t>
  </si>
  <si>
    <t>VP1773</t>
  </si>
  <si>
    <t>09/41</t>
  </si>
  <si>
    <t>567 หมู่ 14 ถนนพหลโยธิน ต.หนองจิก อ.ปากช่อง จ.ขอนแก่น</t>
  </si>
  <si>
    <t>VP1774</t>
  </si>
  <si>
    <t>09/42</t>
  </si>
  <si>
    <t>คุณมงคล</t>
  </si>
  <si>
    <t>VP1775</t>
  </si>
  <si>
    <t>09/43</t>
  </si>
  <si>
    <t>VP1776</t>
  </si>
  <si>
    <t>09/44</t>
  </si>
  <si>
    <t>คุณวุฒิ</t>
  </si>
  <si>
    <t>599 หมู่ 10 ถนนพหลโยธิน ต.ท่าศาลา อ.บ้านไผ่ จ.ขอนแก่น</t>
  </si>
  <si>
    <t>VP1777</t>
  </si>
  <si>
    <t>09/45</t>
  </si>
  <si>
    <t>คุณทัจนีย์</t>
  </si>
  <si>
    <t>VP1778</t>
  </si>
  <si>
    <t>09/46</t>
  </si>
  <si>
    <t>คุณจิรศักดิ์</t>
  </si>
  <si>
    <t>380 หมู่ 6 ถนนรามอินทรา ต.หนองจิก อ.ปากช่อง จ.ขอนแก่น</t>
  </si>
  <si>
    <t>VP1779</t>
  </si>
  <si>
    <t>09/47</t>
  </si>
  <si>
    <t>คุณปัญญา</t>
  </si>
  <si>
    <t>235 หมู่ 13 ถนนสุขุมวิท ต.หนองจิก อ.บ้านไผ่ จ.พระนครศรีอยุธยา</t>
  </si>
  <si>
    <t>VP1780</t>
  </si>
  <si>
    <t>09/48</t>
  </si>
  <si>
    <t>VP1781</t>
  </si>
  <si>
    <t>09/49</t>
  </si>
  <si>
    <t>คุณอดิศักดิ์</t>
  </si>
  <si>
    <t>61 หมู่ 2 ถนนรามอินทรา ต.ท่าศาลา อ.ลำลูกกา จ.หนองคาย</t>
  </si>
  <si>
    <t>VP1782</t>
  </si>
  <si>
    <t>09/50</t>
  </si>
  <si>
    <t>749 หมู่ 2 ถนนมิตรภาพ ต.หนองจิก อ.ปากช่อง จ.ขอนแก่น</t>
  </si>
  <si>
    <t>VP1783</t>
  </si>
  <si>
    <t>09/51</t>
  </si>
  <si>
    <t>VP1784</t>
  </si>
  <si>
    <t>09/52</t>
  </si>
  <si>
    <t>VP1785</t>
  </si>
  <si>
    <t>09/53</t>
  </si>
  <si>
    <t>คุณพิมมาดา</t>
  </si>
  <si>
    <t>599 หมู่ 10 ถนนสุขุมวิท ต.บ้านใหม่ อ.บ้านไผ่ จ.นครปฐม</t>
  </si>
  <si>
    <t>VP1786</t>
  </si>
  <si>
    <t>09/54</t>
  </si>
  <si>
    <t>คุณปรีชา</t>
  </si>
  <si>
    <t>VP1787</t>
  </si>
  <si>
    <t>09/55</t>
  </si>
  <si>
    <t>คุณปัญญาจิตร</t>
  </si>
  <si>
    <t>VP1788</t>
  </si>
  <si>
    <t>09/56</t>
  </si>
  <si>
    <t>VP1858</t>
  </si>
  <si>
    <t>10/26</t>
  </si>
  <si>
    <t>VP1859</t>
  </si>
  <si>
    <t>10/27</t>
  </si>
  <si>
    <t>VP1860</t>
  </si>
  <si>
    <t>10/28</t>
  </si>
  <si>
    <t>VP1789</t>
  </si>
  <si>
    <t>09/57</t>
  </si>
  <si>
    <t>VP1790</t>
  </si>
  <si>
    <t>09/58</t>
  </si>
  <si>
    <t>VP1791</t>
  </si>
  <si>
    <t>09/59</t>
  </si>
  <si>
    <t>คุณนิราช</t>
  </si>
  <si>
    <t>227 หมู่ 11 ถนนรัชดาภิเษก ต.หนองจิก อ.สีคิ้ว จ.สุรินทร์</t>
  </si>
  <si>
    <t>VP1861</t>
  </si>
  <si>
    <t>10/29</t>
  </si>
  <si>
    <t>VP1862</t>
  </si>
  <si>
    <t>10/30</t>
  </si>
  <si>
    <t>VP1863</t>
  </si>
  <si>
    <t>10/31</t>
  </si>
  <si>
    <t>VP1792</t>
  </si>
  <si>
    <t>09/60</t>
  </si>
  <si>
    <t>คุณอรินญา</t>
  </si>
  <si>
    <t>788 หมู่ 6 ถนนสุขุมวิท ต.โคกสูง อ.ลำลูกกา จ.นครปฐม</t>
  </si>
  <si>
    <t>VP1793</t>
  </si>
  <si>
    <t>09/61</t>
  </si>
  <si>
    <t>VP1794</t>
  </si>
  <si>
    <t>09/62</t>
  </si>
  <si>
    <t>41 หมู่ 13 ถนนรามอินทรา ต.หนองจิก อ.ปากช่อง จ.บุรีรัมย์</t>
  </si>
  <si>
    <t>VP1864</t>
  </si>
  <si>
    <t>10/32</t>
  </si>
  <si>
    <t>VP1865</t>
  </si>
  <si>
    <t>10/33</t>
  </si>
  <si>
    <t>VP1866</t>
  </si>
  <si>
    <t>10/34</t>
  </si>
  <si>
    <t>VP1795</t>
  </si>
  <si>
    <t>09/63</t>
  </si>
  <si>
    <t>คุณนุศรา</t>
  </si>
  <si>
    <t>VP1796</t>
  </si>
  <si>
    <t>09/64</t>
  </si>
  <si>
    <t>คุณชัชวาล</t>
  </si>
  <si>
    <t>61 หมู่ 2 ถนนพหลโยธิน ต.หนองจิก อ.ปากช่อง จ.สมุทรสาคร</t>
  </si>
  <si>
    <t>VP1797</t>
  </si>
  <si>
    <t>09/65</t>
  </si>
  <si>
    <t>749 หมู่ 2 ถนนมิตรภาพ ต.หนองจิก อ.บ้านไผ่ จ.หนองคาย</t>
  </si>
  <si>
    <t>VP1867</t>
  </si>
  <si>
    <t>10/35</t>
  </si>
  <si>
    <t>VP1868</t>
  </si>
  <si>
    <t>10/36</t>
  </si>
  <si>
    <t>VP1869</t>
  </si>
  <si>
    <t>10/37</t>
  </si>
  <si>
    <t>VP1798</t>
  </si>
  <si>
    <t>09/66</t>
  </si>
  <si>
    <t>คุณจันทรีจิรา</t>
  </si>
  <si>
    <t>VP1799</t>
  </si>
  <si>
    <t>09/67</t>
  </si>
  <si>
    <t>567 หมู่ 14 ถนนสุขุมวิท ต.ท่าศาลา อ.บ้านไผ่ จ.ขอนแก่น</t>
  </si>
  <si>
    <t>VP1800</t>
  </si>
  <si>
    <t>09/68</t>
  </si>
  <si>
    <t>คุณนุช</t>
  </si>
  <si>
    <t>VP1870</t>
  </si>
  <si>
    <t>10/38</t>
  </si>
  <si>
    <t>VP1871</t>
  </si>
  <si>
    <t>10/39</t>
  </si>
  <si>
    <t>VP1872</t>
  </si>
  <si>
    <t>10/40</t>
  </si>
  <si>
    <t>VP1801</t>
  </si>
  <si>
    <t>09/69</t>
  </si>
  <si>
    <t>คุณวีระ</t>
  </si>
  <si>
    <t>599 หมู่ 10 ถนนพหลโยธิน ต.หนองจิก อ.ลำลูกกา จ.อุบลราชธานี</t>
  </si>
  <si>
    <t>VP1802</t>
  </si>
  <si>
    <t>09/70</t>
  </si>
  <si>
    <t>คุณรัชดา</t>
  </si>
  <si>
    <t>VP1803</t>
  </si>
  <si>
    <t>09/71</t>
  </si>
  <si>
    <t>VP1873</t>
  </si>
  <si>
    <t>10/41</t>
  </si>
  <si>
    <t>VP1874</t>
  </si>
  <si>
    <t>10/42</t>
  </si>
  <si>
    <t>VP1875</t>
  </si>
  <si>
    <t>10/43</t>
  </si>
  <si>
    <t>VP1804</t>
  </si>
  <si>
    <t>09/72</t>
  </si>
  <si>
    <t>61 หมู่ 2 ถนนรามอินทรา ต.หนองจิก อ.บ้านไผ่ จ.อุบลราชธานี</t>
  </si>
  <si>
    <t>VP1805</t>
  </si>
  <si>
    <t>09/73</t>
  </si>
  <si>
    <t>คุณตุ๊ก</t>
  </si>
  <si>
    <t>749 หมู่ 2 ถนนมิตรภาพ ต.ท่าศาลา อ.บ้านไผ่ จ.นนทบุรี</t>
  </si>
  <si>
    <t>VP1806</t>
  </si>
  <si>
    <t>09/74</t>
  </si>
  <si>
    <t>VP1807</t>
  </si>
  <si>
    <t>09/75</t>
  </si>
  <si>
    <t>คุณวิสัย</t>
  </si>
  <si>
    <t>VP1808</t>
  </si>
  <si>
    <t>09/76</t>
  </si>
  <si>
    <t>VP1809</t>
  </si>
  <si>
    <t>09/77</t>
  </si>
  <si>
    <t>599 หมู่ 10 ถนนพหลโยธิน ต.หนองจิก อ.ลำลูกกา จ.หนองคาย</t>
  </si>
  <si>
    <t>VP1810</t>
  </si>
  <si>
    <t>09/78</t>
  </si>
  <si>
    <t>VP1811</t>
  </si>
  <si>
    <t>09/79</t>
  </si>
  <si>
    <t>VP1812</t>
  </si>
  <si>
    <t>09/80</t>
  </si>
  <si>
    <t>VP1813</t>
  </si>
  <si>
    <t>09/81</t>
  </si>
  <si>
    <t>VP1814</t>
  </si>
  <si>
    <t>09/82</t>
  </si>
  <si>
    <t>VP1815</t>
  </si>
  <si>
    <t>09/83</t>
  </si>
  <si>
    <t>235 หมู่ 13 ถนนรามอินทรา ต.โคกสูง อ.ท่าเรือ จ.สระบุรี</t>
  </si>
  <si>
    <t>VP1816</t>
  </si>
  <si>
    <t>09/84</t>
  </si>
  <si>
    <t>VP1817</t>
  </si>
  <si>
    <t>09/85</t>
  </si>
  <si>
    <t>คุณนันทพงศ์</t>
  </si>
  <si>
    <t>VP1818</t>
  </si>
  <si>
    <t>09/86</t>
  </si>
  <si>
    <t>VP1819</t>
  </si>
  <si>
    <t>09/87</t>
  </si>
  <si>
    <t>61 หมู่ 2 ถนนมิตรภาพ ต.หนองจิก อ.ปากช่อง จ.สุพรรณบุรี</t>
  </si>
  <si>
    <t>VP1820</t>
  </si>
  <si>
    <t>09/88</t>
  </si>
  <si>
    <t>749 หมู่ 2 ถนนพหลโยธิน ต.หนองจิก อ.บ้านไผ่ จ.ขอนแก่น</t>
  </si>
  <si>
    <t>VP1821</t>
  </si>
  <si>
    <t>09/89</t>
  </si>
  <si>
    <t>VP1822</t>
  </si>
  <si>
    <t>09/90</t>
  </si>
  <si>
    <t>VP1823</t>
  </si>
  <si>
    <t>09/91</t>
  </si>
  <si>
    <t>VP1824</t>
  </si>
  <si>
    <t>09/92</t>
  </si>
  <si>
    <t>VP1825</t>
  </si>
  <si>
    <t>09/93</t>
  </si>
  <si>
    <t>VP1826</t>
  </si>
  <si>
    <t>09/94</t>
  </si>
  <si>
    <t>VP1827</t>
  </si>
  <si>
    <t>09/95</t>
  </si>
  <si>
    <t>VP1828</t>
  </si>
  <si>
    <t>09/96</t>
  </si>
  <si>
    <t>VP1829</t>
  </si>
  <si>
    <t>09/97</t>
  </si>
  <si>
    <t>VP1830</t>
  </si>
  <si>
    <t>09/98</t>
  </si>
  <si>
    <t>VP1831</t>
  </si>
  <si>
    <t>09/99</t>
  </si>
  <si>
    <t>VP1832</t>
  </si>
  <si>
    <t>09/100</t>
  </si>
  <si>
    <t>VP1833</t>
  </si>
  <si>
    <t>VP1834</t>
  </si>
  <si>
    <t>VP1835</t>
  </si>
  <si>
    <t>235 หมู่ 13 ถนนรามอินทรา ต.หนองจิก อ.ปากช่อง จ.นนทบุรี</t>
  </si>
  <si>
    <t>VP1836</t>
  </si>
  <si>
    <t>VP1837</t>
  </si>
  <si>
    <t>VP1838</t>
  </si>
  <si>
    <t>599 หมู่ 10 ถนนพหลโยธิน ต.บ้านใหม่ อ.บ้านไผ่ จ.ขอนแก่น</t>
  </si>
  <si>
    <t>VP1839</t>
  </si>
  <si>
    <t>VP1840</t>
  </si>
  <si>
    <t>61 หมู่ 2 ถนนรามอินทรา ต.ท่าศาลา อ.บ้านไผ่ จ.พระนครศรีอยุธยา</t>
  </si>
  <si>
    <t>VP1841</t>
  </si>
  <si>
    <t>VP1842</t>
  </si>
  <si>
    <t>VP1843</t>
  </si>
  <si>
    <t>VP1844</t>
  </si>
  <si>
    <t>VP1845</t>
  </si>
  <si>
    <t>10/13</t>
  </si>
  <si>
    <t>VP1846</t>
  </si>
  <si>
    <t>10/14</t>
  </si>
  <si>
    <t>VP1847</t>
  </si>
  <si>
    <t>10/15</t>
  </si>
  <si>
    <t>VP1848</t>
  </si>
  <si>
    <t>10/16</t>
  </si>
  <si>
    <t>VP1849</t>
  </si>
  <si>
    <t>10/17</t>
  </si>
  <si>
    <t>VP1850</t>
  </si>
  <si>
    <t>10/18</t>
  </si>
  <si>
    <t>VP1851</t>
  </si>
  <si>
    <t>10/19</t>
  </si>
  <si>
    <t>คุณปิติภัทร</t>
  </si>
  <si>
    <t>VP1852</t>
  </si>
  <si>
    <t>10/20</t>
  </si>
  <si>
    <t>VP1853</t>
  </si>
  <si>
    <t>10/21</t>
  </si>
  <si>
    <t>VP1854</t>
  </si>
  <si>
    <t>10/22</t>
  </si>
  <si>
    <t>คุณวิชัยยุทธ</t>
  </si>
  <si>
    <t>VP1855</t>
  </si>
  <si>
    <t>10/23</t>
  </si>
  <si>
    <t>VP1856</t>
  </si>
  <si>
    <t>10/24</t>
  </si>
  <si>
    <t>VP1857</t>
  </si>
  <si>
    <t>10/25</t>
  </si>
  <si>
    <t>VP1876</t>
  </si>
  <si>
    <t>10/44</t>
  </si>
  <si>
    <t>VP1877</t>
  </si>
  <si>
    <t>10/45</t>
  </si>
  <si>
    <t>VP1878</t>
  </si>
  <si>
    <t>10/46</t>
  </si>
  <si>
    <t>VP1879</t>
  </si>
  <si>
    <t>10/47</t>
  </si>
  <si>
    <t>VP1880</t>
  </si>
  <si>
    <t>10/48</t>
  </si>
  <si>
    <t>VP1881</t>
  </si>
  <si>
    <t>10/49</t>
  </si>
  <si>
    <t>VP1882</t>
  </si>
  <si>
    <t>10/50</t>
  </si>
  <si>
    <t>VP1883</t>
  </si>
  <si>
    <t>10/51</t>
  </si>
  <si>
    <t>VP1884</t>
  </si>
  <si>
    <t>10/52</t>
  </si>
  <si>
    <t>VP1885</t>
  </si>
  <si>
    <t>10/53</t>
  </si>
  <si>
    <t>VP1886</t>
  </si>
  <si>
    <t>10/54</t>
  </si>
  <si>
    <t>VP1887</t>
  </si>
  <si>
    <t>10/55</t>
  </si>
  <si>
    <t>VP1888</t>
  </si>
  <si>
    <t>10/56</t>
  </si>
  <si>
    <t>VP1889</t>
  </si>
  <si>
    <t>10/57</t>
  </si>
  <si>
    <t>VP1890</t>
  </si>
  <si>
    <t>10/58</t>
  </si>
  <si>
    <t>VP1891</t>
  </si>
  <si>
    <t>10/59</t>
  </si>
  <si>
    <t>VP1892</t>
  </si>
  <si>
    <t>10/60</t>
  </si>
  <si>
    <t>VP1893</t>
  </si>
  <si>
    <t>10/61</t>
  </si>
  <si>
    <t>VP1894</t>
  </si>
  <si>
    <t>10/62</t>
  </si>
  <si>
    <t>VP1895</t>
  </si>
  <si>
    <t>10/63</t>
  </si>
  <si>
    <t>VP1896</t>
  </si>
  <si>
    <t>10/64</t>
  </si>
  <si>
    <t>VP1897</t>
  </si>
  <si>
    <t>10/65</t>
  </si>
  <si>
    <t>VP1898</t>
  </si>
  <si>
    <t>10/66</t>
  </si>
  <si>
    <t>VP1899</t>
  </si>
  <si>
    <t>10/67</t>
  </si>
  <si>
    <t>VP1900</t>
  </si>
  <si>
    <t>10/68</t>
  </si>
  <si>
    <t>VP1901</t>
  </si>
  <si>
    <t>10/69</t>
  </si>
  <si>
    <t>VP1902</t>
  </si>
  <si>
    <t>10/70</t>
  </si>
  <si>
    <t>VP1903</t>
  </si>
  <si>
    <t>10/71</t>
  </si>
  <si>
    <t>VP1904</t>
  </si>
  <si>
    <t>10/72</t>
  </si>
  <si>
    <t>VP1905</t>
  </si>
  <si>
    <t>10/73</t>
  </si>
  <si>
    <t>VP1906</t>
  </si>
  <si>
    <t>10/74</t>
  </si>
  <si>
    <t>VP1907</t>
  </si>
  <si>
    <t>10/75</t>
  </si>
  <si>
    <t>VP1908</t>
  </si>
  <si>
    <t>10/76</t>
  </si>
  <si>
    <t>VP1909</t>
  </si>
  <si>
    <t>10/77</t>
  </si>
  <si>
    <t>VP1910</t>
  </si>
  <si>
    <t>เลขที่เอกสาร</t>
  </si>
  <si>
    <t>ชื่อ-นามสกุล</t>
  </si>
  <si>
    <t>ประเภทห้อง</t>
  </si>
  <si>
    <t>เบอร์ติดต่อ</t>
  </si>
  <si>
    <t>มูลค่าสินค้า/บริการ</t>
  </si>
  <si>
    <t>จำนวนเงินภาษี</t>
  </si>
  <si>
    <t>10/78</t>
  </si>
  <si>
    <t>081-8462526</t>
  </si>
  <si>
    <t>088-2982325</t>
  </si>
  <si>
    <t>081-4761013</t>
  </si>
  <si>
    <t>083-3275362</t>
  </si>
  <si>
    <t>087-8454723</t>
  </si>
  <si>
    <t>085-9019159</t>
  </si>
  <si>
    <t>083-9163226</t>
  </si>
  <si>
    <t>088-1346501</t>
  </si>
  <si>
    <t>087-4825689</t>
  </si>
  <si>
    <t>089-3680464</t>
  </si>
  <si>
    <t>088-8243407</t>
  </si>
  <si>
    <t>081-8284272</t>
  </si>
  <si>
    <t>089-6140271</t>
  </si>
  <si>
    <t>085-6237191</t>
  </si>
  <si>
    <t>086-8177598</t>
  </si>
  <si>
    <t>083-1183565</t>
  </si>
  <si>
    <t>083-6792646</t>
  </si>
  <si>
    <t>088-9840787</t>
  </si>
  <si>
    <t>082-3912990</t>
  </si>
  <si>
    <t>081-8578692</t>
  </si>
  <si>
    <t>084-6407134</t>
  </si>
  <si>
    <t>083-7932345</t>
  </si>
  <si>
    <t>089-4263711</t>
  </si>
  <si>
    <t>088-4002600</t>
  </si>
  <si>
    <t>089-1547230</t>
  </si>
  <si>
    <t>083-8140127</t>
  </si>
  <si>
    <t>087-6660128</t>
  </si>
  <si>
    <t>088-1807704</t>
  </si>
  <si>
    <t>086-4479930</t>
  </si>
  <si>
    <t>083-7666052</t>
  </si>
  <si>
    <t>085-3752147</t>
  </si>
  <si>
    <t>081-9407273</t>
  </si>
  <si>
    <t>084-5542296</t>
  </si>
  <si>
    <t>088-5507773</t>
  </si>
  <si>
    <t>086-8435483</t>
  </si>
  <si>
    <t>082-1979902</t>
  </si>
  <si>
    <t>088-5866880</t>
  </si>
  <si>
    <t>085-9185564</t>
  </si>
  <si>
    <t>082-8925389</t>
  </si>
  <si>
    <t>084-2626389</t>
  </si>
  <si>
    <t>081-7484584</t>
  </si>
  <si>
    <t>081-7110552</t>
  </si>
  <si>
    <t>081-9682234</t>
  </si>
  <si>
    <t>087-6977713</t>
  </si>
  <si>
    <t>084-5213470</t>
  </si>
  <si>
    <t>083-7191797</t>
  </si>
  <si>
    <t>080-7444512</t>
  </si>
  <si>
    <t>080-6894276</t>
  </si>
  <si>
    <t>080-8802829</t>
  </si>
  <si>
    <t>082-1698668</t>
  </si>
  <si>
    <t>085-4498170</t>
  </si>
  <si>
    <t>080-8064406</t>
  </si>
  <si>
    <t>080-6666848</t>
  </si>
  <si>
    <t>085-1876665</t>
  </si>
  <si>
    <t>083-2893947</t>
  </si>
  <si>
    <t>VP01734</t>
  </si>
  <si>
    <t>VP01735</t>
  </si>
  <si>
    <t>VP01736</t>
  </si>
  <si>
    <t>VP01737</t>
  </si>
  <si>
    <t>VP01738</t>
  </si>
  <si>
    <t>VP01739</t>
  </si>
  <si>
    <t>VP01740</t>
  </si>
  <si>
    <t>VP01741</t>
  </si>
  <si>
    <t>VP01742</t>
  </si>
  <si>
    <t>VP01743</t>
  </si>
  <si>
    <t>VP01744</t>
  </si>
  <si>
    <t>VP01745</t>
  </si>
  <si>
    <t>VP01746</t>
  </si>
  <si>
    <t>VP01747</t>
  </si>
  <si>
    <t>VP01748</t>
  </si>
  <si>
    <t>VP01749</t>
  </si>
  <si>
    <t>VP01750</t>
  </si>
  <si>
    <t>VP01751</t>
  </si>
  <si>
    <t>VP01752</t>
  </si>
  <si>
    <t>VP01753</t>
  </si>
  <si>
    <t>VP01754</t>
  </si>
  <si>
    <t>VP01755</t>
  </si>
  <si>
    <t>VP01756</t>
  </si>
  <si>
    <t>VP01757</t>
  </si>
  <si>
    <t>VP01758</t>
  </si>
  <si>
    <t>VP01759</t>
  </si>
  <si>
    <t>VP01760</t>
  </si>
  <si>
    <t>VP01761</t>
  </si>
  <si>
    <t>VP01762</t>
  </si>
  <si>
    <t>VP01763</t>
  </si>
  <si>
    <t>VP01764</t>
  </si>
  <si>
    <t>VP01765</t>
  </si>
  <si>
    <t>VP01766</t>
  </si>
  <si>
    <t>VP01767</t>
  </si>
  <si>
    <t>VP01768</t>
  </si>
  <si>
    <t>VP01769</t>
  </si>
  <si>
    <t>VP01770</t>
  </si>
  <si>
    <t>VP01771</t>
  </si>
  <si>
    <t>VP01772</t>
  </si>
  <si>
    <t>VP01773</t>
  </si>
  <si>
    <t>VP01774</t>
  </si>
  <si>
    <t>VP01775</t>
  </si>
  <si>
    <t>VP01776</t>
  </si>
  <si>
    <t>VP01777</t>
  </si>
  <si>
    <t>VP01778</t>
  </si>
  <si>
    <t>VP01779</t>
  </si>
  <si>
    <t>VP01780</t>
  </si>
  <si>
    <t>VP01781</t>
  </si>
  <si>
    <t>VP01782</t>
  </si>
  <si>
    <t>VP01783</t>
  </si>
  <si>
    <t>VP01784</t>
  </si>
  <si>
    <t>VP01785</t>
  </si>
  <si>
    <t>VP01786</t>
  </si>
  <si>
    <t>VP01787</t>
  </si>
  <si>
    <t>VP01788</t>
  </si>
  <si>
    <t>VP01789</t>
  </si>
  <si>
    <t>VP01790</t>
  </si>
  <si>
    <t>VP01791</t>
  </si>
  <si>
    <t>VP01792</t>
  </si>
  <si>
    <t>VP01793</t>
  </si>
  <si>
    <t>VP01794</t>
  </si>
  <si>
    <t>VP01795</t>
  </si>
  <si>
    <t>VP01796</t>
  </si>
  <si>
    <t>VP01797</t>
  </si>
  <si>
    <t>VP01798</t>
  </si>
  <si>
    <t>VP01799</t>
  </si>
  <si>
    <t>VP01800</t>
  </si>
  <si>
    <t>VP01801</t>
  </si>
  <si>
    <t>VP01802</t>
  </si>
  <si>
    <t>VP01803</t>
  </si>
  <si>
    <t>VP01804</t>
  </si>
  <si>
    <t>VP01805</t>
  </si>
  <si>
    <t>VP01806</t>
  </si>
  <si>
    <t>VP01807</t>
  </si>
  <si>
    <t>VP01808</t>
  </si>
  <si>
    <t>VP01809</t>
  </si>
  <si>
    <t>VP01810</t>
  </si>
  <si>
    <t>VP01811</t>
  </si>
  <si>
    <t>VP01812</t>
  </si>
  <si>
    <t>VP01813</t>
  </si>
  <si>
    <t>VP01814</t>
  </si>
  <si>
    <t>VP01815</t>
  </si>
  <si>
    <t>VP01816</t>
  </si>
  <si>
    <t>VP01817</t>
  </si>
  <si>
    <t>VP01818</t>
  </si>
  <si>
    <t>VP01819</t>
  </si>
  <si>
    <t>VP01820</t>
  </si>
  <si>
    <t>VP01821</t>
  </si>
  <si>
    <t>VP01822</t>
  </si>
  <si>
    <t>VP01823</t>
  </si>
  <si>
    <t>VP01824</t>
  </si>
  <si>
    <t>VP01825</t>
  </si>
  <si>
    <t>VP01826</t>
  </si>
  <si>
    <t>VP01827</t>
  </si>
  <si>
    <t>VP01828</t>
  </si>
  <si>
    <t>VP01829</t>
  </si>
  <si>
    <t>VP01830</t>
  </si>
  <si>
    <t>VP01831</t>
  </si>
  <si>
    <t>VP01832</t>
  </si>
  <si>
    <t>VP01833</t>
  </si>
  <si>
    <t>VP01834</t>
  </si>
  <si>
    <t>VP01835</t>
  </si>
  <si>
    <t>VP01836</t>
  </si>
  <si>
    <t>VP01837</t>
  </si>
  <si>
    <t>VP01838</t>
  </si>
  <si>
    <t>VP01839</t>
  </si>
  <si>
    <t>VP01840</t>
  </si>
  <si>
    <t>VP01841</t>
  </si>
  <si>
    <t>VP01842</t>
  </si>
  <si>
    <t>VP01843</t>
  </si>
  <si>
    <t>VP01844</t>
  </si>
  <si>
    <t>VP01845</t>
  </si>
  <si>
    <t>VP01846</t>
  </si>
  <si>
    <t>VP01847</t>
  </si>
  <si>
    <t>VP01848</t>
  </si>
  <si>
    <t>VP01849</t>
  </si>
  <si>
    <t>VP01850</t>
  </si>
  <si>
    <t>VP01851</t>
  </si>
  <si>
    <t>VP01852</t>
  </si>
  <si>
    <t>VP01853</t>
  </si>
  <si>
    <t>VP01854</t>
  </si>
  <si>
    <t>VP01855</t>
  </si>
  <si>
    <t>VP01856</t>
  </si>
  <si>
    <t>VP01857</t>
  </si>
  <si>
    <t>VP01858</t>
  </si>
  <si>
    <t>VP01859</t>
  </si>
  <si>
    <t>VP01860</t>
  </si>
  <si>
    <t>VP01861</t>
  </si>
  <si>
    <t>VP01862</t>
  </si>
  <si>
    <t>VP01863</t>
  </si>
  <si>
    <t>VP01864</t>
  </si>
  <si>
    <t>VP01865</t>
  </si>
  <si>
    <t>VP01866</t>
  </si>
  <si>
    <t>VP01867</t>
  </si>
  <si>
    <t>VP01868</t>
  </si>
  <si>
    <t>VP01869</t>
  </si>
  <si>
    <t>VP01870</t>
  </si>
  <si>
    <t>VP01871</t>
  </si>
  <si>
    <t>VP01872</t>
  </si>
  <si>
    <t>VP01873</t>
  </si>
  <si>
    <t>VP01874</t>
  </si>
  <si>
    <t>VP01875</t>
  </si>
  <si>
    <t>VP01876</t>
  </si>
  <si>
    <t>VP01877</t>
  </si>
  <si>
    <t>VP01878</t>
  </si>
  <si>
    <t>VP01879</t>
  </si>
  <si>
    <t>VP01880</t>
  </si>
  <si>
    <t>VP01881</t>
  </si>
  <si>
    <t>VP01882</t>
  </si>
  <si>
    <t>VP01883</t>
  </si>
  <si>
    <t>VP01884</t>
  </si>
  <si>
    <t>VP01885</t>
  </si>
  <si>
    <t>VP01886</t>
  </si>
  <si>
    <t>VP01887</t>
  </si>
  <si>
    <t>VP01888</t>
  </si>
  <si>
    <t>VP01889</t>
  </si>
  <si>
    <t>VP01890</t>
  </si>
  <si>
    <t>VP01891</t>
  </si>
  <si>
    <t>VP01892</t>
  </si>
  <si>
    <t>VP01893</t>
  </si>
  <si>
    <t>VP01894</t>
  </si>
  <si>
    <t>VP01895</t>
  </si>
  <si>
    <t>VP01896</t>
  </si>
  <si>
    <t>VP01897</t>
  </si>
  <si>
    <t>VP01898</t>
  </si>
  <si>
    <t>VP01899</t>
  </si>
  <si>
    <t>VP01900</t>
  </si>
  <si>
    <t>VP01901</t>
  </si>
  <si>
    <t>VP01902</t>
  </si>
  <si>
    <t>VP01903</t>
  </si>
  <si>
    <t>VP01904</t>
  </si>
  <si>
    <t>VP01905</t>
  </si>
  <si>
    <t>VP01906</t>
  </si>
  <si>
    <t>VP01907</t>
  </si>
  <si>
    <t>VP01908</t>
  </si>
  <si>
    <t>VP01909</t>
  </si>
  <si>
    <t>VP01910</t>
  </si>
  <si>
    <t>VP01911</t>
  </si>
  <si>
    <t>VP01912</t>
  </si>
  <si>
    <t>VP01913</t>
  </si>
  <si>
    <t>VP01914</t>
  </si>
  <si>
    <t>VP01915</t>
  </si>
  <si>
    <t>VP01916</t>
  </si>
  <si>
    <t>VP01917</t>
  </si>
  <si>
    <t>VP01918</t>
  </si>
  <si>
    <t>VP01919</t>
  </si>
  <si>
    <t>VP01920</t>
  </si>
  <si>
    <t>VP01921</t>
  </si>
  <si>
    <t>VP01922</t>
  </si>
  <si>
    <t>VP01923</t>
  </si>
  <si>
    <t>VP01924</t>
  </si>
  <si>
    <t>VP01925</t>
  </si>
  <si>
    <t>VP01926</t>
  </si>
  <si>
    <t>VP01927</t>
  </si>
  <si>
    <t>VP01928</t>
  </si>
  <si>
    <t>VP01929</t>
  </si>
  <si>
    <t>VP01930</t>
  </si>
  <si>
    <t>VP01931</t>
  </si>
  <si>
    <t>VP01932</t>
  </si>
  <si>
    <t>VP01933</t>
  </si>
  <si>
    <t>VP01934</t>
  </si>
  <si>
    <t>บัญชีผู้เข้าพักและรายละเอียดในการเรียกเก็บค่าธรรมเนียมบำรุงองค์การบริหารส่วนจังหวัด</t>
  </si>
  <si>
    <t xml:space="preserve">         แบบ อบจ. รร.6</t>
  </si>
  <si>
    <t>ราคาห้องพัก (บาท)</t>
  </si>
  <si>
    <t>จำนวนห้อง</t>
  </si>
  <si>
    <t>รวมเป็นเงิน (บาท)</t>
  </si>
  <si>
    <t>ค่าธรรมเนียม (บาท)</t>
  </si>
  <si>
    <t xml:space="preserve"> วันที่           เดือน</t>
  </si>
  <si>
    <t xml:space="preserve">พ.ศ  </t>
  </si>
  <si>
    <t xml:space="preserve">                 เจ้าของ/เจ้าสำนักโรงแรม วิพัฒน์โฮเทลดีเวลลอปเม้นท์จำกัด ได้จัดทำรายการของผู้เข้าพักในโรงแรมประจำเดือน..กันยายน... พ.ศ... 2568</t>
  </si>
  <si>
    <t xml:space="preserve">ยื่นต่อองค์การบริหารส่วนจังหวัดบึงกาฬ </t>
  </si>
  <si>
    <t>มีข้อความต่อไปนี้</t>
  </si>
  <si>
    <t>ราคาระดับอื่น ๆ</t>
  </si>
  <si>
    <t>ลำดับ</t>
  </si>
  <si>
    <t>ชื่อ-สกุล</t>
  </si>
  <si>
    <t>วันเวลาที่เข้าพัก</t>
  </si>
  <si>
    <t>รวมจำนวน</t>
  </si>
  <si>
    <t>ห้องพักราคา</t>
  </si>
  <si>
    <t>รวมเป็นเงิน</t>
  </si>
  <si>
    <t>หมายเหตุ</t>
  </si>
  <si>
    <t>วันเข้าพัก</t>
  </si>
  <si>
    <t>บาท</t>
  </si>
  <si>
    <t>ค่าเช่าห้องพัก</t>
  </si>
  <si>
    <t>ค่าธรรมเนียม</t>
  </si>
  <si>
    <t>รวมทั้งสิ้น</t>
  </si>
  <si>
    <t xml:space="preserve">ใบเสร็จรับเงิน / ใบกำกับภาษี        
</t>
  </si>
  <si>
    <t>ต้นฉบับ</t>
  </si>
  <si>
    <t>สำเนา</t>
  </si>
  <si>
    <t>วันที่</t>
  </si>
  <si>
    <t>ชำระเงินโดย</t>
  </si>
  <si>
    <t>ชื่อลูกค้า</t>
  </si>
  <si>
    <t>ระยะเวลา</t>
  </si>
  <si>
    <t>ราคารวม</t>
  </si>
  <si>
    <t>ภาษีมูลค่าเพิ่ม 7%</t>
  </si>
  <si>
    <t>ราคาไม่รวมภาษีมูลค่าเพิ่ม</t>
  </si>
  <si>
    <t>จำนวนเงินรวมทั้งสิ้น</t>
  </si>
  <si>
    <t>หน้าที่ 1</t>
  </si>
  <si>
    <t>ชื่อ-สกุล นาย ณัฐภัทร  ไกรรัตน์   ห้อง A204  กันยายน  ประจำเดือน    2568</t>
  </si>
  <si>
    <t>ค่าตั้งต้น</t>
  </si>
  <si>
    <t xml:space="preserve"> **กรุณาจ่ายเงินก่อนวันที่ 5 ของเดือน**</t>
  </si>
  <si>
    <t>ชำระช้าปรับวันละ 50 บาท</t>
  </si>
  <si>
    <t>**จ่ายเงินได้ที่ออฟฟิตหน้าโรงแรม**</t>
  </si>
  <si>
    <t xml:space="preserve"> ติดต่อสอบถาม โทร 080-6254859,042-492641</t>
  </si>
  <si>
    <t>หน้าที่ 2</t>
  </si>
  <si>
    <t>ชื่อ-สกุล  น.ส. จีรัญญา มหาคม   ห้อง A205    ประจำเดือน  กันยายน  2568</t>
  </si>
  <si>
    <t>📅 เลือกวันที่</t>
  </si>
  <si>
    <t>💰 ค่าแรงรวม</t>
  </si>
  <si>
    <t>🧑🏻‍💻 ค่าแรงเฉลี่ยต่อหัว</t>
  </si>
  <si>
    <t>👷🏻‍♀️ จำนวนพนักงาน</t>
  </si>
  <si>
    <t>🛑 สายรวม (นาที)</t>
  </si>
  <si>
    <t>📅 วันที่</t>
  </si>
  <si>
    <t>👷🏻‍♀️ ชื่อทีมงาน</t>
  </si>
  <si>
    <t>🤑 ค่าแรงรายวัน</t>
  </si>
  <si>
    <t>🛑 หักสายนาที</t>
  </si>
  <si>
    <t>⏱️ OT (ชั่วโมง)</t>
  </si>
  <si>
    <t>OT เท่า</t>
  </si>
  <si>
    <t>💰 รายรับอื่นๆ</t>
  </si>
  <si>
    <t>💸 รายหักอื่นๆ</t>
  </si>
  <si>
    <t>🟰 รายได้สุทธิ</t>
  </si>
  <si>
    <t>นุช</t>
  </si>
  <si>
    <t>หลิว</t>
  </si>
  <si>
    <t>บูม</t>
  </si>
  <si>
    <t>แก้ว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</si>
</sst>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d&quot; &quot;mmm&quot; &quot;yy"/>
    <numFmt numFmtId="165" formatCode="[$฿-41E]#,##0"/>
    <numFmt numFmtId="166" formatCode="&quot;฿&quot;#,##0"/>
    <numFmt numFmtId="167" formatCode="#\-####\-##0"/>
    <numFmt numFmtId="168" formatCode="d mmmm yyyy"/>
    <numFmt numFmtId="169" formatCode="d mmm yyyy"/>
    <numFmt numFmtId="170" formatCode="d/m/yy"/>
    <numFmt numFmtId="171" formatCode="&quot;  &quot;yyyy"/>
    <numFmt numFmtId="172" formatCode="mmmm yyyy"/>
    <numFmt numFmtId="173" formatCode="dd/mm/yyyy"/>
    <numFmt numFmtId="174" formatCode="dd/mm"/>
    <numFmt numFmtId="175" formatCode="d/m"/>
    <numFmt numFmtId="176" formatCode="0##-###-####"/>
    <numFmt numFmtId="177" formatCode="dd&quot;/&quot;mm&quot;/&quot;yy"/>
    <numFmt numFmtId="178" formatCode="m/d/yyyy h:mm:ss"/>
    <numFmt numFmtId="179" formatCode="d&quot;-&quot;mmm&quot;-&quot;yy"/>
    <numFmt numFmtId="180" formatCode="_([$฿-41E]* #,##0.00_);_([$฿-41E]* \(#,##0.00\);_([$฿-41E]* &quot;-&quot;??_);_(@_)"/>
  </numFmts>
  <fonts count="102">
    <font>
      <sz val="10.0"/>
      <color rgb="FF000000"/>
      <name val="Arial"/>
      <scheme val="minor"/>
    </font>
    <font>
      <b/>
      <sz val="21.0"/>
      <color theme="1"/>
      <name val="Angsana New"/>
    </font>
    <font>
      <sz val="14.0"/>
      <color theme="1"/>
      <name val="Angsana New"/>
    </font>
    <font>
      <sz val="14.0"/>
      <color rgb="FF000000"/>
      <name val="Angsana New"/>
    </font>
    <font>
      <sz val="14.0"/>
      <color rgb="FF1A1C1E"/>
      <name val="Angsana New"/>
    </font>
    <font>
      <sz val="14.0"/>
      <color rgb="FF333333"/>
      <name val="Angsana New"/>
    </font>
    <font>
      <color theme="1"/>
      <name val="Angsana New"/>
    </font>
    <font>
      <color theme="1"/>
      <name val="Arial"/>
      <scheme val="minor"/>
    </font>
    <font>
      <b/>
      <u/>
      <sz val="14.0"/>
      <color rgb="FF1155CC"/>
      <name val="DM Mono"/>
    </font>
    <font>
      <b/>
      <sz val="14.0"/>
      <color theme="1"/>
      <name val="DM Mono"/>
    </font>
    <font>
      <b/>
      <sz val="14.0"/>
      <color rgb="FF1A1C1E"/>
      <name val="DM Mono"/>
    </font>
    <font>
      <color theme="1"/>
      <name val="Bai Jamjuree"/>
    </font>
    <font>
      <b/>
      <sz val="18.0"/>
      <color rgb="FF000000"/>
      <name val="Bai Jamjuree"/>
    </font>
    <font/>
    <font>
      <b/>
      <sz val="18.0"/>
      <color theme="1"/>
      <name val="Bai Jamjuree"/>
    </font>
    <font>
      <sz val="11.0"/>
      <color rgb="FF000000"/>
      <name val="Bai Jamjuree"/>
    </font>
    <font>
      <sz val="11.0"/>
      <color rgb="FF0000FF"/>
      <name val="Bai Jamjuree"/>
    </font>
    <font>
      <b/>
      <sz val="11.0"/>
      <color rgb="FF000000"/>
      <name val="Bai Jamjuree"/>
    </font>
    <font>
      <sz val="18.0"/>
      <color theme="1"/>
      <name val="DM Mono"/>
    </font>
    <font>
      <sz val="11.0"/>
      <color rgb="FFFF0000"/>
      <name val="Bai Jamjuree"/>
    </font>
    <font>
      <sz val="11.0"/>
      <color rgb="FF1F1F1F"/>
      <name val="Bai Jamjuree"/>
    </font>
    <font>
      <u/>
      <sz val="11.0"/>
      <color rgb="FF000000"/>
      <name val="Bai Jamjuree"/>
    </font>
    <font>
      <sz val="18.0"/>
      <color rgb="FF001D35"/>
      <name val="DM Mono"/>
    </font>
    <font>
      <b/>
      <sz val="28.0"/>
      <color theme="1"/>
      <name val="Kanit"/>
    </font>
    <font>
      <b/>
      <sz val="28.0"/>
      <color rgb="FF000000"/>
      <name val="Kanit"/>
    </font>
    <font>
      <b/>
      <sz val="25.0"/>
      <color theme="1"/>
      <name val="Kanit"/>
    </font>
    <font>
      <sz val="14.0"/>
      <color theme="1"/>
      <name val="Kanit"/>
    </font>
    <font>
      <sz val="14.0"/>
      <color rgb="FF000000"/>
      <name val="Kanit"/>
    </font>
    <font>
      <sz val="18.0"/>
      <color theme="1"/>
      <name val="Kanit"/>
    </font>
    <font>
      <sz val="18.0"/>
      <color rgb="FF000000"/>
      <name val="Kanit"/>
    </font>
    <font>
      <b/>
      <sz val="15.0"/>
      <color theme="1"/>
      <name val="DM Mono"/>
    </font>
    <font>
      <sz val="15.0"/>
      <color theme="1"/>
      <name val="DM Mono"/>
    </font>
    <font>
      <b/>
      <u/>
      <sz val="29.0"/>
      <color theme="1"/>
      <name val="DM Mono"/>
    </font>
    <font>
      <b/>
      <sz val="22.0"/>
      <color theme="1"/>
      <name val="DM Mono"/>
    </font>
    <font>
      <sz val="20.0"/>
      <color theme="1"/>
      <name val="DM Mono"/>
    </font>
    <font>
      <sz val="22.0"/>
      <color theme="1"/>
      <name val="DM Mono"/>
    </font>
    <font>
      <b/>
      <sz val="16.0"/>
      <color rgb="FFFF0000"/>
      <name val="DM Mono"/>
    </font>
    <font>
      <sz val="14.0"/>
      <color theme="1"/>
      <name val="DM Mono"/>
    </font>
    <font>
      <b/>
      <sz val="15.0"/>
      <color rgb="FFFF0000"/>
      <name val="DM Mono"/>
    </font>
    <font>
      <b/>
      <sz val="15.0"/>
      <color rgb="FFFF9900"/>
      <name val="DM Mono"/>
    </font>
    <font>
      <b/>
      <sz val="15.0"/>
      <color rgb="FFBF9000"/>
      <name val="DM Mono"/>
    </font>
    <font>
      <sz val="15.0"/>
      <color rgb="FFFF0000"/>
      <name val="DM Mono"/>
    </font>
    <font>
      <b/>
      <sz val="15.0"/>
      <color rgb="FF00FF00"/>
      <name val="DM Mono"/>
    </font>
    <font>
      <b/>
      <sz val="15.0"/>
      <color rgb="FF00FFFF"/>
      <name val="DM Mono"/>
    </font>
    <font>
      <color rgb="FFFF0000"/>
      <name val="Arial"/>
      <scheme val="minor"/>
    </font>
    <font>
      <b/>
      <sz val="15.0"/>
      <color rgb="FF4A86E8"/>
      <name val="DM Mono"/>
    </font>
    <font>
      <sz val="11.0"/>
      <color rgb="FF000000"/>
      <name val="Arial"/>
    </font>
    <font>
      <sz val="20.0"/>
      <color theme="1"/>
      <name val="Angsana New"/>
    </font>
    <font>
      <sz val="20.0"/>
      <color rgb="FF333333"/>
      <name val="Angsana New"/>
    </font>
    <font>
      <b/>
      <sz val="22.0"/>
      <color theme="1"/>
      <name val="Angsana New"/>
    </font>
    <font>
      <color theme="1"/>
      <name val="Arial"/>
    </font>
    <font>
      <b/>
      <sz val="12.0"/>
      <color rgb="FF1A1C1E"/>
      <name val="DM Mono"/>
    </font>
    <font>
      <sz val="12.0"/>
      <color rgb="FF303030"/>
      <name val="DM Mono"/>
    </font>
    <font>
      <sz val="18.0"/>
      <color theme="1"/>
      <name val="Arial"/>
    </font>
    <font>
      <sz val="18.0"/>
      <color rgb="FFFF0000"/>
      <name val="Arial"/>
    </font>
    <font>
      <b/>
      <sz val="12.0"/>
      <color rgb="FF303030"/>
      <name val="DM Mono"/>
    </font>
    <font>
      <b/>
      <sz val="18.0"/>
      <color theme="1"/>
      <name val="Angsana New"/>
    </font>
    <font>
      <sz val="18.0"/>
      <color theme="1"/>
      <name val="Angsana New"/>
    </font>
    <font>
      <color rgb="FF1A1C1E"/>
      <name val="&quot;DM Mono&quot;"/>
    </font>
    <font>
      <sz val="20.0"/>
      <color rgb="FF1A1C1E"/>
      <name val="Angsana New"/>
    </font>
    <font>
      <b/>
      <sz val="20.0"/>
      <color rgb="FF1A1C1E"/>
      <name val="Angsana New"/>
    </font>
    <font>
      <b/>
      <color rgb="FF1A1C1E"/>
      <name val="&quot;DM Mono&quot;"/>
    </font>
    <font>
      <b/>
      <color theme="1"/>
      <name val="Arial"/>
    </font>
    <font>
      <b/>
      <sz val="20.0"/>
      <color theme="1"/>
      <name val="Angsana New"/>
    </font>
    <font>
      <b/>
      <color theme="1"/>
      <name val="Arial"/>
      <scheme val="minor"/>
    </font>
    <font>
      <color theme="1"/>
      <name val="Kanit"/>
    </font>
    <font>
      <sz val="8.0"/>
      <color theme="1"/>
      <name val="Kanit"/>
    </font>
    <font>
      <b/>
      <sz val="17.0"/>
      <color rgb="FF0174BE"/>
      <name val="Kanit"/>
    </font>
    <font>
      <b/>
      <sz val="14.0"/>
      <color rgb="FF0174BE"/>
      <name val="Kanit"/>
    </font>
    <font>
      <sz val="10.0"/>
      <color theme="1"/>
      <name val="Kanit"/>
    </font>
    <font>
      <b/>
      <sz val="10.0"/>
      <color rgb="FF0174BE"/>
      <name val="Kanit"/>
    </font>
    <font>
      <sz val="11.0"/>
      <color rgb="FF000000"/>
      <name val="'Google Sans Text'"/>
    </font>
    <font>
      <sz val="11.0"/>
      <color theme="1"/>
      <name val="Kanit"/>
    </font>
    <font>
      <sz val="10.0"/>
      <color rgb="FF1F1F1F"/>
      <name val="Kanit"/>
    </font>
    <font>
      <b/>
      <sz val="11.0"/>
      <color rgb="FF0174BE"/>
      <name val="Kanit"/>
    </font>
    <font>
      <color rgb="FF1A1C1E"/>
      <name val="Kanit"/>
    </font>
    <font>
      <b/>
      <sz val="10.0"/>
      <color theme="1"/>
      <name val="Kanit"/>
    </font>
    <font>
      <b/>
      <color rgb="FF0174BE"/>
      <name val="Kanit"/>
    </font>
    <font>
      <b/>
      <sz val="11.0"/>
      <color rgb="FF000000"/>
      <name val="Kanit"/>
    </font>
    <font>
      <sz val="10.0"/>
      <color rgb="FF1A1C1E"/>
      <name val="Kanit"/>
    </font>
    <font>
      <sz val="11.0"/>
      <color rgb="FF1A1C1E"/>
      <name val="Kanit"/>
    </font>
    <font>
      <sz val="16.0"/>
      <color theme="1"/>
      <name val="Kanit"/>
    </font>
    <font>
      <b/>
      <sz val="11.0"/>
      <color theme="1"/>
      <name val="Kanit"/>
    </font>
    <font>
      <sz val="16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sz val="14.0"/>
      <color theme="1"/>
      <name val="Angsana New"/>
    </font>
    <font>
      <b/>
      <u/>
      <sz val="22.0"/>
      <color theme="1"/>
      <name val="Angsana New"/>
    </font>
    <font>
      <b/>
      <u/>
      <sz val="22.0"/>
      <color theme="1"/>
      <name val="Angsana New"/>
    </font>
    <font>
      <b/>
      <sz val="16.0"/>
      <color theme="1"/>
      <name val="Angsana New"/>
    </font>
    <font>
      <b/>
      <sz val="16.0"/>
      <color rgb="FFFF0000"/>
      <name val="Angsana New"/>
    </font>
    <font>
      <sz val="22.0"/>
      <color theme="1"/>
      <name val="Angsana New"/>
    </font>
    <font>
      <b/>
      <u/>
      <sz val="22.0"/>
      <color theme="1"/>
      <name val="Angsana New"/>
    </font>
    <font>
      <sz val="11.0"/>
      <color rgb="FF1A1C1E"/>
      <name val="Inter"/>
    </font>
    <font>
      <sz val="18.0"/>
      <color rgb="FFFF0000"/>
      <name val="Angsana New"/>
    </font>
    <font>
      <sz val="16.0"/>
      <color rgb="FFFF0000"/>
      <name val="Angsana New"/>
    </font>
    <font>
      <b/>
      <u/>
      <sz val="22.0"/>
      <color theme="1"/>
      <name val="Angsana New"/>
    </font>
    <font>
      <color theme="1"/>
      <name val="DM Mono"/>
    </font>
    <font>
      <b/>
      <u/>
      <sz val="22.0"/>
      <color theme="1"/>
      <name val="DM Mono"/>
    </font>
    <font>
      <sz val="19.0"/>
      <color theme="1"/>
      <name val="DM Mono"/>
    </font>
    <font>
      <b/>
      <color theme="1"/>
      <name val="DM Mono"/>
    </font>
    <font>
      <b/>
      <color rgb="FFFFFFFF"/>
      <name val="DM Mono"/>
    </font>
  </fonts>
  <fills count="2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EFFF8"/>
        <bgColor rgb="FFFEFF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2EFD9"/>
        <bgColor rgb="FFE2EFD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49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6FA8DC"/>
      </left>
      <top style="thin">
        <color rgb="FF6FA8DC"/>
      </top>
      <bottom style="thin">
        <color rgb="FF6FA8DC"/>
      </bottom>
    </border>
    <border>
      <top style="thin">
        <color rgb="FF6FA8DC"/>
      </top>
      <bottom style="thin">
        <color rgb="FF6FA8DC"/>
      </bottom>
    </border>
    <border>
      <right style="thin">
        <color rgb="FF6FA8DC"/>
      </right>
      <top style="thin">
        <color rgb="FF6FA8DC"/>
      </top>
      <bottom style="thin">
        <color rgb="FF6FA8DC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/>
      <bottom/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0"/>
    </xf>
    <xf borderId="0" fillId="3" fontId="2" numFmtId="164" xfId="0" applyAlignment="1" applyFont="1" applyNumberFormat="1">
      <alignment horizontal="center" vertical="center"/>
    </xf>
    <xf borderId="0" fillId="4" fontId="2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3" fontId="2" numFmtId="164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4" fontId="2" numFmtId="165" xfId="0" applyAlignment="1" applyFont="1" applyNumberFormat="1">
      <alignment horizontal="center" vertical="center"/>
    </xf>
    <xf borderId="0" fillId="4" fontId="2" numFmtId="166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4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5" fontId="5" numFmtId="0" xfId="0" applyAlignment="1" applyFill="1" applyFont="1">
      <alignment horizontal="center" vertical="top"/>
    </xf>
    <xf borderId="0" fillId="0" fontId="2" numFmtId="167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0" fillId="6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center" vertical="bottom"/>
    </xf>
    <xf borderId="0" fillId="6" fontId="2" numFmtId="0" xfId="0" applyAlignment="1" applyFont="1">
      <alignment horizontal="center" shrinkToFit="0" vertical="bottom" wrapText="1"/>
    </xf>
    <xf borderId="0" fillId="6" fontId="2" numFmtId="0" xfId="0" applyAlignment="1" applyFont="1">
      <alignment horizontal="center" readingOrder="0" vertical="center"/>
    </xf>
    <xf borderId="0" fillId="6" fontId="2" numFmtId="164" xfId="0" applyAlignment="1" applyFont="1" applyNumberFormat="1">
      <alignment horizontal="center" vertical="center"/>
    </xf>
    <xf borderId="0" fillId="6" fontId="3" numFmtId="0" xfId="0" applyAlignment="1" applyFont="1">
      <alignment horizontal="center" shrinkToFit="0" wrapText="0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6" numFmtId="0" xfId="0" applyFont="1"/>
    <xf borderId="0" fillId="0" fontId="2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4" fontId="10" numFmtId="0" xfId="0" applyAlignment="1" applyFont="1">
      <alignment horizontal="center" readingOrder="0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1" fillId="7" fontId="12" numFmtId="0" xfId="0" applyAlignment="1" applyBorder="1" applyFill="1" applyFont="1">
      <alignment horizontal="center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2" fillId="8" fontId="12" numFmtId="0" xfId="0" applyAlignment="1" applyBorder="1" applyFont="1">
      <alignment horizontal="center" shrinkToFit="0" vertical="center" wrapText="1"/>
    </xf>
    <xf borderId="3" fillId="0" fontId="13" numFmtId="0" xfId="0" applyBorder="1" applyFont="1"/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bottom" wrapText="0"/>
    </xf>
    <xf borderId="0" fillId="0" fontId="15" numFmtId="9" xfId="0" applyAlignment="1" applyFont="1" applyNumberFormat="1">
      <alignment horizontal="center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9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right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4" fontId="20" numFmtId="0" xfId="0" applyAlignment="1" applyFont="1">
      <alignment shrinkToFit="0" vertical="bottom" wrapText="0"/>
    </xf>
    <xf borderId="1" fillId="4" fontId="15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left" shrinkToFit="0" vertical="bottom" wrapText="0"/>
    </xf>
    <xf borderId="0" fillId="0" fontId="18" numFmtId="168" xfId="0" applyAlignment="1" applyFont="1" applyNumberFormat="1">
      <alignment horizontal="center" readingOrder="0" shrinkToFit="0" vertical="center" wrapText="1"/>
    </xf>
    <xf borderId="0" fillId="4" fontId="15" numFmtId="0" xfId="0" applyAlignment="1" applyFont="1">
      <alignment horizontal="left" shrinkToFit="0" vertical="bottom" wrapText="0"/>
    </xf>
    <xf borderId="0" fillId="4" fontId="22" numFmtId="0" xfId="0" applyAlignment="1" applyFont="1">
      <alignment horizontal="center" readingOrder="0" shrinkToFit="0" vertical="center" wrapText="1"/>
    </xf>
    <xf borderId="0" fillId="0" fontId="18" numFmtId="16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18" numFmtId="17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23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right" readingOrder="0" shrinkToFit="0" vertical="center" wrapText="1"/>
    </xf>
    <xf borderId="0" fillId="4" fontId="24" numFmtId="0" xfId="0" applyAlignment="1" applyFont="1">
      <alignment horizontal="center" readingOrder="0" shrinkToFit="0" vertical="center" wrapText="1"/>
    </xf>
    <xf borderId="0" fillId="4" fontId="24" numFmtId="171" xfId="0" applyAlignment="1" applyFont="1" applyNumberFormat="1">
      <alignment horizontal="left" shrinkToFit="0" vertical="center" wrapText="1"/>
    </xf>
    <xf borderId="0" fillId="9" fontId="25" numFmtId="0" xfId="0" applyAlignment="1" applyFill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164" xfId="0" applyAlignment="1" applyFont="1" applyNumberForma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3" fontId="25" numFmtId="0" xfId="0" applyAlignment="1" applyFont="1">
      <alignment horizontal="center" shrinkToFit="0" vertical="bottom" wrapText="1"/>
    </xf>
    <xf borderId="0" fillId="0" fontId="26" numFmtId="0" xfId="0" applyAlignment="1" applyFont="1">
      <alignment horizontal="center" readingOrder="0" shrinkToFit="0" vertical="center" wrapText="1"/>
    </xf>
    <xf borderId="0" fillId="3" fontId="26" numFmtId="0" xfId="0" applyAlignment="1" applyFont="1">
      <alignment horizontal="center" readingOrder="0" shrinkToFit="0" vertical="center" wrapText="1"/>
    </xf>
    <xf borderId="0" fillId="3" fontId="26" numFmtId="164" xfId="0" applyAlignment="1" applyFont="1" applyNumberFormat="1">
      <alignment horizontal="center" readingOrder="0" shrinkToFit="0" vertical="center" wrapText="1"/>
    </xf>
    <xf borderId="0" fillId="3" fontId="26" numFmtId="0" xfId="0" applyAlignment="1" applyFont="1">
      <alignment horizontal="center" shrinkToFit="0" vertical="center" wrapText="1"/>
    </xf>
    <xf borderId="0" fillId="0" fontId="26" numFmtId="1" xfId="0" applyAlignment="1" applyFont="1" applyNumberFormat="1">
      <alignment horizontal="center" shrinkToFit="0" vertical="center" wrapText="1"/>
    </xf>
    <xf borderId="0" fillId="0" fontId="27" numFmtId="0" xfId="0" applyAlignment="1" applyFont="1">
      <alignment horizontal="center" shrinkToFit="0" wrapText="1"/>
    </xf>
    <xf borderId="0" fillId="0" fontId="26" numFmtId="0" xfId="0" applyAlignment="1" applyFont="1">
      <alignment horizontal="center" shrinkToFit="0" vertical="center" wrapText="1"/>
    </xf>
    <xf borderId="0" fillId="3" fontId="26" numFmtId="164" xfId="0" applyAlignment="1" applyFont="1" applyNumberFormat="1">
      <alignment horizontal="center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0" fillId="2" fontId="26" numFmtId="164" xfId="0" applyAlignment="1" applyFont="1" applyNumberFormat="1">
      <alignment horizontal="center" readingOrder="0" shrinkToFit="0" vertical="center" wrapText="1"/>
    </xf>
    <xf borderId="0" fillId="2" fontId="26" numFmtId="0" xfId="0" applyAlignment="1" applyFont="1">
      <alignment horizontal="center" shrinkToFit="0" vertical="center" wrapText="1"/>
    </xf>
    <xf borderId="0" fillId="2" fontId="26" numFmtId="1" xfId="0" applyAlignment="1" applyFont="1" applyNumberFormat="1">
      <alignment horizontal="center" shrinkToFit="0" vertical="center" wrapText="1"/>
    </xf>
    <xf borderId="0" fillId="2" fontId="27" numFmtId="0" xfId="0" applyAlignment="1" applyFont="1">
      <alignment horizontal="center" shrinkToFit="0" wrapText="1"/>
    </xf>
    <xf borderId="0" fillId="2" fontId="26" numFmtId="164" xfId="0" applyAlignment="1" applyFont="1" applyNumberFormat="1">
      <alignment horizontal="center" shrinkToFit="0" vertical="center" wrapText="1"/>
    </xf>
    <xf borderId="0" fillId="0" fontId="26" numFmtId="164" xfId="0" applyAlignment="1" applyFont="1" applyNumberFormat="1">
      <alignment horizontal="center" shrinkToFit="0" wrapText="1"/>
    </xf>
    <xf borderId="0" fillId="0" fontId="26" numFmtId="0" xfId="0" applyAlignment="1" applyFont="1">
      <alignment horizontal="center" shrinkToFit="0" wrapText="1"/>
    </xf>
    <xf borderId="0" fillId="0" fontId="26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center" shrinkToFit="0" vertical="center" wrapText="1"/>
    </xf>
    <xf borderId="0" fillId="0" fontId="26" numFmtId="0" xfId="0" applyAlignment="1" applyFont="1">
      <alignment shrinkToFit="0" wrapText="1"/>
    </xf>
    <xf borderId="0" fillId="0" fontId="28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center" readingOrder="0" shrinkToFit="0" vertical="center" wrapText="1"/>
    </xf>
    <xf borderId="0" fillId="0" fontId="28" numFmtId="164" xfId="0" applyAlignment="1" applyFont="1" applyNumberFormat="1">
      <alignment horizontal="center" readingOrder="0" shrinkToFit="0" wrapText="1"/>
    </xf>
    <xf borderId="0" fillId="0" fontId="28" numFmtId="0" xfId="0" applyAlignment="1" applyFont="1">
      <alignment horizontal="center" readingOrder="0" shrinkToFit="0" wrapText="1"/>
    </xf>
    <xf borderId="0" fillId="0" fontId="28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shrinkToFit="0" wrapText="1"/>
    </xf>
    <xf borderId="0" fillId="0" fontId="28" numFmtId="0" xfId="0" applyAlignment="1" applyFont="1">
      <alignment horizontal="center" shrinkToFit="0" vertical="center" wrapText="1"/>
    </xf>
    <xf borderId="0" fillId="3" fontId="28" numFmtId="164" xfId="0" applyAlignment="1" applyFont="1" applyNumberFormat="1">
      <alignment horizontal="center" shrinkToFit="0" vertical="center" wrapText="1"/>
    </xf>
    <xf borderId="0" fillId="0" fontId="28" numFmtId="0" xfId="0" applyAlignment="1" applyFont="1">
      <alignment horizontal="center" shrinkToFit="0" wrapText="1"/>
    </xf>
    <xf borderId="0" fillId="0" fontId="26" numFmtId="164" xfId="0" applyAlignment="1" applyFont="1" applyNumberFormat="1">
      <alignment horizontal="center" readingOrder="0" shrinkToFit="0" wrapText="1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center"/>
    </xf>
    <xf borderId="4" fillId="0" fontId="32" numFmtId="0" xfId="0" applyAlignment="1" applyBorder="1" applyFont="1">
      <alignment horizontal="center" vertical="center"/>
    </xf>
    <xf borderId="5" fillId="0" fontId="13" numFmtId="0" xfId="0" applyBorder="1" applyFont="1"/>
    <xf borderId="6" fillId="0" fontId="13" numFmtId="0" xfId="0" applyBorder="1" applyFont="1"/>
    <xf borderId="0" fillId="0" fontId="33" numFmtId="0" xfId="0" applyAlignment="1" applyFont="1">
      <alignment horizontal="center" readingOrder="0"/>
    </xf>
    <xf borderId="0" fillId="0" fontId="33" numFmtId="0" xfId="0" applyAlignment="1" applyFont="1">
      <alignment horizontal="center"/>
    </xf>
    <xf borderId="7" fillId="9" fontId="33" numFmtId="0" xfId="0" applyAlignment="1" applyBorder="1" applyFont="1">
      <alignment horizontal="center" readingOrder="0" vertical="center"/>
    </xf>
    <xf borderId="4" fillId="9" fontId="33" numFmtId="0" xfId="0" applyAlignment="1" applyBorder="1" applyFont="1">
      <alignment horizontal="center" readingOrder="0" vertical="center"/>
    </xf>
    <xf borderId="7" fillId="0" fontId="34" numFmtId="0" xfId="0" applyAlignment="1" applyBorder="1" applyFont="1">
      <alignment horizontal="center" vertical="center"/>
    </xf>
    <xf borderId="8" fillId="0" fontId="35" numFmtId="0" xfId="0" applyAlignment="1" applyBorder="1" applyFont="1">
      <alignment horizontal="center" vertical="center"/>
    </xf>
    <xf borderId="9" fillId="0" fontId="35" numFmtId="0" xfId="0" applyAlignment="1" applyBorder="1" applyFont="1">
      <alignment horizontal="center" vertical="center"/>
    </xf>
    <xf borderId="10" fillId="0" fontId="35" numFmtId="0" xfId="0" applyAlignment="1" applyBorder="1" applyFont="1">
      <alignment horizontal="center" vertical="center"/>
    </xf>
    <xf borderId="11" fillId="10" fontId="35" numFmtId="0" xfId="0" applyAlignment="1" applyBorder="1" applyFill="1" applyFont="1">
      <alignment horizontal="center" vertical="center"/>
    </xf>
    <xf borderId="11" fillId="0" fontId="13" numFmtId="0" xfId="0" applyBorder="1" applyFont="1"/>
    <xf borderId="12" fillId="0" fontId="13" numFmtId="0" xfId="0" applyBorder="1" applyFont="1"/>
    <xf borderId="13" fillId="0" fontId="35" numFmtId="3" xfId="0" applyAlignment="1" applyBorder="1" applyFont="1" applyNumberFormat="1">
      <alignment horizontal="center" readingOrder="0" vertical="center"/>
    </xf>
    <xf borderId="12" fillId="0" fontId="35" numFmtId="0" xfId="0" applyAlignment="1" applyBorder="1" applyFont="1">
      <alignment horizontal="center" readingOrder="0" vertical="center"/>
    </xf>
    <xf borderId="14" fillId="0" fontId="35" numFmtId="0" xfId="0" applyAlignment="1" applyBorder="1" applyFont="1">
      <alignment horizontal="center" readingOrder="0" vertical="center"/>
    </xf>
    <xf borderId="14" fillId="0" fontId="35" numFmtId="0" xfId="0" applyAlignment="1" applyBorder="1" applyFont="1">
      <alignment horizontal="center" vertical="center"/>
    </xf>
    <xf borderId="13" fillId="0" fontId="35" numFmtId="0" xfId="0" applyAlignment="1" applyBorder="1" applyFont="1">
      <alignment horizontal="center" vertical="center"/>
    </xf>
    <xf borderId="15" fillId="0" fontId="35" numFmtId="0" xfId="0" applyAlignment="1" applyBorder="1" applyFont="1">
      <alignment horizontal="center" readingOrder="0" vertical="center"/>
    </xf>
    <xf borderId="16" fillId="0" fontId="35" numFmtId="0" xfId="0" applyAlignment="1" applyBorder="1" applyFont="1">
      <alignment horizontal="center" readingOrder="0" vertical="center"/>
    </xf>
    <xf borderId="4" fillId="4" fontId="35" numFmtId="0" xfId="0" applyAlignment="1" applyBorder="1" applyFont="1">
      <alignment horizontal="center" readingOrder="0" vertical="center"/>
    </xf>
    <xf borderId="15" fillId="4" fontId="35" numFmtId="0" xfId="0" applyAlignment="1" applyBorder="1" applyFont="1">
      <alignment horizontal="center" readingOrder="0" vertical="center"/>
    </xf>
    <xf borderId="16" fillId="4" fontId="35" numFmtId="0" xfId="0" applyAlignment="1" applyBorder="1" applyFont="1">
      <alignment horizontal="center" readingOrder="0" vertical="center"/>
    </xf>
    <xf borderId="17" fillId="0" fontId="35" numFmtId="1" xfId="0" applyAlignment="1" applyBorder="1" applyFont="1" applyNumberFormat="1">
      <alignment horizontal="center" vertical="center"/>
    </xf>
    <xf borderId="4" fillId="11" fontId="33" numFmtId="0" xfId="0" applyAlignment="1" applyBorder="1" applyFill="1" applyFont="1">
      <alignment horizontal="center" vertical="center"/>
    </xf>
    <xf borderId="7" fillId="11" fontId="33" numFmtId="3" xfId="0" applyAlignment="1" applyBorder="1" applyFont="1" applyNumberFormat="1">
      <alignment horizontal="center" vertical="center"/>
    </xf>
    <xf borderId="18" fillId="0" fontId="36" numFmtId="0" xfId="0" applyAlignment="1" applyBorder="1" applyFont="1">
      <alignment horizontal="left" readingOrder="0" vertical="bottom"/>
    </xf>
    <xf borderId="19" fillId="0" fontId="37" numFmtId="0" xfId="0" applyAlignment="1" applyBorder="1" applyFont="1">
      <alignment horizontal="center" vertical="top"/>
    </xf>
    <xf borderId="20" fillId="0" fontId="37" numFmtId="0" xfId="0" applyAlignment="1" applyBorder="1" applyFont="1">
      <alignment horizontal="center" vertical="top"/>
    </xf>
    <xf borderId="21" fillId="0" fontId="13" numFmtId="0" xfId="0" applyBorder="1" applyFont="1"/>
    <xf borderId="0" fillId="0" fontId="37" numFmtId="0" xfId="0" applyAlignment="1" applyFont="1">
      <alignment horizontal="center" vertical="top"/>
    </xf>
    <xf borderId="22" fillId="0" fontId="37" numFmtId="0" xfId="0" applyAlignment="1" applyBorder="1" applyFont="1">
      <alignment horizontal="center" vertical="top"/>
    </xf>
    <xf borderId="21" fillId="0" fontId="37" numFmtId="0" xfId="0" applyAlignment="1" applyBorder="1" applyFont="1">
      <alignment horizontal="center" vertical="top"/>
    </xf>
    <xf borderId="23" fillId="0" fontId="37" numFmtId="0" xfId="0" applyAlignment="1" applyBorder="1" applyFont="1">
      <alignment horizontal="center" vertical="center"/>
    </xf>
    <xf borderId="24" fillId="0" fontId="37" numFmtId="0" xfId="0" applyAlignment="1" applyBorder="1" applyFont="1">
      <alignment horizontal="center" vertical="center"/>
    </xf>
    <xf borderId="25" fillId="0" fontId="37" numFmtId="0" xfId="0" applyAlignment="1" applyBorder="1" applyFont="1">
      <alignment horizontal="center" vertical="center"/>
    </xf>
    <xf borderId="11" fillId="0" fontId="35" numFmtId="0" xfId="0" applyAlignment="1" applyBorder="1" applyFont="1">
      <alignment horizontal="center" vertical="center"/>
    </xf>
    <xf borderId="0" fillId="12" fontId="30" numFmtId="0" xfId="0" applyAlignment="1" applyFill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13" fontId="31" numFmtId="0" xfId="0" applyAlignment="1" applyFill="1" applyFont="1">
      <alignment horizontal="center" readingOrder="0"/>
    </xf>
    <xf borderId="0" fillId="2" fontId="38" numFmtId="0" xfId="0" applyAlignment="1" applyFont="1">
      <alignment horizontal="center" readingOrder="0"/>
    </xf>
    <xf borderId="0" fillId="13" fontId="31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31" numFmtId="0" xfId="0" applyAlignment="1" applyFont="1">
      <alignment horizontal="center" vertical="center"/>
    </xf>
    <xf borderId="0" fillId="14" fontId="30" numFmtId="0" xfId="0" applyAlignment="1" applyFill="1" applyFont="1">
      <alignment horizontal="center" readingOrder="0"/>
    </xf>
    <xf borderId="0" fillId="7" fontId="30" numFmtId="0" xfId="0" applyAlignment="1" applyFont="1">
      <alignment horizontal="center" readingOrder="0"/>
    </xf>
    <xf borderId="0" fillId="2" fontId="39" numFmtId="0" xfId="0" applyAlignment="1" applyFont="1">
      <alignment horizontal="center" readingOrder="0"/>
    </xf>
    <xf borderId="0" fillId="7" fontId="30" numFmtId="0" xfId="0" applyAlignment="1" applyFont="1">
      <alignment horizontal="center"/>
    </xf>
    <xf borderId="0" fillId="15" fontId="30" numFmtId="0" xfId="0" applyAlignment="1" applyFill="1" applyFont="1">
      <alignment horizontal="center" readingOrder="0"/>
    </xf>
    <xf borderId="0" fillId="6" fontId="30" numFmtId="0" xfId="0" applyAlignment="1" applyFont="1">
      <alignment horizontal="center" readingOrder="0"/>
    </xf>
    <xf borderId="0" fillId="2" fontId="40" numFmtId="0" xfId="0" applyAlignment="1" applyFont="1">
      <alignment horizontal="center" readingOrder="0"/>
    </xf>
    <xf borderId="0" fillId="6" fontId="30" numFmtId="0" xfId="0" applyAlignment="1" applyFont="1">
      <alignment horizontal="center"/>
    </xf>
    <xf borderId="0" fillId="10" fontId="31" numFmtId="0" xfId="0" applyAlignment="1" applyFont="1">
      <alignment horizontal="center"/>
    </xf>
    <xf borderId="0" fillId="0" fontId="41" numFmtId="0" xfId="0" applyAlignment="1" applyFont="1">
      <alignment horizontal="center" readingOrder="0"/>
    </xf>
    <xf borderId="0" fillId="10" fontId="31" numFmtId="0" xfId="0" applyAlignment="1" applyFont="1">
      <alignment horizontal="center" readingOrder="0"/>
    </xf>
    <xf borderId="0" fillId="16" fontId="30" numFmtId="0" xfId="0" applyAlignment="1" applyFill="1" applyFont="1">
      <alignment horizontal="center" readingOrder="0"/>
    </xf>
    <xf borderId="0" fillId="17" fontId="31" numFmtId="0" xfId="0" applyAlignment="1" applyFill="1" applyFont="1">
      <alignment horizontal="center"/>
    </xf>
    <xf borderId="0" fillId="9" fontId="30" numFmtId="0" xfId="0" applyAlignment="1" applyFont="1">
      <alignment horizontal="center" readingOrder="0"/>
    </xf>
    <xf borderId="0" fillId="2" fontId="42" numFmtId="0" xfId="0" applyAlignment="1" applyFont="1">
      <alignment horizontal="center" readingOrder="0"/>
    </xf>
    <xf borderId="0" fillId="9" fontId="30" numFmtId="0" xfId="0" applyAlignment="1" applyFont="1">
      <alignment horizontal="center"/>
    </xf>
    <xf borderId="0" fillId="18" fontId="30" numFmtId="0" xfId="0" applyAlignment="1" applyFill="1" applyFont="1">
      <alignment horizontal="center" readingOrder="0" vertical="bottom"/>
    </xf>
    <xf borderId="0" fillId="17" fontId="31" numFmtId="0" xfId="0" applyAlignment="1" applyFont="1">
      <alignment horizontal="center" readingOrder="0"/>
    </xf>
    <xf borderId="0" fillId="17" fontId="31" numFmtId="170" xfId="0" applyAlignment="1" applyFont="1" applyNumberFormat="1">
      <alignment horizontal="center" readingOrder="0"/>
    </xf>
    <xf borderId="0" fillId="19" fontId="30" numFmtId="0" xfId="0" applyAlignment="1" applyFill="1" applyFont="1">
      <alignment horizontal="center" vertical="bottom"/>
    </xf>
    <xf borderId="0" fillId="2" fontId="43" numFmtId="0" xfId="0" applyAlignment="1" applyFont="1">
      <alignment horizontal="center" vertical="bottom"/>
    </xf>
    <xf borderId="0" fillId="10" fontId="31" numFmtId="0" xfId="0" applyAlignment="1" applyFont="1">
      <alignment horizontal="center" vertical="bottom"/>
    </xf>
    <xf borderId="0" fillId="0" fontId="41" numFmtId="0" xfId="0" applyAlignment="1" applyFont="1">
      <alignment horizontal="center" readingOrder="0" vertical="bottom"/>
    </xf>
    <xf borderId="0" fillId="0" fontId="31" numFmtId="0" xfId="0" applyAlignment="1" applyFont="1">
      <alignment horizontal="center" vertical="bottom"/>
    </xf>
    <xf borderId="0" fillId="0" fontId="44" numFmtId="0" xfId="0" applyAlignment="1" applyFont="1">
      <alignment horizontal="center" readingOrder="0"/>
    </xf>
    <xf borderId="0" fillId="0" fontId="31" numFmtId="0" xfId="0" applyAlignment="1" applyFont="1">
      <alignment horizontal="center" readingOrder="0" vertical="bottom"/>
    </xf>
    <xf borderId="0" fillId="20" fontId="30" numFmtId="0" xfId="0" applyAlignment="1" applyFill="1" applyFont="1">
      <alignment horizontal="center" readingOrder="0" vertical="bottom"/>
    </xf>
    <xf borderId="0" fillId="21" fontId="30" numFmtId="0" xfId="0" applyAlignment="1" applyFill="1" applyFont="1">
      <alignment horizontal="center" vertical="bottom"/>
    </xf>
    <xf borderId="0" fillId="2" fontId="45" numFmtId="0" xfId="0" applyAlignment="1" applyFont="1">
      <alignment horizontal="center" vertical="bottom"/>
    </xf>
    <xf borderId="0" fillId="0" fontId="46" numFmtId="0" xfId="0" applyAlignment="1" applyFont="1">
      <alignment readingOrder="0"/>
    </xf>
    <xf borderId="0" fillId="0" fontId="46" numFmtId="172" xfId="0" applyAlignment="1" applyFont="1" applyNumberFormat="1">
      <alignment readingOrder="0"/>
    </xf>
    <xf borderId="0" fillId="0" fontId="46" numFmtId="173" xfId="0" applyAlignment="1" applyFont="1" applyNumberFormat="1">
      <alignment readingOrder="0"/>
    </xf>
    <xf borderId="0" fillId="0" fontId="46" numFmtId="174" xfId="0" applyAlignment="1" applyFont="1" applyNumberFormat="1">
      <alignment readingOrder="0"/>
    </xf>
    <xf borderId="0" fillId="0" fontId="46" numFmtId="175" xfId="0" applyAlignment="1" applyFont="1" applyNumberFormat="1">
      <alignment readingOrder="0"/>
    </xf>
    <xf borderId="26" fillId="0" fontId="47" numFmtId="0" xfId="0" applyAlignment="1" applyBorder="1" applyFont="1">
      <alignment horizontal="center" readingOrder="0" shrinkToFit="0" vertical="center" wrapText="1"/>
    </xf>
    <xf borderId="26" fillId="0" fontId="47" numFmtId="0" xfId="0" applyAlignment="1" applyBorder="1" applyFont="1">
      <alignment horizontal="center" readingOrder="0" vertical="center"/>
    </xf>
    <xf borderId="26" fillId="0" fontId="47" numFmtId="0" xfId="0" applyAlignment="1" applyBorder="1" applyFont="1">
      <alignment horizontal="center" readingOrder="0" vertical="center"/>
    </xf>
    <xf borderId="26" fillId="0" fontId="47" numFmtId="1" xfId="0" applyAlignment="1" applyBorder="1" applyFont="1" applyNumberFormat="1">
      <alignment horizontal="center" readingOrder="0" vertical="center"/>
    </xf>
    <xf borderId="26" fillId="0" fontId="47" numFmtId="176" xfId="0" applyAlignment="1" applyBorder="1" applyFont="1" applyNumberFormat="1">
      <alignment horizontal="center" readingOrder="0" vertical="center"/>
    </xf>
    <xf borderId="26" fillId="17" fontId="47" numFmtId="0" xfId="0" applyAlignment="1" applyBorder="1" applyFont="1">
      <alignment horizontal="center" vertical="center"/>
    </xf>
    <xf borderId="26" fillId="0" fontId="47" numFmtId="0" xfId="0" applyAlignment="1" applyBorder="1" applyFont="1">
      <alignment horizontal="center" vertical="center"/>
    </xf>
    <xf borderId="26" fillId="0" fontId="47" numFmtId="1" xfId="0" applyAlignment="1" applyBorder="1" applyFont="1" applyNumberFormat="1">
      <alignment horizontal="center" vertical="center"/>
    </xf>
    <xf borderId="26" fillId="0" fontId="47" numFmtId="176" xfId="0" applyAlignment="1" applyBorder="1" applyFont="1" applyNumberFormat="1">
      <alignment horizontal="center" vertical="center"/>
    </xf>
    <xf borderId="26" fillId="17" fontId="47" numFmtId="0" xfId="0" applyAlignment="1" applyBorder="1" applyFont="1">
      <alignment horizontal="center" vertical="center"/>
    </xf>
    <xf borderId="26" fillId="0" fontId="47" numFmtId="0" xfId="0" applyAlignment="1" applyBorder="1" applyFont="1">
      <alignment horizontal="center" vertical="center"/>
    </xf>
    <xf borderId="26" fillId="5" fontId="48" numFmtId="1" xfId="0" applyAlignment="1" applyBorder="1" applyFont="1" applyNumberFormat="1">
      <alignment horizontal="center" vertical="center"/>
    </xf>
    <xf borderId="26" fillId="0" fontId="47" numFmtId="0" xfId="0" applyAlignment="1" applyBorder="1" applyFont="1">
      <alignment horizontal="center" readingOrder="0" vertical="center"/>
    </xf>
    <xf borderId="26" fillId="0" fontId="47" numFmtId="0" xfId="0" applyAlignment="1" applyBorder="1" applyFont="1">
      <alignment horizontal="center" vertical="center"/>
    </xf>
    <xf borderId="26" fillId="0" fontId="47" numFmtId="1" xfId="0" applyAlignment="1" applyBorder="1" applyFont="1" applyNumberFormat="1">
      <alignment horizontal="center" vertical="center"/>
    </xf>
    <xf borderId="26" fillId="0" fontId="47" numFmtId="176" xfId="0" applyAlignment="1" applyBorder="1" applyFont="1" applyNumberFormat="1">
      <alignment horizontal="center" vertical="center"/>
    </xf>
    <xf borderId="27" fillId="4" fontId="49" numFmtId="0" xfId="0" applyAlignment="1" applyBorder="1" applyFont="1">
      <alignment horizontal="center" vertical="center"/>
    </xf>
    <xf borderId="28" fillId="0" fontId="13" numFmtId="0" xfId="0" applyBorder="1" applyFont="1"/>
    <xf borderId="29" fillId="0" fontId="13" numFmtId="0" xfId="0" applyBorder="1" applyFont="1"/>
    <xf borderId="27" fillId="4" fontId="47" numFmtId="0" xfId="0" applyAlignment="1" applyBorder="1" applyFont="1">
      <alignment horizontal="center" vertical="center"/>
    </xf>
    <xf borderId="0" fillId="0" fontId="50" numFmtId="0" xfId="0" applyAlignment="1" applyFont="1">
      <alignment horizontal="center" vertical="center"/>
    </xf>
    <xf borderId="0" fillId="4" fontId="51" numFmtId="0" xfId="0" applyAlignment="1" applyFont="1">
      <alignment horizontal="center" readingOrder="0" vertical="center"/>
    </xf>
    <xf borderId="26" fillId="4" fontId="50" numFmtId="0" xfId="0" applyAlignment="1" applyBorder="1" applyFont="1">
      <alignment horizontal="center" vertical="center"/>
    </xf>
    <xf borderId="26" fillId="4" fontId="50" numFmtId="165" xfId="0" applyAlignment="1" applyBorder="1" applyFont="1" applyNumberFormat="1">
      <alignment horizontal="center" vertical="center"/>
    </xf>
    <xf borderId="0" fillId="4" fontId="52" numFmtId="165" xfId="0" applyAlignment="1" applyFont="1" applyNumberFormat="1">
      <alignment horizontal="center" readingOrder="0" vertical="center"/>
    </xf>
    <xf borderId="0" fillId="4" fontId="52" numFmtId="0" xfId="0" applyAlignment="1" applyFont="1">
      <alignment horizontal="center" readingOrder="0" vertical="center"/>
    </xf>
    <xf borderId="0" fillId="4" fontId="52" numFmtId="4" xfId="0" applyAlignment="1" applyFont="1" applyNumberFormat="1">
      <alignment horizontal="center" readingOrder="0" vertical="center"/>
    </xf>
    <xf borderId="0" fillId="4" fontId="52" numFmtId="166" xfId="0" applyAlignment="1" applyFont="1" applyNumberFormat="1">
      <alignment horizontal="center" readingOrder="0" vertical="center"/>
    </xf>
    <xf borderId="26" fillId="4" fontId="53" numFmtId="0" xfId="0" applyAlignment="1" applyBorder="1" applyFont="1">
      <alignment horizontal="center" vertical="center"/>
    </xf>
    <xf borderId="26" fillId="4" fontId="53" numFmtId="0" xfId="0" applyAlignment="1" applyBorder="1" applyFont="1">
      <alignment horizontal="center" readingOrder="0" vertical="center"/>
    </xf>
    <xf borderId="26" fillId="4" fontId="53" numFmtId="0" xfId="0" applyAlignment="1" applyBorder="1" applyFont="1">
      <alignment horizontal="center" readingOrder="0" vertical="bottom"/>
    </xf>
    <xf borderId="26" fillId="4" fontId="53" numFmtId="0" xfId="0" applyAlignment="1" applyBorder="1" applyFont="1">
      <alignment horizontal="left" readingOrder="0" vertical="center"/>
    </xf>
    <xf borderId="0" fillId="22" fontId="54" numFmtId="0" xfId="0" applyAlignment="1" applyFill="1" applyFont="1">
      <alignment horizontal="center" vertical="center"/>
    </xf>
    <xf borderId="0" fillId="0" fontId="53" numFmtId="0" xfId="0" applyAlignment="1" applyFont="1">
      <alignment horizontal="center" vertical="center"/>
    </xf>
    <xf borderId="0" fillId="0" fontId="53" numFmtId="0" xfId="0" applyFont="1"/>
    <xf borderId="27" fillId="4" fontId="47" numFmtId="0" xfId="0" applyAlignment="1" applyBorder="1" applyFont="1">
      <alignment horizontal="center" readingOrder="0" vertical="center"/>
    </xf>
    <xf borderId="26" fillId="4" fontId="47" numFmtId="0" xfId="0" applyAlignment="1" applyBorder="1" applyFont="1">
      <alignment horizontal="center" readingOrder="0" vertical="center"/>
    </xf>
    <xf borderId="26" fillId="4" fontId="47" numFmtId="0" xfId="0" applyAlignment="1" applyBorder="1" applyFont="1">
      <alignment horizontal="center" vertical="center"/>
    </xf>
    <xf borderId="0" fillId="4" fontId="55" numFmtId="0" xfId="0" applyAlignment="1" applyFont="1">
      <alignment horizontal="center" readingOrder="0" vertical="center"/>
    </xf>
    <xf borderId="0" fillId="4" fontId="55" numFmtId="166" xfId="0" applyAlignment="1" applyFont="1" applyNumberFormat="1">
      <alignment horizontal="center" readingOrder="0" vertical="center"/>
    </xf>
    <xf borderId="26" fillId="4" fontId="56" numFmtId="0" xfId="0" applyAlignment="1" applyBorder="1" applyFont="1">
      <alignment horizontal="center" readingOrder="0" vertical="center"/>
    </xf>
    <xf borderId="26" fillId="4" fontId="56" numFmtId="0" xfId="0" applyAlignment="1" applyBorder="1" applyFont="1">
      <alignment horizontal="center" vertical="center"/>
    </xf>
    <xf borderId="26" fillId="4" fontId="56" numFmtId="165" xfId="0" applyAlignment="1" applyBorder="1" applyFont="1" applyNumberFormat="1">
      <alignment horizontal="center" vertical="center"/>
    </xf>
    <xf borderId="0" fillId="0" fontId="50" numFmtId="3" xfId="0" applyAlignment="1" applyFont="1" applyNumberFormat="1">
      <alignment horizontal="center" vertical="center"/>
    </xf>
    <xf borderId="26" fillId="4" fontId="57" numFmtId="0" xfId="0" applyAlignment="1" applyBorder="1" applyFont="1">
      <alignment horizontal="center" readingOrder="0" vertical="center"/>
    </xf>
    <xf borderId="26" fillId="4" fontId="58" numFmtId="164" xfId="0" applyAlignment="1" applyBorder="1" applyFont="1" applyNumberFormat="1">
      <alignment horizontal="center" vertical="center"/>
    </xf>
    <xf borderId="26" fillId="3" fontId="47" numFmtId="164" xfId="0" applyAlignment="1" applyBorder="1" applyFont="1" applyNumberFormat="1">
      <alignment horizontal="center" readingOrder="0" vertical="center"/>
    </xf>
    <xf borderId="26" fillId="4" fontId="59" numFmtId="0" xfId="0" applyAlignment="1" applyBorder="1" applyFont="1">
      <alignment horizontal="center" vertical="center"/>
    </xf>
    <xf borderId="26" fillId="0" fontId="58" numFmtId="165" xfId="0" applyAlignment="1" applyBorder="1" applyFont="1" applyNumberFormat="1">
      <alignment horizontal="center" vertical="center"/>
    </xf>
    <xf borderId="26" fillId="4" fontId="50" numFmtId="166" xfId="0" applyAlignment="1" applyBorder="1" applyFont="1" applyNumberFormat="1">
      <alignment horizontal="center" vertical="center"/>
    </xf>
    <xf borderId="0" fillId="3" fontId="47" numFmtId="0" xfId="0" applyAlignment="1" applyFont="1">
      <alignment horizontal="center" readingOrder="0" vertical="center"/>
    </xf>
    <xf borderId="0" fillId="3" fontId="47" numFmtId="164" xfId="0" applyAlignment="1" applyFont="1" applyNumberFormat="1">
      <alignment horizontal="center" vertical="center"/>
    </xf>
    <xf borderId="0" fillId="3" fontId="47" numFmtId="0" xfId="0" applyAlignment="1" applyFont="1">
      <alignment horizontal="center" vertical="center"/>
    </xf>
    <xf borderId="27" fillId="4" fontId="49" numFmtId="0" xfId="0" applyAlignment="1" applyBorder="1" applyFont="1">
      <alignment horizontal="center" readingOrder="0" vertical="center"/>
    </xf>
    <xf borderId="26" fillId="4" fontId="60" numFmtId="0" xfId="0" applyAlignment="1" applyBorder="1" applyFont="1">
      <alignment horizontal="center" vertical="center"/>
    </xf>
    <xf borderId="26" fillId="0" fontId="61" numFmtId="165" xfId="0" applyAlignment="1" applyBorder="1" applyFont="1" applyNumberFormat="1">
      <alignment horizontal="center" vertical="center"/>
    </xf>
    <xf borderId="26" fillId="4" fontId="62" numFmtId="166" xfId="0" applyAlignment="1" applyBorder="1" applyFont="1" applyNumberFormat="1">
      <alignment horizontal="center" vertical="center"/>
    </xf>
    <xf borderId="26" fillId="4" fontId="62" numFmtId="0" xfId="0" applyAlignment="1" applyBorder="1" applyFont="1">
      <alignment horizontal="center" vertical="center"/>
    </xf>
    <xf borderId="0" fillId="3" fontId="63" numFmtId="0" xfId="0" applyAlignment="1" applyFont="1">
      <alignment horizontal="center" readingOrder="0" vertical="center"/>
    </xf>
    <xf borderId="0" fillId="3" fontId="63" numFmtId="164" xfId="0" applyAlignment="1" applyFont="1" applyNumberFormat="1">
      <alignment horizontal="center" vertical="center"/>
    </xf>
    <xf borderId="0" fillId="0" fontId="64" numFmtId="0" xfId="0" applyFont="1"/>
    <xf borderId="0" fillId="3" fontId="65" numFmtId="0" xfId="0" applyAlignment="1" applyFont="1">
      <alignment horizontal="right" vertical="center"/>
    </xf>
    <xf borderId="0" fillId="0" fontId="65" numFmtId="0" xfId="0" applyAlignment="1" applyFont="1">
      <alignment vertical="center"/>
    </xf>
    <xf borderId="0" fillId="0" fontId="65" numFmtId="0" xfId="0" applyAlignment="1" applyFont="1">
      <alignment vertical="bottom"/>
    </xf>
    <xf borderId="0" fillId="0" fontId="66" numFmtId="0" xfId="0" applyAlignment="1" applyFont="1">
      <alignment vertical="bottom"/>
    </xf>
    <xf borderId="0" fillId="0" fontId="67" numFmtId="0" xfId="0" applyAlignment="1" applyFont="1">
      <alignment horizontal="right" vertical="center"/>
    </xf>
    <xf borderId="0" fillId="3" fontId="26" numFmtId="0" xfId="0" applyAlignment="1" applyFont="1">
      <alignment horizontal="center" vertical="center"/>
    </xf>
    <xf borderId="0" fillId="0" fontId="65" numFmtId="0" xfId="0" applyFont="1"/>
    <xf borderId="0" fillId="0" fontId="26" numFmtId="0" xfId="0" applyAlignment="1" applyFont="1">
      <alignment horizontal="center" vertical="center"/>
    </xf>
    <xf borderId="0" fillId="3" fontId="68" numFmtId="0" xfId="0" applyAlignment="1" applyFont="1">
      <alignment shrinkToFit="0" vertical="bottom" wrapText="0"/>
    </xf>
    <xf borderId="0" fillId="0" fontId="68" numFmtId="0" xfId="0" applyAlignment="1" applyFont="1">
      <alignment shrinkToFit="0" vertical="bottom" wrapText="0"/>
    </xf>
    <xf borderId="0" fillId="0" fontId="69" numFmtId="0" xfId="0" applyAlignment="1" applyFont="1">
      <alignment vertical="bottom"/>
    </xf>
    <xf borderId="0" fillId="0" fontId="65" numFmtId="0" xfId="0" applyFont="1"/>
    <xf borderId="0" fillId="0" fontId="65" numFmtId="0" xfId="0" applyAlignment="1" applyFont="1">
      <alignment horizontal="right" vertical="top"/>
    </xf>
    <xf borderId="0" fillId="3" fontId="65" numFmtId="0" xfId="0" applyFont="1"/>
    <xf borderId="0" fillId="3" fontId="69" numFmtId="0" xfId="0" applyAlignment="1" applyFont="1">
      <alignment horizontal="center" vertical="center"/>
    </xf>
    <xf borderId="0" fillId="0" fontId="70" numFmtId="0" xfId="0" applyAlignment="1" applyFont="1">
      <alignment vertical="bottom"/>
    </xf>
    <xf borderId="0" fillId="0" fontId="71" numFmtId="0" xfId="0" applyAlignment="1" applyFont="1">
      <alignment readingOrder="0"/>
    </xf>
    <xf borderId="0" fillId="0" fontId="72" numFmtId="49" xfId="0" applyAlignment="1" applyFont="1" applyNumberFormat="1">
      <alignment horizontal="left" readingOrder="0" shrinkToFit="0" vertical="bottom" wrapText="0"/>
    </xf>
    <xf borderId="0" fillId="3" fontId="69" numFmtId="0" xfId="0" applyAlignment="1" applyFont="1">
      <alignment shrinkToFit="0" vertical="bottom" wrapText="0"/>
    </xf>
    <xf borderId="0" fillId="4" fontId="73" numFmtId="0" xfId="0" applyFont="1"/>
    <xf borderId="0" fillId="0" fontId="74" numFmtId="0" xfId="0" applyAlignment="1" applyFont="1">
      <alignment readingOrder="0" vertical="bottom"/>
    </xf>
    <xf borderId="0" fillId="4" fontId="75" numFmtId="177" xfId="0" applyAlignment="1" applyFont="1" applyNumberFormat="1">
      <alignment horizontal="left"/>
    </xf>
    <xf borderId="0" fillId="0" fontId="69" numFmtId="0" xfId="0" applyAlignment="1" applyFont="1">
      <alignment shrinkToFit="0" vertical="bottom" wrapText="0"/>
    </xf>
    <xf borderId="0" fillId="0" fontId="69" numFmtId="177" xfId="0" applyAlignment="1" applyFont="1" applyNumberFormat="1">
      <alignment horizontal="left" vertical="bottom"/>
    </xf>
    <xf borderId="0" fillId="3" fontId="69" numFmtId="0" xfId="0" applyFont="1"/>
    <xf borderId="0" fillId="0" fontId="65" numFmtId="177" xfId="0" applyFont="1" applyNumberFormat="1"/>
    <xf borderId="0" fillId="0" fontId="76" numFmtId="0" xfId="0" applyAlignment="1" applyFont="1">
      <alignment vertical="bottom"/>
    </xf>
    <xf borderId="0" fillId="3" fontId="77" numFmtId="0" xfId="0" applyAlignment="1" applyFont="1">
      <alignment vertical="bottom"/>
    </xf>
    <xf borderId="0" fillId="0" fontId="74" numFmtId="0" xfId="0" applyAlignment="1" applyFont="1">
      <alignment vertical="bottom"/>
    </xf>
    <xf borderId="0" fillId="3" fontId="65" numFmtId="0" xfId="0" applyAlignment="1" applyFont="1">
      <alignment vertical="bottom"/>
    </xf>
    <xf borderId="0" fillId="4" fontId="75" numFmtId="0" xfId="0" applyFont="1"/>
    <xf borderId="0" fillId="3" fontId="65" numFmtId="0" xfId="0" applyAlignment="1" applyFont="1">
      <alignment horizontal="right" vertical="bottom"/>
    </xf>
    <xf borderId="0" fillId="0" fontId="75" numFmtId="0" xfId="0" applyFont="1"/>
    <xf borderId="0" fillId="4" fontId="75" numFmtId="0" xfId="0" applyFont="1"/>
    <xf borderId="0" fillId="0" fontId="75" numFmtId="0" xfId="0" applyFont="1"/>
    <xf borderId="0" fillId="3" fontId="78" numFmtId="0" xfId="0" applyAlignment="1" applyFont="1">
      <alignment horizontal="center" vertical="center"/>
    </xf>
    <xf borderId="30" fillId="23" fontId="78" numFmtId="0" xfId="0" applyAlignment="1" applyBorder="1" applyFill="1" applyFont="1">
      <alignment horizontal="center" vertical="center"/>
    </xf>
    <xf borderId="31" fillId="23" fontId="78" numFmtId="0" xfId="0" applyAlignment="1" applyBorder="1" applyFont="1">
      <alignment horizontal="center" vertical="center"/>
    </xf>
    <xf borderId="32" fillId="23" fontId="78" numFmtId="0" xfId="0" applyAlignment="1" applyBorder="1" applyFont="1">
      <alignment horizontal="center" vertical="center"/>
    </xf>
    <xf borderId="0" fillId="3" fontId="72" numFmtId="0" xfId="0" applyAlignment="1" applyFont="1">
      <alignment horizontal="center" vertical="bottom"/>
    </xf>
    <xf borderId="0" fillId="0" fontId="72" numFmtId="0" xfId="0" applyAlignment="1" applyFont="1">
      <alignment horizontal="center" vertical="bottom"/>
    </xf>
    <xf borderId="0" fillId="4" fontId="79" numFmtId="0" xfId="0" applyAlignment="1" applyFont="1">
      <alignment horizontal="left" readingOrder="0"/>
    </xf>
    <xf borderId="0" fillId="4" fontId="75" numFmtId="0" xfId="0" applyAlignment="1" applyFont="1">
      <alignment horizontal="center"/>
    </xf>
    <xf borderId="0" fillId="4" fontId="80" numFmtId="4" xfId="0" applyFont="1" applyNumberFormat="1"/>
    <xf borderId="0" fillId="0" fontId="69" numFmtId="0" xfId="0" applyAlignment="1" applyFont="1">
      <alignment horizontal="center" vertical="bottom"/>
    </xf>
    <xf borderId="0" fillId="0" fontId="65" numFmtId="4" xfId="0" applyAlignment="1" applyFont="1" applyNumberFormat="1">
      <alignment horizontal="right" vertical="bottom"/>
    </xf>
    <xf borderId="0" fillId="0" fontId="81" numFmtId="0" xfId="0" applyAlignment="1" applyFont="1">
      <alignment horizontal="center" vertical="center"/>
    </xf>
    <xf borderId="0" fillId="0" fontId="65" numFmtId="4" xfId="0" applyAlignment="1" applyFont="1" applyNumberFormat="1">
      <alignment vertical="bottom"/>
    </xf>
    <xf borderId="0" fillId="3" fontId="82" numFmtId="0" xfId="0" applyAlignment="1" applyFont="1">
      <alignment horizontal="center" vertical="bottom"/>
    </xf>
    <xf borderId="0" fillId="0" fontId="82" numFmtId="0" xfId="0" applyAlignment="1" applyFont="1">
      <alignment horizontal="center" vertical="bottom"/>
    </xf>
    <xf borderId="0" fillId="0" fontId="74" numFmtId="0" xfId="0" applyAlignment="1" applyFont="1">
      <alignment horizontal="right" vertical="bottom"/>
    </xf>
    <xf borderId="0" fillId="0" fontId="65" numFmtId="4" xfId="0" applyFont="1" applyNumberFormat="1"/>
    <xf borderId="0" fillId="0" fontId="72" numFmtId="0" xfId="0" applyAlignment="1" applyFont="1">
      <alignment vertical="bottom"/>
    </xf>
    <xf borderId="0" fillId="0" fontId="65" numFmtId="0" xfId="0" applyAlignment="1" applyFont="1">
      <alignment readingOrder="0" vertical="bottom"/>
    </xf>
    <xf borderId="0" fillId="0" fontId="65" numFmtId="0" xfId="0" applyAlignment="1" applyFont="1">
      <alignment horizontal="right" vertical="bottom"/>
    </xf>
    <xf borderId="0" fillId="0" fontId="65" numFmtId="0" xfId="0" applyAlignment="1" applyFont="1">
      <alignment horizontal="left" vertical="bottom"/>
    </xf>
    <xf borderId="0" fillId="0" fontId="2" numFmtId="0" xfId="0" applyFont="1"/>
    <xf borderId="0" fillId="0" fontId="83" numFmtId="0" xfId="0" applyFont="1"/>
    <xf borderId="33" fillId="0" fontId="84" numFmtId="0" xfId="0" applyAlignment="1" applyBorder="1" applyFont="1">
      <alignment horizontal="center"/>
    </xf>
    <xf borderId="34" fillId="0" fontId="13" numFmtId="0" xfId="0" applyBorder="1" applyFont="1"/>
    <xf borderId="35" fillId="0" fontId="13" numFmtId="0" xfId="0" applyBorder="1" applyFont="1"/>
    <xf borderId="0" fillId="0" fontId="85" numFmtId="0" xfId="0" applyAlignment="1" applyFont="1">
      <alignment horizontal="center"/>
    </xf>
    <xf borderId="1" fillId="24" fontId="86" numFmtId="0" xfId="0" applyBorder="1" applyFill="1" applyFont="1"/>
    <xf borderId="0" fillId="0" fontId="87" numFmtId="0" xfId="0" applyFont="1"/>
    <xf borderId="0" fillId="0" fontId="88" numFmtId="0" xfId="0" applyAlignment="1" applyFont="1">
      <alignment horizontal="left"/>
    </xf>
    <xf borderId="36" fillId="11" fontId="56" numFmtId="0" xfId="0" applyAlignment="1" applyBorder="1" applyFont="1">
      <alignment horizontal="left" readingOrder="0"/>
    </xf>
    <xf borderId="37" fillId="0" fontId="13" numFmtId="0" xfId="0" applyBorder="1" applyFont="1"/>
    <xf borderId="1" fillId="25" fontId="86" numFmtId="0" xfId="0" applyBorder="1" applyFill="1" applyFont="1"/>
    <xf borderId="0" fillId="0" fontId="56" numFmtId="0" xfId="0" applyFont="1"/>
    <xf borderId="0" fillId="0" fontId="56" numFmtId="0" xfId="0" applyAlignment="1" applyFont="1">
      <alignment horizontal="center"/>
    </xf>
    <xf borderId="38" fillId="0" fontId="89" numFmtId="0" xfId="0" applyAlignment="1" applyBorder="1" applyFont="1">
      <alignment horizontal="center" vertical="center"/>
    </xf>
    <xf borderId="7" fillId="0" fontId="89" numFmtId="0" xfId="0" applyAlignment="1" applyBorder="1" applyFont="1">
      <alignment horizontal="center" vertical="center"/>
    </xf>
    <xf borderId="39" fillId="0" fontId="89" numFmtId="0" xfId="0" applyAlignment="1" applyBorder="1" applyFont="1">
      <alignment horizontal="center" vertical="center"/>
    </xf>
    <xf borderId="40" fillId="0" fontId="89" numFmtId="0" xfId="0" applyAlignment="1" applyBorder="1" applyFont="1">
      <alignment horizontal="center" vertical="center"/>
    </xf>
    <xf borderId="1" fillId="25" fontId="90" numFmtId="0" xfId="0" applyAlignment="1" applyBorder="1" applyFont="1">
      <alignment horizontal="center" vertical="center"/>
    </xf>
    <xf borderId="1" fillId="25" fontId="90" numFmtId="0" xfId="0" applyAlignment="1" applyBorder="1" applyFont="1">
      <alignment horizontal="center"/>
    </xf>
    <xf borderId="41" fillId="0" fontId="89" numFmtId="0" xfId="0" applyAlignment="1" applyBorder="1" applyFont="1">
      <alignment horizontal="center" vertical="center"/>
    </xf>
    <xf borderId="23" fillId="0" fontId="89" numFmtId="0" xfId="0" applyAlignment="1" applyBorder="1" applyFont="1">
      <alignment horizontal="center" vertical="center"/>
    </xf>
    <xf borderId="24" fillId="0" fontId="13" numFmtId="0" xfId="0" applyBorder="1" applyFont="1"/>
    <xf borderId="25" fillId="0" fontId="13" numFmtId="0" xfId="0" applyBorder="1" applyFont="1"/>
    <xf borderId="40" fillId="0" fontId="89" numFmtId="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89" numFmtId="0" xfId="0" applyAlignment="1" applyFont="1">
      <alignment horizontal="center" vertical="center"/>
    </xf>
    <xf borderId="0" fillId="0" fontId="89" numFmtId="0" xfId="0" applyAlignment="1" applyFont="1">
      <alignment horizontal="center"/>
    </xf>
    <xf borderId="7" fillId="0" fontId="89" numFmtId="0" xfId="0" applyAlignment="1" applyBorder="1" applyFont="1">
      <alignment horizontal="center" readingOrder="0" vertical="center"/>
    </xf>
    <xf borderId="40" fillId="0" fontId="89" numFmtId="3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36" fillId="11" fontId="83" numFmtId="0" xfId="0" applyAlignment="1" applyBorder="1" applyFont="1">
      <alignment horizontal="center" vertical="center"/>
    </xf>
    <xf borderId="40" fillId="11" fontId="83" numFmtId="4" xfId="0" applyAlignment="1" applyBorder="1" applyFont="1" applyNumberFormat="1">
      <alignment horizontal="center" vertical="center"/>
    </xf>
    <xf borderId="0" fillId="0" fontId="83" numFmtId="0" xfId="0" applyAlignment="1" applyFont="1">
      <alignment vertical="center"/>
    </xf>
    <xf borderId="18" fillId="0" fontId="83" numFmtId="0" xfId="0" applyAlignment="1" applyBorder="1" applyFont="1">
      <alignment horizontal="center" vertical="top"/>
    </xf>
    <xf borderId="19" fillId="0" fontId="13" numFmtId="0" xfId="0" applyBorder="1" applyFont="1"/>
    <xf borderId="20" fillId="0" fontId="13" numFmtId="0" xfId="0" applyBorder="1" applyFont="1"/>
    <xf borderId="1" fillId="26" fontId="91" numFmtId="0" xfId="0" applyBorder="1" applyFill="1" applyFont="1"/>
    <xf borderId="1" fillId="26" fontId="2" numFmtId="0" xfId="0" applyBorder="1" applyFont="1"/>
    <xf borderId="21" fillId="0" fontId="83" numFmtId="0" xfId="0" applyAlignment="1" applyBorder="1" applyFont="1">
      <alignment horizontal="center" vertical="top"/>
    </xf>
    <xf borderId="22" fillId="0" fontId="13" numFmtId="0" xfId="0" applyBorder="1" applyFont="1"/>
    <xf borderId="0" fillId="0" fontId="83" numFmtId="0" xfId="0" applyAlignment="1" applyFont="1">
      <alignment horizontal="center"/>
    </xf>
    <xf borderId="23" fillId="0" fontId="83" numFmtId="0" xfId="0" applyAlignment="1" applyBorder="1" applyFont="1">
      <alignment horizontal="center" vertical="center"/>
    </xf>
    <xf borderId="24" fillId="0" fontId="2" numFmtId="0" xfId="0" applyBorder="1" applyFont="1"/>
    <xf borderId="0" fillId="0" fontId="2" numFmtId="0" xfId="0" applyAlignment="1" applyFont="1">
      <alignment horizontal="center"/>
    </xf>
    <xf borderId="4" fillId="0" fontId="92" numFmtId="0" xfId="0" applyAlignment="1" applyBorder="1" applyFont="1">
      <alignment horizontal="center"/>
    </xf>
    <xf borderId="4" fillId="11" fontId="56" numFmtId="0" xfId="0" applyAlignment="1" applyBorder="1" applyFont="1">
      <alignment horizontal="left"/>
    </xf>
    <xf borderId="1" fillId="25" fontId="2" numFmtId="0" xfId="0" applyBorder="1" applyFont="1"/>
    <xf borderId="7" fillId="0" fontId="89" numFmtId="4" xfId="0" applyAlignment="1" applyBorder="1" applyFont="1" applyNumberFormat="1">
      <alignment horizontal="center" vertical="center"/>
    </xf>
    <xf borderId="4" fillId="11" fontId="83" numFmtId="0" xfId="0" applyAlignment="1" applyBorder="1" applyFont="1">
      <alignment horizontal="center" vertical="center"/>
    </xf>
    <xf borderId="7" fillId="11" fontId="83" numFmtId="4" xfId="0" applyAlignment="1" applyBorder="1" applyFont="1" applyNumberFormat="1">
      <alignment horizontal="center" vertical="center"/>
    </xf>
    <xf borderId="0" fillId="4" fontId="93" numFmtId="0" xfId="0" applyAlignment="1" applyFont="1">
      <alignment readingOrder="0"/>
    </xf>
    <xf borderId="24" fillId="0" fontId="83" numFmtId="0" xfId="0" applyBorder="1" applyFont="1"/>
    <xf borderId="4" fillId="11" fontId="56" numFmtId="0" xfId="0" applyAlignment="1" applyBorder="1" applyFont="1">
      <alignment horizontal="left" readingOrder="0"/>
    </xf>
    <xf borderId="0" fillId="0" fontId="57" numFmtId="0" xfId="0" applyAlignment="1" applyFont="1">
      <alignment horizontal="center"/>
    </xf>
    <xf borderId="1" fillId="25" fontId="94" numFmtId="0" xfId="0" applyAlignment="1" applyBorder="1" applyFont="1">
      <alignment horizontal="center" vertical="center"/>
    </xf>
    <xf borderId="1" fillId="25" fontId="95" numFmtId="0" xfId="0" applyAlignment="1" applyBorder="1" applyFont="1">
      <alignment horizontal="center"/>
    </xf>
    <xf borderId="2" fillId="26" fontId="96" numFmtId="0" xfId="0" applyAlignment="1" applyBorder="1" applyFont="1">
      <alignment horizontal="center"/>
    </xf>
    <xf borderId="42" fillId="0" fontId="13" numFmtId="0" xfId="0" applyBorder="1" applyFont="1"/>
    <xf borderId="5" fillId="0" fontId="2" numFmtId="0" xfId="0" applyBorder="1" applyFont="1"/>
    <xf borderId="0" fillId="0" fontId="2" numFmtId="0" xfId="0" applyAlignment="1" applyFont="1">
      <alignment readingOrder="0"/>
    </xf>
    <xf borderId="0" fillId="0" fontId="7" numFmtId="178" xfId="0" applyAlignment="1" applyFont="1" applyNumberFormat="1">
      <alignment readingOrder="0"/>
    </xf>
    <xf borderId="0" fillId="25" fontId="7" numFmtId="178" xfId="0" applyAlignment="1" applyFont="1" applyNumberFormat="1">
      <alignment readingOrder="0"/>
    </xf>
    <xf borderId="0" fillId="25" fontId="7" numFmtId="0" xfId="0" applyAlignment="1" applyFont="1">
      <alignment readingOrder="0"/>
    </xf>
    <xf borderId="0" fillId="25" fontId="7" numFmtId="0" xfId="0" applyFont="1"/>
    <xf borderId="0" fillId="27" fontId="7" numFmtId="178" xfId="0" applyAlignment="1" applyFill="1" applyFont="1" applyNumberFormat="1">
      <alignment readingOrder="0"/>
    </xf>
    <xf borderId="0" fillId="27" fontId="7" numFmtId="0" xfId="0" applyAlignment="1" applyFont="1">
      <alignment readingOrder="0"/>
    </xf>
    <xf borderId="0" fillId="27" fontId="7" numFmtId="0" xfId="0" applyFont="1"/>
    <xf borderId="0" fillId="0" fontId="97" numFmtId="0" xfId="0" applyFont="1"/>
    <xf borderId="4" fillId="0" fontId="98" numFmtId="0" xfId="0" applyAlignment="1" applyBorder="1" applyFont="1">
      <alignment horizontal="center" vertical="center"/>
    </xf>
    <xf borderId="43" fillId="9" fontId="99" numFmtId="0" xfId="0" applyAlignment="1" applyBorder="1" applyFont="1">
      <alignment horizontal="center" readingOrder="0" vertical="center"/>
    </xf>
    <xf borderId="44" fillId="9" fontId="99" numFmtId="0" xfId="0" applyAlignment="1" applyBorder="1" applyFont="1">
      <alignment horizontal="center" vertical="center"/>
    </xf>
    <xf borderId="8" fillId="0" fontId="13" numFmtId="0" xfId="0" applyBorder="1" applyFont="1"/>
    <xf borderId="9" fillId="9" fontId="34" numFmtId="0" xfId="0" applyAlignment="1" applyBorder="1" applyFont="1">
      <alignment horizontal="center" readingOrder="0" vertical="center"/>
    </xf>
    <xf borderId="9" fillId="9" fontId="99" numFmtId="0" xfId="0" applyAlignment="1" applyBorder="1" applyFont="1">
      <alignment horizontal="center" readingOrder="0" vertical="center"/>
    </xf>
    <xf borderId="10" fillId="9" fontId="99" numFmtId="0" xfId="0" applyAlignment="1" applyBorder="1" applyFont="1">
      <alignment horizontal="center" readingOrder="0" vertical="center"/>
    </xf>
    <xf borderId="45" fillId="0" fontId="34" numFmtId="0" xfId="0" applyAlignment="1" applyBorder="1" applyFont="1">
      <alignment horizontal="center" vertical="center"/>
    </xf>
    <xf borderId="46" fillId="0" fontId="35" numFmtId="0" xfId="0" applyAlignment="1" applyBorder="1" applyFont="1">
      <alignment horizontal="center" vertical="center"/>
    </xf>
    <xf borderId="13" fillId="0" fontId="35" numFmtId="3" xfId="0" applyAlignment="1" applyBorder="1" applyFont="1" applyNumberFormat="1">
      <alignment horizontal="center" vertical="center"/>
    </xf>
    <xf borderId="47" fillId="11" fontId="33" numFmtId="0" xfId="0" applyAlignment="1" applyBorder="1" applyFont="1">
      <alignment horizontal="center" vertical="center"/>
    </xf>
    <xf borderId="48" fillId="0" fontId="13" numFmtId="0" xfId="0" applyBorder="1" applyFont="1"/>
    <xf borderId="15" fillId="0" fontId="13" numFmtId="0" xfId="0" applyBorder="1" applyFont="1"/>
    <xf borderId="17" fillId="11" fontId="33" numFmtId="3" xfId="0" applyAlignment="1" applyBorder="1" applyFont="1" applyNumberFormat="1">
      <alignment horizontal="center" vertical="center"/>
    </xf>
    <xf borderId="18" fillId="0" fontId="37" numFmtId="0" xfId="0" applyAlignment="1" applyBorder="1" applyFont="1">
      <alignment horizontal="center" vertical="top"/>
    </xf>
    <xf borderId="0" fillId="0" fontId="100" numFmtId="0" xfId="0" applyAlignment="1" applyFont="1">
      <alignment horizontal="center" readingOrder="0" shrinkToFit="0" wrapText="1"/>
    </xf>
    <xf borderId="0" fillId="0" fontId="97" numFmtId="179" xfId="0" applyAlignment="1" applyFont="1" applyNumberFormat="1">
      <alignment horizontal="center" readingOrder="0"/>
    </xf>
    <xf borderId="0" fillId="0" fontId="97" numFmtId="180" xfId="0" applyAlignment="1" applyFont="1" applyNumberFormat="1">
      <alignment horizontal="center"/>
    </xf>
    <xf borderId="0" fillId="0" fontId="97" numFmtId="0" xfId="0" applyAlignment="1" applyFont="1">
      <alignment horizontal="center"/>
    </xf>
    <xf borderId="0" fillId="0" fontId="97" numFmtId="4" xfId="0" applyAlignment="1" applyFont="1" applyNumberFormat="1">
      <alignment horizontal="center" readingOrder="0"/>
    </xf>
    <xf borderId="0" fillId="0" fontId="100" numFmtId="180" xfId="0" applyAlignment="1" applyFont="1" applyNumberFormat="1">
      <alignment horizontal="center" readingOrder="0" shrinkToFit="0" wrapText="1"/>
    </xf>
    <xf borderId="0" fillId="0" fontId="97" numFmtId="4" xfId="0" applyAlignment="1" applyFont="1" applyNumberFormat="1">
      <alignment horizontal="center"/>
    </xf>
    <xf borderId="0" fillId="0" fontId="97" numFmtId="0" xfId="0" applyAlignment="1" applyFont="1">
      <alignment horizontal="center" readingOrder="0"/>
    </xf>
    <xf borderId="0" fillId="28" fontId="101" numFmtId="0" xfId="0" applyAlignment="1" applyFill="1" applyFont="1">
      <alignment horizontal="center" readingOrder="0" shrinkToFit="0" wrapText="1"/>
    </xf>
    <xf borderId="0" fillId="28" fontId="101" numFmtId="180" xfId="0" applyAlignment="1" applyFont="1" applyNumberFormat="1">
      <alignment horizontal="center" readingOrder="0" shrinkToFit="0" wrapText="1"/>
    </xf>
    <xf borderId="0" fillId="0" fontId="97" numFmtId="180" xfId="0" applyAlignment="1" applyFont="1" applyNumberFormat="1">
      <alignment horizontal="center" readingOrder="0"/>
    </xf>
    <xf borderId="0" fillId="9" fontId="97" numFmtId="180" xfId="0" applyAlignment="1" applyFont="1" applyNumberFormat="1">
      <alignment horizontal="center"/>
    </xf>
    <xf borderId="0" fillId="0" fontId="97" numFmtId="17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43125" cy="1266825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33</xdr:row>
      <xdr:rowOff>171450</xdr:rowOff>
    </xdr:from>
    <xdr:ext cx="13973175" cy="419100"/>
    <xdr:grpSp>
      <xdr:nvGrpSpPr>
        <xdr:cNvPr id="2" name="Shape 2" title="ภาพวาด"/>
        <xdr:cNvGrpSpPr/>
      </xdr:nvGrpSpPr>
      <xdr:grpSpPr>
        <a:xfrm>
          <a:off x="0" y="3570450"/>
          <a:ext cx="10692000" cy="419100"/>
          <a:chOff x="0" y="3570450"/>
          <a:chExt cx="10692000" cy="419100"/>
        </a:xfrm>
      </xdr:grpSpPr>
      <xdr:grpSp>
        <xdr:nvGrpSpPr>
          <xdr:cNvPr id="3" name="Shape 3"/>
          <xdr:cNvGrpSpPr/>
        </xdr:nvGrpSpPr>
        <xdr:grpSpPr>
          <a:xfrm>
            <a:off x="0" y="3570450"/>
            <a:ext cx="10692000" cy="419100"/>
            <a:chOff x="0" y="3570450"/>
            <a:chExt cx="10692000" cy="419100"/>
          </a:xfrm>
        </xdr:grpSpPr>
        <xdr:sp>
          <xdr:nvSpPr>
            <xdr:cNvPr id="4" name="Shape 4"/>
            <xdr:cNvSpPr/>
          </xdr:nvSpPr>
          <xdr:spPr>
            <a:xfrm>
              <a:off x="0" y="3570450"/>
              <a:ext cx="10692000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ภาพวาด"/>
            <xdr:cNvGrpSpPr/>
          </xdr:nvGrpSpPr>
          <xdr:grpSpPr>
            <a:xfrm>
              <a:off x="0" y="3570450"/>
              <a:ext cx="10692000" cy="419100"/>
              <a:chOff x="0" y="3389900"/>
              <a:chExt cx="12165048" cy="354000"/>
            </a:xfrm>
          </xdr:grpSpPr>
          <xdr:sp>
            <xdr:nvSpPr>
              <xdr:cNvPr id="6" name="Shape 6"/>
              <xdr:cNvSpPr/>
            </xdr:nvSpPr>
            <xdr:spPr>
              <a:xfrm>
                <a:off x="0" y="3389900"/>
                <a:ext cx="12165025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" name="Shape 7"/>
              <xdr:cNvCxnSpPr/>
            </xdr:nvCxnSpPr>
            <xdr:spPr>
              <a:xfrm>
                <a:off x="0" y="3389900"/>
                <a:ext cx="9714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8" name="Shape 8"/>
              <xdr:cNvSpPr txBox="1"/>
            </xdr:nvSpPr>
            <xdr:spPr>
              <a:xfrm>
                <a:off x="140553" y="3389900"/>
                <a:ext cx="7077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ผู้จ่ายเงิน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9" name="Shape 9"/>
              <xdr:cNvCxnSpPr/>
            </xdr:nvCxnSpPr>
            <xdr:spPr>
              <a:xfrm>
                <a:off x="1069244" y="3389900"/>
                <a:ext cx="9714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0" name="Shape 10"/>
              <xdr:cNvSpPr txBox="1"/>
            </xdr:nvSpPr>
            <xdr:spPr>
              <a:xfrm>
                <a:off x="1205703" y="3389900"/>
                <a:ext cx="7077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วันที่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1" name="Shape 11"/>
              <xdr:cNvCxnSpPr/>
            </xdr:nvCxnSpPr>
            <xdr:spPr>
              <a:xfrm>
                <a:off x="3324432" y="3389900"/>
                <a:ext cx="9714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2" name="Shape 12"/>
              <xdr:cNvSpPr txBox="1"/>
            </xdr:nvSpPr>
            <xdr:spPr>
              <a:xfrm>
                <a:off x="3456415" y="3389900"/>
                <a:ext cx="7077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ผู้รับเงิน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3" name="Shape 13"/>
              <xdr:cNvCxnSpPr/>
            </xdr:nvCxnSpPr>
            <xdr:spPr>
              <a:xfrm>
                <a:off x="4573320" y="3389900"/>
                <a:ext cx="9714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4705304" y="3389900"/>
                <a:ext cx="7077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วันที่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5" name="Shape 15"/>
              <xdr:cNvCxnSpPr/>
            </xdr:nvCxnSpPr>
            <xdr:spPr>
              <a:xfrm>
                <a:off x="6442075" y="3389900"/>
                <a:ext cx="10026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6" name="Shape 16"/>
              <xdr:cNvSpPr txBox="1"/>
            </xdr:nvSpPr>
            <xdr:spPr>
              <a:xfrm>
                <a:off x="6578289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ผู้จ่ายเงิน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7" name="Shape 17"/>
              <xdr:cNvCxnSpPr/>
            </xdr:nvCxnSpPr>
            <xdr:spPr>
              <a:xfrm>
                <a:off x="7828527" y="3389900"/>
                <a:ext cx="10026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8" name="Shape 18"/>
              <xdr:cNvSpPr txBox="1"/>
            </xdr:nvSpPr>
            <xdr:spPr>
              <a:xfrm>
                <a:off x="7964726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วันที่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9" name="Shape 19"/>
              <xdr:cNvCxnSpPr/>
            </xdr:nvCxnSpPr>
            <xdr:spPr>
              <a:xfrm>
                <a:off x="9873403" y="3389900"/>
                <a:ext cx="10026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20" name="Shape 20"/>
              <xdr:cNvSpPr txBox="1"/>
            </xdr:nvSpPr>
            <xdr:spPr>
              <a:xfrm>
                <a:off x="10009630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ผู้รับเงิน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21" name="Shape 21"/>
              <xdr:cNvCxnSpPr/>
            </xdr:nvCxnSpPr>
            <xdr:spPr>
              <a:xfrm>
                <a:off x="11162448" y="3389900"/>
                <a:ext cx="10026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22" name="Shape 22"/>
              <xdr:cNvSpPr txBox="1"/>
            </xdr:nvSpPr>
            <xdr:spPr>
              <a:xfrm>
                <a:off x="11298675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วันที่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sp>
            <xdr:nvSpPr>
              <xdr:cNvPr id="23" name="Shape 23"/>
              <xdr:cNvSpPr txBox="1"/>
            </xdr:nvSpPr>
            <xdr:spPr>
              <a:xfrm>
                <a:off x="10009606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ผู้รับเงิน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</xdr:grpSp>
      </xdr:grpSp>
    </xdr:grpSp>
    <xdr:clientData fLocksWithSheet="0"/>
  </xdr:oneCellAnchor>
  <xdr:oneCellAnchor>
    <xdr:from>
      <xdr:col>8</xdr:col>
      <xdr:colOff>0</xdr:colOff>
      <xdr:row>0</xdr:row>
      <xdr:rowOff>0</xdr:rowOff>
    </xdr:from>
    <xdr:ext cx="1085850" cy="638175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0.25"/>
    <col customWidth="1" min="2" max="2" width="15.13"/>
    <col customWidth="1" min="3" max="3" width="68.0"/>
    <col customWidth="1" min="4" max="4" width="61.13"/>
    <col customWidth="1" min="5" max="5" width="30.88"/>
    <col customWidth="1" min="6" max="6" width="20.5"/>
    <col customWidth="1" min="7" max="7" width="17.88"/>
    <col customWidth="1" min="8" max="8" width="15.0"/>
    <col customWidth="1" min="14" max="14" width="15.0"/>
  </cols>
  <sheetData>
    <row r="1" ht="76.5" customHeight="1" collapsed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</row>
    <row r="2" outlineLevel="1">
      <c r="A2" s="8">
        <v>10.0</v>
      </c>
      <c r="B2" s="9" t="str">
        <f t="array" ref="B2:B3">{"Transaction ID"; IF(C2:C999="","", "VP" &amp; TEXT(ROW(B2:B999)-2,"00000"))}</f>
        <v>#REF!</v>
      </c>
      <c r="C2" s="10" t="s">
        <v>14</v>
      </c>
      <c r="D2" s="11" t="s">
        <v>15</v>
      </c>
      <c r="E2" s="12" t="s">
        <v>15</v>
      </c>
      <c r="F2" s="13" t="s">
        <v>16</v>
      </c>
      <c r="G2" s="14" t="s">
        <v>17</v>
      </c>
      <c r="H2" s="15">
        <v>244200.0</v>
      </c>
      <c r="I2" s="14" t="s">
        <v>18</v>
      </c>
      <c r="J2" s="16" t="s">
        <v>19</v>
      </c>
      <c r="K2" s="17" t="s">
        <v>20</v>
      </c>
      <c r="L2" s="8" t="s">
        <v>21</v>
      </c>
      <c r="M2" s="8" t="s">
        <v>21</v>
      </c>
      <c r="N2" s="18">
        <f t="shared" ref="N2:N196" si="1">H2+1</f>
        <v>244201</v>
      </c>
      <c r="O2" s="19"/>
      <c r="P2" s="20"/>
      <c r="Q2" s="21"/>
      <c r="R2" s="22"/>
      <c r="S2" s="23"/>
      <c r="T2" s="24"/>
      <c r="U2" s="24"/>
      <c r="V2" s="19"/>
    </row>
    <row r="3" outlineLevel="1">
      <c r="A3" s="8">
        <v>11.0</v>
      </c>
      <c r="B3" s="9" t="s">
        <v>22</v>
      </c>
      <c r="C3" s="25" t="s">
        <v>23</v>
      </c>
      <c r="D3" s="26" t="s">
        <v>15</v>
      </c>
      <c r="E3" s="12" t="s">
        <v>15</v>
      </c>
      <c r="F3" s="27" t="s">
        <v>24</v>
      </c>
      <c r="G3" s="14" t="s">
        <v>17</v>
      </c>
      <c r="H3" s="15">
        <v>244200.0</v>
      </c>
      <c r="I3" s="14" t="s">
        <v>25</v>
      </c>
      <c r="J3" s="16" t="s">
        <v>19</v>
      </c>
      <c r="K3" s="17" t="s">
        <v>20</v>
      </c>
      <c r="L3" s="8" t="s">
        <v>21</v>
      </c>
      <c r="M3" s="8" t="s">
        <v>21</v>
      </c>
      <c r="N3" s="18">
        <f t="shared" si="1"/>
        <v>244201</v>
      </c>
      <c r="O3" s="19"/>
      <c r="P3" s="20"/>
      <c r="Q3" s="21"/>
      <c r="R3" s="22"/>
      <c r="S3" s="23"/>
      <c r="T3" s="24"/>
      <c r="U3" s="24"/>
      <c r="V3" s="19"/>
    </row>
    <row r="4" outlineLevel="1">
      <c r="A4" s="8">
        <v>12.0</v>
      </c>
      <c r="B4" s="9" t="s">
        <v>26</v>
      </c>
      <c r="C4" s="25" t="s">
        <v>27</v>
      </c>
      <c r="D4" s="26" t="s">
        <v>15</v>
      </c>
      <c r="E4" s="12" t="s">
        <v>15</v>
      </c>
      <c r="F4" s="27" t="s">
        <v>28</v>
      </c>
      <c r="G4" s="14" t="s">
        <v>29</v>
      </c>
      <c r="H4" s="15">
        <v>244200.0</v>
      </c>
      <c r="I4" s="14" t="s">
        <v>30</v>
      </c>
      <c r="J4" s="16" t="s">
        <v>19</v>
      </c>
      <c r="K4" s="17" t="s">
        <v>20</v>
      </c>
      <c r="L4" s="8" t="s">
        <v>21</v>
      </c>
      <c r="M4" s="8" t="s">
        <v>21</v>
      </c>
      <c r="N4" s="18">
        <f t="shared" si="1"/>
        <v>244201</v>
      </c>
      <c r="O4" s="19"/>
      <c r="P4" s="19"/>
      <c r="Q4" s="19"/>
      <c r="R4" s="28"/>
      <c r="S4" s="23"/>
      <c r="T4" s="24"/>
      <c r="U4" s="24"/>
      <c r="V4" s="19"/>
    </row>
    <row r="5" outlineLevel="1">
      <c r="A5" s="8">
        <v>13.0</v>
      </c>
      <c r="B5" s="9" t="s">
        <v>31</v>
      </c>
      <c r="C5" s="25" t="s">
        <v>32</v>
      </c>
      <c r="D5" s="26" t="s">
        <v>15</v>
      </c>
      <c r="E5" s="12" t="s">
        <v>15</v>
      </c>
      <c r="F5" s="27" t="s">
        <v>33</v>
      </c>
      <c r="G5" s="14" t="s">
        <v>17</v>
      </c>
      <c r="H5" s="15">
        <v>244200.0</v>
      </c>
      <c r="I5" s="14" t="s">
        <v>34</v>
      </c>
      <c r="J5" s="16" t="s">
        <v>19</v>
      </c>
      <c r="K5" s="17" t="s">
        <v>20</v>
      </c>
      <c r="L5" s="8" t="s">
        <v>21</v>
      </c>
      <c r="M5" s="8" t="s">
        <v>21</v>
      </c>
      <c r="N5" s="18">
        <f t="shared" si="1"/>
        <v>244201</v>
      </c>
      <c r="O5" s="29"/>
      <c r="P5" s="29"/>
      <c r="Q5" s="29"/>
      <c r="R5" s="29"/>
      <c r="S5" s="29"/>
      <c r="T5" s="29"/>
      <c r="U5" s="29"/>
      <c r="V5" s="29"/>
    </row>
    <row r="6" outlineLevel="1">
      <c r="A6" s="8">
        <v>14.0</v>
      </c>
      <c r="B6" s="9" t="s">
        <v>35</v>
      </c>
      <c r="C6" s="25" t="s">
        <v>36</v>
      </c>
      <c r="D6" s="26" t="s">
        <v>15</v>
      </c>
      <c r="E6" s="12" t="s">
        <v>15</v>
      </c>
      <c r="F6" s="27" t="s">
        <v>37</v>
      </c>
      <c r="G6" s="14" t="s">
        <v>17</v>
      </c>
      <c r="H6" s="15">
        <v>244200.0</v>
      </c>
      <c r="I6" s="14" t="s">
        <v>38</v>
      </c>
      <c r="J6" s="16" t="s">
        <v>19</v>
      </c>
      <c r="K6" s="17" t="s">
        <v>20</v>
      </c>
      <c r="L6" s="8" t="s">
        <v>21</v>
      </c>
      <c r="M6" s="8" t="s">
        <v>21</v>
      </c>
      <c r="N6" s="18">
        <f t="shared" si="1"/>
        <v>244201</v>
      </c>
      <c r="O6" s="29"/>
      <c r="P6" s="29"/>
      <c r="Q6" s="29"/>
      <c r="R6" s="29"/>
      <c r="S6" s="29"/>
      <c r="T6" s="29"/>
      <c r="U6" s="29"/>
      <c r="V6" s="29"/>
    </row>
    <row r="7" outlineLevel="1">
      <c r="A7" s="8">
        <v>15.0</v>
      </c>
      <c r="B7" s="9" t="s">
        <v>39</v>
      </c>
      <c r="C7" s="25" t="s">
        <v>40</v>
      </c>
      <c r="D7" s="26" t="s">
        <v>15</v>
      </c>
      <c r="E7" s="12" t="s">
        <v>15</v>
      </c>
      <c r="F7" s="27" t="s">
        <v>41</v>
      </c>
      <c r="G7" s="14" t="s">
        <v>29</v>
      </c>
      <c r="H7" s="15">
        <v>244200.0</v>
      </c>
      <c r="I7" s="14" t="s">
        <v>42</v>
      </c>
      <c r="J7" s="16" t="s">
        <v>19</v>
      </c>
      <c r="K7" s="17" t="s">
        <v>20</v>
      </c>
      <c r="L7" s="8" t="s">
        <v>21</v>
      </c>
      <c r="M7" s="8" t="s">
        <v>21</v>
      </c>
      <c r="N7" s="18">
        <f t="shared" si="1"/>
        <v>244201</v>
      </c>
      <c r="O7" s="29"/>
      <c r="P7" s="29"/>
      <c r="Q7" s="29"/>
      <c r="R7" s="29"/>
      <c r="S7" s="29"/>
      <c r="T7" s="29"/>
      <c r="U7" s="29"/>
      <c r="V7" s="29"/>
    </row>
    <row r="8" outlineLevel="1">
      <c r="A8" s="8">
        <v>16.0</v>
      </c>
      <c r="B8" s="9" t="s">
        <v>43</v>
      </c>
      <c r="C8" s="25" t="s">
        <v>44</v>
      </c>
      <c r="D8" s="26" t="s">
        <v>15</v>
      </c>
      <c r="E8" s="12" t="s">
        <v>15</v>
      </c>
      <c r="F8" s="27" t="s">
        <v>45</v>
      </c>
      <c r="G8" s="14" t="s">
        <v>29</v>
      </c>
      <c r="H8" s="15">
        <v>244200.0</v>
      </c>
      <c r="I8" s="14" t="s">
        <v>46</v>
      </c>
      <c r="J8" s="16" t="s">
        <v>19</v>
      </c>
      <c r="K8" s="17" t="s">
        <v>20</v>
      </c>
      <c r="L8" s="8" t="s">
        <v>21</v>
      </c>
      <c r="M8" s="8" t="s">
        <v>21</v>
      </c>
      <c r="N8" s="18">
        <f t="shared" si="1"/>
        <v>244201</v>
      </c>
      <c r="O8" s="29"/>
      <c r="P8" s="29"/>
      <c r="Q8" s="29"/>
      <c r="R8" s="29"/>
      <c r="S8" s="29"/>
      <c r="T8" s="29"/>
      <c r="U8" s="29"/>
      <c r="V8" s="29"/>
    </row>
    <row r="9" outlineLevel="1">
      <c r="A9" s="8">
        <v>17.0</v>
      </c>
      <c r="B9" s="9" t="s">
        <v>47</v>
      </c>
      <c r="C9" s="25" t="s">
        <v>48</v>
      </c>
      <c r="D9" s="26" t="s">
        <v>15</v>
      </c>
      <c r="E9" s="12" t="s">
        <v>15</v>
      </c>
      <c r="F9" s="27" t="s">
        <v>49</v>
      </c>
      <c r="G9" s="14" t="s">
        <v>29</v>
      </c>
      <c r="H9" s="15">
        <v>244201.0</v>
      </c>
      <c r="I9" s="14" t="s">
        <v>50</v>
      </c>
      <c r="J9" s="16" t="s">
        <v>19</v>
      </c>
      <c r="K9" s="17" t="s">
        <v>20</v>
      </c>
      <c r="L9" s="8" t="s">
        <v>21</v>
      </c>
      <c r="M9" s="8" t="s">
        <v>21</v>
      </c>
      <c r="N9" s="18">
        <f t="shared" si="1"/>
        <v>244202</v>
      </c>
      <c r="O9" s="29"/>
      <c r="P9" s="29"/>
      <c r="Q9" s="29"/>
      <c r="R9" s="29"/>
      <c r="S9" s="29"/>
      <c r="T9" s="29"/>
      <c r="U9" s="29"/>
      <c r="V9" s="29"/>
    </row>
    <row r="10" outlineLevel="1">
      <c r="A10" s="8">
        <v>18.0</v>
      </c>
      <c r="B10" s="9" t="s">
        <v>51</v>
      </c>
      <c r="C10" s="25" t="s">
        <v>52</v>
      </c>
      <c r="D10" s="26" t="s">
        <v>15</v>
      </c>
      <c r="E10" s="12" t="s">
        <v>15</v>
      </c>
      <c r="F10" s="27" t="s">
        <v>53</v>
      </c>
      <c r="G10" s="14" t="s">
        <v>17</v>
      </c>
      <c r="H10" s="15">
        <v>244201.0</v>
      </c>
      <c r="I10" s="14" t="s">
        <v>54</v>
      </c>
      <c r="J10" s="16" t="s">
        <v>19</v>
      </c>
      <c r="K10" s="17" t="s">
        <v>20</v>
      </c>
      <c r="L10" s="8" t="s">
        <v>21</v>
      </c>
      <c r="M10" s="8" t="s">
        <v>21</v>
      </c>
      <c r="N10" s="18">
        <f t="shared" si="1"/>
        <v>244202</v>
      </c>
      <c r="O10" s="29"/>
      <c r="P10" s="29"/>
      <c r="Q10" s="29"/>
      <c r="R10" s="29"/>
      <c r="S10" s="29"/>
      <c r="T10" s="29"/>
      <c r="U10" s="29"/>
      <c r="V10" s="29"/>
    </row>
    <row r="11" outlineLevel="1">
      <c r="A11" s="8">
        <v>19.0</v>
      </c>
      <c r="B11" s="9" t="s">
        <v>55</v>
      </c>
      <c r="C11" s="25" t="s">
        <v>56</v>
      </c>
      <c r="D11" s="26" t="s">
        <v>15</v>
      </c>
      <c r="E11" s="12" t="s">
        <v>15</v>
      </c>
      <c r="F11" s="27" t="s">
        <v>15</v>
      </c>
      <c r="G11" s="14" t="s">
        <v>29</v>
      </c>
      <c r="H11" s="15">
        <v>244201.0</v>
      </c>
      <c r="I11" s="14" t="s">
        <v>34</v>
      </c>
      <c r="J11" s="16" t="s">
        <v>19</v>
      </c>
      <c r="K11" s="17" t="s">
        <v>20</v>
      </c>
      <c r="L11" s="8" t="s">
        <v>21</v>
      </c>
      <c r="M11" s="8" t="s">
        <v>21</v>
      </c>
      <c r="N11" s="18">
        <f t="shared" si="1"/>
        <v>244202</v>
      </c>
      <c r="O11" s="29"/>
      <c r="P11" s="29"/>
      <c r="Q11" s="29"/>
      <c r="R11" s="29"/>
      <c r="S11" s="29"/>
      <c r="T11" s="29"/>
      <c r="U11" s="29"/>
      <c r="V11" s="29"/>
    </row>
    <row r="12" outlineLevel="1">
      <c r="A12" s="8">
        <v>20.0</v>
      </c>
      <c r="B12" s="9" t="s">
        <v>57</v>
      </c>
      <c r="C12" s="25" t="s">
        <v>58</v>
      </c>
      <c r="D12" s="26" t="s">
        <v>15</v>
      </c>
      <c r="E12" s="12" t="s">
        <v>15</v>
      </c>
      <c r="F12" s="27" t="s">
        <v>59</v>
      </c>
      <c r="G12" s="14" t="s">
        <v>17</v>
      </c>
      <c r="H12" s="15">
        <v>244201.0</v>
      </c>
      <c r="I12" s="14" t="s">
        <v>60</v>
      </c>
      <c r="J12" s="16" t="s">
        <v>19</v>
      </c>
      <c r="K12" s="17" t="s">
        <v>20</v>
      </c>
      <c r="L12" s="8" t="s">
        <v>21</v>
      </c>
      <c r="M12" s="8" t="s">
        <v>21</v>
      </c>
      <c r="N12" s="18">
        <f t="shared" si="1"/>
        <v>244202</v>
      </c>
      <c r="O12" s="29"/>
      <c r="P12" s="29"/>
      <c r="Q12" s="29"/>
      <c r="R12" s="29"/>
      <c r="S12" s="29"/>
      <c r="T12" s="29"/>
      <c r="U12" s="29"/>
      <c r="V12" s="29"/>
    </row>
    <row r="13" outlineLevel="1">
      <c r="A13" s="8">
        <v>21.0</v>
      </c>
      <c r="B13" s="9" t="s">
        <v>61</v>
      </c>
      <c r="C13" s="25" t="s">
        <v>62</v>
      </c>
      <c r="D13" s="26" t="s">
        <v>15</v>
      </c>
      <c r="E13" s="12" t="s">
        <v>15</v>
      </c>
      <c r="F13" s="27" t="s">
        <v>63</v>
      </c>
      <c r="G13" s="14" t="s">
        <v>17</v>
      </c>
      <c r="H13" s="15">
        <v>244202.0</v>
      </c>
      <c r="I13" s="14" t="s">
        <v>64</v>
      </c>
      <c r="J13" s="16" t="s">
        <v>19</v>
      </c>
      <c r="K13" s="17" t="s">
        <v>20</v>
      </c>
      <c r="L13" s="8" t="s">
        <v>21</v>
      </c>
      <c r="M13" s="8" t="s">
        <v>21</v>
      </c>
      <c r="N13" s="18">
        <f t="shared" si="1"/>
        <v>244203</v>
      </c>
      <c r="O13" s="29"/>
      <c r="P13" s="29"/>
      <c r="Q13" s="29"/>
      <c r="R13" s="29"/>
      <c r="S13" s="29"/>
      <c r="T13" s="29"/>
      <c r="U13" s="29"/>
      <c r="V13" s="29"/>
    </row>
    <row r="14" outlineLevel="1">
      <c r="A14" s="8">
        <v>22.0</v>
      </c>
      <c r="B14" s="9" t="s">
        <v>65</v>
      </c>
      <c r="C14" s="25" t="s">
        <v>66</v>
      </c>
      <c r="D14" s="26" t="s">
        <v>15</v>
      </c>
      <c r="E14" s="12" t="s">
        <v>15</v>
      </c>
      <c r="F14" s="27" t="s">
        <v>67</v>
      </c>
      <c r="G14" s="14" t="s">
        <v>17</v>
      </c>
      <c r="H14" s="15">
        <v>244202.0</v>
      </c>
      <c r="I14" s="14" t="s">
        <v>42</v>
      </c>
      <c r="J14" s="16" t="s">
        <v>19</v>
      </c>
      <c r="K14" s="17" t="s">
        <v>20</v>
      </c>
      <c r="L14" s="8" t="s">
        <v>21</v>
      </c>
      <c r="M14" s="8" t="s">
        <v>21</v>
      </c>
      <c r="N14" s="18">
        <f t="shared" si="1"/>
        <v>244203</v>
      </c>
      <c r="O14" s="29"/>
      <c r="P14" s="29"/>
      <c r="Q14" s="29"/>
      <c r="R14" s="29"/>
      <c r="S14" s="29"/>
      <c r="T14" s="29"/>
      <c r="U14" s="29"/>
      <c r="V14" s="29"/>
    </row>
    <row r="15" outlineLevel="1">
      <c r="A15" s="8">
        <v>23.0</v>
      </c>
      <c r="B15" s="9" t="s">
        <v>68</v>
      </c>
      <c r="C15" s="25" t="s">
        <v>69</v>
      </c>
      <c r="D15" s="26" t="s">
        <v>15</v>
      </c>
      <c r="E15" s="12" t="s">
        <v>15</v>
      </c>
      <c r="F15" s="27" t="s">
        <v>70</v>
      </c>
      <c r="G15" s="14" t="s">
        <v>29</v>
      </c>
      <c r="H15" s="15">
        <v>244202.0</v>
      </c>
      <c r="I15" s="14" t="s">
        <v>30</v>
      </c>
      <c r="J15" s="16" t="s">
        <v>19</v>
      </c>
      <c r="K15" s="17" t="s">
        <v>20</v>
      </c>
      <c r="L15" s="8" t="s">
        <v>21</v>
      </c>
      <c r="M15" s="8" t="s">
        <v>21</v>
      </c>
      <c r="N15" s="18">
        <f t="shared" si="1"/>
        <v>244203</v>
      </c>
      <c r="O15" s="29"/>
      <c r="P15" s="29"/>
      <c r="Q15" s="29"/>
      <c r="R15" s="29"/>
      <c r="S15" s="29"/>
      <c r="T15" s="29"/>
      <c r="U15" s="29"/>
      <c r="V15" s="29"/>
    </row>
    <row r="16" outlineLevel="1">
      <c r="A16" s="8">
        <v>24.0</v>
      </c>
      <c r="B16" s="9" t="s">
        <v>71</v>
      </c>
      <c r="C16" s="25" t="s">
        <v>72</v>
      </c>
      <c r="D16" s="26" t="s">
        <v>15</v>
      </c>
      <c r="E16" s="12" t="s">
        <v>15</v>
      </c>
      <c r="F16" s="27" t="s">
        <v>73</v>
      </c>
      <c r="G16" s="14" t="s">
        <v>17</v>
      </c>
      <c r="H16" s="15">
        <v>244202.0</v>
      </c>
      <c r="I16" s="14" t="s">
        <v>34</v>
      </c>
      <c r="J16" s="16" t="s">
        <v>19</v>
      </c>
      <c r="K16" s="17" t="s">
        <v>20</v>
      </c>
      <c r="L16" s="8" t="s">
        <v>21</v>
      </c>
      <c r="M16" s="8" t="s">
        <v>21</v>
      </c>
      <c r="N16" s="18">
        <f t="shared" si="1"/>
        <v>244203</v>
      </c>
      <c r="O16" s="29"/>
      <c r="P16" s="29"/>
      <c r="Q16" s="29"/>
      <c r="R16" s="29"/>
      <c r="S16" s="29"/>
      <c r="T16" s="29"/>
      <c r="U16" s="29"/>
      <c r="V16" s="29"/>
    </row>
    <row r="17" outlineLevel="1">
      <c r="A17" s="8">
        <v>25.0</v>
      </c>
      <c r="B17" s="9" t="s">
        <v>74</v>
      </c>
      <c r="C17" s="25" t="s">
        <v>75</v>
      </c>
      <c r="D17" s="26" t="s">
        <v>15</v>
      </c>
      <c r="E17" s="12" t="s">
        <v>15</v>
      </c>
      <c r="F17" s="27" t="s">
        <v>76</v>
      </c>
      <c r="G17" s="14" t="s">
        <v>17</v>
      </c>
      <c r="H17" s="15">
        <v>244203.0</v>
      </c>
      <c r="I17" s="14" t="s">
        <v>38</v>
      </c>
      <c r="J17" s="16" t="s">
        <v>19</v>
      </c>
      <c r="K17" s="17" t="s">
        <v>20</v>
      </c>
      <c r="L17" s="8" t="s">
        <v>21</v>
      </c>
      <c r="M17" s="8" t="s">
        <v>21</v>
      </c>
      <c r="N17" s="18">
        <f t="shared" si="1"/>
        <v>244204</v>
      </c>
      <c r="O17" s="29"/>
      <c r="P17" s="29"/>
      <c r="Q17" s="29"/>
      <c r="R17" s="29"/>
      <c r="S17" s="29"/>
      <c r="T17" s="29"/>
      <c r="U17" s="29"/>
      <c r="V17" s="29"/>
    </row>
    <row r="18" outlineLevel="1">
      <c r="A18" s="8">
        <v>26.0</v>
      </c>
      <c r="B18" s="9" t="s">
        <v>77</v>
      </c>
      <c r="C18" s="25" t="s">
        <v>78</v>
      </c>
      <c r="D18" s="26" t="s">
        <v>15</v>
      </c>
      <c r="E18" s="12" t="s">
        <v>15</v>
      </c>
      <c r="F18" s="27" t="s">
        <v>79</v>
      </c>
      <c r="G18" s="14" t="s">
        <v>29</v>
      </c>
      <c r="H18" s="15">
        <v>244203.0</v>
      </c>
      <c r="I18" s="14" t="s">
        <v>80</v>
      </c>
      <c r="J18" s="16" t="s">
        <v>19</v>
      </c>
      <c r="K18" s="17" t="s">
        <v>20</v>
      </c>
      <c r="L18" s="8" t="s">
        <v>81</v>
      </c>
      <c r="M18" s="8" t="s">
        <v>21</v>
      </c>
      <c r="N18" s="18">
        <f t="shared" si="1"/>
        <v>244204</v>
      </c>
      <c r="O18" s="29"/>
      <c r="P18" s="29"/>
      <c r="Q18" s="29"/>
      <c r="R18" s="29"/>
      <c r="S18" s="29"/>
      <c r="T18" s="29"/>
      <c r="U18" s="29"/>
      <c r="V18" s="29"/>
    </row>
    <row r="19" outlineLevel="1">
      <c r="A19" s="8">
        <v>27.0</v>
      </c>
      <c r="B19" s="9" t="s">
        <v>82</v>
      </c>
      <c r="C19" s="25" t="s">
        <v>83</v>
      </c>
      <c r="D19" s="26" t="s">
        <v>15</v>
      </c>
      <c r="E19" s="12" t="s">
        <v>15</v>
      </c>
      <c r="F19" s="27" t="s">
        <v>84</v>
      </c>
      <c r="G19" s="14" t="s">
        <v>29</v>
      </c>
      <c r="H19" s="15">
        <v>244203.0</v>
      </c>
      <c r="I19" s="14" t="s">
        <v>34</v>
      </c>
      <c r="J19" s="16" t="s">
        <v>19</v>
      </c>
      <c r="K19" s="17" t="s">
        <v>20</v>
      </c>
      <c r="L19" s="8" t="s">
        <v>21</v>
      </c>
      <c r="M19" s="8" t="s">
        <v>21</v>
      </c>
      <c r="N19" s="18">
        <f t="shared" si="1"/>
        <v>244204</v>
      </c>
      <c r="O19" s="29"/>
      <c r="P19" s="29"/>
      <c r="Q19" s="29"/>
      <c r="R19" s="29"/>
      <c r="S19" s="29"/>
      <c r="T19" s="29"/>
      <c r="U19" s="29"/>
      <c r="V19" s="29"/>
    </row>
    <row r="20" outlineLevel="1">
      <c r="A20" s="8">
        <v>28.0</v>
      </c>
      <c r="B20" s="9" t="s">
        <v>85</v>
      </c>
      <c r="C20" s="25" t="s">
        <v>86</v>
      </c>
      <c r="D20" s="26" t="s">
        <v>15</v>
      </c>
      <c r="E20" s="12" t="s">
        <v>15</v>
      </c>
      <c r="F20" s="27" t="s">
        <v>87</v>
      </c>
      <c r="G20" s="14" t="s">
        <v>29</v>
      </c>
      <c r="H20" s="15">
        <v>244203.0</v>
      </c>
      <c r="I20" s="14" t="s">
        <v>88</v>
      </c>
      <c r="J20" s="16" t="s">
        <v>19</v>
      </c>
      <c r="K20" s="17" t="s">
        <v>20</v>
      </c>
      <c r="L20" s="8" t="s">
        <v>21</v>
      </c>
      <c r="M20" s="8" t="s">
        <v>21</v>
      </c>
      <c r="N20" s="18">
        <f t="shared" si="1"/>
        <v>244204</v>
      </c>
      <c r="O20" s="29"/>
      <c r="P20" s="29"/>
      <c r="Q20" s="29"/>
      <c r="R20" s="29"/>
      <c r="S20" s="29"/>
      <c r="T20" s="29"/>
      <c r="U20" s="29"/>
      <c r="V20" s="29"/>
    </row>
    <row r="21" outlineLevel="1">
      <c r="A21" s="8">
        <v>29.0</v>
      </c>
      <c r="B21" s="9" t="s">
        <v>89</v>
      </c>
      <c r="C21" s="25" t="s">
        <v>90</v>
      </c>
      <c r="D21" s="26" t="s">
        <v>15</v>
      </c>
      <c r="E21" s="12" t="s">
        <v>15</v>
      </c>
      <c r="F21" s="27" t="s">
        <v>91</v>
      </c>
      <c r="G21" s="14" t="s">
        <v>17</v>
      </c>
      <c r="H21" s="15">
        <v>244203.0</v>
      </c>
      <c r="I21" s="14" t="s">
        <v>54</v>
      </c>
      <c r="J21" s="16" t="s">
        <v>19</v>
      </c>
      <c r="K21" s="17" t="s">
        <v>20</v>
      </c>
      <c r="L21" s="8" t="s">
        <v>21</v>
      </c>
      <c r="M21" s="8" t="s">
        <v>21</v>
      </c>
      <c r="N21" s="18">
        <f t="shared" si="1"/>
        <v>244204</v>
      </c>
      <c r="O21" s="29"/>
      <c r="P21" s="29"/>
      <c r="Q21" s="29"/>
      <c r="R21" s="29"/>
      <c r="S21" s="29"/>
      <c r="T21" s="29"/>
      <c r="U21" s="29"/>
      <c r="V21" s="29"/>
    </row>
    <row r="22" outlineLevel="1">
      <c r="A22" s="8">
        <v>30.0</v>
      </c>
      <c r="B22" s="9" t="s">
        <v>92</v>
      </c>
      <c r="C22" s="25" t="s">
        <v>93</v>
      </c>
      <c r="D22" s="26" t="s">
        <v>15</v>
      </c>
      <c r="E22" s="12" t="s">
        <v>15</v>
      </c>
      <c r="F22" s="27" t="s">
        <v>94</v>
      </c>
      <c r="G22" s="14" t="s">
        <v>29</v>
      </c>
      <c r="H22" s="15">
        <v>244204.0</v>
      </c>
      <c r="I22" s="14" t="s">
        <v>95</v>
      </c>
      <c r="J22" s="16" t="s">
        <v>19</v>
      </c>
      <c r="K22" s="17" t="s">
        <v>20</v>
      </c>
      <c r="L22" s="8" t="s">
        <v>21</v>
      </c>
      <c r="M22" s="8" t="s">
        <v>21</v>
      </c>
      <c r="N22" s="18">
        <f t="shared" si="1"/>
        <v>244205</v>
      </c>
      <c r="O22" s="29"/>
      <c r="P22" s="29"/>
      <c r="Q22" s="29"/>
      <c r="R22" s="29"/>
      <c r="S22" s="29"/>
      <c r="T22" s="29"/>
      <c r="U22" s="29"/>
      <c r="V22" s="29"/>
    </row>
    <row r="23" outlineLevel="1">
      <c r="A23" s="8">
        <v>31.0</v>
      </c>
      <c r="B23" s="9" t="s">
        <v>96</v>
      </c>
      <c r="C23" s="25" t="s">
        <v>97</v>
      </c>
      <c r="D23" s="26" t="s">
        <v>15</v>
      </c>
      <c r="E23" s="12" t="s">
        <v>15</v>
      </c>
      <c r="F23" s="27" t="s">
        <v>15</v>
      </c>
      <c r="G23" s="14" t="s">
        <v>17</v>
      </c>
      <c r="H23" s="15">
        <v>244204.0</v>
      </c>
      <c r="I23" s="14" t="s">
        <v>34</v>
      </c>
      <c r="J23" s="16" t="s">
        <v>19</v>
      </c>
      <c r="K23" s="17" t="s">
        <v>20</v>
      </c>
      <c r="L23" s="8" t="s">
        <v>98</v>
      </c>
      <c r="M23" s="8" t="s">
        <v>21</v>
      </c>
      <c r="N23" s="18">
        <f t="shared" si="1"/>
        <v>244205</v>
      </c>
      <c r="O23" s="29"/>
      <c r="P23" s="29"/>
      <c r="Q23" s="29"/>
      <c r="R23" s="29"/>
      <c r="S23" s="29"/>
      <c r="T23" s="29"/>
      <c r="U23" s="29"/>
      <c r="V23" s="29"/>
    </row>
    <row r="24" outlineLevel="1">
      <c r="A24" s="8">
        <v>32.0</v>
      </c>
      <c r="B24" s="9" t="s">
        <v>99</v>
      </c>
      <c r="C24" s="25" t="s">
        <v>100</v>
      </c>
      <c r="D24" s="26" t="s">
        <v>15</v>
      </c>
      <c r="E24" s="12" t="s">
        <v>15</v>
      </c>
      <c r="F24" s="27" t="s">
        <v>15</v>
      </c>
      <c r="G24" s="14" t="s">
        <v>17</v>
      </c>
      <c r="H24" s="15">
        <v>244204.0</v>
      </c>
      <c r="I24" s="14" t="s">
        <v>101</v>
      </c>
      <c r="J24" s="16" t="s">
        <v>19</v>
      </c>
      <c r="K24" s="17" t="s">
        <v>20</v>
      </c>
      <c r="L24" s="8" t="s">
        <v>21</v>
      </c>
      <c r="M24" s="8" t="s">
        <v>21</v>
      </c>
      <c r="N24" s="18">
        <f t="shared" si="1"/>
        <v>244205</v>
      </c>
      <c r="O24" s="29"/>
      <c r="P24" s="29"/>
      <c r="Q24" s="29"/>
      <c r="R24" s="29"/>
      <c r="S24" s="29"/>
      <c r="T24" s="29"/>
      <c r="U24" s="29"/>
      <c r="V24" s="29"/>
    </row>
    <row r="25" outlineLevel="1">
      <c r="A25" s="8">
        <v>33.0</v>
      </c>
      <c r="B25" s="9" t="s">
        <v>102</v>
      </c>
      <c r="C25" s="25" t="s">
        <v>103</v>
      </c>
      <c r="D25" s="26" t="s">
        <v>15</v>
      </c>
      <c r="E25" s="12" t="s">
        <v>15</v>
      </c>
      <c r="F25" s="27" t="s">
        <v>104</v>
      </c>
      <c r="G25" s="14" t="s">
        <v>17</v>
      </c>
      <c r="H25" s="15">
        <v>244204.0</v>
      </c>
      <c r="I25" s="14" t="s">
        <v>30</v>
      </c>
      <c r="J25" s="16" t="s">
        <v>19</v>
      </c>
      <c r="K25" s="17" t="s">
        <v>20</v>
      </c>
      <c r="L25" s="8" t="s">
        <v>21</v>
      </c>
      <c r="M25" s="8" t="s">
        <v>21</v>
      </c>
      <c r="N25" s="18">
        <f t="shared" si="1"/>
        <v>244205</v>
      </c>
      <c r="O25" s="29"/>
      <c r="P25" s="29"/>
      <c r="Q25" s="29"/>
      <c r="R25" s="29"/>
      <c r="S25" s="29"/>
      <c r="T25" s="29"/>
      <c r="U25" s="29"/>
      <c r="V25" s="29"/>
    </row>
    <row r="26" outlineLevel="1">
      <c r="A26" s="8">
        <v>34.0</v>
      </c>
      <c r="B26" s="9" t="s">
        <v>105</v>
      </c>
      <c r="C26" s="25" t="s">
        <v>106</v>
      </c>
      <c r="D26" s="26" t="s">
        <v>15</v>
      </c>
      <c r="E26" s="12" t="s">
        <v>15</v>
      </c>
      <c r="F26" s="27" t="s">
        <v>107</v>
      </c>
      <c r="G26" s="14" t="s">
        <v>29</v>
      </c>
      <c r="H26" s="15">
        <v>244205.0</v>
      </c>
      <c r="I26" s="14" t="s">
        <v>38</v>
      </c>
      <c r="J26" s="16" t="s">
        <v>19</v>
      </c>
      <c r="K26" s="17" t="s">
        <v>20</v>
      </c>
      <c r="L26" s="8" t="s">
        <v>21</v>
      </c>
      <c r="M26" s="8" t="s">
        <v>21</v>
      </c>
      <c r="N26" s="18">
        <f t="shared" si="1"/>
        <v>244206</v>
      </c>
      <c r="O26" s="29"/>
      <c r="P26" s="29"/>
      <c r="Q26" s="29"/>
      <c r="R26" s="29"/>
      <c r="S26" s="29"/>
      <c r="T26" s="29"/>
      <c r="U26" s="29"/>
      <c r="V26" s="29"/>
    </row>
    <row r="27" outlineLevel="1">
      <c r="A27" s="8">
        <v>35.0</v>
      </c>
      <c r="B27" s="9" t="s">
        <v>108</v>
      </c>
      <c r="C27" s="25" t="s">
        <v>109</v>
      </c>
      <c r="D27" s="26" t="s">
        <v>15</v>
      </c>
      <c r="E27" s="12" t="s">
        <v>15</v>
      </c>
      <c r="F27" s="27" t="s">
        <v>110</v>
      </c>
      <c r="G27" s="14" t="s">
        <v>17</v>
      </c>
      <c r="H27" s="15">
        <v>244205.0</v>
      </c>
      <c r="I27" s="14" t="s">
        <v>111</v>
      </c>
      <c r="J27" s="16" t="s">
        <v>19</v>
      </c>
      <c r="K27" s="17" t="s">
        <v>20</v>
      </c>
      <c r="L27" s="8" t="s">
        <v>21</v>
      </c>
      <c r="M27" s="8" t="s">
        <v>21</v>
      </c>
      <c r="N27" s="18">
        <f t="shared" si="1"/>
        <v>244206</v>
      </c>
      <c r="O27" s="29"/>
      <c r="P27" s="29"/>
      <c r="Q27" s="29"/>
      <c r="R27" s="29"/>
      <c r="S27" s="29"/>
      <c r="T27" s="29"/>
      <c r="U27" s="29"/>
      <c r="V27" s="29"/>
    </row>
    <row r="28" outlineLevel="1">
      <c r="A28" s="8">
        <v>36.0</v>
      </c>
      <c r="B28" s="9" t="s">
        <v>112</v>
      </c>
      <c r="C28" s="25" t="s">
        <v>113</v>
      </c>
      <c r="D28" s="26" t="s">
        <v>15</v>
      </c>
      <c r="E28" s="12" t="s">
        <v>15</v>
      </c>
      <c r="F28" s="27" t="s">
        <v>114</v>
      </c>
      <c r="G28" s="14" t="s">
        <v>17</v>
      </c>
      <c r="H28" s="15">
        <v>244205.0</v>
      </c>
      <c r="I28" s="14" t="s">
        <v>50</v>
      </c>
      <c r="J28" s="16" t="s">
        <v>19</v>
      </c>
      <c r="K28" s="17" t="s">
        <v>20</v>
      </c>
      <c r="L28" s="8" t="s">
        <v>21</v>
      </c>
      <c r="M28" s="8" t="s">
        <v>21</v>
      </c>
      <c r="N28" s="18">
        <f t="shared" si="1"/>
        <v>244206</v>
      </c>
      <c r="O28" s="29"/>
      <c r="P28" s="29"/>
      <c r="Q28" s="29"/>
      <c r="R28" s="29"/>
      <c r="S28" s="29"/>
      <c r="T28" s="29"/>
      <c r="U28" s="29"/>
      <c r="V28" s="29"/>
    </row>
    <row r="29" outlineLevel="1">
      <c r="A29" s="8">
        <v>37.0</v>
      </c>
      <c r="B29" s="9" t="s">
        <v>115</v>
      </c>
      <c r="C29" s="25" t="s">
        <v>116</v>
      </c>
      <c r="D29" s="26" t="s">
        <v>15</v>
      </c>
      <c r="E29" s="12" t="s">
        <v>15</v>
      </c>
      <c r="F29" s="27" t="s">
        <v>117</v>
      </c>
      <c r="G29" s="14" t="s">
        <v>29</v>
      </c>
      <c r="H29" s="15">
        <v>244205.0</v>
      </c>
      <c r="I29" s="14" t="s">
        <v>50</v>
      </c>
      <c r="J29" s="16" t="s">
        <v>19</v>
      </c>
      <c r="K29" s="17" t="s">
        <v>20</v>
      </c>
      <c r="L29" s="8" t="s">
        <v>21</v>
      </c>
      <c r="M29" s="8" t="s">
        <v>21</v>
      </c>
      <c r="N29" s="18">
        <f t="shared" si="1"/>
        <v>244206</v>
      </c>
      <c r="O29" s="29"/>
      <c r="P29" s="29"/>
      <c r="Q29" s="29"/>
      <c r="R29" s="29"/>
      <c r="S29" s="29"/>
      <c r="T29" s="29"/>
      <c r="U29" s="29"/>
      <c r="V29" s="29"/>
    </row>
    <row r="30" outlineLevel="1">
      <c r="A30" s="8">
        <v>38.0</v>
      </c>
      <c r="B30" s="9" t="s">
        <v>118</v>
      </c>
      <c r="C30" s="25" t="s">
        <v>119</v>
      </c>
      <c r="D30" s="26" t="s">
        <v>15</v>
      </c>
      <c r="E30" s="12" t="s">
        <v>15</v>
      </c>
      <c r="F30" s="27" t="s">
        <v>120</v>
      </c>
      <c r="G30" s="14" t="s">
        <v>29</v>
      </c>
      <c r="H30" s="15">
        <v>244205.0</v>
      </c>
      <c r="I30" s="14" t="s">
        <v>54</v>
      </c>
      <c r="J30" s="16" t="s">
        <v>19</v>
      </c>
      <c r="K30" s="17" t="s">
        <v>20</v>
      </c>
      <c r="L30" s="8" t="s">
        <v>21</v>
      </c>
      <c r="M30" s="8" t="s">
        <v>21</v>
      </c>
      <c r="N30" s="18">
        <f t="shared" si="1"/>
        <v>244206</v>
      </c>
      <c r="O30" s="29"/>
      <c r="P30" s="29"/>
      <c r="Q30" s="29"/>
      <c r="R30" s="29"/>
      <c r="S30" s="29"/>
      <c r="T30" s="29"/>
      <c r="U30" s="29"/>
      <c r="V30" s="29"/>
    </row>
    <row r="31" outlineLevel="1">
      <c r="A31" s="8">
        <v>39.0</v>
      </c>
      <c r="B31" s="9" t="s">
        <v>121</v>
      </c>
      <c r="C31" s="25" t="s">
        <v>122</v>
      </c>
      <c r="D31" s="26" t="s">
        <v>15</v>
      </c>
      <c r="E31" s="12" t="s">
        <v>15</v>
      </c>
      <c r="F31" s="27" t="s">
        <v>123</v>
      </c>
      <c r="G31" s="14" t="s">
        <v>29</v>
      </c>
      <c r="H31" s="15">
        <v>244205.0</v>
      </c>
      <c r="I31" s="14" t="s">
        <v>124</v>
      </c>
      <c r="J31" s="16" t="s">
        <v>19</v>
      </c>
      <c r="K31" s="17" t="s">
        <v>20</v>
      </c>
      <c r="L31" s="8" t="s">
        <v>125</v>
      </c>
      <c r="M31" s="8" t="s">
        <v>21</v>
      </c>
      <c r="N31" s="18">
        <f t="shared" si="1"/>
        <v>244206</v>
      </c>
      <c r="O31" s="29"/>
      <c r="P31" s="29"/>
      <c r="Q31" s="29"/>
      <c r="R31" s="29"/>
      <c r="S31" s="29"/>
      <c r="T31" s="29"/>
      <c r="U31" s="29"/>
      <c r="V31" s="29"/>
    </row>
    <row r="32" outlineLevel="1">
      <c r="A32" s="8">
        <v>40.0</v>
      </c>
      <c r="B32" s="9" t="s">
        <v>126</v>
      </c>
      <c r="C32" s="25" t="s">
        <v>127</v>
      </c>
      <c r="D32" s="26" t="s">
        <v>15</v>
      </c>
      <c r="E32" s="12" t="s">
        <v>15</v>
      </c>
      <c r="F32" s="27" t="s">
        <v>128</v>
      </c>
      <c r="G32" s="14" t="s">
        <v>17</v>
      </c>
      <c r="H32" s="15">
        <v>244205.0</v>
      </c>
      <c r="I32" s="14" t="s">
        <v>80</v>
      </c>
      <c r="J32" s="16" t="s">
        <v>19</v>
      </c>
      <c r="K32" s="17" t="s">
        <v>20</v>
      </c>
      <c r="L32" s="8" t="s">
        <v>129</v>
      </c>
      <c r="M32" s="8" t="s">
        <v>21</v>
      </c>
      <c r="N32" s="18">
        <f t="shared" si="1"/>
        <v>244206</v>
      </c>
      <c r="O32" s="29"/>
      <c r="P32" s="29"/>
      <c r="Q32" s="29"/>
      <c r="R32" s="29"/>
      <c r="S32" s="29"/>
      <c r="T32" s="29"/>
      <c r="U32" s="29"/>
      <c r="V32" s="29"/>
    </row>
    <row r="33" outlineLevel="1">
      <c r="A33" s="8">
        <v>41.0</v>
      </c>
      <c r="B33" s="9" t="s">
        <v>130</v>
      </c>
      <c r="C33" s="25" t="s">
        <v>131</v>
      </c>
      <c r="D33" s="26" t="s">
        <v>15</v>
      </c>
      <c r="E33" s="12" t="s">
        <v>15</v>
      </c>
      <c r="F33" s="27" t="s">
        <v>132</v>
      </c>
      <c r="G33" s="14" t="s">
        <v>29</v>
      </c>
      <c r="H33" s="15">
        <v>244205.0</v>
      </c>
      <c r="I33" s="14" t="s">
        <v>133</v>
      </c>
      <c r="J33" s="16" t="s">
        <v>19</v>
      </c>
      <c r="K33" s="17" t="s">
        <v>20</v>
      </c>
      <c r="L33" s="8" t="s">
        <v>21</v>
      </c>
      <c r="M33" s="8" t="s">
        <v>21</v>
      </c>
      <c r="N33" s="18">
        <f t="shared" si="1"/>
        <v>244206</v>
      </c>
      <c r="O33" s="29"/>
      <c r="P33" s="29"/>
      <c r="Q33" s="29"/>
      <c r="R33" s="29"/>
      <c r="S33" s="29"/>
      <c r="T33" s="29"/>
      <c r="U33" s="29"/>
      <c r="V33" s="29"/>
    </row>
    <row r="34" outlineLevel="1">
      <c r="A34" s="8">
        <v>42.0</v>
      </c>
      <c r="B34" s="9" t="s">
        <v>134</v>
      </c>
      <c r="C34" s="25" t="s">
        <v>135</v>
      </c>
      <c r="D34" s="26" t="s">
        <v>15</v>
      </c>
      <c r="E34" s="12" t="s">
        <v>15</v>
      </c>
      <c r="F34" s="27" t="s">
        <v>136</v>
      </c>
      <c r="G34" s="14" t="s">
        <v>17</v>
      </c>
      <c r="H34" s="15">
        <v>244205.0</v>
      </c>
      <c r="I34" s="14" t="s">
        <v>30</v>
      </c>
      <c r="J34" s="16" t="s">
        <v>19</v>
      </c>
      <c r="K34" s="17" t="s">
        <v>20</v>
      </c>
      <c r="L34" s="8" t="s">
        <v>137</v>
      </c>
      <c r="M34" s="8" t="s">
        <v>21</v>
      </c>
      <c r="N34" s="18">
        <f t="shared" si="1"/>
        <v>244206</v>
      </c>
      <c r="O34" s="29"/>
      <c r="P34" s="29"/>
      <c r="Q34" s="29"/>
      <c r="R34" s="29"/>
      <c r="S34" s="29"/>
      <c r="T34" s="29"/>
      <c r="U34" s="29"/>
      <c r="V34" s="29"/>
    </row>
    <row r="35" outlineLevel="1">
      <c r="A35" s="8">
        <v>43.0</v>
      </c>
      <c r="B35" s="9" t="s">
        <v>138</v>
      </c>
      <c r="C35" s="25" t="s">
        <v>139</v>
      </c>
      <c r="D35" s="26" t="s">
        <v>140</v>
      </c>
      <c r="E35" s="12">
        <v>7.45546000078E11</v>
      </c>
      <c r="F35" s="27"/>
      <c r="G35" s="14" t="s">
        <v>17</v>
      </c>
      <c r="H35" s="15">
        <v>244205.0</v>
      </c>
      <c r="I35" s="14" t="s">
        <v>124</v>
      </c>
      <c r="J35" s="16" t="s">
        <v>19</v>
      </c>
      <c r="K35" s="17" t="s">
        <v>20</v>
      </c>
      <c r="L35" s="8" t="s">
        <v>21</v>
      </c>
      <c r="M35" s="8" t="s">
        <v>21</v>
      </c>
      <c r="N35" s="18">
        <f t="shared" si="1"/>
        <v>244206</v>
      </c>
      <c r="O35" s="29"/>
      <c r="P35" s="29"/>
      <c r="Q35" s="29"/>
      <c r="R35" s="29"/>
      <c r="S35" s="29"/>
      <c r="T35" s="29"/>
      <c r="U35" s="29"/>
      <c r="V35" s="29"/>
    </row>
    <row r="36" outlineLevel="1">
      <c r="A36" s="8">
        <v>44.0</v>
      </c>
      <c r="B36" s="9" t="s">
        <v>141</v>
      </c>
      <c r="C36" s="25" t="s">
        <v>142</v>
      </c>
      <c r="D36" s="26" t="s">
        <v>15</v>
      </c>
      <c r="E36" s="12" t="s">
        <v>15</v>
      </c>
      <c r="F36" s="27" t="s">
        <v>143</v>
      </c>
      <c r="G36" s="14" t="s">
        <v>17</v>
      </c>
      <c r="H36" s="15">
        <v>244206.0</v>
      </c>
      <c r="I36" s="14" t="s">
        <v>144</v>
      </c>
      <c r="J36" s="16" t="s">
        <v>19</v>
      </c>
      <c r="K36" s="17" t="s">
        <v>20</v>
      </c>
      <c r="L36" s="8" t="s">
        <v>137</v>
      </c>
      <c r="M36" s="8" t="s">
        <v>21</v>
      </c>
      <c r="N36" s="18">
        <f t="shared" si="1"/>
        <v>244207</v>
      </c>
      <c r="O36" s="29"/>
      <c r="P36" s="29"/>
      <c r="Q36" s="29"/>
      <c r="R36" s="29"/>
      <c r="S36" s="29"/>
      <c r="T36" s="29"/>
      <c r="U36" s="29"/>
      <c r="V36" s="29"/>
    </row>
    <row r="37" outlineLevel="1">
      <c r="A37" s="8">
        <v>45.0</v>
      </c>
      <c r="B37" s="9" t="s">
        <v>145</v>
      </c>
      <c r="C37" s="25" t="s">
        <v>146</v>
      </c>
      <c r="D37" s="26" t="s">
        <v>15</v>
      </c>
      <c r="E37" s="12" t="s">
        <v>15</v>
      </c>
      <c r="F37" s="27" t="s">
        <v>147</v>
      </c>
      <c r="G37" s="14" t="s">
        <v>29</v>
      </c>
      <c r="H37" s="15">
        <v>244206.0</v>
      </c>
      <c r="I37" s="14" t="s">
        <v>80</v>
      </c>
      <c r="J37" s="16" t="s">
        <v>19</v>
      </c>
      <c r="K37" s="17" t="s">
        <v>20</v>
      </c>
      <c r="L37" s="8" t="s">
        <v>21</v>
      </c>
      <c r="M37" s="8" t="s">
        <v>21</v>
      </c>
      <c r="N37" s="18">
        <f t="shared" si="1"/>
        <v>244207</v>
      </c>
      <c r="O37" s="29"/>
      <c r="P37" s="29"/>
      <c r="Q37" s="29"/>
      <c r="R37" s="29"/>
      <c r="S37" s="29"/>
      <c r="T37" s="29"/>
      <c r="U37" s="29"/>
      <c r="V37" s="29"/>
    </row>
    <row r="38" outlineLevel="1">
      <c r="A38" s="8">
        <v>46.0</v>
      </c>
      <c r="B38" s="9" t="s">
        <v>148</v>
      </c>
      <c r="C38" s="25" t="s">
        <v>149</v>
      </c>
      <c r="D38" s="26" t="s">
        <v>15</v>
      </c>
      <c r="E38" s="12" t="s">
        <v>15</v>
      </c>
      <c r="F38" s="27" t="s">
        <v>150</v>
      </c>
      <c r="G38" s="14" t="s">
        <v>17</v>
      </c>
      <c r="H38" s="15">
        <v>244206.0</v>
      </c>
      <c r="I38" s="14" t="s">
        <v>38</v>
      </c>
      <c r="J38" s="16" t="s">
        <v>19</v>
      </c>
      <c r="K38" s="17" t="s">
        <v>20</v>
      </c>
      <c r="L38" s="8" t="s">
        <v>137</v>
      </c>
      <c r="M38" s="8" t="s">
        <v>21</v>
      </c>
      <c r="N38" s="18">
        <f t="shared" si="1"/>
        <v>244207</v>
      </c>
      <c r="O38" s="29"/>
      <c r="P38" s="29"/>
      <c r="Q38" s="29"/>
      <c r="R38" s="29"/>
      <c r="S38" s="29"/>
      <c r="T38" s="29"/>
      <c r="U38" s="29"/>
      <c r="V38" s="29"/>
    </row>
    <row r="39" outlineLevel="1">
      <c r="A39" s="8">
        <v>47.0</v>
      </c>
      <c r="B39" s="9" t="s">
        <v>151</v>
      </c>
      <c r="C39" s="25" t="s">
        <v>152</v>
      </c>
      <c r="D39" s="26" t="s">
        <v>15</v>
      </c>
      <c r="E39" s="12" t="s">
        <v>15</v>
      </c>
      <c r="F39" s="27" t="s">
        <v>153</v>
      </c>
      <c r="G39" s="14" t="s">
        <v>17</v>
      </c>
      <c r="H39" s="15">
        <v>244206.0</v>
      </c>
      <c r="I39" s="14" t="s">
        <v>34</v>
      </c>
      <c r="J39" s="16" t="s">
        <v>19</v>
      </c>
      <c r="K39" s="17" t="s">
        <v>20</v>
      </c>
      <c r="L39" s="8" t="s">
        <v>21</v>
      </c>
      <c r="M39" s="8" t="s">
        <v>21</v>
      </c>
      <c r="N39" s="18">
        <f t="shared" si="1"/>
        <v>244207</v>
      </c>
      <c r="O39" s="29"/>
      <c r="P39" s="29"/>
      <c r="Q39" s="29"/>
      <c r="R39" s="29"/>
      <c r="S39" s="29"/>
      <c r="T39" s="29"/>
      <c r="U39" s="29"/>
      <c r="V39" s="29"/>
    </row>
    <row r="40" outlineLevel="1">
      <c r="A40" s="8">
        <v>48.0</v>
      </c>
      <c r="B40" s="9" t="s">
        <v>154</v>
      </c>
      <c r="C40" s="25" t="s">
        <v>155</v>
      </c>
      <c r="D40" s="26" t="s">
        <v>156</v>
      </c>
      <c r="E40" s="30">
        <v>1.05485000257E11</v>
      </c>
      <c r="F40" s="27"/>
      <c r="G40" s="14" t="s">
        <v>29</v>
      </c>
      <c r="H40" s="15">
        <v>244206.0</v>
      </c>
      <c r="I40" s="14" t="s">
        <v>38</v>
      </c>
      <c r="J40" s="16" t="s">
        <v>19</v>
      </c>
      <c r="K40" s="17" t="s">
        <v>20</v>
      </c>
      <c r="L40" s="8" t="s">
        <v>137</v>
      </c>
      <c r="M40" s="8" t="s">
        <v>21</v>
      </c>
      <c r="N40" s="18">
        <f t="shared" si="1"/>
        <v>244207</v>
      </c>
      <c r="O40" s="29"/>
      <c r="P40" s="29"/>
      <c r="Q40" s="29"/>
      <c r="R40" s="29"/>
      <c r="S40" s="29"/>
      <c r="T40" s="29"/>
      <c r="U40" s="29"/>
      <c r="V40" s="29"/>
    </row>
    <row r="41" outlineLevel="1">
      <c r="A41" s="8">
        <v>49.0</v>
      </c>
      <c r="B41" s="9" t="s">
        <v>157</v>
      </c>
      <c r="C41" s="25" t="s">
        <v>158</v>
      </c>
      <c r="D41" s="26" t="s">
        <v>15</v>
      </c>
      <c r="E41" s="12" t="s">
        <v>15</v>
      </c>
      <c r="F41" s="27" t="s">
        <v>15</v>
      </c>
      <c r="G41" s="14" t="s">
        <v>29</v>
      </c>
      <c r="H41" s="15">
        <v>244206.0</v>
      </c>
      <c r="I41" s="14" t="s">
        <v>60</v>
      </c>
      <c r="J41" s="16" t="s">
        <v>19</v>
      </c>
      <c r="K41" s="17" t="s">
        <v>20</v>
      </c>
      <c r="L41" s="8" t="s">
        <v>137</v>
      </c>
      <c r="M41" s="8" t="s">
        <v>21</v>
      </c>
      <c r="N41" s="18">
        <f t="shared" si="1"/>
        <v>244207</v>
      </c>
      <c r="O41" s="29"/>
      <c r="P41" s="29"/>
      <c r="Q41" s="29"/>
      <c r="R41" s="29"/>
      <c r="S41" s="29"/>
      <c r="T41" s="29"/>
      <c r="U41" s="29"/>
      <c r="V41" s="29"/>
    </row>
    <row r="42" outlineLevel="1">
      <c r="A42" s="8">
        <v>50.0</v>
      </c>
      <c r="B42" s="9" t="s">
        <v>159</v>
      </c>
      <c r="C42" s="25" t="s">
        <v>160</v>
      </c>
      <c r="D42" s="26" t="s">
        <v>15</v>
      </c>
      <c r="E42" s="12" t="s">
        <v>15</v>
      </c>
      <c r="F42" s="27" t="s">
        <v>161</v>
      </c>
      <c r="G42" s="14" t="s">
        <v>29</v>
      </c>
      <c r="H42" s="15">
        <v>244206.0</v>
      </c>
      <c r="I42" s="14" t="s">
        <v>162</v>
      </c>
      <c r="J42" s="16" t="s">
        <v>19</v>
      </c>
      <c r="K42" s="17" t="s">
        <v>20</v>
      </c>
      <c r="L42" s="8" t="s">
        <v>163</v>
      </c>
      <c r="M42" s="8" t="s">
        <v>21</v>
      </c>
      <c r="N42" s="18">
        <f t="shared" si="1"/>
        <v>244207</v>
      </c>
      <c r="O42" s="29"/>
      <c r="P42" s="29"/>
      <c r="Q42" s="29"/>
      <c r="R42" s="29"/>
      <c r="S42" s="29"/>
      <c r="T42" s="29"/>
      <c r="U42" s="29"/>
      <c r="V42" s="29"/>
    </row>
    <row r="43" outlineLevel="1">
      <c r="A43" s="8">
        <v>51.0</v>
      </c>
      <c r="B43" s="9" t="s">
        <v>164</v>
      </c>
      <c r="C43" s="25" t="s">
        <v>165</v>
      </c>
      <c r="D43" s="26" t="s">
        <v>15</v>
      </c>
      <c r="E43" s="12" t="s">
        <v>15</v>
      </c>
      <c r="F43" s="27" t="s">
        <v>166</v>
      </c>
      <c r="G43" s="14" t="s">
        <v>17</v>
      </c>
      <c r="H43" s="15">
        <v>244206.0</v>
      </c>
      <c r="I43" s="14" t="s">
        <v>80</v>
      </c>
      <c r="J43" s="16" t="s">
        <v>19</v>
      </c>
      <c r="K43" s="17" t="s">
        <v>20</v>
      </c>
      <c r="L43" s="8" t="s">
        <v>137</v>
      </c>
      <c r="M43" s="8" t="s">
        <v>21</v>
      </c>
      <c r="N43" s="18">
        <f t="shared" si="1"/>
        <v>244207</v>
      </c>
      <c r="O43" s="29"/>
      <c r="P43" s="29"/>
      <c r="Q43" s="29"/>
      <c r="R43" s="29"/>
      <c r="S43" s="29"/>
      <c r="T43" s="29"/>
      <c r="U43" s="29"/>
      <c r="V43" s="29"/>
    </row>
    <row r="44" outlineLevel="1">
      <c r="A44" s="8">
        <v>52.0</v>
      </c>
      <c r="B44" s="9" t="s">
        <v>167</v>
      </c>
      <c r="C44" s="25" t="s">
        <v>168</v>
      </c>
      <c r="D44" s="26" t="s">
        <v>15</v>
      </c>
      <c r="E44" s="12" t="s">
        <v>15</v>
      </c>
      <c r="F44" s="27" t="s">
        <v>169</v>
      </c>
      <c r="G44" s="14" t="s">
        <v>29</v>
      </c>
      <c r="H44" s="15">
        <v>244206.0</v>
      </c>
      <c r="I44" s="14" t="s">
        <v>34</v>
      </c>
      <c r="J44" s="16" t="s">
        <v>19</v>
      </c>
      <c r="K44" s="17" t="s">
        <v>20</v>
      </c>
      <c r="L44" s="8" t="s">
        <v>21</v>
      </c>
      <c r="M44" s="8" t="s">
        <v>21</v>
      </c>
      <c r="N44" s="18">
        <f t="shared" si="1"/>
        <v>244207</v>
      </c>
      <c r="O44" s="29"/>
      <c r="P44" s="29"/>
      <c r="Q44" s="29"/>
      <c r="R44" s="29"/>
      <c r="S44" s="29"/>
      <c r="T44" s="29"/>
      <c r="U44" s="29"/>
      <c r="V44" s="29"/>
    </row>
    <row r="45" outlineLevel="1">
      <c r="A45" s="8">
        <v>53.0</v>
      </c>
      <c r="B45" s="9" t="s">
        <v>170</v>
      </c>
      <c r="C45" s="25" t="s">
        <v>171</v>
      </c>
      <c r="D45" s="26" t="s">
        <v>15</v>
      </c>
      <c r="E45" s="12" t="s">
        <v>15</v>
      </c>
      <c r="F45" s="27" t="s">
        <v>172</v>
      </c>
      <c r="G45" s="14" t="s">
        <v>17</v>
      </c>
      <c r="H45" s="15">
        <v>244206.0</v>
      </c>
      <c r="I45" s="14" t="s">
        <v>80</v>
      </c>
      <c r="J45" s="16" t="s">
        <v>19</v>
      </c>
      <c r="K45" s="17" t="s">
        <v>20</v>
      </c>
      <c r="L45" s="8" t="s">
        <v>21</v>
      </c>
      <c r="M45" s="8" t="s">
        <v>21</v>
      </c>
      <c r="N45" s="18">
        <f t="shared" si="1"/>
        <v>244207</v>
      </c>
      <c r="O45" s="29"/>
      <c r="P45" s="29"/>
      <c r="Q45" s="29"/>
      <c r="R45" s="29"/>
      <c r="S45" s="29"/>
      <c r="T45" s="29"/>
      <c r="U45" s="29"/>
      <c r="V45" s="29"/>
    </row>
    <row r="46" outlineLevel="1">
      <c r="A46" s="8">
        <v>54.0</v>
      </c>
      <c r="B46" s="9" t="s">
        <v>173</v>
      </c>
      <c r="C46" s="25" t="s">
        <v>174</v>
      </c>
      <c r="D46" s="26" t="s">
        <v>15</v>
      </c>
      <c r="E46" s="12" t="s">
        <v>15</v>
      </c>
      <c r="F46" s="27" t="s">
        <v>175</v>
      </c>
      <c r="G46" s="14" t="s">
        <v>17</v>
      </c>
      <c r="H46" s="15">
        <v>244206.0</v>
      </c>
      <c r="I46" s="14" t="s">
        <v>30</v>
      </c>
      <c r="J46" s="16" t="s">
        <v>19</v>
      </c>
      <c r="K46" s="17" t="s">
        <v>20</v>
      </c>
      <c r="L46" s="8" t="s">
        <v>137</v>
      </c>
      <c r="M46" s="8" t="s">
        <v>21</v>
      </c>
      <c r="N46" s="18">
        <f t="shared" si="1"/>
        <v>244207</v>
      </c>
      <c r="O46" s="29"/>
      <c r="P46" s="29"/>
      <c r="Q46" s="29"/>
      <c r="R46" s="29"/>
      <c r="S46" s="29"/>
      <c r="T46" s="29"/>
      <c r="U46" s="29"/>
      <c r="V46" s="29"/>
    </row>
    <row r="47" outlineLevel="1">
      <c r="A47" s="8">
        <v>55.0</v>
      </c>
      <c r="B47" s="9" t="s">
        <v>176</v>
      </c>
      <c r="C47" s="25" t="s">
        <v>177</v>
      </c>
      <c r="D47" s="26" t="s">
        <v>15</v>
      </c>
      <c r="E47" s="12">
        <v>1.55070010564E12</v>
      </c>
      <c r="F47" s="27" t="s">
        <v>15</v>
      </c>
      <c r="G47" s="14" t="s">
        <v>17</v>
      </c>
      <c r="H47" s="15">
        <v>244206.0</v>
      </c>
      <c r="I47" s="14" t="s">
        <v>162</v>
      </c>
      <c r="J47" s="16" t="s">
        <v>19</v>
      </c>
      <c r="K47" s="17" t="s">
        <v>20</v>
      </c>
      <c r="L47" s="8" t="s">
        <v>137</v>
      </c>
      <c r="M47" s="8" t="s">
        <v>21</v>
      </c>
      <c r="N47" s="18">
        <f t="shared" si="1"/>
        <v>244207</v>
      </c>
      <c r="O47" s="29"/>
      <c r="P47" s="29"/>
      <c r="Q47" s="29"/>
      <c r="R47" s="29"/>
      <c r="S47" s="29"/>
      <c r="T47" s="29"/>
      <c r="U47" s="29"/>
      <c r="V47" s="29"/>
    </row>
    <row r="48" outlineLevel="1">
      <c r="A48" s="8">
        <v>56.0</v>
      </c>
      <c r="B48" s="9" t="s">
        <v>178</v>
      </c>
      <c r="C48" s="25" t="s">
        <v>179</v>
      </c>
      <c r="D48" s="26" t="s">
        <v>15</v>
      </c>
      <c r="E48" s="12" t="s">
        <v>15</v>
      </c>
      <c r="F48" s="27" t="s">
        <v>15</v>
      </c>
      <c r="G48" s="14" t="s">
        <v>29</v>
      </c>
      <c r="H48" s="15">
        <v>244206.0</v>
      </c>
      <c r="I48" s="14" t="s">
        <v>50</v>
      </c>
      <c r="J48" s="16" t="s">
        <v>19</v>
      </c>
      <c r="K48" s="17" t="s">
        <v>20</v>
      </c>
      <c r="L48" s="8" t="s">
        <v>21</v>
      </c>
      <c r="M48" s="8" t="s">
        <v>21</v>
      </c>
      <c r="N48" s="18">
        <f t="shared" si="1"/>
        <v>244207</v>
      </c>
      <c r="O48" s="29"/>
      <c r="P48" s="29"/>
      <c r="Q48" s="29"/>
      <c r="R48" s="29"/>
      <c r="S48" s="29"/>
      <c r="T48" s="29"/>
      <c r="U48" s="29"/>
      <c r="V48" s="29"/>
    </row>
    <row r="49" outlineLevel="1">
      <c r="A49" s="8">
        <v>57.0</v>
      </c>
      <c r="B49" s="9" t="s">
        <v>180</v>
      </c>
      <c r="C49" s="25" t="s">
        <v>181</v>
      </c>
      <c r="D49" s="26" t="s">
        <v>15</v>
      </c>
      <c r="E49" s="12" t="s">
        <v>15</v>
      </c>
      <c r="F49" s="27" t="s">
        <v>182</v>
      </c>
      <c r="G49" s="14" t="s">
        <v>17</v>
      </c>
      <c r="H49" s="15">
        <v>244207.0</v>
      </c>
      <c r="I49" s="14" t="s">
        <v>64</v>
      </c>
      <c r="J49" s="16" t="s">
        <v>19</v>
      </c>
      <c r="K49" s="17" t="s">
        <v>20</v>
      </c>
      <c r="L49" s="8" t="s">
        <v>21</v>
      </c>
      <c r="M49" s="8" t="s">
        <v>21</v>
      </c>
      <c r="N49" s="18">
        <f t="shared" si="1"/>
        <v>244208</v>
      </c>
      <c r="O49" s="29"/>
      <c r="P49" s="29"/>
      <c r="Q49" s="29"/>
      <c r="R49" s="29"/>
      <c r="S49" s="29"/>
      <c r="T49" s="29"/>
      <c r="U49" s="29"/>
      <c r="V49" s="29"/>
    </row>
    <row r="50" outlineLevel="1">
      <c r="A50" s="8">
        <v>58.0</v>
      </c>
      <c r="B50" s="9" t="s">
        <v>183</v>
      </c>
      <c r="C50" s="25" t="s">
        <v>184</v>
      </c>
      <c r="D50" s="26" t="s">
        <v>185</v>
      </c>
      <c r="E50" s="12">
        <v>1.35557015433E11</v>
      </c>
      <c r="F50" s="27" t="s">
        <v>15</v>
      </c>
      <c r="G50" s="14" t="s">
        <v>17</v>
      </c>
      <c r="H50" s="15">
        <v>244207.0</v>
      </c>
      <c r="I50" s="14" t="s">
        <v>60</v>
      </c>
      <c r="J50" s="16" t="s">
        <v>19</v>
      </c>
      <c r="K50" s="17" t="s">
        <v>20</v>
      </c>
      <c r="L50" s="8" t="s">
        <v>21</v>
      </c>
      <c r="M50" s="8" t="s">
        <v>21</v>
      </c>
      <c r="N50" s="18">
        <f t="shared" si="1"/>
        <v>244208</v>
      </c>
      <c r="O50" s="29"/>
      <c r="P50" s="29"/>
      <c r="Q50" s="29"/>
      <c r="R50" s="29"/>
      <c r="S50" s="29"/>
      <c r="T50" s="29"/>
      <c r="U50" s="29"/>
      <c r="V50" s="29"/>
    </row>
    <row r="51" outlineLevel="1">
      <c r="A51" s="8">
        <v>59.0</v>
      </c>
      <c r="B51" s="9" t="s">
        <v>186</v>
      </c>
      <c r="C51" s="25" t="s">
        <v>187</v>
      </c>
      <c r="D51" s="26" t="s">
        <v>188</v>
      </c>
      <c r="E51" s="12">
        <v>1.05546034385E11</v>
      </c>
      <c r="F51" s="27" t="s">
        <v>15</v>
      </c>
      <c r="G51" s="14" t="s">
        <v>29</v>
      </c>
      <c r="H51" s="15">
        <v>244207.0</v>
      </c>
      <c r="I51" s="14" t="s">
        <v>34</v>
      </c>
      <c r="J51" s="16" t="s">
        <v>19</v>
      </c>
      <c r="K51" s="17" t="s">
        <v>20</v>
      </c>
      <c r="L51" s="8" t="s">
        <v>189</v>
      </c>
      <c r="M51" s="8" t="s">
        <v>21</v>
      </c>
      <c r="N51" s="18">
        <f t="shared" si="1"/>
        <v>244208</v>
      </c>
      <c r="O51" s="29"/>
      <c r="P51" s="29"/>
      <c r="Q51" s="29"/>
      <c r="R51" s="29"/>
      <c r="S51" s="29"/>
      <c r="T51" s="29"/>
      <c r="U51" s="29"/>
      <c r="V51" s="29"/>
    </row>
    <row r="52" outlineLevel="1">
      <c r="A52" s="8">
        <v>60.0</v>
      </c>
      <c r="B52" s="9" t="s">
        <v>190</v>
      </c>
      <c r="C52" s="25" t="s">
        <v>191</v>
      </c>
      <c r="D52" s="26" t="s">
        <v>15</v>
      </c>
      <c r="E52" s="12" t="s">
        <v>15</v>
      </c>
      <c r="F52" s="27" t="s">
        <v>192</v>
      </c>
      <c r="G52" s="14" t="s">
        <v>29</v>
      </c>
      <c r="H52" s="15">
        <v>244207.0</v>
      </c>
      <c r="I52" s="14" t="s">
        <v>193</v>
      </c>
      <c r="J52" s="16" t="s">
        <v>19</v>
      </c>
      <c r="K52" s="17" t="s">
        <v>20</v>
      </c>
      <c r="L52" s="8" t="s">
        <v>194</v>
      </c>
      <c r="M52" s="8" t="s">
        <v>21</v>
      </c>
      <c r="N52" s="18">
        <f t="shared" si="1"/>
        <v>244208</v>
      </c>
      <c r="O52" s="29"/>
      <c r="P52" s="29"/>
      <c r="Q52" s="29"/>
      <c r="R52" s="29"/>
      <c r="S52" s="29"/>
      <c r="T52" s="29"/>
      <c r="U52" s="29"/>
      <c r="V52" s="29"/>
    </row>
    <row r="53" outlineLevel="1">
      <c r="A53" s="8">
        <v>61.0</v>
      </c>
      <c r="B53" s="9" t="s">
        <v>195</v>
      </c>
      <c r="C53" s="25" t="s">
        <v>196</v>
      </c>
      <c r="D53" s="26" t="s">
        <v>15</v>
      </c>
      <c r="E53" s="12" t="s">
        <v>15</v>
      </c>
      <c r="F53" s="27" t="s">
        <v>197</v>
      </c>
      <c r="G53" s="14" t="s">
        <v>29</v>
      </c>
      <c r="H53" s="15">
        <v>244207.0</v>
      </c>
      <c r="I53" s="14" t="s">
        <v>60</v>
      </c>
      <c r="J53" s="16" t="s">
        <v>19</v>
      </c>
      <c r="K53" s="17" t="s">
        <v>20</v>
      </c>
      <c r="L53" s="8" t="s">
        <v>21</v>
      </c>
      <c r="M53" s="8" t="s">
        <v>21</v>
      </c>
      <c r="N53" s="18">
        <f t="shared" si="1"/>
        <v>244208</v>
      </c>
      <c r="O53" s="29"/>
      <c r="P53" s="29"/>
      <c r="Q53" s="29"/>
      <c r="R53" s="29"/>
      <c r="S53" s="29"/>
      <c r="T53" s="29"/>
      <c r="U53" s="29"/>
      <c r="V53" s="29"/>
    </row>
    <row r="54" outlineLevel="1">
      <c r="A54" s="8">
        <v>62.0</v>
      </c>
      <c r="B54" s="9" t="s">
        <v>198</v>
      </c>
      <c r="C54" s="25" t="s">
        <v>199</v>
      </c>
      <c r="D54" s="26" t="s">
        <v>15</v>
      </c>
      <c r="E54" s="12" t="s">
        <v>15</v>
      </c>
      <c r="F54" s="27" t="s">
        <v>200</v>
      </c>
      <c r="G54" s="14" t="s">
        <v>17</v>
      </c>
      <c r="H54" s="15">
        <v>244207.0</v>
      </c>
      <c r="I54" s="14" t="s">
        <v>64</v>
      </c>
      <c r="J54" s="16" t="s">
        <v>19</v>
      </c>
      <c r="K54" s="17" t="s">
        <v>20</v>
      </c>
      <c r="L54" s="8" t="s">
        <v>21</v>
      </c>
      <c r="M54" s="8" t="s">
        <v>21</v>
      </c>
      <c r="N54" s="18">
        <f t="shared" si="1"/>
        <v>244208</v>
      </c>
      <c r="O54" s="29"/>
      <c r="P54" s="29"/>
      <c r="Q54" s="29"/>
      <c r="R54" s="29"/>
      <c r="S54" s="29"/>
      <c r="T54" s="29"/>
      <c r="U54" s="29"/>
      <c r="V54" s="29"/>
    </row>
    <row r="55" outlineLevel="1">
      <c r="A55" s="8">
        <v>63.0</v>
      </c>
      <c r="B55" s="9" t="s">
        <v>201</v>
      </c>
      <c r="C55" s="25" t="s">
        <v>202</v>
      </c>
      <c r="D55" s="26" t="s">
        <v>15</v>
      </c>
      <c r="E55" s="12" t="s">
        <v>15</v>
      </c>
      <c r="F55" s="27" t="s">
        <v>203</v>
      </c>
      <c r="G55" s="14" t="s">
        <v>29</v>
      </c>
      <c r="H55" s="15">
        <v>244207.0</v>
      </c>
      <c r="I55" s="14" t="s">
        <v>101</v>
      </c>
      <c r="J55" s="16" t="s">
        <v>19</v>
      </c>
      <c r="K55" s="17" t="s">
        <v>20</v>
      </c>
      <c r="L55" s="8" t="s">
        <v>21</v>
      </c>
      <c r="M55" s="8" t="s">
        <v>21</v>
      </c>
      <c r="N55" s="18">
        <f t="shared" si="1"/>
        <v>244208</v>
      </c>
      <c r="O55" s="29"/>
      <c r="P55" s="29"/>
      <c r="Q55" s="29"/>
      <c r="R55" s="29"/>
      <c r="S55" s="29"/>
      <c r="T55" s="29"/>
      <c r="U55" s="29"/>
      <c r="V55" s="29"/>
    </row>
    <row r="56" outlineLevel="1">
      <c r="A56" s="8">
        <v>64.0</v>
      </c>
      <c r="B56" s="9" t="s">
        <v>204</v>
      </c>
      <c r="C56" s="25" t="s">
        <v>205</v>
      </c>
      <c r="D56" s="26" t="s">
        <v>15</v>
      </c>
      <c r="E56" s="12" t="s">
        <v>15</v>
      </c>
      <c r="F56" s="27" t="s">
        <v>206</v>
      </c>
      <c r="G56" s="14" t="s">
        <v>17</v>
      </c>
      <c r="H56" s="15">
        <v>244207.0</v>
      </c>
      <c r="I56" s="14" t="s">
        <v>34</v>
      </c>
      <c r="J56" s="16" t="s">
        <v>19</v>
      </c>
      <c r="K56" s="17" t="s">
        <v>20</v>
      </c>
      <c r="L56" s="8" t="s">
        <v>21</v>
      </c>
      <c r="M56" s="8" t="s">
        <v>21</v>
      </c>
      <c r="N56" s="18">
        <f t="shared" si="1"/>
        <v>244208</v>
      </c>
      <c r="O56" s="29"/>
      <c r="P56" s="29"/>
      <c r="Q56" s="29"/>
      <c r="R56" s="29"/>
      <c r="S56" s="29"/>
      <c r="T56" s="29"/>
      <c r="U56" s="29"/>
      <c r="V56" s="29"/>
    </row>
    <row r="57" outlineLevel="1">
      <c r="A57" s="8">
        <v>65.0</v>
      </c>
      <c r="B57" s="9" t="s">
        <v>207</v>
      </c>
      <c r="C57" s="25" t="s">
        <v>208</v>
      </c>
      <c r="D57" s="26" t="s">
        <v>15</v>
      </c>
      <c r="E57" s="12" t="s">
        <v>15</v>
      </c>
      <c r="F57" s="27" t="s">
        <v>209</v>
      </c>
      <c r="G57" s="14" t="s">
        <v>17</v>
      </c>
      <c r="H57" s="15">
        <v>244207.0</v>
      </c>
      <c r="I57" s="14" t="s">
        <v>80</v>
      </c>
      <c r="J57" s="16" t="s">
        <v>19</v>
      </c>
      <c r="K57" s="17" t="s">
        <v>20</v>
      </c>
      <c r="L57" s="8" t="s">
        <v>21</v>
      </c>
      <c r="M57" s="8" t="s">
        <v>21</v>
      </c>
      <c r="N57" s="18">
        <f t="shared" si="1"/>
        <v>244208</v>
      </c>
      <c r="O57" s="29"/>
      <c r="P57" s="29"/>
      <c r="Q57" s="29"/>
      <c r="R57" s="29"/>
      <c r="S57" s="29"/>
      <c r="T57" s="29"/>
      <c r="U57" s="29"/>
      <c r="V57" s="29"/>
    </row>
    <row r="58" outlineLevel="1">
      <c r="A58" s="8">
        <v>66.0</v>
      </c>
      <c r="B58" s="9" t="s">
        <v>210</v>
      </c>
      <c r="C58" s="25" t="s">
        <v>211</v>
      </c>
      <c r="D58" s="26" t="s">
        <v>15</v>
      </c>
      <c r="E58" s="12" t="s">
        <v>15</v>
      </c>
      <c r="F58" s="27" t="s">
        <v>212</v>
      </c>
      <c r="G58" s="14" t="s">
        <v>17</v>
      </c>
      <c r="H58" s="15">
        <v>244207.0</v>
      </c>
      <c r="I58" s="14" t="s">
        <v>34</v>
      </c>
      <c r="J58" s="16" t="s">
        <v>19</v>
      </c>
      <c r="K58" s="17" t="s">
        <v>20</v>
      </c>
      <c r="L58" s="8" t="s">
        <v>21</v>
      </c>
      <c r="M58" s="8" t="s">
        <v>21</v>
      </c>
      <c r="N58" s="18">
        <f t="shared" si="1"/>
        <v>244208</v>
      </c>
      <c r="O58" s="29"/>
      <c r="P58" s="29"/>
      <c r="Q58" s="29"/>
      <c r="R58" s="29"/>
      <c r="S58" s="29"/>
      <c r="T58" s="29"/>
      <c r="U58" s="29"/>
      <c r="V58" s="29"/>
    </row>
    <row r="59" outlineLevel="1">
      <c r="A59" s="8">
        <v>67.0</v>
      </c>
      <c r="B59" s="9" t="s">
        <v>213</v>
      </c>
      <c r="C59" s="25" t="s">
        <v>214</v>
      </c>
      <c r="D59" s="26" t="s">
        <v>15</v>
      </c>
      <c r="E59" s="12" t="s">
        <v>15</v>
      </c>
      <c r="F59" s="27" t="s">
        <v>215</v>
      </c>
      <c r="G59" s="14" t="s">
        <v>29</v>
      </c>
      <c r="H59" s="15">
        <v>244207.0</v>
      </c>
      <c r="I59" s="14" t="s">
        <v>50</v>
      </c>
      <c r="J59" s="16" t="s">
        <v>19</v>
      </c>
      <c r="K59" s="17" t="s">
        <v>20</v>
      </c>
      <c r="L59" s="8" t="s">
        <v>21</v>
      </c>
      <c r="M59" s="8" t="s">
        <v>21</v>
      </c>
      <c r="N59" s="18">
        <f t="shared" si="1"/>
        <v>244208</v>
      </c>
      <c r="O59" s="29"/>
      <c r="P59" s="29"/>
      <c r="Q59" s="29"/>
      <c r="R59" s="29"/>
      <c r="S59" s="29"/>
      <c r="T59" s="29"/>
      <c r="U59" s="29"/>
      <c r="V59" s="29"/>
    </row>
    <row r="60" outlineLevel="1">
      <c r="A60" s="8">
        <v>68.0</v>
      </c>
      <c r="B60" s="9" t="s">
        <v>216</v>
      </c>
      <c r="C60" s="25" t="s">
        <v>217</v>
      </c>
      <c r="D60" s="26" t="s">
        <v>15</v>
      </c>
      <c r="E60" s="12" t="s">
        <v>15</v>
      </c>
      <c r="F60" s="27" t="s">
        <v>218</v>
      </c>
      <c r="G60" s="14" t="s">
        <v>17</v>
      </c>
      <c r="H60" s="15">
        <v>244208.0</v>
      </c>
      <c r="I60" s="14" t="s">
        <v>124</v>
      </c>
      <c r="J60" s="16" t="s">
        <v>19</v>
      </c>
      <c r="K60" s="17" t="s">
        <v>20</v>
      </c>
      <c r="L60" s="8" t="s">
        <v>21</v>
      </c>
      <c r="M60" s="8" t="s">
        <v>21</v>
      </c>
      <c r="N60" s="18">
        <f t="shared" si="1"/>
        <v>244209</v>
      </c>
      <c r="O60" s="29"/>
      <c r="P60" s="29"/>
      <c r="Q60" s="29"/>
      <c r="R60" s="29"/>
      <c r="S60" s="29"/>
      <c r="T60" s="29"/>
      <c r="U60" s="29"/>
      <c r="V60" s="29"/>
    </row>
    <row r="61" outlineLevel="1">
      <c r="A61" s="8">
        <v>69.0</v>
      </c>
      <c r="B61" s="9" t="s">
        <v>219</v>
      </c>
      <c r="C61" s="25" t="s">
        <v>220</v>
      </c>
      <c r="D61" s="26" t="s">
        <v>15</v>
      </c>
      <c r="E61" s="12" t="s">
        <v>15</v>
      </c>
      <c r="F61" s="27" t="s">
        <v>221</v>
      </c>
      <c r="G61" s="14" t="s">
        <v>17</v>
      </c>
      <c r="H61" s="15">
        <v>244208.0</v>
      </c>
      <c r="I61" s="14" t="s">
        <v>64</v>
      </c>
      <c r="J61" s="16" t="s">
        <v>19</v>
      </c>
      <c r="K61" s="17" t="s">
        <v>20</v>
      </c>
      <c r="L61" s="8" t="s">
        <v>137</v>
      </c>
      <c r="M61" s="8" t="s">
        <v>21</v>
      </c>
      <c r="N61" s="18">
        <f t="shared" si="1"/>
        <v>244209</v>
      </c>
      <c r="O61" s="29"/>
      <c r="P61" s="29"/>
      <c r="Q61" s="29"/>
      <c r="R61" s="29"/>
      <c r="S61" s="29"/>
      <c r="T61" s="29"/>
      <c r="U61" s="29"/>
      <c r="V61" s="29"/>
    </row>
    <row r="62" outlineLevel="1">
      <c r="A62" s="8">
        <v>70.0</v>
      </c>
      <c r="B62" s="9" t="s">
        <v>222</v>
      </c>
      <c r="C62" s="25" t="s">
        <v>223</v>
      </c>
      <c r="D62" s="26" t="s">
        <v>15</v>
      </c>
      <c r="E62" s="12" t="s">
        <v>15</v>
      </c>
      <c r="F62" s="27" t="s">
        <v>15</v>
      </c>
      <c r="G62" s="14" t="s">
        <v>29</v>
      </c>
      <c r="H62" s="15">
        <v>244208.0</v>
      </c>
      <c r="I62" s="14" t="s">
        <v>80</v>
      </c>
      <c r="J62" s="16" t="s">
        <v>19</v>
      </c>
      <c r="K62" s="17" t="s">
        <v>20</v>
      </c>
      <c r="L62" s="8" t="s">
        <v>21</v>
      </c>
      <c r="M62" s="8" t="s">
        <v>21</v>
      </c>
      <c r="N62" s="18">
        <f t="shared" si="1"/>
        <v>244209</v>
      </c>
      <c r="O62" s="29"/>
      <c r="P62" s="29"/>
      <c r="Q62" s="29"/>
      <c r="R62" s="29"/>
      <c r="S62" s="29"/>
      <c r="T62" s="29"/>
      <c r="U62" s="29"/>
      <c r="V62" s="29"/>
    </row>
    <row r="63" outlineLevel="1">
      <c r="A63" s="8">
        <v>71.0</v>
      </c>
      <c r="B63" s="9" t="s">
        <v>224</v>
      </c>
      <c r="C63" s="25" t="s">
        <v>225</v>
      </c>
      <c r="D63" s="26" t="s">
        <v>15</v>
      </c>
      <c r="E63" s="12" t="s">
        <v>15</v>
      </c>
      <c r="F63" s="27" t="s">
        <v>15</v>
      </c>
      <c r="G63" s="14" t="s">
        <v>29</v>
      </c>
      <c r="H63" s="15">
        <v>244208.0</v>
      </c>
      <c r="I63" s="14" t="s">
        <v>124</v>
      </c>
      <c r="J63" s="16" t="s">
        <v>19</v>
      </c>
      <c r="K63" s="17" t="s">
        <v>20</v>
      </c>
      <c r="L63" s="8" t="s">
        <v>21</v>
      </c>
      <c r="M63" s="8" t="s">
        <v>21</v>
      </c>
      <c r="N63" s="18">
        <f t="shared" si="1"/>
        <v>244209</v>
      </c>
      <c r="O63" s="29"/>
      <c r="P63" s="29"/>
      <c r="Q63" s="29"/>
      <c r="R63" s="29"/>
      <c r="S63" s="29"/>
      <c r="T63" s="29"/>
      <c r="U63" s="29"/>
      <c r="V63" s="29"/>
    </row>
    <row r="64" outlineLevel="1">
      <c r="A64" s="8">
        <v>72.0</v>
      </c>
      <c r="B64" s="9" t="s">
        <v>226</v>
      </c>
      <c r="C64" s="25" t="s">
        <v>227</v>
      </c>
      <c r="D64" s="26" t="s">
        <v>15</v>
      </c>
      <c r="E64" s="12">
        <v>1.480800071071E12</v>
      </c>
      <c r="F64" s="27" t="s">
        <v>228</v>
      </c>
      <c r="G64" s="14" t="s">
        <v>29</v>
      </c>
      <c r="H64" s="15">
        <v>244208.0</v>
      </c>
      <c r="I64" s="14" t="s">
        <v>34</v>
      </c>
      <c r="J64" s="16" t="s">
        <v>19</v>
      </c>
      <c r="K64" s="17" t="s">
        <v>20</v>
      </c>
      <c r="L64" s="8" t="s">
        <v>21</v>
      </c>
      <c r="M64" s="8" t="s">
        <v>21</v>
      </c>
      <c r="N64" s="18">
        <f t="shared" si="1"/>
        <v>244209</v>
      </c>
      <c r="O64" s="29"/>
      <c r="P64" s="29"/>
      <c r="Q64" s="29"/>
      <c r="R64" s="29"/>
      <c r="S64" s="29"/>
      <c r="T64" s="29"/>
      <c r="U64" s="29"/>
      <c r="V64" s="29"/>
    </row>
    <row r="65" outlineLevel="1">
      <c r="A65" s="8">
        <v>73.0</v>
      </c>
      <c r="B65" s="9" t="s">
        <v>229</v>
      </c>
      <c r="C65" s="25" t="s">
        <v>230</v>
      </c>
      <c r="D65" s="26" t="s">
        <v>15</v>
      </c>
      <c r="E65" s="12" t="s">
        <v>15</v>
      </c>
      <c r="F65" s="27" t="s">
        <v>231</v>
      </c>
      <c r="G65" s="14" t="s">
        <v>17</v>
      </c>
      <c r="H65" s="15">
        <v>244208.0</v>
      </c>
      <c r="I65" s="14" t="s">
        <v>232</v>
      </c>
      <c r="J65" s="16" t="s">
        <v>19</v>
      </c>
      <c r="K65" s="17" t="s">
        <v>20</v>
      </c>
      <c r="L65" s="8" t="s">
        <v>233</v>
      </c>
      <c r="M65" s="8" t="s">
        <v>21</v>
      </c>
      <c r="N65" s="18">
        <f t="shared" si="1"/>
        <v>244209</v>
      </c>
      <c r="O65" s="29"/>
      <c r="P65" s="29"/>
      <c r="Q65" s="29"/>
      <c r="R65" s="29"/>
      <c r="S65" s="29"/>
      <c r="T65" s="29"/>
      <c r="U65" s="29"/>
      <c r="V65" s="29"/>
    </row>
    <row r="66" outlineLevel="1">
      <c r="A66" s="8">
        <v>74.0</v>
      </c>
      <c r="B66" s="9" t="s">
        <v>234</v>
      </c>
      <c r="C66" s="25" t="s">
        <v>235</v>
      </c>
      <c r="D66" s="26" t="s">
        <v>15</v>
      </c>
      <c r="E66" s="12" t="s">
        <v>15</v>
      </c>
      <c r="F66" s="27" t="s">
        <v>236</v>
      </c>
      <c r="G66" s="14" t="s">
        <v>29</v>
      </c>
      <c r="H66" s="15">
        <v>244208.0</v>
      </c>
      <c r="I66" s="14" t="s">
        <v>60</v>
      </c>
      <c r="J66" s="16" t="s">
        <v>19</v>
      </c>
      <c r="K66" s="17" t="s">
        <v>20</v>
      </c>
      <c r="L66" s="8" t="s">
        <v>21</v>
      </c>
      <c r="M66" s="8" t="s">
        <v>21</v>
      </c>
      <c r="N66" s="18">
        <f t="shared" si="1"/>
        <v>244209</v>
      </c>
      <c r="O66" s="29"/>
      <c r="P66" s="29"/>
      <c r="Q66" s="29"/>
      <c r="R66" s="29"/>
      <c r="S66" s="29"/>
      <c r="T66" s="29"/>
      <c r="U66" s="29"/>
      <c r="V66" s="29"/>
    </row>
    <row r="67" outlineLevel="1">
      <c r="A67" s="8">
        <v>75.0</v>
      </c>
      <c r="B67" s="9" t="s">
        <v>237</v>
      </c>
      <c r="C67" s="25" t="s">
        <v>238</v>
      </c>
      <c r="D67" s="26" t="s">
        <v>239</v>
      </c>
      <c r="E67" s="12">
        <v>3.25558000268E11</v>
      </c>
      <c r="F67" s="27" t="s">
        <v>240</v>
      </c>
      <c r="G67" s="14" t="s">
        <v>17</v>
      </c>
      <c r="H67" s="15">
        <v>244208.0</v>
      </c>
      <c r="I67" s="14" t="s">
        <v>46</v>
      </c>
      <c r="J67" s="16" t="s">
        <v>19</v>
      </c>
      <c r="K67" s="17" t="s">
        <v>20</v>
      </c>
      <c r="L67" s="8" t="s">
        <v>21</v>
      </c>
      <c r="M67" s="8" t="s">
        <v>21</v>
      </c>
      <c r="N67" s="18">
        <f t="shared" si="1"/>
        <v>244209</v>
      </c>
      <c r="O67" s="29"/>
      <c r="P67" s="29"/>
      <c r="Q67" s="29"/>
      <c r="R67" s="29"/>
      <c r="S67" s="29"/>
      <c r="T67" s="29"/>
      <c r="U67" s="29"/>
      <c r="V67" s="29"/>
    </row>
    <row r="68" outlineLevel="1">
      <c r="A68" s="8">
        <v>76.0</v>
      </c>
      <c r="B68" s="9" t="s">
        <v>241</v>
      </c>
      <c r="C68" s="25" t="s">
        <v>242</v>
      </c>
      <c r="D68" s="26" t="s">
        <v>15</v>
      </c>
      <c r="E68" s="12" t="s">
        <v>15</v>
      </c>
      <c r="F68" s="27"/>
      <c r="G68" s="14" t="s">
        <v>17</v>
      </c>
      <c r="H68" s="15">
        <v>244208.0</v>
      </c>
      <c r="I68" s="14" t="s">
        <v>46</v>
      </c>
      <c r="J68" s="16" t="s">
        <v>19</v>
      </c>
      <c r="K68" s="17" t="s">
        <v>20</v>
      </c>
      <c r="L68" s="8" t="s">
        <v>21</v>
      </c>
      <c r="M68" s="8" t="s">
        <v>21</v>
      </c>
      <c r="N68" s="18">
        <f t="shared" si="1"/>
        <v>244209</v>
      </c>
      <c r="O68" s="29"/>
      <c r="P68" s="29"/>
      <c r="Q68" s="29"/>
      <c r="R68" s="29"/>
      <c r="S68" s="29"/>
      <c r="T68" s="29"/>
      <c r="U68" s="29"/>
      <c r="V68" s="29"/>
    </row>
    <row r="69" outlineLevel="1">
      <c r="A69" s="8">
        <v>77.0</v>
      </c>
      <c r="B69" s="9" t="s">
        <v>243</v>
      </c>
      <c r="C69" s="25" t="s">
        <v>244</v>
      </c>
      <c r="D69" s="26" t="s">
        <v>15</v>
      </c>
      <c r="E69" s="12" t="s">
        <v>15</v>
      </c>
      <c r="F69" s="27" t="s">
        <v>236</v>
      </c>
      <c r="G69" s="14" t="s">
        <v>17</v>
      </c>
      <c r="H69" s="15">
        <v>244208.0</v>
      </c>
      <c r="I69" s="14" t="s">
        <v>38</v>
      </c>
      <c r="J69" s="16" t="s">
        <v>19</v>
      </c>
      <c r="K69" s="17" t="s">
        <v>20</v>
      </c>
      <c r="L69" s="8" t="s">
        <v>137</v>
      </c>
      <c r="M69" s="8" t="s">
        <v>21</v>
      </c>
      <c r="N69" s="18">
        <f t="shared" si="1"/>
        <v>244209</v>
      </c>
      <c r="O69" s="29"/>
      <c r="P69" s="29"/>
      <c r="Q69" s="29"/>
      <c r="R69" s="29"/>
      <c r="S69" s="29"/>
      <c r="T69" s="29"/>
      <c r="U69" s="29"/>
      <c r="V69" s="29"/>
    </row>
    <row r="70" outlineLevel="1">
      <c r="A70" s="8">
        <v>78.0</v>
      </c>
      <c r="B70" s="9" t="s">
        <v>245</v>
      </c>
      <c r="C70" s="25" t="s">
        <v>246</v>
      </c>
      <c r="D70" s="26" t="s">
        <v>15</v>
      </c>
      <c r="E70" s="12" t="s">
        <v>15</v>
      </c>
      <c r="F70" s="27" t="s">
        <v>247</v>
      </c>
      <c r="G70" s="14" t="s">
        <v>29</v>
      </c>
      <c r="H70" s="15">
        <v>244208.0</v>
      </c>
      <c r="I70" s="14" t="s">
        <v>18</v>
      </c>
      <c r="J70" s="16" t="s">
        <v>19</v>
      </c>
      <c r="K70" s="17" t="s">
        <v>20</v>
      </c>
      <c r="L70" s="8" t="s">
        <v>21</v>
      </c>
      <c r="M70" s="8" t="s">
        <v>21</v>
      </c>
      <c r="N70" s="18">
        <f t="shared" si="1"/>
        <v>244209</v>
      </c>
      <c r="O70" s="29"/>
      <c r="P70" s="29"/>
      <c r="Q70" s="29"/>
      <c r="R70" s="29"/>
      <c r="S70" s="29"/>
      <c r="T70" s="29"/>
      <c r="U70" s="29"/>
      <c r="V70" s="29"/>
    </row>
    <row r="71" outlineLevel="1">
      <c r="A71" s="8">
        <v>79.0</v>
      </c>
      <c r="B71" s="9" t="s">
        <v>248</v>
      </c>
      <c r="C71" s="25" t="s">
        <v>249</v>
      </c>
      <c r="D71" s="26" t="s">
        <v>15</v>
      </c>
      <c r="E71" s="12"/>
      <c r="F71" s="27" t="s">
        <v>250</v>
      </c>
      <c r="G71" s="14" t="s">
        <v>17</v>
      </c>
      <c r="H71" s="15">
        <v>244208.0</v>
      </c>
      <c r="I71" s="14" t="s">
        <v>80</v>
      </c>
      <c r="J71" s="16" t="s">
        <v>19</v>
      </c>
      <c r="K71" s="17" t="s">
        <v>20</v>
      </c>
      <c r="L71" s="8" t="s">
        <v>21</v>
      </c>
      <c r="M71" s="8" t="s">
        <v>21</v>
      </c>
      <c r="N71" s="18">
        <f t="shared" si="1"/>
        <v>244209</v>
      </c>
      <c r="O71" s="29"/>
      <c r="P71" s="29"/>
      <c r="Q71" s="29"/>
      <c r="R71" s="29"/>
      <c r="S71" s="29"/>
      <c r="T71" s="29"/>
      <c r="U71" s="29"/>
      <c r="V71" s="29"/>
    </row>
    <row r="72" outlineLevel="1">
      <c r="A72" s="8">
        <v>80.0</v>
      </c>
      <c r="B72" s="9" t="s">
        <v>251</v>
      </c>
      <c r="C72" s="25" t="s">
        <v>252</v>
      </c>
      <c r="D72" s="26" t="s">
        <v>15</v>
      </c>
      <c r="E72" s="12" t="s">
        <v>15</v>
      </c>
      <c r="F72" s="27" t="s">
        <v>253</v>
      </c>
      <c r="G72" s="14" t="s">
        <v>17</v>
      </c>
      <c r="H72" s="15">
        <v>244209.0</v>
      </c>
      <c r="I72" s="14" t="s">
        <v>54</v>
      </c>
      <c r="J72" s="16" t="s">
        <v>19</v>
      </c>
      <c r="K72" s="17" t="s">
        <v>20</v>
      </c>
      <c r="L72" s="8" t="s">
        <v>21</v>
      </c>
      <c r="M72" s="8" t="s">
        <v>21</v>
      </c>
      <c r="N72" s="18">
        <f t="shared" si="1"/>
        <v>244210</v>
      </c>
      <c r="O72" s="29"/>
      <c r="P72" s="29"/>
      <c r="Q72" s="29"/>
      <c r="R72" s="29"/>
      <c r="S72" s="29"/>
      <c r="T72" s="29"/>
      <c r="U72" s="29"/>
      <c r="V72" s="29"/>
    </row>
    <row r="73" outlineLevel="1">
      <c r="A73" s="8">
        <v>81.0</v>
      </c>
      <c r="B73" s="9" t="s">
        <v>254</v>
      </c>
      <c r="C73" s="25" t="s">
        <v>255</v>
      </c>
      <c r="D73" s="26" t="s">
        <v>15</v>
      </c>
      <c r="E73" s="12" t="s">
        <v>15</v>
      </c>
      <c r="F73" s="27" t="s">
        <v>256</v>
      </c>
      <c r="G73" s="14" t="s">
        <v>29</v>
      </c>
      <c r="H73" s="15">
        <v>244209.0</v>
      </c>
      <c r="I73" s="14" t="s">
        <v>46</v>
      </c>
      <c r="J73" s="16" t="s">
        <v>19</v>
      </c>
      <c r="K73" s="17" t="s">
        <v>20</v>
      </c>
      <c r="L73" s="8" t="s">
        <v>21</v>
      </c>
      <c r="M73" s="8" t="s">
        <v>21</v>
      </c>
      <c r="N73" s="18">
        <f t="shared" si="1"/>
        <v>244210</v>
      </c>
      <c r="O73" s="29"/>
      <c r="P73" s="29"/>
      <c r="Q73" s="29"/>
      <c r="R73" s="29"/>
      <c r="S73" s="29"/>
      <c r="T73" s="29"/>
      <c r="U73" s="29"/>
      <c r="V73" s="29"/>
    </row>
    <row r="74" outlineLevel="1">
      <c r="A74" s="8">
        <v>82.0</v>
      </c>
      <c r="B74" s="9" t="s">
        <v>257</v>
      </c>
      <c r="C74" s="25" t="s">
        <v>258</v>
      </c>
      <c r="D74" s="26" t="s">
        <v>259</v>
      </c>
      <c r="E74" s="12">
        <v>1.430301364481E12</v>
      </c>
      <c r="F74" s="27" t="s">
        <v>260</v>
      </c>
      <c r="G74" s="14" t="s">
        <v>29</v>
      </c>
      <c r="H74" s="15">
        <v>244209.0</v>
      </c>
      <c r="I74" s="14" t="s">
        <v>38</v>
      </c>
      <c r="J74" s="16" t="s">
        <v>19</v>
      </c>
      <c r="K74" s="17" t="s">
        <v>20</v>
      </c>
      <c r="L74" s="8" t="s">
        <v>21</v>
      </c>
      <c r="M74" s="8" t="s">
        <v>21</v>
      </c>
      <c r="N74" s="18">
        <f t="shared" si="1"/>
        <v>244210</v>
      </c>
      <c r="O74" s="29"/>
      <c r="P74" s="29"/>
      <c r="Q74" s="29"/>
      <c r="R74" s="29"/>
      <c r="S74" s="29"/>
      <c r="T74" s="29"/>
      <c r="U74" s="29"/>
      <c r="V74" s="29"/>
    </row>
    <row r="75" outlineLevel="1">
      <c r="A75" s="8">
        <v>83.0</v>
      </c>
      <c r="B75" s="9" t="s">
        <v>261</v>
      </c>
      <c r="C75" s="25" t="s">
        <v>262</v>
      </c>
      <c r="D75" s="26" t="s">
        <v>15</v>
      </c>
      <c r="E75" s="12" t="s">
        <v>15</v>
      </c>
      <c r="F75" s="27" t="s">
        <v>263</v>
      </c>
      <c r="G75" s="14" t="s">
        <v>29</v>
      </c>
      <c r="H75" s="15">
        <v>244209.0</v>
      </c>
      <c r="I75" s="14" t="s">
        <v>34</v>
      </c>
      <c r="J75" s="16" t="s">
        <v>19</v>
      </c>
      <c r="K75" s="17" t="s">
        <v>20</v>
      </c>
      <c r="L75" s="8" t="s">
        <v>21</v>
      </c>
      <c r="M75" s="8" t="s">
        <v>21</v>
      </c>
      <c r="N75" s="18">
        <f t="shared" si="1"/>
        <v>244210</v>
      </c>
      <c r="O75" s="29"/>
      <c r="P75" s="29"/>
      <c r="Q75" s="29"/>
      <c r="R75" s="29"/>
      <c r="S75" s="29"/>
      <c r="T75" s="29"/>
      <c r="U75" s="29"/>
      <c r="V75" s="29"/>
    </row>
    <row r="76" outlineLevel="1">
      <c r="A76" s="8">
        <v>84.0</v>
      </c>
      <c r="B76" s="9" t="s">
        <v>264</v>
      </c>
      <c r="C76" s="25" t="s">
        <v>265</v>
      </c>
      <c r="D76" s="26" t="s">
        <v>15</v>
      </c>
      <c r="E76" s="12" t="s">
        <v>15</v>
      </c>
      <c r="F76" s="27" t="s">
        <v>15</v>
      </c>
      <c r="G76" s="14" t="s">
        <v>17</v>
      </c>
      <c r="H76" s="15">
        <v>244209.0</v>
      </c>
      <c r="I76" s="14" t="s">
        <v>193</v>
      </c>
      <c r="J76" s="16" t="s">
        <v>19</v>
      </c>
      <c r="K76" s="17" t="s">
        <v>20</v>
      </c>
      <c r="L76" s="8" t="s">
        <v>21</v>
      </c>
      <c r="M76" s="8" t="s">
        <v>21</v>
      </c>
      <c r="N76" s="18">
        <f t="shared" si="1"/>
        <v>244210</v>
      </c>
      <c r="O76" s="29"/>
      <c r="P76" s="29"/>
      <c r="Q76" s="29"/>
      <c r="R76" s="29"/>
      <c r="S76" s="29"/>
      <c r="T76" s="29"/>
      <c r="U76" s="29"/>
      <c r="V76" s="29"/>
    </row>
    <row r="77" outlineLevel="1">
      <c r="A77" s="8">
        <v>85.0</v>
      </c>
      <c r="B77" s="9" t="s">
        <v>266</v>
      </c>
      <c r="C77" s="25" t="s">
        <v>267</v>
      </c>
      <c r="D77" s="26"/>
      <c r="E77" s="12"/>
      <c r="F77" s="27" t="s">
        <v>268</v>
      </c>
      <c r="G77" s="14" t="s">
        <v>29</v>
      </c>
      <c r="H77" s="15">
        <v>244209.0</v>
      </c>
      <c r="I77" s="14" t="s">
        <v>42</v>
      </c>
      <c r="J77" s="16" t="s">
        <v>19</v>
      </c>
      <c r="K77" s="17" t="s">
        <v>20</v>
      </c>
      <c r="L77" s="8" t="s">
        <v>21</v>
      </c>
      <c r="M77" s="8" t="s">
        <v>21</v>
      </c>
      <c r="N77" s="18">
        <f t="shared" si="1"/>
        <v>244210</v>
      </c>
      <c r="O77" s="29"/>
      <c r="P77" s="29"/>
      <c r="Q77" s="29"/>
      <c r="R77" s="29"/>
      <c r="S77" s="29"/>
      <c r="T77" s="29"/>
      <c r="U77" s="29"/>
      <c r="V77" s="29"/>
    </row>
    <row r="78" outlineLevel="1">
      <c r="A78" s="8">
        <v>86.0</v>
      </c>
      <c r="B78" s="9" t="s">
        <v>269</v>
      </c>
      <c r="C78" s="25" t="s">
        <v>270</v>
      </c>
      <c r="D78" s="26" t="s">
        <v>15</v>
      </c>
      <c r="E78" s="12" t="s">
        <v>15</v>
      </c>
      <c r="F78" s="27" t="s">
        <v>15</v>
      </c>
      <c r="G78" s="14" t="s">
        <v>17</v>
      </c>
      <c r="H78" s="15">
        <v>244209.0</v>
      </c>
      <c r="I78" s="14" t="s">
        <v>144</v>
      </c>
      <c r="J78" s="16" t="s">
        <v>19</v>
      </c>
      <c r="K78" s="17" t="s">
        <v>20</v>
      </c>
      <c r="L78" s="8" t="s">
        <v>21</v>
      </c>
      <c r="M78" s="8" t="s">
        <v>21</v>
      </c>
      <c r="N78" s="18">
        <f t="shared" si="1"/>
        <v>244210</v>
      </c>
      <c r="O78" s="29"/>
      <c r="P78" s="29"/>
      <c r="Q78" s="29"/>
      <c r="R78" s="29"/>
      <c r="S78" s="29"/>
      <c r="T78" s="29"/>
      <c r="U78" s="29"/>
      <c r="V78" s="29"/>
    </row>
    <row r="79" outlineLevel="1">
      <c r="A79" s="8">
        <v>87.0</v>
      </c>
      <c r="B79" s="9" t="s">
        <v>271</v>
      </c>
      <c r="C79" s="25" t="s">
        <v>272</v>
      </c>
      <c r="D79" s="26" t="s">
        <v>15</v>
      </c>
      <c r="E79" s="12" t="s">
        <v>15</v>
      </c>
      <c r="F79" s="27" t="s">
        <v>273</v>
      </c>
      <c r="G79" s="14" t="s">
        <v>17</v>
      </c>
      <c r="H79" s="15">
        <v>244209.0</v>
      </c>
      <c r="I79" s="14" t="s">
        <v>30</v>
      </c>
      <c r="J79" s="16" t="s">
        <v>19</v>
      </c>
      <c r="K79" s="17" t="s">
        <v>20</v>
      </c>
      <c r="L79" s="8" t="s">
        <v>21</v>
      </c>
      <c r="M79" s="8" t="s">
        <v>21</v>
      </c>
      <c r="N79" s="18">
        <f t="shared" si="1"/>
        <v>244210</v>
      </c>
      <c r="O79" s="29"/>
      <c r="P79" s="29"/>
      <c r="Q79" s="29"/>
      <c r="R79" s="29"/>
      <c r="S79" s="29"/>
      <c r="T79" s="29"/>
      <c r="U79" s="29"/>
      <c r="V79" s="29"/>
    </row>
    <row r="80" outlineLevel="1">
      <c r="A80" s="8">
        <v>88.0</v>
      </c>
      <c r="B80" s="9" t="s">
        <v>274</v>
      </c>
      <c r="C80" s="25" t="s">
        <v>275</v>
      </c>
      <c r="D80" s="26" t="s">
        <v>15</v>
      </c>
      <c r="E80" s="12" t="s">
        <v>15</v>
      </c>
      <c r="F80" s="27" t="s">
        <v>276</v>
      </c>
      <c r="G80" s="14" t="s">
        <v>17</v>
      </c>
      <c r="H80" s="15">
        <v>244210.0</v>
      </c>
      <c r="I80" s="14" t="s">
        <v>111</v>
      </c>
      <c r="J80" s="16" t="s">
        <v>19</v>
      </c>
      <c r="K80" s="17" t="s">
        <v>20</v>
      </c>
      <c r="L80" s="8" t="s">
        <v>21</v>
      </c>
      <c r="M80" s="8" t="s">
        <v>21</v>
      </c>
      <c r="N80" s="18">
        <f t="shared" si="1"/>
        <v>244211</v>
      </c>
      <c r="O80" s="29"/>
      <c r="P80" s="29"/>
      <c r="Q80" s="29"/>
      <c r="R80" s="29"/>
      <c r="S80" s="29"/>
      <c r="T80" s="29"/>
      <c r="U80" s="29"/>
      <c r="V80" s="29"/>
    </row>
    <row r="81" outlineLevel="1">
      <c r="A81" s="8">
        <v>89.0</v>
      </c>
      <c r="B81" s="9" t="s">
        <v>277</v>
      </c>
      <c r="C81" s="25" t="s">
        <v>278</v>
      </c>
      <c r="D81" s="26" t="s">
        <v>15</v>
      </c>
      <c r="E81" s="12" t="s">
        <v>15</v>
      </c>
      <c r="F81" s="27" t="s">
        <v>279</v>
      </c>
      <c r="G81" s="14" t="s">
        <v>29</v>
      </c>
      <c r="H81" s="15">
        <v>244210.0</v>
      </c>
      <c r="I81" s="14" t="s">
        <v>232</v>
      </c>
      <c r="J81" s="16" t="s">
        <v>19</v>
      </c>
      <c r="K81" s="17" t="s">
        <v>20</v>
      </c>
      <c r="L81" s="8" t="s">
        <v>21</v>
      </c>
      <c r="M81" s="8" t="s">
        <v>21</v>
      </c>
      <c r="N81" s="18">
        <f t="shared" si="1"/>
        <v>244211</v>
      </c>
      <c r="O81" s="29"/>
      <c r="P81" s="29"/>
      <c r="Q81" s="29"/>
      <c r="R81" s="29"/>
      <c r="S81" s="29"/>
      <c r="T81" s="29"/>
      <c r="U81" s="29"/>
      <c r="V81" s="29"/>
    </row>
    <row r="82" outlineLevel="1">
      <c r="A82" s="8">
        <v>90.0</v>
      </c>
      <c r="B82" s="9" t="s">
        <v>280</v>
      </c>
      <c r="C82" s="25" t="s">
        <v>281</v>
      </c>
      <c r="D82" s="26" t="s">
        <v>15</v>
      </c>
      <c r="E82" s="12" t="s">
        <v>15</v>
      </c>
      <c r="F82" s="27" t="s">
        <v>282</v>
      </c>
      <c r="G82" s="14" t="s">
        <v>17</v>
      </c>
      <c r="H82" s="15">
        <v>244210.0</v>
      </c>
      <c r="I82" s="14" t="s">
        <v>124</v>
      </c>
      <c r="J82" s="16" t="s">
        <v>19</v>
      </c>
      <c r="K82" s="17" t="s">
        <v>20</v>
      </c>
      <c r="L82" s="8" t="s">
        <v>21</v>
      </c>
      <c r="M82" s="8" t="s">
        <v>21</v>
      </c>
      <c r="N82" s="18">
        <f t="shared" si="1"/>
        <v>244211</v>
      </c>
      <c r="O82" s="29"/>
      <c r="P82" s="29"/>
      <c r="Q82" s="29"/>
      <c r="R82" s="29"/>
      <c r="S82" s="29"/>
      <c r="T82" s="29"/>
      <c r="U82" s="29"/>
      <c r="V82" s="29"/>
    </row>
    <row r="83" outlineLevel="1">
      <c r="A83" s="8">
        <v>91.0</v>
      </c>
      <c r="B83" s="9" t="s">
        <v>283</v>
      </c>
      <c r="C83" s="25" t="s">
        <v>284</v>
      </c>
      <c r="D83" s="26" t="s">
        <v>15</v>
      </c>
      <c r="E83" s="12" t="s">
        <v>15</v>
      </c>
      <c r="F83" s="27" t="s">
        <v>285</v>
      </c>
      <c r="G83" s="14" t="s">
        <v>17</v>
      </c>
      <c r="H83" s="15">
        <v>244210.0</v>
      </c>
      <c r="I83" s="14" t="s">
        <v>50</v>
      </c>
      <c r="J83" s="16" t="s">
        <v>19</v>
      </c>
      <c r="K83" s="17" t="s">
        <v>20</v>
      </c>
      <c r="L83" s="8" t="s">
        <v>21</v>
      </c>
      <c r="M83" s="8" t="s">
        <v>21</v>
      </c>
      <c r="N83" s="18">
        <f t="shared" si="1"/>
        <v>244211</v>
      </c>
      <c r="O83" s="29"/>
      <c r="P83" s="29"/>
      <c r="Q83" s="29"/>
      <c r="R83" s="29"/>
      <c r="S83" s="29"/>
      <c r="T83" s="29"/>
      <c r="U83" s="29"/>
      <c r="V83" s="29"/>
    </row>
    <row r="84" outlineLevel="1">
      <c r="A84" s="8">
        <v>92.0</v>
      </c>
      <c r="B84" s="9" t="s">
        <v>286</v>
      </c>
      <c r="C84" s="25" t="s">
        <v>287</v>
      </c>
      <c r="D84" s="26" t="s">
        <v>15</v>
      </c>
      <c r="E84" s="12">
        <v>1.479300060141E12</v>
      </c>
      <c r="F84" s="27" t="s">
        <v>288</v>
      </c>
      <c r="G84" s="14" t="s">
        <v>29</v>
      </c>
      <c r="H84" s="15">
        <v>244210.0</v>
      </c>
      <c r="I84" s="14" t="s">
        <v>64</v>
      </c>
      <c r="J84" s="16" t="s">
        <v>19</v>
      </c>
      <c r="K84" s="17" t="s">
        <v>20</v>
      </c>
      <c r="L84" s="8" t="s">
        <v>21</v>
      </c>
      <c r="M84" s="8" t="s">
        <v>21</v>
      </c>
      <c r="N84" s="18">
        <f t="shared" si="1"/>
        <v>244211</v>
      </c>
      <c r="O84" s="29"/>
      <c r="P84" s="29"/>
      <c r="Q84" s="29"/>
      <c r="R84" s="29"/>
      <c r="S84" s="29"/>
      <c r="T84" s="29"/>
      <c r="U84" s="29"/>
      <c r="V84" s="29"/>
    </row>
    <row r="85" outlineLevel="1">
      <c r="A85" s="8">
        <v>93.0</v>
      </c>
      <c r="B85" s="9" t="s">
        <v>289</v>
      </c>
      <c r="C85" s="25" t="s">
        <v>290</v>
      </c>
      <c r="D85" s="26" t="s">
        <v>15</v>
      </c>
      <c r="E85" s="12" t="s">
        <v>15</v>
      </c>
      <c r="F85" s="27" t="s">
        <v>15</v>
      </c>
      <c r="G85" s="14" t="s">
        <v>29</v>
      </c>
      <c r="H85" s="15">
        <v>244211.0</v>
      </c>
      <c r="I85" s="14" t="s">
        <v>80</v>
      </c>
      <c r="J85" s="16" t="s">
        <v>19</v>
      </c>
      <c r="K85" s="17" t="s">
        <v>20</v>
      </c>
      <c r="L85" s="8" t="s">
        <v>21</v>
      </c>
      <c r="M85" s="8" t="s">
        <v>21</v>
      </c>
      <c r="N85" s="18">
        <f t="shared" si="1"/>
        <v>244212</v>
      </c>
      <c r="O85" s="29"/>
      <c r="P85" s="29"/>
      <c r="Q85" s="29"/>
      <c r="R85" s="29"/>
      <c r="S85" s="29"/>
      <c r="T85" s="29"/>
      <c r="U85" s="29"/>
      <c r="V85" s="29"/>
    </row>
    <row r="86" outlineLevel="1">
      <c r="A86" s="8">
        <v>94.0</v>
      </c>
      <c r="B86" s="9" t="s">
        <v>291</v>
      </c>
      <c r="C86" s="25" t="s">
        <v>292</v>
      </c>
      <c r="D86" s="26" t="s">
        <v>15</v>
      </c>
      <c r="E86" s="12" t="s">
        <v>15</v>
      </c>
      <c r="F86" s="27" t="s">
        <v>293</v>
      </c>
      <c r="G86" s="14" t="s">
        <v>29</v>
      </c>
      <c r="H86" s="15">
        <v>244211.0</v>
      </c>
      <c r="I86" s="14" t="s">
        <v>60</v>
      </c>
      <c r="J86" s="16" t="s">
        <v>19</v>
      </c>
      <c r="K86" s="17" t="s">
        <v>20</v>
      </c>
      <c r="L86" s="8" t="s">
        <v>21</v>
      </c>
      <c r="M86" s="8" t="s">
        <v>21</v>
      </c>
      <c r="N86" s="18">
        <f t="shared" si="1"/>
        <v>244212</v>
      </c>
      <c r="O86" s="29"/>
      <c r="P86" s="29"/>
      <c r="Q86" s="29"/>
      <c r="R86" s="29"/>
      <c r="S86" s="29"/>
      <c r="T86" s="29"/>
      <c r="U86" s="29"/>
      <c r="V86" s="29"/>
    </row>
    <row r="87" outlineLevel="1">
      <c r="A87" s="8">
        <v>95.0</v>
      </c>
      <c r="B87" s="9" t="s">
        <v>294</v>
      </c>
      <c r="C87" s="25" t="s">
        <v>295</v>
      </c>
      <c r="D87" s="26" t="s">
        <v>15</v>
      </c>
      <c r="E87" s="12" t="s">
        <v>15</v>
      </c>
      <c r="F87" s="27" t="s">
        <v>15</v>
      </c>
      <c r="G87" s="14" t="s">
        <v>17</v>
      </c>
      <c r="H87" s="15">
        <v>244211.0</v>
      </c>
      <c r="I87" s="14" t="s">
        <v>232</v>
      </c>
      <c r="J87" s="16" t="s">
        <v>19</v>
      </c>
      <c r="K87" s="17" t="s">
        <v>20</v>
      </c>
      <c r="L87" s="8" t="s">
        <v>21</v>
      </c>
      <c r="M87" s="8" t="s">
        <v>21</v>
      </c>
      <c r="N87" s="18">
        <f t="shared" si="1"/>
        <v>244212</v>
      </c>
      <c r="O87" s="29"/>
      <c r="P87" s="29"/>
      <c r="Q87" s="29"/>
      <c r="R87" s="29"/>
      <c r="S87" s="29"/>
      <c r="T87" s="29"/>
      <c r="U87" s="29"/>
      <c r="V87" s="29"/>
    </row>
    <row r="88" outlineLevel="1">
      <c r="A88" s="8">
        <v>96.0</v>
      </c>
      <c r="B88" s="9" t="s">
        <v>296</v>
      </c>
      <c r="C88" s="25" t="s">
        <v>297</v>
      </c>
      <c r="D88" s="26" t="s">
        <v>15</v>
      </c>
      <c r="E88" s="12" t="s">
        <v>15</v>
      </c>
      <c r="F88" s="27" t="s">
        <v>298</v>
      </c>
      <c r="G88" s="14" t="s">
        <v>29</v>
      </c>
      <c r="H88" s="15">
        <v>244211.0</v>
      </c>
      <c r="I88" s="14" t="s">
        <v>144</v>
      </c>
      <c r="J88" s="16" t="s">
        <v>19</v>
      </c>
      <c r="K88" s="17" t="s">
        <v>20</v>
      </c>
      <c r="L88" s="8" t="s">
        <v>21</v>
      </c>
      <c r="M88" s="8" t="s">
        <v>21</v>
      </c>
      <c r="N88" s="18">
        <f t="shared" si="1"/>
        <v>244212</v>
      </c>
      <c r="O88" s="29"/>
      <c r="P88" s="29"/>
      <c r="Q88" s="29"/>
      <c r="R88" s="29"/>
      <c r="S88" s="29"/>
      <c r="T88" s="29"/>
      <c r="U88" s="29"/>
      <c r="V88" s="29"/>
    </row>
    <row r="89" outlineLevel="1">
      <c r="A89" s="8">
        <v>97.0</v>
      </c>
      <c r="B89" s="9" t="s">
        <v>299</v>
      </c>
      <c r="C89" s="25" t="s">
        <v>300</v>
      </c>
      <c r="D89" s="26" t="s">
        <v>15</v>
      </c>
      <c r="E89" s="12" t="s">
        <v>15</v>
      </c>
      <c r="F89" s="27" t="s">
        <v>301</v>
      </c>
      <c r="G89" s="14" t="s">
        <v>17</v>
      </c>
      <c r="H89" s="15">
        <v>244211.0</v>
      </c>
      <c r="I89" s="14" t="s">
        <v>54</v>
      </c>
      <c r="J89" s="16" t="s">
        <v>19</v>
      </c>
      <c r="K89" s="17" t="s">
        <v>20</v>
      </c>
      <c r="L89" s="8" t="s">
        <v>21</v>
      </c>
      <c r="M89" s="8" t="s">
        <v>21</v>
      </c>
      <c r="N89" s="18">
        <f t="shared" si="1"/>
        <v>244212</v>
      </c>
      <c r="O89" s="29"/>
      <c r="P89" s="29"/>
      <c r="Q89" s="29"/>
      <c r="R89" s="29"/>
      <c r="S89" s="29"/>
      <c r="T89" s="29"/>
      <c r="U89" s="29"/>
      <c r="V89" s="29"/>
    </row>
    <row r="90" outlineLevel="1">
      <c r="A90" s="8">
        <v>98.0</v>
      </c>
      <c r="B90" s="9" t="s">
        <v>302</v>
      </c>
      <c r="C90" s="25" t="s">
        <v>303</v>
      </c>
      <c r="D90" s="26" t="s">
        <v>15</v>
      </c>
      <c r="E90" s="12" t="s">
        <v>15</v>
      </c>
      <c r="F90" s="27" t="s">
        <v>304</v>
      </c>
      <c r="G90" s="14" t="s">
        <v>17</v>
      </c>
      <c r="H90" s="15">
        <v>244211.0</v>
      </c>
      <c r="I90" s="14" t="s">
        <v>34</v>
      </c>
      <c r="J90" s="16" t="s">
        <v>19</v>
      </c>
      <c r="K90" s="17" t="s">
        <v>20</v>
      </c>
      <c r="L90" s="8" t="s">
        <v>21</v>
      </c>
      <c r="M90" s="8" t="s">
        <v>21</v>
      </c>
      <c r="N90" s="18">
        <f t="shared" si="1"/>
        <v>244212</v>
      </c>
      <c r="O90" s="29"/>
      <c r="P90" s="29"/>
      <c r="Q90" s="29"/>
      <c r="R90" s="29"/>
      <c r="S90" s="29"/>
      <c r="T90" s="29"/>
      <c r="U90" s="29"/>
      <c r="V90" s="29"/>
    </row>
    <row r="91" outlineLevel="1">
      <c r="A91" s="8">
        <v>99.0</v>
      </c>
      <c r="B91" s="9" t="s">
        <v>305</v>
      </c>
      <c r="C91" s="25" t="s">
        <v>306</v>
      </c>
      <c r="D91" s="26" t="s">
        <v>15</v>
      </c>
      <c r="E91" s="12" t="s">
        <v>15</v>
      </c>
      <c r="F91" s="27" t="s">
        <v>307</v>
      </c>
      <c r="G91" s="14" t="s">
        <v>17</v>
      </c>
      <c r="H91" s="15">
        <v>244211.0</v>
      </c>
      <c r="I91" s="14" t="s">
        <v>124</v>
      </c>
      <c r="J91" s="16" t="s">
        <v>19</v>
      </c>
      <c r="K91" s="17" t="s">
        <v>20</v>
      </c>
      <c r="L91" s="8" t="s">
        <v>21</v>
      </c>
      <c r="M91" s="8" t="s">
        <v>21</v>
      </c>
      <c r="N91" s="18">
        <f t="shared" si="1"/>
        <v>244212</v>
      </c>
      <c r="O91" s="29"/>
      <c r="P91" s="29"/>
      <c r="Q91" s="29"/>
      <c r="R91" s="29"/>
      <c r="S91" s="29"/>
      <c r="T91" s="29"/>
      <c r="U91" s="29"/>
      <c r="V91" s="29"/>
    </row>
    <row r="92" outlineLevel="1">
      <c r="A92" s="8">
        <v>100.0</v>
      </c>
      <c r="B92" s="9" t="s">
        <v>308</v>
      </c>
      <c r="C92" s="25" t="s">
        <v>309</v>
      </c>
      <c r="D92" s="26" t="s">
        <v>15</v>
      </c>
      <c r="E92" s="12" t="s">
        <v>15</v>
      </c>
      <c r="F92" s="27" t="s">
        <v>310</v>
      </c>
      <c r="G92" s="14" t="s">
        <v>29</v>
      </c>
      <c r="H92" s="15">
        <v>244211.0</v>
      </c>
      <c r="I92" s="14" t="s">
        <v>25</v>
      </c>
      <c r="J92" s="16" t="s">
        <v>19</v>
      </c>
      <c r="K92" s="17" t="s">
        <v>20</v>
      </c>
      <c r="L92" s="8" t="s">
        <v>21</v>
      </c>
      <c r="M92" s="8" t="s">
        <v>21</v>
      </c>
      <c r="N92" s="18">
        <f t="shared" si="1"/>
        <v>244212</v>
      </c>
      <c r="O92" s="29"/>
      <c r="P92" s="29"/>
      <c r="Q92" s="29"/>
      <c r="R92" s="29"/>
      <c r="S92" s="29"/>
      <c r="T92" s="29"/>
      <c r="U92" s="29"/>
      <c r="V92" s="29"/>
    </row>
    <row r="93" outlineLevel="1">
      <c r="A93" s="8">
        <v>101.0</v>
      </c>
      <c r="B93" s="9" t="s">
        <v>311</v>
      </c>
      <c r="C93" s="25" t="s">
        <v>312</v>
      </c>
      <c r="D93" s="26" t="s">
        <v>15</v>
      </c>
      <c r="E93" s="12" t="s">
        <v>15</v>
      </c>
      <c r="F93" s="27" t="s">
        <v>313</v>
      </c>
      <c r="G93" s="14" t="s">
        <v>17</v>
      </c>
      <c r="H93" s="15">
        <v>244211.0</v>
      </c>
      <c r="I93" s="14" t="s">
        <v>193</v>
      </c>
      <c r="J93" s="16" t="s">
        <v>19</v>
      </c>
      <c r="K93" s="17" t="s">
        <v>20</v>
      </c>
      <c r="L93" s="8" t="s">
        <v>21</v>
      </c>
      <c r="M93" s="8" t="s">
        <v>21</v>
      </c>
      <c r="N93" s="18">
        <f t="shared" si="1"/>
        <v>244212</v>
      </c>
      <c r="O93" s="29"/>
      <c r="P93" s="29"/>
      <c r="Q93" s="29"/>
      <c r="R93" s="29"/>
      <c r="S93" s="29"/>
      <c r="T93" s="29"/>
      <c r="U93" s="29"/>
      <c r="V93" s="29"/>
    </row>
    <row r="94" outlineLevel="1">
      <c r="A94" s="8">
        <v>102.0</v>
      </c>
      <c r="B94" s="9" t="s">
        <v>314</v>
      </c>
      <c r="C94" s="25" t="s">
        <v>315</v>
      </c>
      <c r="D94" s="26" t="s">
        <v>15</v>
      </c>
      <c r="E94" s="12" t="s">
        <v>15</v>
      </c>
      <c r="F94" s="27" t="s">
        <v>316</v>
      </c>
      <c r="G94" s="14" t="s">
        <v>17</v>
      </c>
      <c r="H94" s="15">
        <v>244211.0</v>
      </c>
      <c r="I94" s="14" t="s">
        <v>50</v>
      </c>
      <c r="J94" s="16" t="s">
        <v>19</v>
      </c>
      <c r="K94" s="17" t="s">
        <v>20</v>
      </c>
      <c r="L94" s="8" t="s">
        <v>21</v>
      </c>
      <c r="M94" s="8" t="s">
        <v>21</v>
      </c>
      <c r="N94" s="18">
        <f t="shared" si="1"/>
        <v>244212</v>
      </c>
      <c r="O94" s="29"/>
      <c r="P94" s="29"/>
      <c r="Q94" s="29"/>
      <c r="R94" s="29"/>
      <c r="S94" s="29"/>
      <c r="T94" s="29"/>
      <c r="U94" s="29"/>
      <c r="V94" s="29"/>
    </row>
    <row r="95" outlineLevel="1">
      <c r="A95" s="8">
        <v>103.0</v>
      </c>
      <c r="B95" s="9" t="s">
        <v>317</v>
      </c>
      <c r="C95" s="25" t="s">
        <v>318</v>
      </c>
      <c r="D95" s="26" t="s">
        <v>15</v>
      </c>
      <c r="E95" s="12" t="s">
        <v>15</v>
      </c>
      <c r="F95" s="27" t="s">
        <v>319</v>
      </c>
      <c r="G95" s="14" t="s">
        <v>29</v>
      </c>
      <c r="H95" s="15">
        <v>244211.0</v>
      </c>
      <c r="I95" s="14" t="s">
        <v>60</v>
      </c>
      <c r="J95" s="16" t="s">
        <v>19</v>
      </c>
      <c r="K95" s="17" t="s">
        <v>20</v>
      </c>
      <c r="L95" s="8" t="s">
        <v>21</v>
      </c>
      <c r="M95" s="8" t="s">
        <v>21</v>
      </c>
      <c r="N95" s="18">
        <f t="shared" si="1"/>
        <v>244212</v>
      </c>
      <c r="O95" s="29"/>
      <c r="P95" s="29"/>
      <c r="Q95" s="29"/>
      <c r="R95" s="29"/>
      <c r="S95" s="29"/>
      <c r="T95" s="29"/>
      <c r="U95" s="29"/>
      <c r="V95" s="29"/>
    </row>
    <row r="96" outlineLevel="1">
      <c r="A96" s="8">
        <v>92.0</v>
      </c>
      <c r="B96" s="9" t="s">
        <v>320</v>
      </c>
      <c r="C96" s="25" t="s">
        <v>321</v>
      </c>
      <c r="D96" s="26" t="s">
        <v>15</v>
      </c>
      <c r="E96" s="12" t="s">
        <v>15</v>
      </c>
      <c r="F96" s="27" t="s">
        <v>322</v>
      </c>
      <c r="G96" s="14" t="s">
        <v>29</v>
      </c>
      <c r="H96" s="15">
        <v>244212.0</v>
      </c>
      <c r="I96" s="14" t="s">
        <v>80</v>
      </c>
      <c r="J96" s="16" t="s">
        <v>19</v>
      </c>
      <c r="K96" s="17" t="s">
        <v>20</v>
      </c>
      <c r="L96" s="8" t="s">
        <v>21</v>
      </c>
      <c r="M96" s="8" t="s">
        <v>21</v>
      </c>
      <c r="N96" s="18">
        <f t="shared" si="1"/>
        <v>244213</v>
      </c>
      <c r="O96" s="29"/>
      <c r="P96" s="29"/>
      <c r="Q96" s="29"/>
      <c r="R96" s="29"/>
      <c r="S96" s="29"/>
      <c r="T96" s="29"/>
      <c r="U96" s="29"/>
      <c r="V96" s="29"/>
    </row>
    <row r="97" outlineLevel="1">
      <c r="A97" s="8">
        <v>93.0</v>
      </c>
      <c r="B97" s="9" t="s">
        <v>323</v>
      </c>
      <c r="C97" s="25" t="s">
        <v>324</v>
      </c>
      <c r="D97" s="26" t="s">
        <v>15</v>
      </c>
      <c r="E97" s="12" t="s">
        <v>15</v>
      </c>
      <c r="F97" s="27" t="s">
        <v>325</v>
      </c>
      <c r="G97" s="14" t="s">
        <v>29</v>
      </c>
      <c r="H97" s="15">
        <v>244212.0</v>
      </c>
      <c r="I97" s="14" t="s">
        <v>101</v>
      </c>
      <c r="J97" s="16" t="s">
        <v>19</v>
      </c>
      <c r="K97" s="17" t="s">
        <v>20</v>
      </c>
      <c r="L97" s="8" t="s">
        <v>21</v>
      </c>
      <c r="M97" s="8" t="s">
        <v>21</v>
      </c>
      <c r="N97" s="18">
        <f t="shared" si="1"/>
        <v>244213</v>
      </c>
      <c r="O97" s="29"/>
      <c r="P97" s="29"/>
      <c r="Q97" s="29"/>
      <c r="R97" s="29"/>
      <c r="S97" s="29"/>
      <c r="T97" s="29"/>
      <c r="U97" s="29"/>
      <c r="V97" s="29"/>
    </row>
    <row r="98" outlineLevel="1">
      <c r="A98" s="8">
        <v>94.0</v>
      </c>
      <c r="B98" s="9" t="s">
        <v>326</v>
      </c>
      <c r="C98" s="25" t="s">
        <v>327</v>
      </c>
      <c r="D98" s="26" t="s">
        <v>15</v>
      </c>
      <c r="E98" s="12" t="s">
        <v>15</v>
      </c>
      <c r="F98" s="27" t="s">
        <v>328</v>
      </c>
      <c r="G98" s="14" t="s">
        <v>17</v>
      </c>
      <c r="H98" s="15">
        <v>244212.0</v>
      </c>
      <c r="I98" s="14" t="s">
        <v>162</v>
      </c>
      <c r="J98" s="16" t="s">
        <v>19</v>
      </c>
      <c r="K98" s="17" t="s">
        <v>20</v>
      </c>
      <c r="L98" s="8" t="s">
        <v>21</v>
      </c>
      <c r="M98" s="8" t="s">
        <v>21</v>
      </c>
      <c r="N98" s="18">
        <f t="shared" si="1"/>
        <v>244213</v>
      </c>
      <c r="O98" s="29"/>
      <c r="P98" s="29"/>
      <c r="Q98" s="29"/>
      <c r="R98" s="29"/>
      <c r="S98" s="29"/>
      <c r="T98" s="29"/>
      <c r="U98" s="29"/>
      <c r="V98" s="29"/>
    </row>
    <row r="99" outlineLevel="1">
      <c r="A99" s="8">
        <v>95.0</v>
      </c>
      <c r="B99" s="9" t="s">
        <v>329</v>
      </c>
      <c r="C99" s="25" t="s">
        <v>330</v>
      </c>
      <c r="D99" s="26" t="s">
        <v>15</v>
      </c>
      <c r="E99" s="12" t="s">
        <v>15</v>
      </c>
      <c r="F99" s="27" t="s">
        <v>331</v>
      </c>
      <c r="G99" s="14" t="s">
        <v>29</v>
      </c>
      <c r="H99" s="15">
        <v>244212.0</v>
      </c>
      <c r="I99" s="14" t="s">
        <v>50</v>
      </c>
      <c r="J99" s="16" t="s">
        <v>19</v>
      </c>
      <c r="K99" s="17" t="s">
        <v>20</v>
      </c>
      <c r="L99" s="8" t="s">
        <v>21</v>
      </c>
      <c r="M99" s="8" t="s">
        <v>21</v>
      </c>
      <c r="N99" s="18">
        <f t="shared" si="1"/>
        <v>244213</v>
      </c>
      <c r="O99" s="29"/>
      <c r="P99" s="29"/>
      <c r="Q99" s="29"/>
      <c r="R99" s="29"/>
      <c r="S99" s="29"/>
      <c r="T99" s="29"/>
      <c r="U99" s="29"/>
      <c r="V99" s="29"/>
    </row>
    <row r="100" outlineLevel="1">
      <c r="A100" s="8">
        <v>96.0</v>
      </c>
      <c r="B100" s="9" t="s">
        <v>332</v>
      </c>
      <c r="C100" s="25" t="s">
        <v>333</v>
      </c>
      <c r="D100" s="26" t="s">
        <v>15</v>
      </c>
      <c r="E100" s="12" t="s">
        <v>15</v>
      </c>
      <c r="F100" s="27" t="s">
        <v>334</v>
      </c>
      <c r="G100" s="14" t="s">
        <v>17</v>
      </c>
      <c r="H100" s="15">
        <v>244212.0</v>
      </c>
      <c r="I100" s="14" t="s">
        <v>335</v>
      </c>
      <c r="J100" s="16" t="s">
        <v>19</v>
      </c>
      <c r="K100" s="17" t="s">
        <v>20</v>
      </c>
      <c r="L100" s="8" t="s">
        <v>21</v>
      </c>
      <c r="M100" s="8" t="s">
        <v>21</v>
      </c>
      <c r="N100" s="18">
        <f t="shared" si="1"/>
        <v>244213</v>
      </c>
      <c r="O100" s="29"/>
      <c r="P100" s="29"/>
      <c r="Q100" s="29"/>
      <c r="R100" s="29"/>
      <c r="S100" s="29"/>
      <c r="T100" s="29"/>
      <c r="U100" s="29"/>
      <c r="V100" s="29"/>
    </row>
    <row r="101" outlineLevel="1">
      <c r="A101" s="8">
        <v>97.0</v>
      </c>
      <c r="B101" s="9" t="s">
        <v>336</v>
      </c>
      <c r="C101" s="25" t="s">
        <v>337</v>
      </c>
      <c r="D101" s="26" t="s">
        <v>15</v>
      </c>
      <c r="E101" s="12" t="s">
        <v>15</v>
      </c>
      <c r="F101" s="27" t="s">
        <v>338</v>
      </c>
      <c r="G101" s="14" t="s">
        <v>17</v>
      </c>
      <c r="H101" s="15">
        <v>244212.0</v>
      </c>
      <c r="I101" s="14" t="s">
        <v>46</v>
      </c>
      <c r="J101" s="16" t="s">
        <v>19</v>
      </c>
      <c r="K101" s="17" t="s">
        <v>20</v>
      </c>
      <c r="L101" s="8" t="s">
        <v>21</v>
      </c>
      <c r="M101" s="8" t="s">
        <v>21</v>
      </c>
      <c r="N101" s="18">
        <f t="shared" si="1"/>
        <v>244213</v>
      </c>
      <c r="O101" s="29"/>
      <c r="P101" s="29"/>
      <c r="Q101" s="29"/>
      <c r="R101" s="29"/>
      <c r="S101" s="29"/>
      <c r="T101" s="29"/>
      <c r="U101" s="29"/>
      <c r="V101" s="29"/>
    </row>
    <row r="102" outlineLevel="1">
      <c r="A102" s="8">
        <v>98.0</v>
      </c>
      <c r="B102" s="9" t="s">
        <v>339</v>
      </c>
      <c r="C102" s="25" t="s">
        <v>340</v>
      </c>
      <c r="D102" s="26" t="s">
        <v>15</v>
      </c>
      <c r="E102" s="12"/>
      <c r="F102" s="27" t="s">
        <v>341</v>
      </c>
      <c r="G102" s="14" t="s">
        <v>17</v>
      </c>
      <c r="H102" s="15">
        <v>244212.0</v>
      </c>
      <c r="I102" s="14" t="s">
        <v>18</v>
      </c>
      <c r="J102" s="16" t="s">
        <v>19</v>
      </c>
      <c r="K102" s="17" t="s">
        <v>20</v>
      </c>
      <c r="L102" s="8" t="s">
        <v>21</v>
      </c>
      <c r="M102" s="8" t="s">
        <v>21</v>
      </c>
      <c r="N102" s="18">
        <f t="shared" si="1"/>
        <v>244213</v>
      </c>
      <c r="O102" s="29"/>
      <c r="P102" s="29"/>
      <c r="Q102" s="29"/>
      <c r="R102" s="29"/>
      <c r="S102" s="29"/>
      <c r="T102" s="29"/>
      <c r="U102" s="29"/>
      <c r="V102" s="29"/>
    </row>
    <row r="103" outlineLevel="1">
      <c r="A103" s="8">
        <v>111.0</v>
      </c>
      <c r="B103" s="9" t="s">
        <v>342</v>
      </c>
      <c r="C103" s="25" t="s">
        <v>343</v>
      </c>
      <c r="D103" s="26" t="s">
        <v>15</v>
      </c>
      <c r="E103" s="12">
        <v>1.419900226874E12</v>
      </c>
      <c r="F103" s="27" t="s">
        <v>344</v>
      </c>
      <c r="G103" s="14" t="s">
        <v>29</v>
      </c>
      <c r="H103" s="15">
        <v>244212.0</v>
      </c>
      <c r="I103" s="14" t="s">
        <v>111</v>
      </c>
      <c r="J103" s="16" t="s">
        <v>19</v>
      </c>
      <c r="K103" s="17" t="s">
        <v>20</v>
      </c>
      <c r="L103" s="8" t="s">
        <v>21</v>
      </c>
      <c r="M103" s="8" t="s">
        <v>21</v>
      </c>
      <c r="N103" s="18">
        <f t="shared" si="1"/>
        <v>244213</v>
      </c>
      <c r="O103" s="29"/>
      <c r="P103" s="29"/>
      <c r="Q103" s="29"/>
      <c r="R103" s="29"/>
      <c r="S103" s="29"/>
      <c r="T103" s="29"/>
      <c r="U103" s="29"/>
      <c r="V103" s="29"/>
    </row>
    <row r="104" outlineLevel="1">
      <c r="A104" s="8">
        <v>112.0</v>
      </c>
      <c r="B104" s="9" t="s">
        <v>345</v>
      </c>
      <c r="C104" s="25" t="s">
        <v>346</v>
      </c>
      <c r="D104" s="26" t="s">
        <v>15</v>
      </c>
      <c r="E104" s="12" t="s">
        <v>15</v>
      </c>
      <c r="F104" s="27" t="s">
        <v>347</v>
      </c>
      <c r="G104" s="14" t="s">
        <v>17</v>
      </c>
      <c r="H104" s="15">
        <v>244212.0</v>
      </c>
      <c r="I104" s="14" t="s">
        <v>64</v>
      </c>
      <c r="J104" s="16" t="s">
        <v>19</v>
      </c>
      <c r="K104" s="17" t="s">
        <v>20</v>
      </c>
      <c r="L104" s="8" t="s">
        <v>21</v>
      </c>
      <c r="M104" s="8" t="s">
        <v>21</v>
      </c>
      <c r="N104" s="18">
        <f t="shared" si="1"/>
        <v>244213</v>
      </c>
      <c r="O104" s="29"/>
      <c r="P104" s="29"/>
      <c r="Q104" s="29"/>
      <c r="R104" s="29"/>
      <c r="S104" s="29"/>
      <c r="T104" s="29"/>
      <c r="U104" s="29"/>
      <c r="V104" s="29"/>
    </row>
    <row r="105" outlineLevel="1">
      <c r="A105" s="8">
        <v>113.0</v>
      </c>
      <c r="B105" s="9" t="s">
        <v>348</v>
      </c>
      <c r="C105" s="25" t="s">
        <v>349</v>
      </c>
      <c r="D105" s="26" t="s">
        <v>15</v>
      </c>
      <c r="E105" s="12" t="s">
        <v>15</v>
      </c>
      <c r="F105" s="27" t="s">
        <v>143</v>
      </c>
      <c r="G105" s="14" t="s">
        <v>17</v>
      </c>
      <c r="H105" s="15">
        <v>244212.0</v>
      </c>
      <c r="I105" s="14" t="s">
        <v>232</v>
      </c>
      <c r="J105" s="16" t="s">
        <v>19</v>
      </c>
      <c r="K105" s="17" t="s">
        <v>20</v>
      </c>
      <c r="L105" s="8" t="s">
        <v>21</v>
      </c>
      <c r="M105" s="8" t="s">
        <v>21</v>
      </c>
      <c r="N105" s="18">
        <f t="shared" si="1"/>
        <v>244213</v>
      </c>
      <c r="O105" s="29"/>
      <c r="P105" s="29"/>
      <c r="Q105" s="29"/>
      <c r="R105" s="29"/>
      <c r="S105" s="29"/>
      <c r="T105" s="29"/>
      <c r="U105" s="29"/>
      <c r="V105" s="29"/>
    </row>
    <row r="106" outlineLevel="1">
      <c r="A106" s="8">
        <v>114.0</v>
      </c>
      <c r="B106" s="9" t="s">
        <v>350</v>
      </c>
      <c r="C106" s="25" t="s">
        <v>351</v>
      </c>
      <c r="D106" s="26" t="s">
        <v>15</v>
      </c>
      <c r="E106" s="12" t="s">
        <v>15</v>
      </c>
      <c r="F106" s="27" t="s">
        <v>352</v>
      </c>
      <c r="G106" s="14" t="s">
        <v>29</v>
      </c>
      <c r="H106" s="15">
        <v>244212.0</v>
      </c>
      <c r="I106" s="14" t="s">
        <v>18</v>
      </c>
      <c r="J106" s="16" t="s">
        <v>19</v>
      </c>
      <c r="K106" s="17" t="s">
        <v>20</v>
      </c>
      <c r="L106" s="8" t="s">
        <v>21</v>
      </c>
      <c r="M106" s="8" t="s">
        <v>21</v>
      </c>
      <c r="N106" s="18">
        <f t="shared" si="1"/>
        <v>244213</v>
      </c>
      <c r="O106" s="29"/>
      <c r="P106" s="29"/>
      <c r="Q106" s="29"/>
      <c r="R106" s="29"/>
      <c r="S106" s="29"/>
      <c r="T106" s="29"/>
      <c r="U106" s="29"/>
      <c r="V106" s="29"/>
    </row>
    <row r="107" outlineLevel="1">
      <c r="A107" s="8">
        <v>115.0</v>
      </c>
      <c r="B107" s="9" t="s">
        <v>353</v>
      </c>
      <c r="C107" s="25" t="s">
        <v>354</v>
      </c>
      <c r="D107" s="26" t="s">
        <v>15</v>
      </c>
      <c r="E107" s="12" t="s">
        <v>15</v>
      </c>
      <c r="F107" s="27" t="s">
        <v>355</v>
      </c>
      <c r="G107" s="14" t="s">
        <v>29</v>
      </c>
      <c r="H107" s="15">
        <v>244212.0</v>
      </c>
      <c r="I107" s="14" t="s">
        <v>42</v>
      </c>
      <c r="J107" s="16" t="s">
        <v>19</v>
      </c>
      <c r="K107" s="17" t="s">
        <v>20</v>
      </c>
      <c r="L107" s="8" t="s">
        <v>21</v>
      </c>
      <c r="M107" s="8" t="s">
        <v>21</v>
      </c>
      <c r="N107" s="18">
        <f t="shared" si="1"/>
        <v>244213</v>
      </c>
      <c r="O107" s="29"/>
      <c r="P107" s="29"/>
      <c r="Q107" s="29"/>
      <c r="R107" s="29"/>
      <c r="S107" s="29"/>
      <c r="T107" s="29"/>
      <c r="U107" s="29"/>
      <c r="V107" s="29"/>
    </row>
    <row r="108" outlineLevel="1">
      <c r="A108" s="8">
        <v>116.0</v>
      </c>
      <c r="B108" s="9" t="s">
        <v>356</v>
      </c>
      <c r="C108" s="25" t="s">
        <v>357</v>
      </c>
      <c r="D108" s="26" t="s">
        <v>15</v>
      </c>
      <c r="E108" s="12" t="s">
        <v>15</v>
      </c>
      <c r="F108" s="27" t="s">
        <v>15</v>
      </c>
      <c r="G108" s="14" t="s">
        <v>29</v>
      </c>
      <c r="H108" s="15">
        <v>244212.0</v>
      </c>
      <c r="I108" s="14" t="s">
        <v>46</v>
      </c>
      <c r="J108" s="16" t="s">
        <v>19</v>
      </c>
      <c r="K108" s="17" t="s">
        <v>20</v>
      </c>
      <c r="L108" s="8" t="s">
        <v>21</v>
      </c>
      <c r="M108" s="8" t="s">
        <v>21</v>
      </c>
      <c r="N108" s="18">
        <f t="shared" si="1"/>
        <v>244213</v>
      </c>
      <c r="O108" s="29"/>
      <c r="P108" s="29"/>
      <c r="Q108" s="29"/>
      <c r="R108" s="29"/>
      <c r="S108" s="29"/>
      <c r="T108" s="29"/>
      <c r="U108" s="29"/>
      <c r="V108" s="29"/>
    </row>
    <row r="109" outlineLevel="1">
      <c r="A109" s="8">
        <v>117.0</v>
      </c>
      <c r="B109" s="9" t="s">
        <v>358</v>
      </c>
      <c r="C109" s="25" t="s">
        <v>359</v>
      </c>
      <c r="D109" s="26" t="s">
        <v>15</v>
      </c>
      <c r="E109" s="12" t="s">
        <v>15</v>
      </c>
      <c r="F109" s="27" t="s">
        <v>250</v>
      </c>
      <c r="G109" s="14" t="s">
        <v>17</v>
      </c>
      <c r="H109" s="15">
        <v>244213.0</v>
      </c>
      <c r="I109" s="14" t="s">
        <v>50</v>
      </c>
      <c r="J109" s="16" t="s">
        <v>19</v>
      </c>
      <c r="K109" s="17" t="s">
        <v>20</v>
      </c>
      <c r="L109" s="8" t="s">
        <v>21</v>
      </c>
      <c r="M109" s="8" t="s">
        <v>21</v>
      </c>
      <c r="N109" s="18">
        <f t="shared" si="1"/>
        <v>244214</v>
      </c>
      <c r="O109" s="29"/>
      <c r="P109" s="29"/>
      <c r="Q109" s="29"/>
      <c r="R109" s="29"/>
      <c r="S109" s="29"/>
      <c r="T109" s="29"/>
      <c r="U109" s="29"/>
      <c r="V109" s="29"/>
    </row>
    <row r="110" outlineLevel="1">
      <c r="A110" s="8">
        <v>118.0</v>
      </c>
      <c r="B110" s="9" t="s">
        <v>360</v>
      </c>
      <c r="C110" s="25" t="s">
        <v>361</v>
      </c>
      <c r="D110" s="26" t="s">
        <v>15</v>
      </c>
      <c r="E110" s="12" t="s">
        <v>15</v>
      </c>
      <c r="F110" s="27"/>
      <c r="G110" s="14" t="s">
        <v>29</v>
      </c>
      <c r="H110" s="15">
        <v>244213.0</v>
      </c>
      <c r="I110" s="14" t="s">
        <v>54</v>
      </c>
      <c r="J110" s="16" t="s">
        <v>19</v>
      </c>
      <c r="K110" s="17" t="s">
        <v>20</v>
      </c>
      <c r="L110" s="8" t="s">
        <v>21</v>
      </c>
      <c r="M110" s="8" t="s">
        <v>21</v>
      </c>
      <c r="N110" s="18">
        <f t="shared" si="1"/>
        <v>244214</v>
      </c>
      <c r="O110" s="29"/>
      <c r="P110" s="29"/>
      <c r="Q110" s="29"/>
      <c r="R110" s="29"/>
      <c r="S110" s="29"/>
      <c r="T110" s="29"/>
      <c r="U110" s="29"/>
      <c r="V110" s="29"/>
    </row>
    <row r="111" outlineLevel="1">
      <c r="A111" s="8">
        <v>119.0</v>
      </c>
      <c r="B111" s="9" t="s">
        <v>362</v>
      </c>
      <c r="C111" s="25" t="s">
        <v>363</v>
      </c>
      <c r="D111" s="26" t="s">
        <v>15</v>
      </c>
      <c r="E111" s="12" t="s">
        <v>15</v>
      </c>
      <c r="F111" s="27" t="s">
        <v>364</v>
      </c>
      <c r="G111" s="14" t="s">
        <v>17</v>
      </c>
      <c r="H111" s="15">
        <v>244213.0</v>
      </c>
      <c r="I111" s="14" t="s">
        <v>30</v>
      </c>
      <c r="J111" s="16" t="s">
        <v>19</v>
      </c>
      <c r="K111" s="17" t="s">
        <v>20</v>
      </c>
      <c r="L111" s="8" t="s">
        <v>21</v>
      </c>
      <c r="M111" s="8" t="s">
        <v>21</v>
      </c>
      <c r="N111" s="18">
        <f t="shared" si="1"/>
        <v>244214</v>
      </c>
      <c r="O111" s="29"/>
      <c r="P111" s="29"/>
      <c r="Q111" s="29"/>
      <c r="R111" s="29"/>
      <c r="S111" s="29"/>
      <c r="T111" s="29"/>
      <c r="U111" s="29"/>
      <c r="V111" s="29"/>
    </row>
    <row r="112" outlineLevel="1">
      <c r="A112" s="8">
        <v>120.0</v>
      </c>
      <c r="B112" s="9" t="s">
        <v>365</v>
      </c>
      <c r="C112" s="25" t="s">
        <v>366</v>
      </c>
      <c r="D112" s="26" t="s">
        <v>15</v>
      </c>
      <c r="E112" s="12" t="s">
        <v>15</v>
      </c>
      <c r="F112" s="27"/>
      <c r="G112" s="14" t="s">
        <v>17</v>
      </c>
      <c r="H112" s="15">
        <v>244213.0</v>
      </c>
      <c r="I112" s="14" t="s">
        <v>80</v>
      </c>
      <c r="J112" s="16" t="s">
        <v>19</v>
      </c>
      <c r="K112" s="17" t="s">
        <v>20</v>
      </c>
      <c r="L112" s="8" t="s">
        <v>21</v>
      </c>
      <c r="M112" s="8" t="s">
        <v>21</v>
      </c>
      <c r="N112" s="18">
        <f t="shared" si="1"/>
        <v>244214</v>
      </c>
      <c r="O112" s="29"/>
      <c r="P112" s="29"/>
      <c r="Q112" s="29"/>
      <c r="R112" s="29"/>
      <c r="S112" s="29"/>
      <c r="T112" s="29"/>
      <c r="U112" s="29"/>
      <c r="V112" s="29"/>
    </row>
    <row r="113" outlineLevel="1">
      <c r="A113" s="8">
        <v>121.0</v>
      </c>
      <c r="B113" s="9" t="s">
        <v>367</v>
      </c>
      <c r="C113" s="25" t="s">
        <v>368</v>
      </c>
      <c r="D113" s="26" t="s">
        <v>15</v>
      </c>
      <c r="E113" s="12" t="s">
        <v>15</v>
      </c>
      <c r="F113" s="27" t="s">
        <v>369</v>
      </c>
      <c r="G113" s="14" t="s">
        <v>17</v>
      </c>
      <c r="H113" s="15">
        <v>244213.0</v>
      </c>
      <c r="I113" s="14" t="s">
        <v>38</v>
      </c>
      <c r="J113" s="16" t="s">
        <v>19</v>
      </c>
      <c r="K113" s="17" t="s">
        <v>20</v>
      </c>
      <c r="L113" s="8" t="s">
        <v>21</v>
      </c>
      <c r="M113" s="8" t="s">
        <v>21</v>
      </c>
      <c r="N113" s="18">
        <f t="shared" si="1"/>
        <v>244214</v>
      </c>
      <c r="O113" s="29"/>
      <c r="P113" s="29"/>
      <c r="Q113" s="29"/>
      <c r="R113" s="29"/>
      <c r="S113" s="29"/>
      <c r="T113" s="29"/>
      <c r="U113" s="29"/>
      <c r="V113" s="29"/>
    </row>
    <row r="114" outlineLevel="1">
      <c r="A114" s="8">
        <v>122.0</v>
      </c>
      <c r="B114" s="9" t="s">
        <v>370</v>
      </c>
      <c r="C114" s="25" t="s">
        <v>371</v>
      </c>
      <c r="D114" s="26" t="s">
        <v>15</v>
      </c>
      <c r="E114" s="12" t="s">
        <v>15</v>
      </c>
      <c r="F114" s="27" t="s">
        <v>372</v>
      </c>
      <c r="G114" s="14" t="s">
        <v>29</v>
      </c>
      <c r="H114" s="15">
        <v>244213.0</v>
      </c>
      <c r="I114" s="14" t="s">
        <v>42</v>
      </c>
      <c r="J114" s="16" t="s">
        <v>19</v>
      </c>
      <c r="K114" s="17" t="s">
        <v>20</v>
      </c>
      <c r="L114" s="8" t="s">
        <v>21</v>
      </c>
      <c r="M114" s="8" t="s">
        <v>21</v>
      </c>
      <c r="N114" s="18">
        <f t="shared" si="1"/>
        <v>244214</v>
      </c>
      <c r="O114" s="29"/>
      <c r="P114" s="29"/>
      <c r="Q114" s="29"/>
      <c r="R114" s="29"/>
      <c r="S114" s="29"/>
      <c r="T114" s="29"/>
      <c r="U114" s="29"/>
      <c r="V114" s="29"/>
    </row>
    <row r="115" outlineLevel="1">
      <c r="A115" s="8">
        <v>123.0</v>
      </c>
      <c r="B115" s="9" t="s">
        <v>373</v>
      </c>
      <c r="C115" s="25" t="s">
        <v>374</v>
      </c>
      <c r="D115" s="26" t="s">
        <v>15</v>
      </c>
      <c r="E115" s="12" t="s">
        <v>15</v>
      </c>
      <c r="F115" s="27" t="s">
        <v>375</v>
      </c>
      <c r="G115" s="14" t="s">
        <v>17</v>
      </c>
      <c r="H115" s="15">
        <v>244213.0</v>
      </c>
      <c r="I115" s="14" t="s">
        <v>64</v>
      </c>
      <c r="J115" s="16" t="s">
        <v>19</v>
      </c>
      <c r="K115" s="17" t="s">
        <v>20</v>
      </c>
      <c r="L115" s="8" t="s">
        <v>21</v>
      </c>
      <c r="M115" s="8" t="s">
        <v>21</v>
      </c>
      <c r="N115" s="18">
        <f t="shared" si="1"/>
        <v>244214</v>
      </c>
      <c r="O115" s="29"/>
      <c r="P115" s="29"/>
      <c r="Q115" s="29"/>
      <c r="R115" s="29"/>
      <c r="S115" s="29"/>
      <c r="T115" s="29"/>
      <c r="U115" s="29"/>
      <c r="V115" s="29"/>
    </row>
    <row r="116" outlineLevel="1">
      <c r="A116" s="8">
        <v>124.0</v>
      </c>
      <c r="B116" s="9" t="s">
        <v>376</v>
      </c>
      <c r="C116" s="25" t="s">
        <v>377</v>
      </c>
      <c r="D116" s="26" t="s">
        <v>15</v>
      </c>
      <c r="E116" s="12" t="s">
        <v>15</v>
      </c>
      <c r="F116" s="27" t="s">
        <v>378</v>
      </c>
      <c r="G116" s="14" t="s">
        <v>17</v>
      </c>
      <c r="H116" s="15">
        <v>244213.0</v>
      </c>
      <c r="I116" s="14" t="s">
        <v>232</v>
      </c>
      <c r="J116" s="16" t="s">
        <v>19</v>
      </c>
      <c r="K116" s="17" t="s">
        <v>20</v>
      </c>
      <c r="L116" s="8" t="s">
        <v>21</v>
      </c>
      <c r="M116" s="8" t="s">
        <v>21</v>
      </c>
      <c r="N116" s="18">
        <f t="shared" si="1"/>
        <v>244214</v>
      </c>
      <c r="O116" s="29"/>
      <c r="P116" s="29"/>
      <c r="Q116" s="29"/>
      <c r="R116" s="29"/>
      <c r="S116" s="29"/>
      <c r="T116" s="29"/>
      <c r="U116" s="29"/>
      <c r="V116" s="29"/>
    </row>
    <row r="117" outlineLevel="1">
      <c r="A117" s="8">
        <v>125.0</v>
      </c>
      <c r="B117" s="9" t="s">
        <v>379</v>
      </c>
      <c r="C117" s="25" t="s">
        <v>380</v>
      </c>
      <c r="D117" s="26" t="s">
        <v>15</v>
      </c>
      <c r="E117" s="12" t="s">
        <v>15</v>
      </c>
      <c r="F117" s="27" t="s">
        <v>381</v>
      </c>
      <c r="G117" s="14" t="s">
        <v>29</v>
      </c>
      <c r="H117" s="15">
        <v>244213.0</v>
      </c>
      <c r="I117" s="14" t="s">
        <v>18</v>
      </c>
      <c r="J117" s="16" t="s">
        <v>19</v>
      </c>
      <c r="K117" s="17" t="s">
        <v>20</v>
      </c>
      <c r="L117" s="8" t="s">
        <v>21</v>
      </c>
      <c r="M117" s="8" t="s">
        <v>21</v>
      </c>
      <c r="N117" s="18">
        <f t="shared" si="1"/>
        <v>244214</v>
      </c>
      <c r="O117" s="29"/>
      <c r="P117" s="29"/>
      <c r="Q117" s="29"/>
      <c r="R117" s="29"/>
      <c r="S117" s="29"/>
      <c r="T117" s="29"/>
      <c r="U117" s="29"/>
      <c r="V117" s="29"/>
    </row>
    <row r="118" outlineLevel="1">
      <c r="A118" s="8">
        <v>126.0</v>
      </c>
      <c r="B118" s="9" t="s">
        <v>382</v>
      </c>
      <c r="C118" s="25" t="s">
        <v>383</v>
      </c>
      <c r="D118" s="26" t="s">
        <v>15</v>
      </c>
      <c r="E118" s="12" t="s">
        <v>15</v>
      </c>
      <c r="F118" s="27" t="s">
        <v>384</v>
      </c>
      <c r="G118" s="14" t="s">
        <v>29</v>
      </c>
      <c r="H118" s="15">
        <v>244214.0</v>
      </c>
      <c r="I118" s="14" t="s">
        <v>50</v>
      </c>
      <c r="J118" s="16" t="s">
        <v>19</v>
      </c>
      <c r="K118" s="17" t="s">
        <v>20</v>
      </c>
      <c r="L118" s="8" t="s">
        <v>21</v>
      </c>
      <c r="M118" s="8" t="s">
        <v>21</v>
      </c>
      <c r="N118" s="18">
        <f t="shared" si="1"/>
        <v>244215</v>
      </c>
      <c r="O118" s="29"/>
      <c r="P118" s="29"/>
      <c r="Q118" s="29"/>
      <c r="R118" s="29"/>
      <c r="S118" s="29"/>
      <c r="T118" s="29"/>
      <c r="U118" s="29"/>
      <c r="V118" s="29"/>
    </row>
    <row r="119" outlineLevel="1">
      <c r="A119" s="8">
        <v>127.0</v>
      </c>
      <c r="B119" s="9" t="s">
        <v>385</v>
      </c>
      <c r="C119" s="25" t="s">
        <v>386</v>
      </c>
      <c r="D119" s="26" t="s">
        <v>15</v>
      </c>
      <c r="E119" s="12" t="s">
        <v>15</v>
      </c>
      <c r="F119" s="27" t="s">
        <v>387</v>
      </c>
      <c r="G119" s="14" t="s">
        <v>29</v>
      </c>
      <c r="H119" s="15">
        <v>244214.0</v>
      </c>
      <c r="I119" s="14" t="s">
        <v>30</v>
      </c>
      <c r="J119" s="16" t="s">
        <v>19</v>
      </c>
      <c r="K119" s="17" t="s">
        <v>20</v>
      </c>
      <c r="L119" s="8" t="s">
        <v>21</v>
      </c>
      <c r="M119" s="8" t="s">
        <v>21</v>
      </c>
      <c r="N119" s="18">
        <f t="shared" si="1"/>
        <v>244215</v>
      </c>
      <c r="O119" s="29"/>
      <c r="P119" s="29"/>
      <c r="Q119" s="29"/>
      <c r="R119" s="29"/>
      <c r="S119" s="29"/>
      <c r="T119" s="29"/>
      <c r="U119" s="29"/>
      <c r="V119" s="29"/>
    </row>
    <row r="120" outlineLevel="1">
      <c r="A120" s="8">
        <v>128.0</v>
      </c>
      <c r="B120" s="9" t="s">
        <v>388</v>
      </c>
      <c r="C120" s="25" t="s">
        <v>389</v>
      </c>
      <c r="D120" s="26" t="s">
        <v>15</v>
      </c>
      <c r="E120" s="12">
        <v>1.539900814294E12</v>
      </c>
      <c r="F120" s="27" t="s">
        <v>390</v>
      </c>
      <c r="G120" s="14" t="s">
        <v>17</v>
      </c>
      <c r="H120" s="15">
        <v>244214.0</v>
      </c>
      <c r="I120" s="14" t="s">
        <v>88</v>
      </c>
      <c r="J120" s="16" t="s">
        <v>19</v>
      </c>
      <c r="K120" s="17" t="s">
        <v>20</v>
      </c>
      <c r="L120" s="8" t="s">
        <v>21</v>
      </c>
      <c r="M120" s="8" t="s">
        <v>21</v>
      </c>
      <c r="N120" s="18">
        <f t="shared" si="1"/>
        <v>244215</v>
      </c>
      <c r="O120" s="29"/>
      <c r="P120" s="29"/>
      <c r="Q120" s="29"/>
      <c r="R120" s="29"/>
      <c r="S120" s="29"/>
      <c r="T120" s="29"/>
      <c r="U120" s="29"/>
      <c r="V120" s="29"/>
    </row>
    <row r="121" outlineLevel="1">
      <c r="A121" s="8">
        <v>130.0</v>
      </c>
      <c r="B121" s="9" t="s">
        <v>391</v>
      </c>
      <c r="C121" s="25" t="s">
        <v>392</v>
      </c>
      <c r="D121" s="26" t="s">
        <v>15</v>
      </c>
      <c r="E121" s="12" t="s">
        <v>15</v>
      </c>
      <c r="F121" s="27" t="s">
        <v>393</v>
      </c>
      <c r="G121" s="14" t="s">
        <v>29</v>
      </c>
      <c r="H121" s="15">
        <v>244214.0</v>
      </c>
      <c r="I121" s="14" t="s">
        <v>54</v>
      </c>
      <c r="J121" s="16" t="s">
        <v>19</v>
      </c>
      <c r="K121" s="17" t="s">
        <v>20</v>
      </c>
      <c r="L121" s="8" t="s">
        <v>21</v>
      </c>
      <c r="M121" s="8" t="s">
        <v>21</v>
      </c>
      <c r="N121" s="18">
        <f t="shared" si="1"/>
        <v>244215</v>
      </c>
      <c r="O121" s="29"/>
      <c r="P121" s="29"/>
      <c r="Q121" s="29"/>
      <c r="R121" s="29"/>
      <c r="S121" s="29"/>
      <c r="T121" s="29"/>
      <c r="U121" s="29"/>
      <c r="V121" s="29"/>
    </row>
    <row r="122" outlineLevel="1">
      <c r="A122" s="8">
        <v>131.0</v>
      </c>
      <c r="B122" s="9" t="s">
        <v>394</v>
      </c>
      <c r="C122" s="25" t="s">
        <v>395</v>
      </c>
      <c r="D122" s="26" t="s">
        <v>15</v>
      </c>
      <c r="E122" s="12" t="s">
        <v>15</v>
      </c>
      <c r="F122" s="27" t="s">
        <v>396</v>
      </c>
      <c r="G122" s="14" t="s">
        <v>17</v>
      </c>
      <c r="H122" s="15">
        <v>244214.0</v>
      </c>
      <c r="I122" s="14" t="s">
        <v>95</v>
      </c>
      <c r="J122" s="16" t="s">
        <v>19</v>
      </c>
      <c r="K122" s="17" t="s">
        <v>20</v>
      </c>
      <c r="L122" s="8" t="s">
        <v>21</v>
      </c>
      <c r="M122" s="8" t="s">
        <v>21</v>
      </c>
      <c r="N122" s="18">
        <f t="shared" si="1"/>
        <v>244215</v>
      </c>
      <c r="O122" s="29"/>
      <c r="P122" s="29"/>
      <c r="Q122" s="29"/>
      <c r="R122" s="29"/>
      <c r="S122" s="29"/>
      <c r="T122" s="29"/>
      <c r="U122" s="29"/>
      <c r="V122" s="29"/>
    </row>
    <row r="123" outlineLevel="1">
      <c r="A123" s="8">
        <v>132.0</v>
      </c>
      <c r="B123" s="9" t="s">
        <v>397</v>
      </c>
      <c r="C123" s="25" t="s">
        <v>398</v>
      </c>
      <c r="D123" s="26" t="s">
        <v>15</v>
      </c>
      <c r="E123" s="12" t="s">
        <v>15</v>
      </c>
      <c r="F123" s="27" t="s">
        <v>15</v>
      </c>
      <c r="G123" s="14" t="s">
        <v>17</v>
      </c>
      <c r="H123" s="15">
        <v>244214.0</v>
      </c>
      <c r="I123" s="14" t="s">
        <v>34</v>
      </c>
      <c r="J123" s="16" t="s">
        <v>19</v>
      </c>
      <c r="K123" s="17" t="s">
        <v>20</v>
      </c>
      <c r="L123" s="8" t="s">
        <v>21</v>
      </c>
      <c r="M123" s="8" t="s">
        <v>21</v>
      </c>
      <c r="N123" s="18">
        <f t="shared" si="1"/>
        <v>244215</v>
      </c>
      <c r="O123" s="29"/>
      <c r="P123" s="29"/>
      <c r="Q123" s="29"/>
      <c r="R123" s="29"/>
      <c r="S123" s="29"/>
      <c r="T123" s="29"/>
      <c r="U123" s="29"/>
      <c r="V123" s="29"/>
    </row>
    <row r="124" outlineLevel="1">
      <c r="A124" s="8">
        <v>133.0</v>
      </c>
      <c r="B124" s="9" t="s">
        <v>399</v>
      </c>
      <c r="C124" s="25" t="s">
        <v>400</v>
      </c>
      <c r="D124" s="26" t="s">
        <v>15</v>
      </c>
      <c r="E124" s="12" t="s">
        <v>15</v>
      </c>
      <c r="F124" s="27" t="s">
        <v>401</v>
      </c>
      <c r="G124" s="14" t="s">
        <v>17</v>
      </c>
      <c r="H124" s="15">
        <v>244214.0</v>
      </c>
      <c r="I124" s="14" t="s">
        <v>101</v>
      </c>
      <c r="J124" s="16" t="s">
        <v>19</v>
      </c>
      <c r="K124" s="17" t="s">
        <v>20</v>
      </c>
      <c r="L124" s="8" t="s">
        <v>21</v>
      </c>
      <c r="M124" s="8" t="s">
        <v>21</v>
      </c>
      <c r="N124" s="18">
        <f t="shared" si="1"/>
        <v>244215</v>
      </c>
      <c r="O124" s="29"/>
      <c r="P124" s="29"/>
      <c r="Q124" s="29"/>
      <c r="R124" s="29"/>
      <c r="S124" s="29"/>
      <c r="T124" s="29"/>
      <c r="U124" s="29"/>
      <c r="V124" s="29"/>
    </row>
    <row r="125" outlineLevel="1">
      <c r="A125" s="8">
        <v>134.0</v>
      </c>
      <c r="B125" s="9" t="s">
        <v>402</v>
      </c>
      <c r="C125" s="25" t="s">
        <v>403</v>
      </c>
      <c r="D125" s="26" t="s">
        <v>15</v>
      </c>
      <c r="E125" s="12" t="s">
        <v>15</v>
      </c>
      <c r="F125" s="27" t="s">
        <v>404</v>
      </c>
      <c r="G125" s="14" t="s">
        <v>29</v>
      </c>
      <c r="H125" s="15">
        <v>244215.0</v>
      </c>
      <c r="I125" s="14" t="s">
        <v>30</v>
      </c>
      <c r="J125" s="16" t="s">
        <v>19</v>
      </c>
      <c r="K125" s="17" t="s">
        <v>20</v>
      </c>
      <c r="L125" s="8" t="s">
        <v>21</v>
      </c>
      <c r="M125" s="8" t="s">
        <v>21</v>
      </c>
      <c r="N125" s="18">
        <f t="shared" si="1"/>
        <v>244216</v>
      </c>
      <c r="O125" s="29"/>
      <c r="P125" s="29"/>
      <c r="Q125" s="29"/>
      <c r="R125" s="29"/>
      <c r="S125" s="29"/>
      <c r="T125" s="29"/>
      <c r="U125" s="29"/>
      <c r="V125" s="29"/>
    </row>
    <row r="126" outlineLevel="1">
      <c r="A126" s="8">
        <v>135.0</v>
      </c>
      <c r="B126" s="9" t="s">
        <v>405</v>
      </c>
      <c r="C126" s="25" t="s">
        <v>406</v>
      </c>
      <c r="D126" s="26" t="s">
        <v>15</v>
      </c>
      <c r="E126" s="12" t="s">
        <v>15</v>
      </c>
      <c r="F126" s="27" t="s">
        <v>407</v>
      </c>
      <c r="G126" s="14" t="s">
        <v>17</v>
      </c>
      <c r="H126" s="15">
        <v>244215.0</v>
      </c>
      <c r="I126" s="14" t="s">
        <v>38</v>
      </c>
      <c r="J126" s="16" t="s">
        <v>19</v>
      </c>
      <c r="K126" s="17" t="s">
        <v>20</v>
      </c>
      <c r="L126" s="8" t="s">
        <v>21</v>
      </c>
      <c r="M126" s="8" t="s">
        <v>21</v>
      </c>
      <c r="N126" s="18">
        <f t="shared" si="1"/>
        <v>244216</v>
      </c>
      <c r="O126" s="29"/>
      <c r="P126" s="29"/>
      <c r="Q126" s="29"/>
      <c r="R126" s="29"/>
      <c r="S126" s="29"/>
      <c r="T126" s="29"/>
      <c r="U126" s="29"/>
      <c r="V126" s="29"/>
    </row>
    <row r="127" outlineLevel="1">
      <c r="A127" s="8">
        <v>136.0</v>
      </c>
      <c r="B127" s="9" t="s">
        <v>408</v>
      </c>
      <c r="C127" s="25" t="s">
        <v>409</v>
      </c>
      <c r="D127" s="26" t="s">
        <v>15</v>
      </c>
      <c r="E127" s="12" t="s">
        <v>15</v>
      </c>
      <c r="F127" s="27" t="s">
        <v>410</v>
      </c>
      <c r="G127" s="14" t="s">
        <v>17</v>
      </c>
      <c r="H127" s="15">
        <v>244215.0</v>
      </c>
      <c r="I127" s="14" t="s">
        <v>111</v>
      </c>
      <c r="J127" s="16" t="s">
        <v>19</v>
      </c>
      <c r="K127" s="17" t="s">
        <v>20</v>
      </c>
      <c r="L127" s="8" t="s">
        <v>21</v>
      </c>
      <c r="M127" s="8" t="s">
        <v>21</v>
      </c>
      <c r="N127" s="18">
        <f t="shared" si="1"/>
        <v>244216</v>
      </c>
      <c r="O127" s="29"/>
      <c r="P127" s="29"/>
      <c r="Q127" s="29"/>
      <c r="R127" s="29"/>
      <c r="S127" s="29"/>
      <c r="T127" s="29"/>
      <c r="U127" s="29"/>
      <c r="V127" s="29"/>
    </row>
    <row r="128" outlineLevel="1">
      <c r="A128" s="8">
        <v>137.0</v>
      </c>
      <c r="B128" s="9" t="s">
        <v>411</v>
      </c>
      <c r="C128" s="25" t="s">
        <v>412</v>
      </c>
      <c r="D128" s="26" t="s">
        <v>15</v>
      </c>
      <c r="E128" s="12" t="s">
        <v>15</v>
      </c>
      <c r="F128" s="27" t="s">
        <v>413</v>
      </c>
      <c r="G128" s="14" t="s">
        <v>29</v>
      </c>
      <c r="H128" s="15">
        <v>244215.0</v>
      </c>
      <c r="I128" s="14" t="s">
        <v>50</v>
      </c>
      <c r="J128" s="16" t="s">
        <v>19</v>
      </c>
      <c r="K128" s="17" t="s">
        <v>20</v>
      </c>
      <c r="L128" s="8" t="s">
        <v>21</v>
      </c>
      <c r="M128" s="8" t="s">
        <v>21</v>
      </c>
      <c r="N128" s="18">
        <f t="shared" si="1"/>
        <v>244216</v>
      </c>
      <c r="O128" s="29"/>
      <c r="P128" s="29"/>
      <c r="Q128" s="29"/>
      <c r="R128" s="29"/>
      <c r="S128" s="29"/>
      <c r="T128" s="29"/>
      <c r="U128" s="29"/>
      <c r="V128" s="29"/>
    </row>
    <row r="129" outlineLevel="1">
      <c r="A129" s="8">
        <v>138.0</v>
      </c>
      <c r="B129" s="9" t="s">
        <v>414</v>
      </c>
      <c r="C129" s="25" t="s">
        <v>415</v>
      </c>
      <c r="D129" s="26" t="s">
        <v>15</v>
      </c>
      <c r="E129" s="12" t="s">
        <v>15</v>
      </c>
      <c r="F129" s="27" t="s">
        <v>416</v>
      </c>
      <c r="G129" s="14" t="s">
        <v>29</v>
      </c>
      <c r="H129" s="15">
        <v>244215.0</v>
      </c>
      <c r="I129" s="14" t="s">
        <v>50</v>
      </c>
      <c r="J129" s="16" t="s">
        <v>19</v>
      </c>
      <c r="K129" s="17" t="s">
        <v>20</v>
      </c>
      <c r="L129" s="8" t="s">
        <v>21</v>
      </c>
      <c r="M129" s="8" t="s">
        <v>21</v>
      </c>
      <c r="N129" s="18">
        <f t="shared" si="1"/>
        <v>244216</v>
      </c>
      <c r="O129" s="29"/>
      <c r="P129" s="29"/>
      <c r="Q129" s="29"/>
      <c r="R129" s="29"/>
      <c r="S129" s="29"/>
      <c r="T129" s="29"/>
      <c r="U129" s="29"/>
      <c r="V129" s="29"/>
    </row>
    <row r="130" outlineLevel="1">
      <c r="A130" s="8">
        <v>139.0</v>
      </c>
      <c r="B130" s="9" t="s">
        <v>417</v>
      </c>
      <c r="C130" s="25" t="s">
        <v>418</v>
      </c>
      <c r="D130" s="26" t="s">
        <v>15</v>
      </c>
      <c r="E130" s="12" t="s">
        <v>15</v>
      </c>
      <c r="F130" s="27" t="s">
        <v>70</v>
      </c>
      <c r="G130" s="14" t="s">
        <v>29</v>
      </c>
      <c r="H130" s="15">
        <v>244215.0</v>
      </c>
      <c r="I130" s="14" t="s">
        <v>54</v>
      </c>
      <c r="J130" s="16" t="s">
        <v>19</v>
      </c>
      <c r="K130" s="17" t="s">
        <v>20</v>
      </c>
      <c r="L130" s="8" t="s">
        <v>21</v>
      </c>
      <c r="M130" s="8" t="s">
        <v>21</v>
      </c>
      <c r="N130" s="18">
        <f t="shared" si="1"/>
        <v>244216</v>
      </c>
      <c r="O130" s="29"/>
      <c r="P130" s="29"/>
      <c r="Q130" s="29"/>
      <c r="R130" s="29"/>
      <c r="S130" s="29"/>
      <c r="T130" s="29"/>
      <c r="U130" s="29"/>
      <c r="V130" s="29"/>
    </row>
    <row r="131" outlineLevel="1">
      <c r="A131" s="8">
        <v>140.0</v>
      </c>
      <c r="B131" s="9" t="s">
        <v>419</v>
      </c>
      <c r="C131" s="25" t="s">
        <v>420</v>
      </c>
      <c r="D131" s="26" t="s">
        <v>15</v>
      </c>
      <c r="E131" s="12" t="s">
        <v>15</v>
      </c>
      <c r="F131" s="27" t="s">
        <v>421</v>
      </c>
      <c r="G131" s="14" t="s">
        <v>17</v>
      </c>
      <c r="H131" s="15">
        <v>244215.0</v>
      </c>
      <c r="I131" s="14" t="s">
        <v>124</v>
      </c>
      <c r="J131" s="16" t="s">
        <v>19</v>
      </c>
      <c r="K131" s="17" t="s">
        <v>20</v>
      </c>
      <c r="L131" s="8" t="s">
        <v>21</v>
      </c>
      <c r="M131" s="8" t="s">
        <v>21</v>
      </c>
      <c r="N131" s="18">
        <f t="shared" si="1"/>
        <v>244216</v>
      </c>
      <c r="O131" s="29"/>
      <c r="P131" s="29"/>
      <c r="Q131" s="29"/>
      <c r="R131" s="29"/>
      <c r="S131" s="29"/>
      <c r="T131" s="29"/>
      <c r="U131" s="29"/>
      <c r="V131" s="29"/>
    </row>
    <row r="132" outlineLevel="1">
      <c r="A132" s="8">
        <v>141.0</v>
      </c>
      <c r="B132" s="9" t="s">
        <v>422</v>
      </c>
      <c r="C132" s="25" t="s">
        <v>423</v>
      </c>
      <c r="D132" s="26" t="s">
        <v>15</v>
      </c>
      <c r="E132" s="12" t="s">
        <v>15</v>
      </c>
      <c r="F132" s="27" t="s">
        <v>424</v>
      </c>
      <c r="G132" s="14" t="s">
        <v>29</v>
      </c>
      <c r="H132" s="15">
        <v>244215.0</v>
      </c>
      <c r="I132" s="14" t="s">
        <v>80</v>
      </c>
      <c r="J132" s="16" t="s">
        <v>19</v>
      </c>
      <c r="K132" s="17" t="s">
        <v>20</v>
      </c>
      <c r="L132" s="8" t="s">
        <v>21</v>
      </c>
      <c r="M132" s="8" t="s">
        <v>21</v>
      </c>
      <c r="N132" s="18">
        <f t="shared" si="1"/>
        <v>244216</v>
      </c>
      <c r="O132" s="29"/>
      <c r="P132" s="29"/>
      <c r="Q132" s="29"/>
      <c r="R132" s="29"/>
      <c r="S132" s="29"/>
      <c r="T132" s="29"/>
      <c r="U132" s="29"/>
      <c r="V132" s="29"/>
    </row>
    <row r="133" outlineLevel="1">
      <c r="A133" s="8">
        <v>142.0</v>
      </c>
      <c r="B133" s="9" t="s">
        <v>425</v>
      </c>
      <c r="C133" s="25" t="s">
        <v>426</v>
      </c>
      <c r="D133" s="26" t="s">
        <v>427</v>
      </c>
      <c r="E133" s="12">
        <v>1.05551130478E11</v>
      </c>
      <c r="F133" s="27" t="s">
        <v>15</v>
      </c>
      <c r="G133" s="14" t="s">
        <v>17</v>
      </c>
      <c r="H133" s="15">
        <v>244216.0</v>
      </c>
      <c r="I133" s="14" t="s">
        <v>144</v>
      </c>
      <c r="J133" s="16" t="s">
        <v>19</v>
      </c>
      <c r="K133" s="17" t="s">
        <v>20</v>
      </c>
      <c r="L133" s="8" t="s">
        <v>21</v>
      </c>
      <c r="M133" s="8" t="s">
        <v>21</v>
      </c>
      <c r="N133" s="18">
        <f t="shared" si="1"/>
        <v>244217</v>
      </c>
      <c r="O133" s="29"/>
      <c r="P133" s="29"/>
      <c r="Q133" s="29"/>
      <c r="R133" s="29"/>
      <c r="S133" s="29"/>
      <c r="T133" s="29"/>
      <c r="U133" s="29"/>
      <c r="V133" s="29"/>
    </row>
    <row r="134" outlineLevel="1">
      <c r="A134" s="8">
        <v>143.0</v>
      </c>
      <c r="B134" s="9" t="s">
        <v>428</v>
      </c>
      <c r="C134" s="25" t="s">
        <v>429</v>
      </c>
      <c r="D134" s="26" t="s">
        <v>15</v>
      </c>
      <c r="E134" s="12" t="s">
        <v>15</v>
      </c>
      <c r="F134" s="27" t="s">
        <v>430</v>
      </c>
      <c r="G134" s="14" t="s">
        <v>17</v>
      </c>
      <c r="H134" s="15">
        <v>244217.0</v>
      </c>
      <c r="I134" s="14" t="s">
        <v>101</v>
      </c>
      <c r="J134" s="16" t="s">
        <v>19</v>
      </c>
      <c r="K134" s="17" t="s">
        <v>20</v>
      </c>
      <c r="L134" s="8" t="s">
        <v>21</v>
      </c>
      <c r="M134" s="8" t="s">
        <v>21</v>
      </c>
      <c r="N134" s="18">
        <f t="shared" si="1"/>
        <v>244218</v>
      </c>
      <c r="O134" s="29"/>
      <c r="P134" s="29"/>
      <c r="Q134" s="29"/>
      <c r="R134" s="29"/>
      <c r="S134" s="29"/>
      <c r="T134" s="29"/>
      <c r="U134" s="29"/>
      <c r="V134" s="29"/>
    </row>
    <row r="135" outlineLevel="1">
      <c r="A135" s="8">
        <v>144.0</v>
      </c>
      <c r="B135" s="9" t="s">
        <v>431</v>
      </c>
      <c r="C135" s="25" t="s">
        <v>432</v>
      </c>
      <c r="D135" s="26" t="s">
        <v>15</v>
      </c>
      <c r="E135" s="12" t="s">
        <v>15</v>
      </c>
      <c r="F135" s="27" t="s">
        <v>433</v>
      </c>
      <c r="G135" s="14" t="s">
        <v>17</v>
      </c>
      <c r="H135" s="15">
        <v>244217.0</v>
      </c>
      <c r="I135" s="14" t="s">
        <v>60</v>
      </c>
      <c r="J135" s="16" t="s">
        <v>19</v>
      </c>
      <c r="K135" s="17" t="s">
        <v>20</v>
      </c>
      <c r="L135" s="8" t="s">
        <v>21</v>
      </c>
      <c r="M135" s="8" t="s">
        <v>21</v>
      </c>
      <c r="N135" s="18">
        <f t="shared" si="1"/>
        <v>244218</v>
      </c>
      <c r="O135" s="29"/>
      <c r="P135" s="29"/>
      <c r="Q135" s="29"/>
      <c r="R135" s="29"/>
      <c r="S135" s="29"/>
      <c r="T135" s="29"/>
      <c r="U135" s="29"/>
      <c r="V135" s="29"/>
    </row>
    <row r="136" outlineLevel="1">
      <c r="A136" s="8">
        <v>145.0</v>
      </c>
      <c r="B136" s="9" t="s">
        <v>434</v>
      </c>
      <c r="C136" s="25" t="s">
        <v>435</v>
      </c>
      <c r="D136" s="26" t="s">
        <v>15</v>
      </c>
      <c r="E136" s="12" t="s">
        <v>15</v>
      </c>
      <c r="F136" s="27" t="s">
        <v>15</v>
      </c>
      <c r="G136" s="14" t="s">
        <v>29</v>
      </c>
      <c r="H136" s="15">
        <v>244217.0</v>
      </c>
      <c r="I136" s="14" t="s">
        <v>335</v>
      </c>
      <c r="J136" s="16" t="s">
        <v>19</v>
      </c>
      <c r="K136" s="17" t="s">
        <v>20</v>
      </c>
      <c r="L136" s="8" t="s">
        <v>21</v>
      </c>
      <c r="M136" s="8" t="s">
        <v>21</v>
      </c>
      <c r="N136" s="18">
        <f t="shared" si="1"/>
        <v>244218</v>
      </c>
      <c r="O136" s="29"/>
      <c r="P136" s="29"/>
      <c r="Q136" s="29"/>
      <c r="R136" s="29"/>
      <c r="S136" s="29"/>
      <c r="T136" s="29"/>
      <c r="U136" s="29"/>
      <c r="V136" s="29"/>
    </row>
    <row r="137" outlineLevel="1">
      <c r="A137" s="8">
        <v>146.0</v>
      </c>
      <c r="B137" s="9" t="s">
        <v>436</v>
      </c>
      <c r="C137" s="25" t="s">
        <v>437</v>
      </c>
      <c r="D137" s="26" t="s">
        <v>15</v>
      </c>
      <c r="E137" s="12" t="s">
        <v>15</v>
      </c>
      <c r="F137" s="27" t="s">
        <v>438</v>
      </c>
      <c r="G137" s="14" t="s">
        <v>17</v>
      </c>
      <c r="H137" s="15">
        <v>244217.0</v>
      </c>
      <c r="I137" s="14" t="s">
        <v>50</v>
      </c>
      <c r="J137" s="16" t="s">
        <v>19</v>
      </c>
      <c r="K137" s="17" t="s">
        <v>20</v>
      </c>
      <c r="L137" s="8" t="s">
        <v>21</v>
      </c>
      <c r="M137" s="8" t="s">
        <v>21</v>
      </c>
      <c r="N137" s="18">
        <f t="shared" si="1"/>
        <v>244218</v>
      </c>
      <c r="O137" s="29"/>
      <c r="P137" s="29"/>
      <c r="Q137" s="29"/>
      <c r="R137" s="29"/>
      <c r="S137" s="29"/>
      <c r="T137" s="29"/>
      <c r="U137" s="29"/>
      <c r="V137" s="29"/>
    </row>
    <row r="138" outlineLevel="1">
      <c r="A138" s="8">
        <v>147.0</v>
      </c>
      <c r="B138" s="9" t="s">
        <v>439</v>
      </c>
      <c r="C138" s="25" t="s">
        <v>440</v>
      </c>
      <c r="D138" s="26" t="s">
        <v>15</v>
      </c>
      <c r="E138" s="12" t="s">
        <v>15</v>
      </c>
      <c r="F138" s="27" t="s">
        <v>441</v>
      </c>
      <c r="G138" s="14" t="s">
        <v>17</v>
      </c>
      <c r="H138" s="15">
        <v>244217.0</v>
      </c>
      <c r="I138" s="14" t="s">
        <v>38</v>
      </c>
      <c r="J138" s="16" t="s">
        <v>19</v>
      </c>
      <c r="K138" s="17" t="s">
        <v>20</v>
      </c>
      <c r="L138" s="8" t="s">
        <v>21</v>
      </c>
      <c r="M138" s="8" t="s">
        <v>21</v>
      </c>
      <c r="N138" s="18">
        <f t="shared" si="1"/>
        <v>244218</v>
      </c>
      <c r="O138" s="29"/>
      <c r="P138" s="29"/>
      <c r="Q138" s="29"/>
      <c r="R138" s="29"/>
      <c r="S138" s="29"/>
      <c r="T138" s="29"/>
      <c r="U138" s="29"/>
      <c r="V138" s="29"/>
    </row>
    <row r="139" outlineLevel="1">
      <c r="A139" s="8">
        <v>148.0</v>
      </c>
      <c r="B139" s="9" t="s">
        <v>442</v>
      </c>
      <c r="C139" s="25" t="s">
        <v>443</v>
      </c>
      <c r="D139" s="26" t="s">
        <v>15</v>
      </c>
      <c r="E139" s="12" t="s">
        <v>15</v>
      </c>
      <c r="F139" s="27" t="s">
        <v>444</v>
      </c>
      <c r="G139" s="14" t="s">
        <v>29</v>
      </c>
      <c r="H139" s="15">
        <v>244217.0</v>
      </c>
      <c r="I139" s="14" t="s">
        <v>34</v>
      </c>
      <c r="J139" s="16" t="s">
        <v>19</v>
      </c>
      <c r="K139" s="17" t="s">
        <v>20</v>
      </c>
      <c r="L139" s="8" t="s">
        <v>21</v>
      </c>
      <c r="M139" s="8" t="s">
        <v>21</v>
      </c>
      <c r="N139" s="18">
        <f t="shared" si="1"/>
        <v>244218</v>
      </c>
      <c r="O139" s="29"/>
      <c r="P139" s="29"/>
      <c r="Q139" s="29"/>
      <c r="R139" s="29"/>
      <c r="S139" s="29"/>
      <c r="T139" s="29"/>
      <c r="U139" s="29"/>
      <c r="V139" s="29"/>
    </row>
    <row r="140" outlineLevel="1">
      <c r="A140" s="8">
        <v>149.0</v>
      </c>
      <c r="B140" s="9" t="s">
        <v>445</v>
      </c>
      <c r="C140" s="25" t="s">
        <v>446</v>
      </c>
      <c r="D140" s="26" t="s">
        <v>15</v>
      </c>
      <c r="E140" s="12" t="s">
        <v>15</v>
      </c>
      <c r="F140" s="27" t="s">
        <v>447</v>
      </c>
      <c r="G140" s="14" t="s">
        <v>29</v>
      </c>
      <c r="H140" s="15">
        <v>244217.0</v>
      </c>
      <c r="I140" s="14" t="s">
        <v>38</v>
      </c>
      <c r="J140" s="16" t="s">
        <v>19</v>
      </c>
      <c r="K140" s="17" t="s">
        <v>20</v>
      </c>
      <c r="L140" s="8" t="s">
        <v>21</v>
      </c>
      <c r="M140" s="8" t="s">
        <v>21</v>
      </c>
      <c r="N140" s="18">
        <f t="shared" si="1"/>
        <v>244218</v>
      </c>
      <c r="O140" s="29"/>
      <c r="P140" s="29"/>
      <c r="Q140" s="29"/>
      <c r="R140" s="29"/>
      <c r="S140" s="29"/>
      <c r="T140" s="29"/>
      <c r="U140" s="29"/>
      <c r="V140" s="29"/>
    </row>
    <row r="141" outlineLevel="1">
      <c r="A141" s="8">
        <v>150.0</v>
      </c>
      <c r="B141" s="9" t="s">
        <v>448</v>
      </c>
      <c r="C141" s="25" t="s">
        <v>449</v>
      </c>
      <c r="D141" s="26" t="s">
        <v>15</v>
      </c>
      <c r="E141" s="12" t="s">
        <v>15</v>
      </c>
      <c r="F141" s="27" t="s">
        <v>450</v>
      </c>
      <c r="G141" s="14" t="s">
        <v>29</v>
      </c>
      <c r="H141" s="15">
        <v>244217.0</v>
      </c>
      <c r="I141" s="14" t="s">
        <v>80</v>
      </c>
      <c r="J141" s="16" t="s">
        <v>19</v>
      </c>
      <c r="K141" s="17" t="s">
        <v>20</v>
      </c>
      <c r="L141" s="8" t="s">
        <v>21</v>
      </c>
      <c r="M141" s="8" t="s">
        <v>21</v>
      </c>
      <c r="N141" s="18">
        <f t="shared" si="1"/>
        <v>244218</v>
      </c>
      <c r="O141" s="29"/>
      <c r="P141" s="29"/>
      <c r="Q141" s="29"/>
      <c r="R141" s="29"/>
      <c r="S141" s="29"/>
      <c r="T141" s="29"/>
      <c r="U141" s="29"/>
      <c r="V141" s="29"/>
    </row>
    <row r="142" outlineLevel="1">
      <c r="A142" s="8">
        <v>151.0</v>
      </c>
      <c r="B142" s="9" t="s">
        <v>451</v>
      </c>
      <c r="C142" s="25" t="s">
        <v>452</v>
      </c>
      <c r="D142" s="26" t="s">
        <v>15</v>
      </c>
      <c r="E142" s="12" t="s">
        <v>15</v>
      </c>
      <c r="F142" s="27" t="s">
        <v>453</v>
      </c>
      <c r="G142" s="14" t="s">
        <v>17</v>
      </c>
      <c r="H142" s="15">
        <v>244217.0</v>
      </c>
      <c r="I142" s="14" t="s">
        <v>454</v>
      </c>
      <c r="J142" s="16" t="s">
        <v>19</v>
      </c>
      <c r="K142" s="17" t="s">
        <v>20</v>
      </c>
      <c r="L142" s="8" t="s">
        <v>21</v>
      </c>
      <c r="M142" s="8" t="s">
        <v>21</v>
      </c>
      <c r="N142" s="18">
        <f t="shared" si="1"/>
        <v>244218</v>
      </c>
      <c r="O142" s="29"/>
      <c r="P142" s="29"/>
      <c r="Q142" s="29"/>
      <c r="R142" s="29"/>
      <c r="S142" s="29"/>
      <c r="T142" s="29"/>
      <c r="U142" s="29"/>
      <c r="V142" s="29"/>
    </row>
    <row r="143" outlineLevel="1">
      <c r="A143" s="8">
        <v>152.0</v>
      </c>
      <c r="B143" s="9" t="s">
        <v>455</v>
      </c>
      <c r="C143" s="25" t="s">
        <v>456</v>
      </c>
      <c r="D143" s="26" t="s">
        <v>15</v>
      </c>
      <c r="E143" s="12" t="s">
        <v>15</v>
      </c>
      <c r="F143" s="27" t="s">
        <v>457</v>
      </c>
      <c r="G143" s="14" t="s">
        <v>29</v>
      </c>
      <c r="H143" s="15">
        <v>244218.0</v>
      </c>
      <c r="I143" s="14" t="s">
        <v>50</v>
      </c>
      <c r="J143" s="16" t="s">
        <v>19</v>
      </c>
      <c r="K143" s="17" t="s">
        <v>20</v>
      </c>
      <c r="L143" s="8" t="s">
        <v>21</v>
      </c>
      <c r="M143" s="8" t="s">
        <v>21</v>
      </c>
      <c r="N143" s="18">
        <f t="shared" si="1"/>
        <v>244219</v>
      </c>
      <c r="O143" s="29"/>
      <c r="P143" s="29"/>
      <c r="Q143" s="29"/>
      <c r="R143" s="29"/>
      <c r="S143" s="29"/>
      <c r="T143" s="29"/>
      <c r="U143" s="29"/>
      <c r="V143" s="29"/>
    </row>
    <row r="144" outlineLevel="1">
      <c r="A144" s="8">
        <v>153.0</v>
      </c>
      <c r="B144" s="9" t="s">
        <v>458</v>
      </c>
      <c r="C144" s="25" t="s">
        <v>459</v>
      </c>
      <c r="D144" s="26" t="s">
        <v>15</v>
      </c>
      <c r="E144" s="12" t="s">
        <v>15</v>
      </c>
      <c r="F144" s="27" t="s">
        <v>460</v>
      </c>
      <c r="G144" s="14" t="s">
        <v>17</v>
      </c>
      <c r="H144" s="15">
        <v>244218.0</v>
      </c>
      <c r="I144" s="14" t="s">
        <v>30</v>
      </c>
      <c r="J144" s="16" t="s">
        <v>19</v>
      </c>
      <c r="K144" s="17" t="s">
        <v>20</v>
      </c>
      <c r="L144" s="8" t="s">
        <v>21</v>
      </c>
      <c r="M144" s="8" t="s">
        <v>21</v>
      </c>
      <c r="N144" s="18">
        <f t="shared" si="1"/>
        <v>244219</v>
      </c>
      <c r="O144" s="29"/>
      <c r="P144" s="29"/>
      <c r="Q144" s="29"/>
      <c r="R144" s="29"/>
      <c r="S144" s="29"/>
      <c r="T144" s="29"/>
      <c r="U144" s="29"/>
      <c r="V144" s="29"/>
    </row>
    <row r="145" outlineLevel="1">
      <c r="A145" s="8">
        <v>154.0</v>
      </c>
      <c r="B145" s="9" t="s">
        <v>461</v>
      </c>
      <c r="C145" s="25" t="s">
        <v>462</v>
      </c>
      <c r="D145" s="26" t="s">
        <v>15</v>
      </c>
      <c r="E145" s="12" t="s">
        <v>15</v>
      </c>
      <c r="F145" s="27" t="s">
        <v>463</v>
      </c>
      <c r="G145" s="14" t="s">
        <v>17</v>
      </c>
      <c r="H145" s="15">
        <v>244218.0</v>
      </c>
      <c r="I145" s="14" t="s">
        <v>50</v>
      </c>
      <c r="J145" s="16" t="s">
        <v>19</v>
      </c>
      <c r="K145" s="17" t="s">
        <v>20</v>
      </c>
      <c r="L145" s="8" t="s">
        <v>21</v>
      </c>
      <c r="M145" s="8" t="s">
        <v>21</v>
      </c>
      <c r="N145" s="18">
        <f t="shared" si="1"/>
        <v>244219</v>
      </c>
      <c r="O145" s="29"/>
      <c r="P145" s="29"/>
      <c r="Q145" s="29"/>
      <c r="R145" s="29"/>
      <c r="S145" s="29"/>
      <c r="T145" s="29"/>
      <c r="U145" s="29"/>
      <c r="V145" s="29"/>
    </row>
    <row r="146" outlineLevel="1">
      <c r="A146" s="8">
        <v>155.0</v>
      </c>
      <c r="B146" s="9" t="s">
        <v>464</v>
      </c>
      <c r="C146" s="25" t="s">
        <v>465</v>
      </c>
      <c r="D146" s="26" t="s">
        <v>15</v>
      </c>
      <c r="E146" s="12" t="s">
        <v>15</v>
      </c>
      <c r="F146" s="27" t="s">
        <v>466</v>
      </c>
      <c r="G146" s="14" t="s">
        <v>17</v>
      </c>
      <c r="H146" s="15">
        <v>244218.0</v>
      </c>
      <c r="I146" s="14" t="s">
        <v>467</v>
      </c>
      <c r="J146" s="16" t="s">
        <v>19</v>
      </c>
      <c r="K146" s="17" t="s">
        <v>20</v>
      </c>
      <c r="L146" s="8" t="s">
        <v>21</v>
      </c>
      <c r="M146" s="8" t="s">
        <v>21</v>
      </c>
      <c r="N146" s="18">
        <f t="shared" si="1"/>
        <v>244219</v>
      </c>
      <c r="O146" s="29"/>
      <c r="P146" s="29"/>
      <c r="Q146" s="29"/>
      <c r="R146" s="29"/>
      <c r="S146" s="29"/>
      <c r="T146" s="29"/>
      <c r="U146" s="29"/>
      <c r="V146" s="29"/>
    </row>
    <row r="147" outlineLevel="1">
      <c r="A147" s="8">
        <v>156.0</v>
      </c>
      <c r="B147" s="9" t="s">
        <v>468</v>
      </c>
      <c r="C147" s="25" t="s">
        <v>469</v>
      </c>
      <c r="D147" s="26" t="s">
        <v>15</v>
      </c>
      <c r="E147" s="12" t="s">
        <v>15</v>
      </c>
      <c r="F147" s="27" t="s">
        <v>15</v>
      </c>
      <c r="G147" s="14" t="s">
        <v>29</v>
      </c>
      <c r="H147" s="15">
        <v>244218.0</v>
      </c>
      <c r="I147" s="14" t="s">
        <v>232</v>
      </c>
      <c r="J147" s="16" t="s">
        <v>19</v>
      </c>
      <c r="K147" s="17" t="s">
        <v>20</v>
      </c>
      <c r="L147" s="8" t="s">
        <v>21</v>
      </c>
      <c r="M147" s="8" t="s">
        <v>21</v>
      </c>
      <c r="N147" s="18">
        <f t="shared" si="1"/>
        <v>244219</v>
      </c>
      <c r="O147" s="29"/>
      <c r="P147" s="29"/>
      <c r="Q147" s="29"/>
      <c r="R147" s="29"/>
      <c r="S147" s="29"/>
      <c r="T147" s="29"/>
      <c r="U147" s="29"/>
      <c r="V147" s="29"/>
    </row>
    <row r="148" outlineLevel="1">
      <c r="A148" s="8">
        <v>157.0</v>
      </c>
      <c r="B148" s="9" t="s">
        <v>470</v>
      </c>
      <c r="C148" s="25" t="s">
        <v>471</v>
      </c>
      <c r="D148" s="26" t="s">
        <v>15</v>
      </c>
      <c r="E148" s="12" t="s">
        <v>15</v>
      </c>
      <c r="F148" s="27" t="s">
        <v>472</v>
      </c>
      <c r="G148" s="14" t="s">
        <v>17</v>
      </c>
      <c r="H148" s="15">
        <v>244218.0</v>
      </c>
      <c r="I148" s="14" t="s">
        <v>46</v>
      </c>
      <c r="J148" s="16" t="s">
        <v>19</v>
      </c>
      <c r="K148" s="17" t="s">
        <v>20</v>
      </c>
      <c r="L148" s="8" t="s">
        <v>21</v>
      </c>
      <c r="M148" s="8" t="s">
        <v>21</v>
      </c>
      <c r="N148" s="18">
        <f t="shared" si="1"/>
        <v>244219</v>
      </c>
      <c r="O148" s="29"/>
      <c r="P148" s="29"/>
      <c r="Q148" s="29"/>
      <c r="R148" s="29"/>
      <c r="S148" s="29"/>
      <c r="T148" s="29"/>
      <c r="U148" s="29"/>
      <c r="V148" s="29"/>
    </row>
    <row r="149" outlineLevel="1">
      <c r="A149" s="8">
        <v>158.0</v>
      </c>
      <c r="B149" s="9" t="s">
        <v>473</v>
      </c>
      <c r="C149" s="25" t="s">
        <v>474</v>
      </c>
      <c r="D149" s="26" t="s">
        <v>15</v>
      </c>
      <c r="E149" s="12" t="s">
        <v>15</v>
      </c>
      <c r="F149" s="27" t="s">
        <v>475</v>
      </c>
      <c r="G149" s="14" t="s">
        <v>17</v>
      </c>
      <c r="H149" s="15">
        <v>244218.0</v>
      </c>
      <c r="I149" s="14" t="s">
        <v>38</v>
      </c>
      <c r="J149" s="16" t="s">
        <v>19</v>
      </c>
      <c r="K149" s="17" t="s">
        <v>20</v>
      </c>
      <c r="L149" s="8" t="s">
        <v>21</v>
      </c>
      <c r="M149" s="8" t="s">
        <v>21</v>
      </c>
      <c r="N149" s="18">
        <f t="shared" si="1"/>
        <v>244219</v>
      </c>
      <c r="O149" s="29"/>
      <c r="P149" s="29"/>
      <c r="Q149" s="29"/>
      <c r="R149" s="29"/>
      <c r="S149" s="29"/>
      <c r="T149" s="29"/>
      <c r="U149" s="29"/>
      <c r="V149" s="29"/>
    </row>
    <row r="150" outlineLevel="1">
      <c r="A150" s="8">
        <v>159.0</v>
      </c>
      <c r="B150" s="9" t="s">
        <v>476</v>
      </c>
      <c r="C150" s="25" t="s">
        <v>477</v>
      </c>
      <c r="D150" s="26" t="s">
        <v>15</v>
      </c>
      <c r="E150" s="12" t="s">
        <v>15</v>
      </c>
      <c r="F150" s="27" t="s">
        <v>478</v>
      </c>
      <c r="G150" s="14" t="s">
        <v>29</v>
      </c>
      <c r="H150" s="15">
        <v>244218.0</v>
      </c>
      <c r="I150" s="14" t="s">
        <v>80</v>
      </c>
      <c r="J150" s="16" t="s">
        <v>19</v>
      </c>
      <c r="K150" s="17" t="s">
        <v>20</v>
      </c>
      <c r="L150" s="8" t="s">
        <v>21</v>
      </c>
      <c r="M150" s="8" t="s">
        <v>21</v>
      </c>
      <c r="N150" s="18">
        <f t="shared" si="1"/>
        <v>244219</v>
      </c>
      <c r="O150" s="29"/>
      <c r="P150" s="29"/>
      <c r="Q150" s="29"/>
      <c r="R150" s="29"/>
      <c r="S150" s="29"/>
      <c r="T150" s="29"/>
      <c r="U150" s="29"/>
      <c r="V150" s="29"/>
    </row>
    <row r="151" outlineLevel="1">
      <c r="A151" s="8">
        <v>160.0</v>
      </c>
      <c r="B151" s="9" t="s">
        <v>479</v>
      </c>
      <c r="C151" s="25" t="s">
        <v>480</v>
      </c>
      <c r="D151" s="26" t="s">
        <v>15</v>
      </c>
      <c r="E151" s="12" t="s">
        <v>15</v>
      </c>
      <c r="F151" s="27" t="s">
        <v>481</v>
      </c>
      <c r="G151" s="14" t="s">
        <v>29</v>
      </c>
      <c r="H151" s="15">
        <v>244218.0</v>
      </c>
      <c r="I151" s="14" t="s">
        <v>54</v>
      </c>
      <c r="J151" s="16" t="s">
        <v>19</v>
      </c>
      <c r="K151" s="17" t="s">
        <v>20</v>
      </c>
      <c r="L151" s="8" t="s">
        <v>21</v>
      </c>
      <c r="M151" s="8" t="s">
        <v>21</v>
      </c>
      <c r="N151" s="18">
        <f t="shared" si="1"/>
        <v>244219</v>
      </c>
      <c r="O151" s="29"/>
      <c r="P151" s="29"/>
      <c r="Q151" s="29"/>
      <c r="R151" s="29"/>
      <c r="S151" s="29"/>
      <c r="T151" s="29"/>
      <c r="U151" s="29"/>
      <c r="V151" s="29"/>
    </row>
    <row r="152" outlineLevel="1">
      <c r="A152" s="8">
        <v>161.0</v>
      </c>
      <c r="B152" s="9" t="s">
        <v>482</v>
      </c>
      <c r="C152" s="25" t="s">
        <v>483</v>
      </c>
      <c r="D152" s="26" t="s">
        <v>15</v>
      </c>
      <c r="E152" s="12" t="s">
        <v>15</v>
      </c>
      <c r="F152" s="27" t="s">
        <v>484</v>
      </c>
      <c r="G152" s="14" t="s">
        <v>29</v>
      </c>
      <c r="H152" s="15">
        <v>244219.0</v>
      </c>
      <c r="I152" s="14" t="s">
        <v>95</v>
      </c>
      <c r="J152" s="16" t="s">
        <v>19</v>
      </c>
      <c r="K152" s="17" t="s">
        <v>20</v>
      </c>
      <c r="L152" s="8" t="s">
        <v>21</v>
      </c>
      <c r="M152" s="8" t="s">
        <v>21</v>
      </c>
      <c r="N152" s="18">
        <f t="shared" si="1"/>
        <v>244220</v>
      </c>
      <c r="O152" s="29"/>
      <c r="P152" s="29"/>
      <c r="Q152" s="29"/>
      <c r="R152" s="29"/>
      <c r="S152" s="29"/>
      <c r="T152" s="29"/>
      <c r="U152" s="29"/>
      <c r="V152" s="29"/>
    </row>
    <row r="153" outlineLevel="1">
      <c r="A153" s="8">
        <v>162.0</v>
      </c>
      <c r="B153" s="9" t="s">
        <v>485</v>
      </c>
      <c r="C153" s="25" t="s">
        <v>486</v>
      </c>
      <c r="D153" s="26"/>
      <c r="E153" s="12"/>
      <c r="F153" s="27" t="s">
        <v>307</v>
      </c>
      <c r="G153" s="14" t="s">
        <v>17</v>
      </c>
      <c r="H153" s="15">
        <v>244219.0</v>
      </c>
      <c r="I153" s="14" t="s">
        <v>34</v>
      </c>
      <c r="J153" s="16" t="s">
        <v>19</v>
      </c>
      <c r="K153" s="17" t="s">
        <v>20</v>
      </c>
      <c r="L153" s="8" t="s">
        <v>21</v>
      </c>
      <c r="M153" s="8" t="s">
        <v>21</v>
      </c>
      <c r="N153" s="18">
        <f t="shared" si="1"/>
        <v>244220</v>
      </c>
      <c r="O153" s="29"/>
      <c r="P153" s="29"/>
      <c r="Q153" s="29"/>
      <c r="R153" s="29"/>
      <c r="S153" s="29"/>
      <c r="T153" s="29"/>
      <c r="U153" s="29"/>
      <c r="V153" s="29"/>
    </row>
    <row r="154" outlineLevel="1">
      <c r="A154" s="8">
        <v>163.0</v>
      </c>
      <c r="B154" s="9" t="s">
        <v>487</v>
      </c>
      <c r="C154" s="25" t="s">
        <v>488</v>
      </c>
      <c r="D154" s="26" t="s">
        <v>15</v>
      </c>
      <c r="E154" s="12" t="s">
        <v>15</v>
      </c>
      <c r="F154" s="27" t="s">
        <v>489</v>
      </c>
      <c r="G154" s="14" t="s">
        <v>29</v>
      </c>
      <c r="H154" s="15">
        <v>244219.0</v>
      </c>
      <c r="I154" s="14" t="s">
        <v>101</v>
      </c>
      <c r="J154" s="16" t="s">
        <v>19</v>
      </c>
      <c r="K154" s="17" t="s">
        <v>20</v>
      </c>
      <c r="L154" s="8" t="s">
        <v>21</v>
      </c>
      <c r="M154" s="8" t="s">
        <v>21</v>
      </c>
      <c r="N154" s="18">
        <f t="shared" si="1"/>
        <v>244220</v>
      </c>
      <c r="O154" s="29"/>
      <c r="P154" s="29"/>
      <c r="Q154" s="29"/>
      <c r="R154" s="29"/>
      <c r="S154" s="29"/>
      <c r="T154" s="29"/>
      <c r="U154" s="29"/>
      <c r="V154" s="29"/>
    </row>
    <row r="155" outlineLevel="1">
      <c r="A155" s="8">
        <v>164.0</v>
      </c>
      <c r="B155" s="9" t="s">
        <v>490</v>
      </c>
      <c r="C155" s="25" t="s">
        <v>491</v>
      </c>
      <c r="D155" s="26" t="s">
        <v>15</v>
      </c>
      <c r="E155" s="12" t="s">
        <v>15</v>
      </c>
      <c r="F155" s="27" t="s">
        <v>492</v>
      </c>
      <c r="G155" s="14" t="s">
        <v>17</v>
      </c>
      <c r="H155" s="15">
        <v>244219.0</v>
      </c>
      <c r="I155" s="14" t="s">
        <v>30</v>
      </c>
      <c r="J155" s="16" t="s">
        <v>19</v>
      </c>
      <c r="K155" s="17" t="s">
        <v>20</v>
      </c>
      <c r="L155" s="8" t="s">
        <v>21</v>
      </c>
      <c r="M155" s="8" t="s">
        <v>21</v>
      </c>
      <c r="N155" s="18">
        <f t="shared" si="1"/>
        <v>244220</v>
      </c>
      <c r="O155" s="29"/>
      <c r="P155" s="29"/>
      <c r="Q155" s="29"/>
      <c r="R155" s="29"/>
      <c r="S155" s="29"/>
      <c r="T155" s="29"/>
      <c r="U155" s="29"/>
      <c r="V155" s="29"/>
    </row>
    <row r="156" outlineLevel="1">
      <c r="A156" s="8">
        <v>165.0</v>
      </c>
      <c r="B156" s="9" t="s">
        <v>493</v>
      </c>
      <c r="C156" s="25" t="s">
        <v>494</v>
      </c>
      <c r="D156" s="26" t="s">
        <v>15</v>
      </c>
      <c r="E156" s="12" t="s">
        <v>15</v>
      </c>
      <c r="F156" s="27" t="s">
        <v>495</v>
      </c>
      <c r="G156" s="14" t="s">
        <v>17</v>
      </c>
      <c r="H156" s="15">
        <v>244219.0</v>
      </c>
      <c r="I156" s="14" t="s">
        <v>38</v>
      </c>
      <c r="J156" s="16" t="s">
        <v>19</v>
      </c>
      <c r="K156" s="17" t="s">
        <v>20</v>
      </c>
      <c r="L156" s="8" t="s">
        <v>21</v>
      </c>
      <c r="M156" s="8" t="s">
        <v>21</v>
      </c>
      <c r="N156" s="18">
        <f t="shared" si="1"/>
        <v>244220</v>
      </c>
      <c r="O156" s="29"/>
      <c r="P156" s="29"/>
      <c r="Q156" s="29"/>
      <c r="R156" s="29"/>
      <c r="S156" s="29"/>
      <c r="T156" s="29"/>
      <c r="U156" s="29"/>
      <c r="V156" s="29"/>
    </row>
    <row r="157" outlineLevel="1">
      <c r="A157" s="8">
        <v>166.0</v>
      </c>
      <c r="B157" s="9" t="s">
        <v>496</v>
      </c>
      <c r="C157" s="25" t="s">
        <v>497</v>
      </c>
      <c r="D157" s="26" t="s">
        <v>15</v>
      </c>
      <c r="E157" s="12" t="s">
        <v>15</v>
      </c>
      <c r="F157" s="27" t="s">
        <v>489</v>
      </c>
      <c r="G157" s="14" t="s">
        <v>17</v>
      </c>
      <c r="H157" s="15">
        <v>244219.0</v>
      </c>
      <c r="I157" s="14" t="s">
        <v>111</v>
      </c>
      <c r="J157" s="16" t="s">
        <v>19</v>
      </c>
      <c r="K157" s="17" t="s">
        <v>20</v>
      </c>
      <c r="L157" s="8" t="s">
        <v>21</v>
      </c>
      <c r="M157" s="8" t="s">
        <v>21</v>
      </c>
      <c r="N157" s="18">
        <f t="shared" si="1"/>
        <v>244220</v>
      </c>
      <c r="O157" s="29"/>
      <c r="P157" s="29"/>
      <c r="Q157" s="29"/>
      <c r="R157" s="29"/>
      <c r="S157" s="29"/>
      <c r="T157" s="29"/>
      <c r="U157" s="29"/>
      <c r="V157" s="29"/>
    </row>
    <row r="158" outlineLevel="1">
      <c r="A158" s="8">
        <v>167.0</v>
      </c>
      <c r="B158" s="9" t="s">
        <v>498</v>
      </c>
      <c r="C158" s="25" t="s">
        <v>499</v>
      </c>
      <c r="D158" s="26" t="s">
        <v>15</v>
      </c>
      <c r="E158" s="12" t="s">
        <v>15</v>
      </c>
      <c r="F158" s="27" t="s">
        <v>293</v>
      </c>
      <c r="G158" s="14" t="s">
        <v>29</v>
      </c>
      <c r="H158" s="15">
        <v>244219.0</v>
      </c>
      <c r="I158" s="14" t="s">
        <v>50</v>
      </c>
      <c r="J158" s="16" t="s">
        <v>19</v>
      </c>
      <c r="K158" s="17" t="s">
        <v>20</v>
      </c>
      <c r="L158" s="8" t="s">
        <v>21</v>
      </c>
      <c r="M158" s="8" t="s">
        <v>21</v>
      </c>
      <c r="N158" s="18">
        <f t="shared" si="1"/>
        <v>244220</v>
      </c>
      <c r="O158" s="29"/>
      <c r="P158" s="29"/>
      <c r="Q158" s="29"/>
      <c r="R158" s="29"/>
      <c r="S158" s="29"/>
      <c r="T158" s="29"/>
      <c r="U158" s="29"/>
      <c r="V158" s="29"/>
    </row>
    <row r="159" outlineLevel="1">
      <c r="A159" s="8">
        <v>168.0</v>
      </c>
      <c r="B159" s="9" t="s">
        <v>500</v>
      </c>
      <c r="C159" s="25" t="s">
        <v>501</v>
      </c>
      <c r="D159" s="26" t="s">
        <v>15</v>
      </c>
      <c r="E159" s="12" t="s">
        <v>15</v>
      </c>
      <c r="F159" s="27" t="s">
        <v>502</v>
      </c>
      <c r="G159" s="14" t="s">
        <v>17</v>
      </c>
      <c r="H159" s="15">
        <v>244219.0</v>
      </c>
      <c r="I159" s="14" t="s">
        <v>50</v>
      </c>
      <c r="J159" s="16" t="s">
        <v>19</v>
      </c>
      <c r="K159" s="17" t="s">
        <v>20</v>
      </c>
      <c r="L159" s="8" t="s">
        <v>21</v>
      </c>
      <c r="M159" s="8" t="s">
        <v>21</v>
      </c>
      <c r="N159" s="18">
        <f t="shared" si="1"/>
        <v>244220</v>
      </c>
      <c r="O159" s="29"/>
      <c r="P159" s="29"/>
      <c r="Q159" s="29"/>
      <c r="R159" s="29"/>
      <c r="S159" s="29"/>
      <c r="T159" s="29"/>
      <c r="U159" s="29"/>
      <c r="V159" s="29"/>
    </row>
    <row r="160" outlineLevel="1">
      <c r="A160" s="8">
        <v>169.0</v>
      </c>
      <c r="B160" s="9" t="s">
        <v>503</v>
      </c>
      <c r="C160" s="25" t="s">
        <v>504</v>
      </c>
      <c r="D160" s="26" t="s">
        <v>15</v>
      </c>
      <c r="E160" s="12" t="s">
        <v>15</v>
      </c>
      <c r="F160" s="27" t="s">
        <v>505</v>
      </c>
      <c r="G160" s="14" t="s">
        <v>17</v>
      </c>
      <c r="H160" s="15">
        <v>244219.0</v>
      </c>
      <c r="I160" s="14" t="s">
        <v>54</v>
      </c>
      <c r="J160" s="16" t="s">
        <v>19</v>
      </c>
      <c r="K160" s="17" t="s">
        <v>20</v>
      </c>
      <c r="L160" s="8" t="s">
        <v>21</v>
      </c>
      <c r="M160" s="8" t="s">
        <v>21</v>
      </c>
      <c r="N160" s="18">
        <f t="shared" si="1"/>
        <v>244220</v>
      </c>
      <c r="O160" s="29"/>
      <c r="P160" s="29"/>
      <c r="Q160" s="29"/>
      <c r="R160" s="29"/>
      <c r="S160" s="29"/>
      <c r="T160" s="29"/>
      <c r="U160" s="29"/>
      <c r="V160" s="29"/>
    </row>
    <row r="161" outlineLevel="1">
      <c r="A161" s="8">
        <v>170.0</v>
      </c>
      <c r="B161" s="9" t="s">
        <v>506</v>
      </c>
      <c r="C161" s="25" t="s">
        <v>507</v>
      </c>
      <c r="D161" s="26" t="s">
        <v>15</v>
      </c>
      <c r="E161" s="12">
        <v>1.410100067322E12</v>
      </c>
      <c r="F161" s="27" t="s">
        <v>94</v>
      </c>
      <c r="G161" s="14" t="s">
        <v>29</v>
      </c>
      <c r="H161" s="15">
        <v>244219.0</v>
      </c>
      <c r="I161" s="14" t="s">
        <v>54</v>
      </c>
      <c r="J161" s="16" t="s">
        <v>19</v>
      </c>
      <c r="K161" s="17" t="s">
        <v>20</v>
      </c>
      <c r="L161" s="8" t="s">
        <v>21</v>
      </c>
      <c r="M161" s="8" t="s">
        <v>21</v>
      </c>
      <c r="N161" s="18">
        <f t="shared" si="1"/>
        <v>244220</v>
      </c>
      <c r="O161" s="29"/>
      <c r="P161" s="29"/>
      <c r="Q161" s="29"/>
      <c r="R161" s="29"/>
      <c r="S161" s="29"/>
      <c r="T161" s="29"/>
      <c r="U161" s="29"/>
      <c r="V161" s="29"/>
    </row>
    <row r="162" outlineLevel="1">
      <c r="A162" s="8">
        <v>171.0</v>
      </c>
      <c r="B162" s="9" t="s">
        <v>508</v>
      </c>
      <c r="C162" s="25" t="s">
        <v>509</v>
      </c>
      <c r="D162" s="26" t="s">
        <v>15</v>
      </c>
      <c r="E162" s="12" t="s">
        <v>15</v>
      </c>
      <c r="F162" s="27" t="s">
        <v>510</v>
      </c>
      <c r="G162" s="14" t="s">
        <v>29</v>
      </c>
      <c r="H162" s="15">
        <v>244219.0</v>
      </c>
      <c r="I162" s="14" t="s">
        <v>95</v>
      </c>
      <c r="J162" s="16" t="s">
        <v>19</v>
      </c>
      <c r="K162" s="17" t="s">
        <v>20</v>
      </c>
      <c r="L162" s="8" t="s">
        <v>21</v>
      </c>
      <c r="M162" s="8" t="s">
        <v>21</v>
      </c>
      <c r="N162" s="18">
        <f t="shared" si="1"/>
        <v>244220</v>
      </c>
      <c r="O162" s="29"/>
      <c r="P162" s="29"/>
      <c r="Q162" s="29"/>
      <c r="R162" s="29"/>
      <c r="S162" s="29"/>
      <c r="T162" s="29"/>
      <c r="U162" s="29"/>
      <c r="V162" s="29"/>
    </row>
    <row r="163" outlineLevel="1">
      <c r="A163" s="8">
        <v>172.0</v>
      </c>
      <c r="B163" s="9" t="s">
        <v>511</v>
      </c>
      <c r="C163" s="25" t="s">
        <v>512</v>
      </c>
      <c r="D163" s="26" t="s">
        <v>15</v>
      </c>
      <c r="E163" s="12" t="s">
        <v>15</v>
      </c>
      <c r="F163" s="27" t="s">
        <v>513</v>
      </c>
      <c r="G163" s="14" t="s">
        <v>29</v>
      </c>
      <c r="H163" s="15">
        <v>244220.0</v>
      </c>
      <c r="I163" s="14" t="s">
        <v>34</v>
      </c>
      <c r="J163" s="16" t="s">
        <v>19</v>
      </c>
      <c r="K163" s="17" t="s">
        <v>20</v>
      </c>
      <c r="L163" s="8" t="s">
        <v>21</v>
      </c>
      <c r="M163" s="8" t="s">
        <v>21</v>
      </c>
      <c r="N163" s="18">
        <f t="shared" si="1"/>
        <v>244221</v>
      </c>
      <c r="O163" s="29"/>
      <c r="P163" s="29"/>
      <c r="Q163" s="29"/>
      <c r="R163" s="29"/>
      <c r="S163" s="29"/>
      <c r="T163" s="29"/>
      <c r="U163" s="29"/>
      <c r="V163" s="29"/>
    </row>
    <row r="164" outlineLevel="1">
      <c r="A164" s="8">
        <v>173.0</v>
      </c>
      <c r="B164" s="9" t="s">
        <v>514</v>
      </c>
      <c r="C164" s="25" t="s">
        <v>515</v>
      </c>
      <c r="D164" s="26" t="s">
        <v>15</v>
      </c>
      <c r="E164" s="12" t="s">
        <v>15</v>
      </c>
      <c r="F164" s="27" t="s">
        <v>15</v>
      </c>
      <c r="G164" s="14" t="s">
        <v>17</v>
      </c>
      <c r="H164" s="15">
        <v>244220.0</v>
      </c>
      <c r="I164" s="14" t="s">
        <v>101</v>
      </c>
      <c r="J164" s="16" t="s">
        <v>19</v>
      </c>
      <c r="K164" s="17" t="s">
        <v>20</v>
      </c>
      <c r="L164" s="8" t="s">
        <v>21</v>
      </c>
      <c r="M164" s="8" t="s">
        <v>21</v>
      </c>
      <c r="N164" s="18">
        <f t="shared" si="1"/>
        <v>244221</v>
      </c>
      <c r="O164" s="29"/>
      <c r="P164" s="29"/>
      <c r="Q164" s="29"/>
      <c r="R164" s="29"/>
      <c r="S164" s="29"/>
      <c r="T164" s="29"/>
      <c r="U164" s="29"/>
      <c r="V164" s="29"/>
    </row>
    <row r="165" outlineLevel="1">
      <c r="A165" s="8">
        <v>174.0</v>
      </c>
      <c r="B165" s="9" t="s">
        <v>516</v>
      </c>
      <c r="C165" s="25" t="s">
        <v>517</v>
      </c>
      <c r="D165" s="26" t="s">
        <v>15</v>
      </c>
      <c r="E165" s="12" t="s">
        <v>15</v>
      </c>
      <c r="F165" s="31" t="s">
        <v>518</v>
      </c>
      <c r="G165" s="14" t="s">
        <v>29</v>
      </c>
      <c r="H165" s="15">
        <v>244220.0</v>
      </c>
      <c r="I165" s="14" t="s">
        <v>30</v>
      </c>
      <c r="J165" s="16" t="s">
        <v>19</v>
      </c>
      <c r="K165" s="17" t="s">
        <v>20</v>
      </c>
      <c r="L165" s="8" t="s">
        <v>21</v>
      </c>
      <c r="M165" s="8" t="s">
        <v>21</v>
      </c>
      <c r="N165" s="18">
        <f t="shared" si="1"/>
        <v>244221</v>
      </c>
      <c r="O165" s="29"/>
      <c r="P165" s="29"/>
      <c r="Q165" s="29"/>
      <c r="R165" s="29"/>
      <c r="S165" s="29"/>
      <c r="T165" s="29"/>
      <c r="U165" s="29"/>
      <c r="V165" s="29"/>
    </row>
    <row r="166" outlineLevel="1">
      <c r="A166" s="8">
        <v>175.0</v>
      </c>
      <c r="B166" s="9" t="s">
        <v>519</v>
      </c>
      <c r="C166" s="25" t="s">
        <v>520</v>
      </c>
      <c r="D166" s="26" t="s">
        <v>15</v>
      </c>
      <c r="E166" s="12" t="s">
        <v>15</v>
      </c>
      <c r="F166" s="27" t="s">
        <v>521</v>
      </c>
      <c r="G166" s="14" t="s">
        <v>17</v>
      </c>
      <c r="H166" s="15">
        <v>244221.0</v>
      </c>
      <c r="I166" s="14" t="s">
        <v>38</v>
      </c>
      <c r="J166" s="16" t="s">
        <v>19</v>
      </c>
      <c r="K166" s="17" t="s">
        <v>20</v>
      </c>
      <c r="L166" s="8" t="s">
        <v>21</v>
      </c>
      <c r="M166" s="8" t="s">
        <v>21</v>
      </c>
      <c r="N166" s="18">
        <f t="shared" si="1"/>
        <v>244222</v>
      </c>
      <c r="O166" s="29"/>
      <c r="P166" s="29"/>
      <c r="Q166" s="29"/>
      <c r="R166" s="29"/>
      <c r="S166" s="29"/>
      <c r="T166" s="29"/>
      <c r="U166" s="29"/>
      <c r="V166" s="29"/>
    </row>
    <row r="167" outlineLevel="1">
      <c r="A167" s="8">
        <v>176.0</v>
      </c>
      <c r="B167" s="9" t="s">
        <v>522</v>
      </c>
      <c r="C167" s="25" t="s">
        <v>523</v>
      </c>
      <c r="D167" s="26" t="s">
        <v>15</v>
      </c>
      <c r="E167" s="12" t="s">
        <v>15</v>
      </c>
      <c r="F167" s="27" t="s">
        <v>524</v>
      </c>
      <c r="G167" s="14" t="s">
        <v>17</v>
      </c>
      <c r="H167" s="15">
        <v>244221.0</v>
      </c>
      <c r="I167" s="14" t="s">
        <v>111</v>
      </c>
      <c r="J167" s="16" t="s">
        <v>19</v>
      </c>
      <c r="K167" s="17" t="s">
        <v>20</v>
      </c>
      <c r="L167" s="8" t="s">
        <v>21</v>
      </c>
      <c r="M167" s="8" t="s">
        <v>21</v>
      </c>
      <c r="N167" s="18">
        <f t="shared" si="1"/>
        <v>244222</v>
      </c>
      <c r="O167" s="29"/>
      <c r="P167" s="29"/>
      <c r="Q167" s="29"/>
      <c r="R167" s="29"/>
      <c r="S167" s="29"/>
      <c r="T167" s="29"/>
      <c r="U167" s="29"/>
      <c r="V167" s="29"/>
    </row>
    <row r="168" outlineLevel="1">
      <c r="A168" s="8">
        <v>177.0</v>
      </c>
      <c r="B168" s="9" t="s">
        <v>525</v>
      </c>
      <c r="C168" s="25" t="s">
        <v>526</v>
      </c>
      <c r="D168" s="26" t="s">
        <v>15</v>
      </c>
      <c r="E168" s="12" t="s">
        <v>15</v>
      </c>
      <c r="F168" s="27" t="s">
        <v>527</v>
      </c>
      <c r="G168" s="14" t="s">
        <v>17</v>
      </c>
      <c r="H168" s="15">
        <v>244221.0</v>
      </c>
      <c r="I168" s="14" t="s">
        <v>50</v>
      </c>
      <c r="J168" s="16" t="s">
        <v>19</v>
      </c>
      <c r="K168" s="17" t="s">
        <v>20</v>
      </c>
      <c r="L168" s="8" t="s">
        <v>21</v>
      </c>
      <c r="M168" s="8" t="s">
        <v>21</v>
      </c>
      <c r="N168" s="18">
        <f t="shared" si="1"/>
        <v>244222</v>
      </c>
      <c r="O168" s="29"/>
      <c r="P168" s="29"/>
      <c r="Q168" s="29"/>
      <c r="R168" s="29"/>
      <c r="S168" s="29"/>
      <c r="T168" s="29"/>
      <c r="U168" s="29"/>
      <c r="V168" s="29"/>
    </row>
    <row r="169" outlineLevel="1">
      <c r="A169" s="8">
        <v>178.0</v>
      </c>
      <c r="B169" s="9" t="s">
        <v>528</v>
      </c>
      <c r="C169" s="25" t="s">
        <v>529</v>
      </c>
      <c r="D169" s="26" t="s">
        <v>15</v>
      </c>
      <c r="E169" s="12" t="s">
        <v>15</v>
      </c>
      <c r="F169" s="27" t="s">
        <v>530</v>
      </c>
      <c r="G169" s="14" t="s">
        <v>29</v>
      </c>
      <c r="H169" s="15">
        <v>244222.0</v>
      </c>
      <c r="I169" s="14" t="s">
        <v>50</v>
      </c>
      <c r="J169" s="16" t="s">
        <v>19</v>
      </c>
      <c r="K169" s="17" t="s">
        <v>20</v>
      </c>
      <c r="L169" s="8" t="s">
        <v>21</v>
      </c>
      <c r="M169" s="8" t="s">
        <v>21</v>
      </c>
      <c r="N169" s="18">
        <f t="shared" si="1"/>
        <v>244223</v>
      </c>
      <c r="O169" s="29"/>
      <c r="P169" s="29"/>
      <c r="Q169" s="29"/>
      <c r="R169" s="29"/>
      <c r="S169" s="29"/>
      <c r="T169" s="29"/>
      <c r="U169" s="29"/>
      <c r="V169" s="29"/>
    </row>
    <row r="170" outlineLevel="1">
      <c r="A170" s="8">
        <v>179.0</v>
      </c>
      <c r="B170" s="9" t="s">
        <v>531</v>
      </c>
      <c r="C170" s="25" t="s">
        <v>532</v>
      </c>
      <c r="D170" s="26" t="s">
        <v>15</v>
      </c>
      <c r="E170" s="12" t="s">
        <v>15</v>
      </c>
      <c r="F170" s="27" t="s">
        <v>533</v>
      </c>
      <c r="G170" s="14" t="s">
        <v>17</v>
      </c>
      <c r="H170" s="15">
        <v>244222.0</v>
      </c>
      <c r="I170" s="14" t="s">
        <v>54</v>
      </c>
      <c r="J170" s="16" t="s">
        <v>19</v>
      </c>
      <c r="K170" s="17" t="s">
        <v>20</v>
      </c>
      <c r="L170" s="8" t="s">
        <v>21</v>
      </c>
      <c r="M170" s="8" t="s">
        <v>21</v>
      </c>
      <c r="N170" s="18">
        <f t="shared" si="1"/>
        <v>244223</v>
      </c>
      <c r="O170" s="29"/>
      <c r="P170" s="29"/>
      <c r="Q170" s="29"/>
      <c r="R170" s="29"/>
      <c r="S170" s="29"/>
      <c r="T170" s="29"/>
      <c r="U170" s="29"/>
      <c r="V170" s="29"/>
    </row>
    <row r="171" outlineLevel="1">
      <c r="A171" s="8">
        <v>180.0</v>
      </c>
      <c r="B171" s="9" t="s">
        <v>534</v>
      </c>
      <c r="C171" s="25" t="s">
        <v>535</v>
      </c>
      <c r="D171" s="26" t="s">
        <v>15</v>
      </c>
      <c r="E171" s="12" t="s">
        <v>15</v>
      </c>
      <c r="F171" s="27" t="s">
        <v>536</v>
      </c>
      <c r="G171" s="14" t="s">
        <v>17</v>
      </c>
      <c r="H171" s="15">
        <v>244222.0</v>
      </c>
      <c r="I171" s="14" t="s">
        <v>54</v>
      </c>
      <c r="J171" s="16" t="s">
        <v>19</v>
      </c>
      <c r="K171" s="17" t="s">
        <v>20</v>
      </c>
      <c r="L171" s="8" t="s">
        <v>21</v>
      </c>
      <c r="M171" s="8" t="s">
        <v>21</v>
      </c>
      <c r="N171" s="18">
        <f t="shared" si="1"/>
        <v>244223</v>
      </c>
      <c r="O171" s="29"/>
      <c r="P171" s="29"/>
      <c r="Q171" s="29"/>
      <c r="R171" s="29"/>
      <c r="S171" s="29"/>
      <c r="T171" s="29"/>
      <c r="U171" s="29"/>
      <c r="V171" s="29"/>
    </row>
    <row r="172" outlineLevel="1">
      <c r="A172" s="8">
        <v>181.0</v>
      </c>
      <c r="B172" s="9" t="s">
        <v>537</v>
      </c>
      <c r="C172" s="25" t="s">
        <v>538</v>
      </c>
      <c r="D172" s="26" t="s">
        <v>15</v>
      </c>
      <c r="E172" s="12" t="s">
        <v>15</v>
      </c>
      <c r="F172" s="27" t="s">
        <v>539</v>
      </c>
      <c r="G172" s="14" t="s">
        <v>29</v>
      </c>
      <c r="H172" s="15">
        <v>244222.0</v>
      </c>
      <c r="I172" s="14" t="s">
        <v>95</v>
      </c>
      <c r="J172" s="16" t="s">
        <v>19</v>
      </c>
      <c r="K172" s="17" t="s">
        <v>20</v>
      </c>
      <c r="L172" s="8" t="s">
        <v>21</v>
      </c>
      <c r="M172" s="8" t="s">
        <v>21</v>
      </c>
      <c r="N172" s="18">
        <f t="shared" si="1"/>
        <v>244223</v>
      </c>
      <c r="O172" s="29"/>
      <c r="P172" s="29"/>
      <c r="Q172" s="29"/>
      <c r="R172" s="29"/>
      <c r="S172" s="29"/>
      <c r="T172" s="29"/>
      <c r="U172" s="29"/>
      <c r="V172" s="29"/>
    </row>
    <row r="173" outlineLevel="1">
      <c r="A173" s="8">
        <v>182.0</v>
      </c>
      <c r="B173" s="9" t="s">
        <v>540</v>
      </c>
      <c r="C173" s="25" t="s">
        <v>541</v>
      </c>
      <c r="D173" s="26" t="s">
        <v>15</v>
      </c>
      <c r="E173" s="12" t="s">
        <v>15</v>
      </c>
      <c r="F173" s="27" t="s">
        <v>15</v>
      </c>
      <c r="G173" s="14" t="s">
        <v>29</v>
      </c>
      <c r="H173" s="15">
        <v>244222.0</v>
      </c>
      <c r="I173" s="14" t="s">
        <v>34</v>
      </c>
      <c r="J173" s="16" t="s">
        <v>19</v>
      </c>
      <c r="K173" s="17" t="s">
        <v>20</v>
      </c>
      <c r="L173" s="8" t="s">
        <v>21</v>
      </c>
      <c r="M173" s="8" t="s">
        <v>21</v>
      </c>
      <c r="N173" s="18">
        <f t="shared" si="1"/>
        <v>244223</v>
      </c>
      <c r="O173" s="29"/>
      <c r="P173" s="29"/>
      <c r="Q173" s="29"/>
      <c r="R173" s="29"/>
      <c r="S173" s="29"/>
      <c r="T173" s="29"/>
      <c r="U173" s="29"/>
      <c r="V173" s="29"/>
    </row>
    <row r="174" outlineLevel="1">
      <c r="A174" s="8">
        <v>183.0</v>
      </c>
      <c r="B174" s="9" t="s">
        <v>542</v>
      </c>
      <c r="C174" s="25" t="s">
        <v>543</v>
      </c>
      <c r="D174" s="26" t="s">
        <v>15</v>
      </c>
      <c r="E174" s="12" t="s">
        <v>15</v>
      </c>
      <c r="F174" s="27" t="s">
        <v>544</v>
      </c>
      <c r="G174" s="14" t="s">
        <v>29</v>
      </c>
      <c r="H174" s="15">
        <v>244222.0</v>
      </c>
      <c r="I174" s="14" t="s">
        <v>101</v>
      </c>
      <c r="J174" s="16" t="s">
        <v>19</v>
      </c>
      <c r="K174" s="17" t="s">
        <v>20</v>
      </c>
      <c r="L174" s="8" t="s">
        <v>21</v>
      </c>
      <c r="M174" s="8" t="s">
        <v>21</v>
      </c>
      <c r="N174" s="18">
        <f t="shared" si="1"/>
        <v>244223</v>
      </c>
      <c r="O174" s="29"/>
      <c r="P174" s="29"/>
      <c r="Q174" s="29"/>
      <c r="R174" s="29"/>
      <c r="S174" s="29"/>
      <c r="T174" s="29"/>
      <c r="U174" s="29"/>
      <c r="V174" s="29"/>
    </row>
    <row r="175" outlineLevel="1">
      <c r="A175" s="8">
        <v>184.0</v>
      </c>
      <c r="B175" s="9" t="s">
        <v>545</v>
      </c>
      <c r="C175" s="25" t="s">
        <v>546</v>
      </c>
      <c r="D175" s="26" t="s">
        <v>15</v>
      </c>
      <c r="E175" s="12">
        <v>1.321000125347E12</v>
      </c>
      <c r="F175" s="27" t="s">
        <v>547</v>
      </c>
      <c r="G175" s="14" t="s">
        <v>17</v>
      </c>
      <c r="H175" s="15">
        <v>244223.0</v>
      </c>
      <c r="I175" s="14" t="s">
        <v>30</v>
      </c>
      <c r="J175" s="16" t="s">
        <v>19</v>
      </c>
      <c r="K175" s="17" t="s">
        <v>20</v>
      </c>
      <c r="L175" s="8" t="s">
        <v>21</v>
      </c>
      <c r="M175" s="8" t="s">
        <v>21</v>
      </c>
      <c r="N175" s="18">
        <f t="shared" si="1"/>
        <v>244224</v>
      </c>
      <c r="O175" s="29"/>
      <c r="P175" s="29"/>
      <c r="Q175" s="29"/>
      <c r="R175" s="29"/>
      <c r="S175" s="29"/>
      <c r="T175" s="29"/>
      <c r="U175" s="29"/>
      <c r="V175" s="29"/>
    </row>
    <row r="176" outlineLevel="1">
      <c r="A176" s="8">
        <v>185.0</v>
      </c>
      <c r="B176" s="9" t="s">
        <v>548</v>
      </c>
      <c r="C176" s="25" t="s">
        <v>549</v>
      </c>
      <c r="D176" s="26" t="s">
        <v>15</v>
      </c>
      <c r="E176" s="12" t="s">
        <v>15</v>
      </c>
      <c r="F176" s="27" t="s">
        <v>550</v>
      </c>
      <c r="G176" s="14" t="s">
        <v>29</v>
      </c>
      <c r="H176" s="15">
        <v>244223.0</v>
      </c>
      <c r="I176" s="14" t="s">
        <v>38</v>
      </c>
      <c r="J176" s="16" t="s">
        <v>19</v>
      </c>
      <c r="K176" s="17" t="s">
        <v>20</v>
      </c>
      <c r="L176" s="8" t="s">
        <v>21</v>
      </c>
      <c r="M176" s="8" t="s">
        <v>21</v>
      </c>
      <c r="N176" s="18">
        <f t="shared" si="1"/>
        <v>244224</v>
      </c>
      <c r="O176" s="29"/>
      <c r="P176" s="29"/>
      <c r="Q176" s="29"/>
      <c r="R176" s="29"/>
      <c r="S176" s="29"/>
      <c r="T176" s="29"/>
      <c r="U176" s="29"/>
      <c r="V176" s="29"/>
    </row>
    <row r="177" outlineLevel="1">
      <c r="A177" s="8">
        <v>186.0</v>
      </c>
      <c r="B177" s="9" t="s">
        <v>551</v>
      </c>
      <c r="C177" s="25" t="s">
        <v>552</v>
      </c>
      <c r="D177" s="26" t="s">
        <v>15</v>
      </c>
      <c r="E177" s="12" t="s">
        <v>15</v>
      </c>
      <c r="F177" s="27" t="s">
        <v>553</v>
      </c>
      <c r="G177" s="14" t="s">
        <v>17</v>
      </c>
      <c r="H177" s="15">
        <v>244223.0</v>
      </c>
      <c r="I177" s="14" t="s">
        <v>111</v>
      </c>
      <c r="J177" s="16" t="s">
        <v>19</v>
      </c>
      <c r="K177" s="17" t="s">
        <v>20</v>
      </c>
      <c r="L177" s="8" t="s">
        <v>21</v>
      </c>
      <c r="M177" s="8" t="s">
        <v>21</v>
      </c>
      <c r="N177" s="18">
        <f t="shared" si="1"/>
        <v>244224</v>
      </c>
      <c r="O177" s="29"/>
      <c r="P177" s="29"/>
      <c r="Q177" s="29"/>
      <c r="R177" s="29"/>
      <c r="S177" s="29"/>
      <c r="T177" s="29"/>
      <c r="U177" s="29"/>
      <c r="V177" s="29"/>
    </row>
    <row r="178" outlineLevel="1">
      <c r="A178" s="8">
        <v>187.0</v>
      </c>
      <c r="B178" s="9" t="s">
        <v>554</v>
      </c>
      <c r="C178" s="25" t="s">
        <v>555</v>
      </c>
      <c r="D178" s="26" t="s">
        <v>15</v>
      </c>
      <c r="E178" s="12" t="s">
        <v>15</v>
      </c>
      <c r="F178" s="27" t="s">
        <v>556</v>
      </c>
      <c r="G178" s="14" t="s">
        <v>17</v>
      </c>
      <c r="H178" s="15">
        <v>244224.0</v>
      </c>
      <c r="I178" s="14" t="s">
        <v>34</v>
      </c>
      <c r="J178" s="16" t="s">
        <v>19</v>
      </c>
      <c r="K178" s="17" t="s">
        <v>20</v>
      </c>
      <c r="L178" s="8" t="s">
        <v>21</v>
      </c>
      <c r="M178" s="8" t="s">
        <v>21</v>
      </c>
      <c r="N178" s="18">
        <f t="shared" si="1"/>
        <v>244225</v>
      </c>
      <c r="O178" s="29"/>
      <c r="P178" s="29"/>
      <c r="Q178" s="29"/>
      <c r="R178" s="29"/>
      <c r="S178" s="29"/>
      <c r="T178" s="29"/>
      <c r="U178" s="29"/>
      <c r="V178" s="29"/>
    </row>
    <row r="179" outlineLevel="1">
      <c r="A179" s="8">
        <v>188.0</v>
      </c>
      <c r="B179" s="9" t="s">
        <v>557</v>
      </c>
      <c r="C179" s="25" t="s">
        <v>558</v>
      </c>
      <c r="D179" s="26" t="s">
        <v>15</v>
      </c>
      <c r="E179" s="12" t="s">
        <v>15</v>
      </c>
      <c r="F179" s="27" t="s">
        <v>559</v>
      </c>
      <c r="G179" s="14" t="s">
        <v>17</v>
      </c>
      <c r="H179" s="15">
        <v>244224.0</v>
      </c>
      <c r="I179" s="14" t="s">
        <v>38</v>
      </c>
      <c r="J179" s="16" t="s">
        <v>19</v>
      </c>
      <c r="K179" s="17" t="s">
        <v>20</v>
      </c>
      <c r="L179" s="8" t="s">
        <v>21</v>
      </c>
      <c r="M179" s="8" t="s">
        <v>21</v>
      </c>
      <c r="N179" s="18">
        <f t="shared" si="1"/>
        <v>244225</v>
      </c>
      <c r="O179" s="29"/>
      <c r="P179" s="29"/>
      <c r="Q179" s="29"/>
      <c r="R179" s="29"/>
      <c r="S179" s="29"/>
      <c r="T179" s="29"/>
      <c r="U179" s="29"/>
      <c r="V179" s="29"/>
    </row>
    <row r="180" outlineLevel="1">
      <c r="A180" s="8">
        <v>189.0</v>
      </c>
      <c r="B180" s="9" t="s">
        <v>560</v>
      </c>
      <c r="C180" s="25" t="s">
        <v>561</v>
      </c>
      <c r="D180" s="26" t="s">
        <v>15</v>
      </c>
      <c r="E180" s="12" t="s">
        <v>15</v>
      </c>
      <c r="F180" s="27" t="s">
        <v>562</v>
      </c>
      <c r="G180" s="14" t="s">
        <v>29</v>
      </c>
      <c r="H180" s="15">
        <v>244225.0</v>
      </c>
      <c r="I180" s="14" t="s">
        <v>80</v>
      </c>
      <c r="J180" s="16" t="s">
        <v>19</v>
      </c>
      <c r="K180" s="17" t="s">
        <v>20</v>
      </c>
      <c r="L180" s="8" t="s">
        <v>21</v>
      </c>
      <c r="M180" s="8" t="s">
        <v>21</v>
      </c>
      <c r="N180" s="18">
        <f t="shared" si="1"/>
        <v>244226</v>
      </c>
      <c r="O180" s="29"/>
      <c r="P180" s="29"/>
      <c r="Q180" s="29"/>
      <c r="R180" s="29"/>
      <c r="S180" s="29"/>
      <c r="T180" s="29"/>
      <c r="U180" s="29"/>
      <c r="V180" s="29"/>
    </row>
    <row r="181" outlineLevel="1">
      <c r="A181" s="8">
        <v>190.0</v>
      </c>
      <c r="B181" s="9" t="s">
        <v>563</v>
      </c>
      <c r="C181" s="25" t="s">
        <v>564</v>
      </c>
      <c r="D181" s="26" t="s">
        <v>15</v>
      </c>
      <c r="E181" s="12" t="s">
        <v>15</v>
      </c>
      <c r="F181" s="27" t="s">
        <v>565</v>
      </c>
      <c r="G181" s="14" t="s">
        <v>17</v>
      </c>
      <c r="H181" s="15">
        <v>244226.0</v>
      </c>
      <c r="I181" s="14" t="s">
        <v>454</v>
      </c>
      <c r="J181" s="16" t="s">
        <v>19</v>
      </c>
      <c r="K181" s="17" t="s">
        <v>20</v>
      </c>
      <c r="L181" s="8" t="s">
        <v>21</v>
      </c>
      <c r="M181" s="8" t="s">
        <v>21</v>
      </c>
      <c r="N181" s="18">
        <f t="shared" si="1"/>
        <v>244227</v>
      </c>
      <c r="O181" s="29"/>
      <c r="P181" s="29"/>
      <c r="Q181" s="29"/>
      <c r="R181" s="29"/>
      <c r="S181" s="29"/>
      <c r="T181" s="29"/>
      <c r="U181" s="29"/>
      <c r="V181" s="29"/>
    </row>
    <row r="182" outlineLevel="1">
      <c r="A182" s="8">
        <v>191.0</v>
      </c>
      <c r="B182" s="9" t="s">
        <v>566</v>
      </c>
      <c r="C182" s="25" t="s">
        <v>567</v>
      </c>
      <c r="D182" s="26" t="s">
        <v>15</v>
      </c>
      <c r="E182" s="12" t="s">
        <v>15</v>
      </c>
      <c r="F182" s="27" t="s">
        <v>568</v>
      </c>
      <c r="G182" s="14" t="s">
        <v>17</v>
      </c>
      <c r="H182" s="15">
        <v>244226.0</v>
      </c>
      <c r="I182" s="14" t="s">
        <v>50</v>
      </c>
      <c r="J182" s="16" t="s">
        <v>19</v>
      </c>
      <c r="K182" s="17" t="s">
        <v>20</v>
      </c>
      <c r="L182" s="8" t="s">
        <v>21</v>
      </c>
      <c r="M182" s="8" t="s">
        <v>21</v>
      </c>
      <c r="N182" s="18">
        <f t="shared" si="1"/>
        <v>244227</v>
      </c>
      <c r="O182" s="29"/>
      <c r="P182" s="29"/>
      <c r="Q182" s="29"/>
      <c r="R182" s="29"/>
      <c r="S182" s="29"/>
      <c r="T182" s="29"/>
      <c r="U182" s="29"/>
      <c r="V182" s="29"/>
    </row>
    <row r="183" outlineLevel="1">
      <c r="A183" s="8">
        <v>192.0</v>
      </c>
      <c r="B183" s="9" t="s">
        <v>569</v>
      </c>
      <c r="C183" s="25" t="s">
        <v>570</v>
      </c>
      <c r="D183" s="26" t="s">
        <v>15</v>
      </c>
      <c r="E183" s="12" t="s">
        <v>15</v>
      </c>
      <c r="F183" s="27" t="s">
        <v>571</v>
      </c>
      <c r="G183" s="14" t="s">
        <v>29</v>
      </c>
      <c r="H183" s="15">
        <v>244227.0</v>
      </c>
      <c r="I183" s="14" t="s">
        <v>30</v>
      </c>
      <c r="J183" s="16" t="s">
        <v>19</v>
      </c>
      <c r="K183" s="17" t="s">
        <v>20</v>
      </c>
      <c r="L183" s="8" t="s">
        <v>21</v>
      </c>
      <c r="M183" s="8" t="s">
        <v>21</v>
      </c>
      <c r="N183" s="18">
        <f t="shared" si="1"/>
        <v>244228</v>
      </c>
      <c r="O183" s="29"/>
      <c r="P183" s="29"/>
      <c r="Q183" s="29"/>
      <c r="R183" s="29"/>
      <c r="S183" s="29"/>
      <c r="T183" s="29"/>
      <c r="U183" s="29"/>
      <c r="V183" s="29"/>
    </row>
    <row r="184" outlineLevel="1">
      <c r="A184" s="8">
        <v>193.0</v>
      </c>
      <c r="B184" s="9" t="s">
        <v>572</v>
      </c>
      <c r="C184" s="25" t="s">
        <v>573</v>
      </c>
      <c r="D184" s="26" t="s">
        <v>574</v>
      </c>
      <c r="E184" s="12">
        <v>1.470600071159E12</v>
      </c>
      <c r="F184" s="27" t="s">
        <v>575</v>
      </c>
      <c r="G184" s="14" t="s">
        <v>29</v>
      </c>
      <c r="H184" s="15">
        <v>244228.0</v>
      </c>
      <c r="I184" s="14" t="s">
        <v>50</v>
      </c>
      <c r="J184" s="16" t="s">
        <v>19</v>
      </c>
      <c r="K184" s="17" t="s">
        <v>20</v>
      </c>
      <c r="L184" s="8" t="s">
        <v>21</v>
      </c>
      <c r="M184" s="8" t="s">
        <v>21</v>
      </c>
      <c r="N184" s="18">
        <f t="shared" si="1"/>
        <v>244229</v>
      </c>
      <c r="O184" s="29"/>
      <c r="P184" s="29"/>
      <c r="Q184" s="29"/>
      <c r="R184" s="29"/>
      <c r="S184" s="29"/>
      <c r="T184" s="29"/>
      <c r="U184" s="29"/>
      <c r="V184" s="29"/>
    </row>
    <row r="185" outlineLevel="1">
      <c r="A185" s="8">
        <v>194.0</v>
      </c>
      <c r="B185" s="9" t="s">
        <v>576</v>
      </c>
      <c r="C185" s="25" t="s">
        <v>577</v>
      </c>
      <c r="D185" s="26"/>
      <c r="E185" s="12"/>
      <c r="F185" s="27" t="s">
        <v>578</v>
      </c>
      <c r="G185" s="14" t="s">
        <v>29</v>
      </c>
      <c r="H185" s="15">
        <v>244228.0</v>
      </c>
      <c r="I185" s="14" t="s">
        <v>579</v>
      </c>
      <c r="J185" s="16" t="s">
        <v>19</v>
      </c>
      <c r="K185" s="17" t="s">
        <v>20</v>
      </c>
      <c r="L185" s="8" t="s">
        <v>21</v>
      </c>
      <c r="M185" s="8" t="s">
        <v>21</v>
      </c>
      <c r="N185" s="18">
        <f t="shared" si="1"/>
        <v>244229</v>
      </c>
      <c r="O185" s="29"/>
      <c r="P185" s="29"/>
      <c r="Q185" s="29"/>
      <c r="R185" s="29"/>
      <c r="S185" s="29"/>
      <c r="T185" s="29"/>
      <c r="U185" s="29"/>
      <c r="V185" s="29"/>
    </row>
    <row r="186" outlineLevel="1">
      <c r="A186" s="8">
        <v>195.0</v>
      </c>
      <c r="B186" s="9" t="s">
        <v>580</v>
      </c>
      <c r="C186" s="25" t="s">
        <v>581</v>
      </c>
      <c r="D186" s="26"/>
      <c r="E186" s="12"/>
      <c r="F186" s="31" t="s">
        <v>582</v>
      </c>
      <c r="G186" s="14" t="s">
        <v>29</v>
      </c>
      <c r="H186" s="15">
        <v>25083.0</v>
      </c>
      <c r="I186" s="14" t="s">
        <v>583</v>
      </c>
      <c r="J186" s="16" t="s">
        <v>19</v>
      </c>
      <c r="K186" s="17" t="s">
        <v>20</v>
      </c>
      <c r="L186" s="8" t="s">
        <v>21</v>
      </c>
      <c r="M186" s="8" t="s">
        <v>21</v>
      </c>
      <c r="N186" s="18">
        <f t="shared" si="1"/>
        <v>25084</v>
      </c>
      <c r="O186" s="29"/>
      <c r="P186" s="29"/>
      <c r="Q186" s="29"/>
      <c r="R186" s="29"/>
      <c r="S186" s="29"/>
      <c r="T186" s="29"/>
      <c r="U186" s="29"/>
      <c r="V186" s="29"/>
    </row>
    <row r="187" outlineLevel="1">
      <c r="A187" s="8">
        <v>196.0</v>
      </c>
      <c r="B187" s="9" t="s">
        <v>584</v>
      </c>
      <c r="C187" s="25" t="s">
        <v>585</v>
      </c>
      <c r="D187" s="26" t="s">
        <v>586</v>
      </c>
      <c r="E187" s="12">
        <v>3.480900365383E12</v>
      </c>
      <c r="F187" s="31" t="s">
        <v>587</v>
      </c>
      <c r="G187" s="14" t="s">
        <v>29</v>
      </c>
      <c r="H187" s="18">
        <v>25084.0</v>
      </c>
      <c r="I187" s="14" t="s">
        <v>588</v>
      </c>
      <c r="J187" s="16" t="s">
        <v>19</v>
      </c>
      <c r="K187" s="17" t="s">
        <v>20</v>
      </c>
      <c r="L187" s="8" t="s">
        <v>21</v>
      </c>
      <c r="M187" s="8" t="s">
        <v>21</v>
      </c>
      <c r="N187" s="18">
        <f t="shared" si="1"/>
        <v>25085</v>
      </c>
      <c r="O187" s="29"/>
      <c r="P187" s="29"/>
      <c r="Q187" s="29"/>
      <c r="R187" s="29"/>
      <c r="S187" s="29"/>
      <c r="T187" s="29"/>
      <c r="U187" s="29"/>
      <c r="V187" s="29"/>
    </row>
    <row r="188" outlineLevel="1">
      <c r="A188" s="8">
        <v>197.0</v>
      </c>
      <c r="B188" s="9" t="s">
        <v>589</v>
      </c>
      <c r="C188" s="25" t="s">
        <v>590</v>
      </c>
      <c r="D188" s="26"/>
      <c r="E188" s="12"/>
      <c r="F188" s="31" t="s">
        <v>591</v>
      </c>
      <c r="G188" s="14" t="s">
        <v>29</v>
      </c>
      <c r="H188" s="18">
        <v>61608.0</v>
      </c>
      <c r="I188" s="14" t="s">
        <v>592</v>
      </c>
      <c r="J188" s="16" t="s">
        <v>19</v>
      </c>
      <c r="K188" s="17" t="s">
        <v>20</v>
      </c>
      <c r="L188" s="8" t="s">
        <v>21</v>
      </c>
      <c r="M188" s="8" t="s">
        <v>21</v>
      </c>
      <c r="N188" s="18">
        <f t="shared" si="1"/>
        <v>61609</v>
      </c>
      <c r="O188" s="29"/>
      <c r="P188" s="29"/>
      <c r="Q188" s="29"/>
      <c r="R188" s="29"/>
      <c r="S188" s="29"/>
      <c r="T188" s="29"/>
      <c r="U188" s="29"/>
      <c r="V188" s="29"/>
    </row>
    <row r="189" outlineLevel="1">
      <c r="A189" s="8">
        <v>198.0</v>
      </c>
      <c r="B189" s="9" t="s">
        <v>593</v>
      </c>
      <c r="C189" s="25" t="s">
        <v>594</v>
      </c>
      <c r="D189" s="26"/>
      <c r="E189" s="12"/>
      <c r="F189" s="31" t="s">
        <v>595</v>
      </c>
      <c r="G189" s="14" t="s">
        <v>29</v>
      </c>
      <c r="H189" s="18">
        <v>61608.0</v>
      </c>
      <c r="I189" s="14" t="s">
        <v>596</v>
      </c>
      <c r="J189" s="16" t="s">
        <v>19</v>
      </c>
      <c r="K189" s="17" t="s">
        <v>20</v>
      </c>
      <c r="L189" s="8" t="s">
        <v>21</v>
      </c>
      <c r="M189" s="8" t="s">
        <v>21</v>
      </c>
      <c r="N189" s="18">
        <f t="shared" si="1"/>
        <v>61609</v>
      </c>
      <c r="O189" s="29"/>
      <c r="P189" s="29"/>
      <c r="Q189" s="29"/>
      <c r="R189" s="29"/>
      <c r="S189" s="29"/>
      <c r="T189" s="29"/>
      <c r="U189" s="29"/>
      <c r="V189" s="29"/>
    </row>
    <row r="190" outlineLevel="1">
      <c r="A190" s="8">
        <v>199.0</v>
      </c>
      <c r="B190" s="9" t="s">
        <v>597</v>
      </c>
      <c r="C190" s="25" t="s">
        <v>598</v>
      </c>
      <c r="D190" s="26"/>
      <c r="E190" s="12"/>
      <c r="F190" s="31" t="s">
        <v>599</v>
      </c>
      <c r="G190" s="14" t="s">
        <v>29</v>
      </c>
      <c r="H190" s="18">
        <v>61608.0</v>
      </c>
      <c r="I190" s="14" t="s">
        <v>600</v>
      </c>
      <c r="J190" s="16" t="s">
        <v>19</v>
      </c>
      <c r="K190" s="17" t="s">
        <v>20</v>
      </c>
      <c r="L190" s="8" t="s">
        <v>21</v>
      </c>
      <c r="M190" s="8" t="s">
        <v>21</v>
      </c>
      <c r="N190" s="18">
        <f t="shared" si="1"/>
        <v>61609</v>
      </c>
      <c r="O190" s="29"/>
      <c r="P190" s="29"/>
      <c r="Q190" s="29"/>
      <c r="R190" s="29"/>
      <c r="S190" s="29"/>
      <c r="T190" s="29"/>
      <c r="U190" s="29"/>
      <c r="V190" s="29"/>
    </row>
    <row r="191" outlineLevel="1">
      <c r="A191" s="8">
        <v>200.0</v>
      </c>
      <c r="B191" s="9" t="s">
        <v>601</v>
      </c>
      <c r="C191" s="25" t="s">
        <v>602</v>
      </c>
      <c r="D191" s="26"/>
      <c r="E191" s="12"/>
      <c r="F191" s="31" t="s">
        <v>15</v>
      </c>
      <c r="G191" s="14" t="s">
        <v>29</v>
      </c>
      <c r="H191" s="18">
        <v>61608.0</v>
      </c>
      <c r="I191" s="14" t="s">
        <v>603</v>
      </c>
      <c r="J191" s="16" t="s">
        <v>19</v>
      </c>
      <c r="K191" s="17" t="s">
        <v>20</v>
      </c>
      <c r="L191" s="8" t="s">
        <v>21</v>
      </c>
      <c r="M191" s="8" t="s">
        <v>21</v>
      </c>
      <c r="N191" s="18">
        <f t="shared" si="1"/>
        <v>61609</v>
      </c>
      <c r="O191" s="29"/>
      <c r="P191" s="29"/>
      <c r="Q191" s="29"/>
      <c r="R191" s="29"/>
      <c r="S191" s="29"/>
      <c r="T191" s="29"/>
      <c r="U191" s="29"/>
      <c r="V191" s="29"/>
    </row>
    <row r="192" outlineLevel="1">
      <c r="A192" s="8">
        <v>201.0</v>
      </c>
      <c r="B192" s="9" t="s">
        <v>604</v>
      </c>
      <c r="C192" s="25" t="s">
        <v>605</v>
      </c>
      <c r="D192" s="26"/>
      <c r="E192" s="27"/>
      <c r="F192" s="31" t="s">
        <v>67</v>
      </c>
      <c r="G192" s="14" t="s">
        <v>17</v>
      </c>
      <c r="H192" s="18">
        <v>61608.0</v>
      </c>
      <c r="I192" s="14" t="s">
        <v>193</v>
      </c>
      <c r="J192" s="16" t="s">
        <v>19</v>
      </c>
      <c r="K192" s="17" t="s">
        <v>20</v>
      </c>
      <c r="L192" s="8" t="s">
        <v>21</v>
      </c>
      <c r="M192" s="8" t="s">
        <v>21</v>
      </c>
      <c r="N192" s="18">
        <f t="shared" si="1"/>
        <v>61609</v>
      </c>
      <c r="O192" s="29"/>
      <c r="P192" s="29"/>
      <c r="Q192" s="29"/>
      <c r="R192" s="29"/>
      <c r="S192" s="29"/>
      <c r="T192" s="29"/>
      <c r="U192" s="29"/>
      <c r="V192" s="29"/>
    </row>
    <row r="193" outlineLevel="1">
      <c r="A193" s="8">
        <v>202.0</v>
      </c>
      <c r="B193" s="9" t="s">
        <v>606</v>
      </c>
      <c r="C193" s="25" t="s">
        <v>607</v>
      </c>
      <c r="D193" s="26" t="s">
        <v>608</v>
      </c>
      <c r="E193" s="27">
        <v>1.05545076084E11</v>
      </c>
      <c r="F193" s="31"/>
      <c r="G193" s="14" t="s">
        <v>17</v>
      </c>
      <c r="H193" s="18">
        <v>61608.0</v>
      </c>
      <c r="I193" s="14" t="s">
        <v>50</v>
      </c>
      <c r="J193" s="16" t="s">
        <v>19</v>
      </c>
      <c r="K193" s="17" t="s">
        <v>20</v>
      </c>
      <c r="L193" s="8" t="s">
        <v>21</v>
      </c>
      <c r="M193" s="8" t="s">
        <v>21</v>
      </c>
      <c r="N193" s="18">
        <f t="shared" si="1"/>
        <v>61609</v>
      </c>
      <c r="O193" s="29"/>
      <c r="P193" s="29"/>
      <c r="Q193" s="29"/>
      <c r="R193" s="29"/>
      <c r="S193" s="29"/>
      <c r="T193" s="29"/>
      <c r="U193" s="29"/>
      <c r="V193" s="29"/>
    </row>
    <row r="194" outlineLevel="1">
      <c r="A194" s="8">
        <v>203.0</v>
      </c>
      <c r="B194" s="9" t="s">
        <v>609</v>
      </c>
      <c r="C194" s="25" t="s">
        <v>610</v>
      </c>
      <c r="D194" s="26" t="s">
        <v>611</v>
      </c>
      <c r="E194" s="27">
        <v>8.45566002229E11</v>
      </c>
      <c r="F194" s="31"/>
      <c r="G194" s="14" t="s">
        <v>17</v>
      </c>
      <c r="H194" s="18">
        <v>61609.0</v>
      </c>
      <c r="I194" s="14" t="s">
        <v>60</v>
      </c>
      <c r="J194" s="16" t="s">
        <v>19</v>
      </c>
      <c r="K194" s="17" t="s">
        <v>20</v>
      </c>
      <c r="L194" s="8" t="s">
        <v>21</v>
      </c>
      <c r="M194" s="8" t="s">
        <v>21</v>
      </c>
      <c r="N194" s="18">
        <f t="shared" si="1"/>
        <v>61610</v>
      </c>
      <c r="O194" s="29"/>
      <c r="P194" s="29"/>
      <c r="Q194" s="29"/>
      <c r="R194" s="29"/>
      <c r="S194" s="29"/>
      <c r="T194" s="29"/>
      <c r="U194" s="29"/>
      <c r="V194" s="29"/>
    </row>
    <row r="195" outlineLevel="1">
      <c r="A195" s="8">
        <v>204.0</v>
      </c>
      <c r="B195" s="9" t="s">
        <v>612</v>
      </c>
      <c r="C195" s="25" t="s">
        <v>613</v>
      </c>
      <c r="D195" s="26"/>
      <c r="E195" s="27"/>
      <c r="F195" s="31"/>
      <c r="G195" s="14" t="s">
        <v>29</v>
      </c>
      <c r="H195" s="18">
        <v>61609.0</v>
      </c>
      <c r="I195" s="14" t="s">
        <v>80</v>
      </c>
      <c r="J195" s="16" t="s">
        <v>19</v>
      </c>
      <c r="K195" s="17" t="s">
        <v>20</v>
      </c>
      <c r="L195" s="8" t="s">
        <v>21</v>
      </c>
      <c r="M195" s="8" t="s">
        <v>21</v>
      </c>
      <c r="N195" s="18">
        <f t="shared" si="1"/>
        <v>61610</v>
      </c>
      <c r="O195" s="29"/>
      <c r="P195" s="29"/>
      <c r="Q195" s="29"/>
      <c r="R195" s="29"/>
      <c r="S195" s="29"/>
      <c r="T195" s="29"/>
      <c r="U195" s="29"/>
      <c r="V195" s="29"/>
    </row>
    <row r="196" outlineLevel="1">
      <c r="A196" s="8">
        <v>205.0</v>
      </c>
      <c r="B196" s="9" t="s">
        <v>614</v>
      </c>
      <c r="C196" s="25" t="s">
        <v>615</v>
      </c>
      <c r="D196" s="26"/>
      <c r="E196" s="27"/>
      <c r="F196" s="31" t="s">
        <v>616</v>
      </c>
      <c r="G196" s="14" t="s">
        <v>17</v>
      </c>
      <c r="H196" s="18">
        <v>61609.0</v>
      </c>
      <c r="I196" s="14" t="s">
        <v>101</v>
      </c>
      <c r="J196" s="16" t="s">
        <v>19</v>
      </c>
      <c r="K196" s="17" t="s">
        <v>20</v>
      </c>
      <c r="L196" s="8" t="s">
        <v>21</v>
      </c>
      <c r="M196" s="8" t="s">
        <v>21</v>
      </c>
      <c r="N196" s="18">
        <f t="shared" si="1"/>
        <v>61610</v>
      </c>
      <c r="O196" s="29"/>
      <c r="P196" s="29"/>
      <c r="Q196" s="29"/>
      <c r="R196" s="29"/>
      <c r="S196" s="29"/>
      <c r="T196" s="29"/>
      <c r="U196" s="29"/>
      <c r="V196" s="29"/>
    </row>
    <row r="197" outlineLevel="1">
      <c r="A197" s="8">
        <v>206.0</v>
      </c>
      <c r="B197" s="9" t="s">
        <v>617</v>
      </c>
      <c r="C197" s="25" t="s">
        <v>618</v>
      </c>
      <c r="D197" s="26"/>
      <c r="E197" s="27"/>
      <c r="F197" s="31" t="s">
        <v>619</v>
      </c>
      <c r="G197" s="14" t="s">
        <v>17</v>
      </c>
      <c r="H197" s="18">
        <v>61609.0</v>
      </c>
      <c r="I197" s="14" t="s">
        <v>162</v>
      </c>
      <c r="J197" s="16" t="s">
        <v>19</v>
      </c>
      <c r="K197" s="17" t="s">
        <v>20</v>
      </c>
      <c r="L197" s="8" t="s">
        <v>21</v>
      </c>
      <c r="M197" s="8" t="s">
        <v>21</v>
      </c>
      <c r="N197" s="18">
        <v>61610.0</v>
      </c>
      <c r="O197" s="29"/>
      <c r="P197" s="29"/>
      <c r="Q197" s="29"/>
      <c r="R197" s="29"/>
      <c r="S197" s="29"/>
      <c r="T197" s="29"/>
      <c r="U197" s="29"/>
      <c r="V197" s="29"/>
    </row>
    <row r="198" outlineLevel="1">
      <c r="A198" s="8">
        <v>207.0</v>
      </c>
      <c r="B198" s="9" t="s">
        <v>620</v>
      </c>
      <c r="C198" s="25" t="s">
        <v>621</v>
      </c>
      <c r="D198" s="26" t="s">
        <v>622</v>
      </c>
      <c r="E198" s="27">
        <v>1.431000175388E12</v>
      </c>
      <c r="F198" s="31"/>
      <c r="G198" s="14" t="s">
        <v>29</v>
      </c>
      <c r="H198" s="18">
        <v>61609.0</v>
      </c>
      <c r="I198" s="14" t="s">
        <v>50</v>
      </c>
      <c r="J198" s="16" t="s">
        <v>19</v>
      </c>
      <c r="K198" s="17" t="s">
        <v>20</v>
      </c>
      <c r="L198" s="8" t="s">
        <v>21</v>
      </c>
      <c r="M198" s="8" t="s">
        <v>21</v>
      </c>
      <c r="N198" s="18">
        <v>61610.0</v>
      </c>
      <c r="O198" s="29"/>
      <c r="P198" s="29"/>
      <c r="Q198" s="29"/>
      <c r="R198" s="29"/>
      <c r="S198" s="29"/>
      <c r="T198" s="29"/>
      <c r="U198" s="29"/>
      <c r="V198" s="29"/>
    </row>
    <row r="199" outlineLevel="1">
      <c r="A199" s="8">
        <v>208.0</v>
      </c>
      <c r="B199" s="9" t="s">
        <v>623</v>
      </c>
      <c r="C199" s="25" t="s">
        <v>624</v>
      </c>
      <c r="D199" s="26"/>
      <c r="E199" s="27"/>
      <c r="F199" s="31" t="s">
        <v>625</v>
      </c>
      <c r="G199" s="14" t="s">
        <v>29</v>
      </c>
      <c r="H199" s="18">
        <v>61609.0</v>
      </c>
      <c r="I199" s="14" t="s">
        <v>335</v>
      </c>
      <c r="J199" s="16" t="s">
        <v>19</v>
      </c>
      <c r="K199" s="17" t="s">
        <v>20</v>
      </c>
      <c r="L199" s="8" t="s">
        <v>21</v>
      </c>
      <c r="M199" s="8" t="s">
        <v>21</v>
      </c>
      <c r="N199" s="18">
        <v>61610.0</v>
      </c>
      <c r="O199" s="29"/>
      <c r="P199" s="29"/>
      <c r="Q199" s="29"/>
      <c r="R199" s="29"/>
      <c r="S199" s="29"/>
      <c r="T199" s="29"/>
      <c r="U199" s="29"/>
      <c r="V199" s="29"/>
    </row>
    <row r="200" outlineLevel="1">
      <c r="A200" s="8">
        <v>209.0</v>
      </c>
      <c r="B200" s="9" t="s">
        <v>626</v>
      </c>
      <c r="C200" s="25" t="s">
        <v>627</v>
      </c>
      <c r="D200" s="26"/>
      <c r="E200" s="27"/>
      <c r="F200" s="27" t="s">
        <v>628</v>
      </c>
      <c r="G200" s="14" t="s">
        <v>29</v>
      </c>
      <c r="H200" s="18">
        <v>61610.0</v>
      </c>
      <c r="I200" s="14" t="s">
        <v>46</v>
      </c>
      <c r="J200" s="16" t="s">
        <v>19</v>
      </c>
      <c r="K200" s="17" t="s">
        <v>20</v>
      </c>
      <c r="L200" s="8" t="s">
        <v>21</v>
      </c>
      <c r="M200" s="8" t="s">
        <v>21</v>
      </c>
      <c r="N200" s="18">
        <v>61611.0</v>
      </c>
      <c r="O200" s="29"/>
      <c r="P200" s="29"/>
      <c r="Q200" s="29"/>
      <c r="R200" s="29"/>
      <c r="S200" s="29"/>
      <c r="T200" s="29"/>
      <c r="U200" s="29"/>
      <c r="V200" s="29"/>
    </row>
    <row r="201" outlineLevel="1">
      <c r="A201" s="8">
        <v>210.0</v>
      </c>
      <c r="B201" s="9" t="s">
        <v>629</v>
      </c>
      <c r="C201" s="25" t="s">
        <v>630</v>
      </c>
      <c r="D201" s="26"/>
      <c r="E201" s="27"/>
      <c r="F201" s="31"/>
      <c r="G201" s="14" t="s">
        <v>17</v>
      </c>
      <c r="H201" s="18">
        <v>61610.0</v>
      </c>
      <c r="I201" s="14" t="s">
        <v>232</v>
      </c>
      <c r="J201" s="16" t="s">
        <v>19</v>
      </c>
      <c r="K201" s="17" t="s">
        <v>20</v>
      </c>
      <c r="L201" s="8" t="s">
        <v>21</v>
      </c>
      <c r="M201" s="8" t="s">
        <v>21</v>
      </c>
      <c r="N201" s="18">
        <v>61611.0</v>
      </c>
      <c r="O201" s="29"/>
      <c r="P201" s="29"/>
      <c r="Q201" s="29"/>
      <c r="R201" s="29"/>
      <c r="S201" s="29"/>
      <c r="T201" s="29"/>
      <c r="U201" s="29"/>
      <c r="V201" s="29"/>
    </row>
    <row r="202" outlineLevel="1">
      <c r="A202" s="8">
        <v>211.0</v>
      </c>
      <c r="B202" s="9" t="s">
        <v>631</v>
      </c>
      <c r="C202" s="10" t="s">
        <v>632</v>
      </c>
      <c r="D202" s="11" t="s">
        <v>15</v>
      </c>
      <c r="E202" s="12" t="s">
        <v>15</v>
      </c>
      <c r="F202" s="13" t="s">
        <v>279</v>
      </c>
      <c r="G202" s="14" t="s">
        <v>29</v>
      </c>
      <c r="H202" s="15">
        <v>25052.0</v>
      </c>
      <c r="I202" s="14" t="s">
        <v>193</v>
      </c>
      <c r="J202" s="16" t="s">
        <v>19</v>
      </c>
      <c r="K202" s="17" t="s">
        <v>20</v>
      </c>
      <c r="L202" s="8" t="s">
        <v>21</v>
      </c>
      <c r="M202" s="8" t="s">
        <v>21</v>
      </c>
      <c r="N202" s="18">
        <f t="shared" ref="N202:N210" si="2">H202+1</f>
        <v>25053</v>
      </c>
      <c r="O202" s="19"/>
      <c r="P202" s="19"/>
      <c r="Q202" s="19"/>
      <c r="R202" s="19"/>
      <c r="S202" s="19"/>
      <c r="T202" s="19"/>
      <c r="U202" s="19"/>
      <c r="V202" s="19"/>
    </row>
    <row r="203" outlineLevel="1">
      <c r="A203" s="8">
        <v>212.0</v>
      </c>
      <c r="B203" s="9" t="s">
        <v>633</v>
      </c>
      <c r="C203" s="10" t="s">
        <v>634</v>
      </c>
      <c r="D203" s="11" t="s">
        <v>15</v>
      </c>
      <c r="E203" s="12" t="s">
        <v>15</v>
      </c>
      <c r="F203" s="13" t="s">
        <v>635</v>
      </c>
      <c r="G203" s="14" t="s">
        <v>17</v>
      </c>
      <c r="H203" s="15">
        <v>244198.0</v>
      </c>
      <c r="I203" s="14" t="s">
        <v>50</v>
      </c>
      <c r="J203" s="16" t="s">
        <v>19</v>
      </c>
      <c r="K203" s="17" t="s">
        <v>20</v>
      </c>
      <c r="L203" s="8" t="s">
        <v>21</v>
      </c>
      <c r="M203" s="8" t="s">
        <v>21</v>
      </c>
      <c r="N203" s="18">
        <f t="shared" si="2"/>
        <v>244199</v>
      </c>
      <c r="O203" s="19"/>
      <c r="P203" s="20"/>
      <c r="Q203" s="21"/>
      <c r="R203" s="22"/>
      <c r="S203" s="23"/>
      <c r="T203" s="24"/>
      <c r="U203" s="24"/>
      <c r="V203" s="19"/>
    </row>
    <row r="204" outlineLevel="1">
      <c r="A204" s="8">
        <v>213.0</v>
      </c>
      <c r="B204" s="9" t="s">
        <v>636</v>
      </c>
      <c r="C204" s="10" t="s">
        <v>637</v>
      </c>
      <c r="D204" s="11" t="s">
        <v>15</v>
      </c>
      <c r="E204" s="12" t="s">
        <v>15</v>
      </c>
      <c r="F204" s="13" t="s">
        <v>638</v>
      </c>
      <c r="G204" s="14" t="s">
        <v>17</v>
      </c>
      <c r="H204" s="15">
        <v>244198.0</v>
      </c>
      <c r="I204" s="14" t="s">
        <v>60</v>
      </c>
      <c r="J204" s="16" t="s">
        <v>19</v>
      </c>
      <c r="K204" s="17" t="s">
        <v>20</v>
      </c>
      <c r="L204" s="8" t="s">
        <v>21</v>
      </c>
      <c r="M204" s="8" t="s">
        <v>21</v>
      </c>
      <c r="N204" s="18">
        <f t="shared" si="2"/>
        <v>244199</v>
      </c>
      <c r="O204" s="19"/>
      <c r="P204" s="20"/>
      <c r="Q204" s="21"/>
      <c r="R204" s="22"/>
      <c r="S204" s="23"/>
      <c r="T204" s="24"/>
      <c r="U204" s="24"/>
      <c r="V204" s="19"/>
    </row>
    <row r="205" outlineLevel="1">
      <c r="A205" s="8">
        <v>214.0</v>
      </c>
      <c r="B205" s="9" t="s">
        <v>639</v>
      </c>
      <c r="C205" s="10" t="s">
        <v>640</v>
      </c>
      <c r="D205" s="11" t="s">
        <v>15</v>
      </c>
      <c r="E205" s="12" t="s">
        <v>15</v>
      </c>
      <c r="F205" s="13" t="s">
        <v>641</v>
      </c>
      <c r="G205" s="14" t="s">
        <v>29</v>
      </c>
      <c r="H205" s="15">
        <v>244199.0</v>
      </c>
      <c r="I205" s="14" t="s">
        <v>80</v>
      </c>
      <c r="J205" s="16" t="s">
        <v>19</v>
      </c>
      <c r="K205" s="17" t="s">
        <v>20</v>
      </c>
      <c r="L205" s="8" t="s">
        <v>21</v>
      </c>
      <c r="M205" s="8" t="s">
        <v>21</v>
      </c>
      <c r="N205" s="18">
        <f t="shared" si="2"/>
        <v>244200</v>
      </c>
      <c r="O205" s="19"/>
      <c r="P205" s="20"/>
      <c r="Q205" s="21"/>
      <c r="R205" s="22"/>
      <c r="S205" s="23"/>
      <c r="T205" s="24"/>
      <c r="U205" s="24"/>
      <c r="V205" s="19"/>
    </row>
    <row r="206" outlineLevel="1">
      <c r="A206" s="8">
        <v>215.0</v>
      </c>
      <c r="B206" s="9" t="s">
        <v>642</v>
      </c>
      <c r="C206" s="10" t="s">
        <v>643</v>
      </c>
      <c r="D206" s="11" t="s">
        <v>15</v>
      </c>
      <c r="E206" s="12" t="s">
        <v>15</v>
      </c>
      <c r="F206" s="13" t="s">
        <v>644</v>
      </c>
      <c r="G206" s="14" t="s">
        <v>29</v>
      </c>
      <c r="H206" s="15">
        <v>244199.0</v>
      </c>
      <c r="I206" s="14" t="s">
        <v>34</v>
      </c>
      <c r="J206" s="16" t="s">
        <v>19</v>
      </c>
      <c r="K206" s="17" t="s">
        <v>20</v>
      </c>
      <c r="L206" s="8" t="s">
        <v>21</v>
      </c>
      <c r="M206" s="8" t="s">
        <v>21</v>
      </c>
      <c r="N206" s="18">
        <f t="shared" si="2"/>
        <v>244200</v>
      </c>
      <c r="O206" s="19"/>
      <c r="P206" s="20"/>
      <c r="Q206" s="21"/>
      <c r="R206" s="22"/>
      <c r="S206" s="23"/>
      <c r="T206" s="24"/>
      <c r="U206" s="24"/>
      <c r="V206" s="19"/>
    </row>
    <row r="207" outlineLevel="1">
      <c r="A207" s="8">
        <v>216.0</v>
      </c>
      <c r="B207" s="9" t="s">
        <v>645</v>
      </c>
      <c r="C207" s="10" t="s">
        <v>646</v>
      </c>
      <c r="D207" s="11" t="s">
        <v>15</v>
      </c>
      <c r="E207" s="12" t="s">
        <v>15</v>
      </c>
      <c r="F207" s="13" t="s">
        <v>647</v>
      </c>
      <c r="G207" s="14" t="s">
        <v>29</v>
      </c>
      <c r="H207" s="15">
        <v>244199.0</v>
      </c>
      <c r="I207" s="14" t="s">
        <v>30</v>
      </c>
      <c r="J207" s="16" t="s">
        <v>19</v>
      </c>
      <c r="K207" s="17" t="s">
        <v>20</v>
      </c>
      <c r="L207" s="8" t="s">
        <v>21</v>
      </c>
      <c r="M207" s="8" t="s">
        <v>21</v>
      </c>
      <c r="N207" s="18">
        <f t="shared" si="2"/>
        <v>244200</v>
      </c>
      <c r="O207" s="19"/>
      <c r="P207" s="20"/>
      <c r="Q207" s="21"/>
      <c r="R207" s="22"/>
      <c r="S207" s="23"/>
      <c r="T207" s="24"/>
      <c r="U207" s="24"/>
      <c r="V207" s="19"/>
    </row>
    <row r="208" outlineLevel="1">
      <c r="A208" s="8">
        <v>217.0</v>
      </c>
      <c r="B208" s="9" t="s">
        <v>648</v>
      </c>
      <c r="C208" s="10" t="s">
        <v>649</v>
      </c>
      <c r="D208" s="11" t="s">
        <v>15</v>
      </c>
      <c r="E208" s="12" t="s">
        <v>15</v>
      </c>
      <c r="F208" s="13" t="s">
        <v>650</v>
      </c>
      <c r="G208" s="14" t="s">
        <v>17</v>
      </c>
      <c r="H208" s="15">
        <v>244199.0</v>
      </c>
      <c r="I208" s="14" t="s">
        <v>80</v>
      </c>
      <c r="J208" s="16" t="s">
        <v>19</v>
      </c>
      <c r="K208" s="17" t="s">
        <v>20</v>
      </c>
      <c r="L208" s="8" t="s">
        <v>21</v>
      </c>
      <c r="M208" s="8" t="s">
        <v>21</v>
      </c>
      <c r="N208" s="18">
        <f t="shared" si="2"/>
        <v>244200</v>
      </c>
      <c r="O208" s="19"/>
      <c r="P208" s="20"/>
      <c r="Q208" s="21"/>
      <c r="R208" s="22"/>
      <c r="S208" s="23"/>
      <c r="T208" s="24"/>
      <c r="U208" s="24"/>
      <c r="V208" s="19"/>
    </row>
    <row r="209" outlineLevel="1">
      <c r="A209" s="8">
        <v>218.0</v>
      </c>
      <c r="B209" s="9" t="s">
        <v>651</v>
      </c>
      <c r="C209" s="10" t="s">
        <v>652</v>
      </c>
      <c r="D209" s="11" t="s">
        <v>15</v>
      </c>
      <c r="E209" s="12" t="s">
        <v>15</v>
      </c>
      <c r="F209" s="13" t="s">
        <v>653</v>
      </c>
      <c r="G209" s="14" t="s">
        <v>29</v>
      </c>
      <c r="H209" s="15">
        <v>244199.0</v>
      </c>
      <c r="I209" s="14" t="s">
        <v>144</v>
      </c>
      <c r="J209" s="16" t="s">
        <v>19</v>
      </c>
      <c r="K209" s="17" t="s">
        <v>20</v>
      </c>
      <c r="L209" s="8" t="s">
        <v>21</v>
      </c>
      <c r="M209" s="8" t="s">
        <v>21</v>
      </c>
      <c r="N209" s="18">
        <f t="shared" si="2"/>
        <v>244200</v>
      </c>
      <c r="O209" s="19"/>
      <c r="P209" s="20"/>
      <c r="Q209" s="21"/>
      <c r="R209" s="22"/>
      <c r="S209" s="23"/>
      <c r="T209" s="24"/>
      <c r="U209" s="24"/>
      <c r="V209" s="19"/>
    </row>
    <row r="210" outlineLevel="1">
      <c r="A210" s="8">
        <v>219.0</v>
      </c>
      <c r="B210" s="9" t="s">
        <v>654</v>
      </c>
      <c r="C210" s="10" t="s">
        <v>655</v>
      </c>
      <c r="D210" s="11" t="s">
        <v>15</v>
      </c>
      <c r="E210" s="12" t="s">
        <v>15</v>
      </c>
      <c r="F210" s="13" t="s">
        <v>565</v>
      </c>
      <c r="G210" s="14" t="s">
        <v>17</v>
      </c>
      <c r="H210" s="15">
        <v>244200.0</v>
      </c>
      <c r="I210" s="14" t="s">
        <v>50</v>
      </c>
      <c r="J210" s="16" t="s">
        <v>19</v>
      </c>
      <c r="K210" s="17" t="s">
        <v>20</v>
      </c>
      <c r="L210" s="8" t="s">
        <v>21</v>
      </c>
      <c r="M210" s="8" t="s">
        <v>21</v>
      </c>
      <c r="N210" s="18">
        <f t="shared" si="2"/>
        <v>244201</v>
      </c>
      <c r="O210" s="19"/>
      <c r="P210" s="20"/>
      <c r="Q210" s="21"/>
      <c r="R210" s="22"/>
      <c r="S210" s="23"/>
      <c r="T210" s="24"/>
      <c r="U210" s="24"/>
      <c r="V210" s="19"/>
    </row>
    <row r="211" outlineLevel="1">
      <c r="A211" s="8">
        <v>220.0</v>
      </c>
      <c r="B211" s="9" t="s">
        <v>656</v>
      </c>
      <c r="C211" s="25" t="s">
        <v>657</v>
      </c>
      <c r="D211" s="26" t="s">
        <v>658</v>
      </c>
      <c r="E211" s="31">
        <v>1.07556000507E11</v>
      </c>
      <c r="F211" s="31"/>
      <c r="G211" s="14" t="s">
        <v>29</v>
      </c>
      <c r="H211" s="18">
        <v>61610.0</v>
      </c>
      <c r="I211" s="14" t="s">
        <v>111</v>
      </c>
      <c r="J211" s="16" t="s">
        <v>19</v>
      </c>
      <c r="K211" s="17" t="s">
        <v>20</v>
      </c>
      <c r="L211" s="8" t="s">
        <v>21</v>
      </c>
      <c r="M211" s="8" t="s">
        <v>21</v>
      </c>
      <c r="N211" s="18">
        <v>61611.0</v>
      </c>
      <c r="O211" s="29"/>
      <c r="P211" s="29"/>
      <c r="Q211" s="29"/>
      <c r="R211" s="29"/>
      <c r="S211" s="29"/>
      <c r="T211" s="29"/>
      <c r="U211" s="29"/>
      <c r="V211" s="29"/>
    </row>
    <row r="212" outlineLevel="1">
      <c r="A212" s="8">
        <v>221.0</v>
      </c>
      <c r="B212" s="9" t="s">
        <v>659</v>
      </c>
      <c r="C212" s="25" t="s">
        <v>660</v>
      </c>
      <c r="D212" s="26" t="s">
        <v>661</v>
      </c>
      <c r="E212" s="27">
        <v>1.05523002118E11</v>
      </c>
      <c r="F212" s="31"/>
      <c r="G212" s="14" t="s">
        <v>17</v>
      </c>
      <c r="H212" s="18">
        <v>61610.0</v>
      </c>
      <c r="I212" s="14" t="s">
        <v>64</v>
      </c>
      <c r="J212" s="16" t="s">
        <v>19</v>
      </c>
      <c r="K212" s="17" t="s">
        <v>20</v>
      </c>
      <c r="L212" s="8" t="s">
        <v>21</v>
      </c>
      <c r="M212" s="8" t="s">
        <v>21</v>
      </c>
      <c r="N212" s="18">
        <v>61611.0</v>
      </c>
      <c r="O212" s="29"/>
      <c r="P212" s="29"/>
      <c r="Q212" s="29"/>
      <c r="R212" s="29"/>
      <c r="S212" s="29"/>
      <c r="T212" s="29"/>
      <c r="U212" s="29"/>
      <c r="V212" s="29"/>
    </row>
    <row r="213" outlineLevel="1">
      <c r="A213" s="8">
        <v>222.0</v>
      </c>
      <c r="B213" s="9" t="s">
        <v>662</v>
      </c>
      <c r="C213" s="25" t="s">
        <v>663</v>
      </c>
      <c r="D213" s="26"/>
      <c r="E213" s="27"/>
      <c r="F213" s="31"/>
      <c r="G213" s="14" t="s">
        <v>17</v>
      </c>
      <c r="H213" s="18">
        <v>61610.0</v>
      </c>
      <c r="I213" s="14" t="s">
        <v>232</v>
      </c>
      <c r="J213" s="16" t="s">
        <v>19</v>
      </c>
      <c r="K213" s="17" t="s">
        <v>20</v>
      </c>
      <c r="L213" s="8" t="s">
        <v>21</v>
      </c>
      <c r="M213" s="8" t="s">
        <v>21</v>
      </c>
      <c r="N213" s="18">
        <v>61611.0</v>
      </c>
      <c r="O213" s="29"/>
      <c r="P213" s="29"/>
      <c r="Q213" s="29"/>
      <c r="R213" s="29"/>
      <c r="S213" s="29"/>
      <c r="T213" s="29"/>
      <c r="U213" s="29"/>
      <c r="V213" s="29"/>
    </row>
    <row r="214" outlineLevel="1">
      <c r="A214" s="8">
        <v>223.0</v>
      </c>
      <c r="B214" s="9" t="s">
        <v>664</v>
      </c>
      <c r="C214" s="25" t="s">
        <v>665</v>
      </c>
      <c r="D214" s="26" t="s">
        <v>666</v>
      </c>
      <c r="E214" s="31">
        <v>1.05539030507E11</v>
      </c>
      <c r="F214" s="27"/>
      <c r="G214" s="14" t="s">
        <v>17</v>
      </c>
      <c r="H214" s="18">
        <v>61610.0</v>
      </c>
      <c r="I214" s="14" t="s">
        <v>18</v>
      </c>
      <c r="J214" s="16" t="s">
        <v>19</v>
      </c>
      <c r="K214" s="17" t="s">
        <v>20</v>
      </c>
      <c r="L214" s="8" t="s">
        <v>21</v>
      </c>
      <c r="M214" s="8" t="s">
        <v>21</v>
      </c>
      <c r="N214" s="18">
        <v>61611.0</v>
      </c>
      <c r="O214" s="29"/>
      <c r="P214" s="29"/>
      <c r="Q214" s="29"/>
      <c r="R214" s="29"/>
      <c r="S214" s="29"/>
      <c r="T214" s="29"/>
      <c r="U214" s="29"/>
      <c r="V214" s="29"/>
    </row>
    <row r="215" outlineLevel="1">
      <c r="A215" s="8">
        <v>224.0</v>
      </c>
      <c r="B215" s="9" t="s">
        <v>667</v>
      </c>
      <c r="C215" s="25" t="s">
        <v>668</v>
      </c>
      <c r="D215" s="26"/>
      <c r="E215" s="27"/>
      <c r="F215" s="31" t="s">
        <v>669</v>
      </c>
      <c r="G215" s="14" t="s">
        <v>29</v>
      </c>
      <c r="H215" s="18">
        <v>61611.0</v>
      </c>
      <c r="I215" s="14" t="s">
        <v>42</v>
      </c>
      <c r="J215" s="16" t="s">
        <v>19</v>
      </c>
      <c r="K215" s="17" t="s">
        <v>20</v>
      </c>
      <c r="L215" s="8" t="s">
        <v>21</v>
      </c>
      <c r="M215" s="8" t="s">
        <v>21</v>
      </c>
      <c r="N215" s="18">
        <v>61612.0</v>
      </c>
      <c r="O215" s="29"/>
      <c r="P215" s="29"/>
      <c r="Q215" s="29"/>
      <c r="R215" s="29"/>
      <c r="S215" s="29"/>
      <c r="T215" s="29"/>
      <c r="U215" s="29"/>
      <c r="V215" s="29"/>
    </row>
    <row r="216" outlineLevel="1">
      <c r="A216" s="8">
        <v>225.0</v>
      </c>
      <c r="B216" s="9" t="s">
        <v>670</v>
      </c>
      <c r="C216" s="25" t="s">
        <v>671</v>
      </c>
      <c r="D216" s="26"/>
      <c r="E216" s="27"/>
      <c r="F216" s="31" t="s">
        <v>672</v>
      </c>
      <c r="G216" s="14" t="s">
        <v>17</v>
      </c>
      <c r="H216" s="18">
        <v>61611.0</v>
      </c>
      <c r="I216" s="14" t="s">
        <v>46</v>
      </c>
      <c r="J216" s="16" t="s">
        <v>19</v>
      </c>
      <c r="K216" s="17" t="s">
        <v>20</v>
      </c>
      <c r="L216" s="8" t="s">
        <v>21</v>
      </c>
      <c r="M216" s="8" t="s">
        <v>21</v>
      </c>
      <c r="N216" s="18">
        <v>61612.0</v>
      </c>
      <c r="O216" s="29"/>
      <c r="P216" s="29"/>
      <c r="Q216" s="29"/>
      <c r="R216" s="29"/>
      <c r="S216" s="29"/>
      <c r="T216" s="29"/>
      <c r="U216" s="29"/>
      <c r="V216" s="29"/>
    </row>
    <row r="217" outlineLevel="1">
      <c r="A217" s="8">
        <v>226.0</v>
      </c>
      <c r="B217" s="9" t="s">
        <v>673</v>
      </c>
      <c r="C217" s="25" t="s">
        <v>674</v>
      </c>
      <c r="D217" s="26"/>
      <c r="E217" s="27"/>
      <c r="F217" s="31" t="s">
        <v>91</v>
      </c>
      <c r="G217" s="14" t="s">
        <v>17</v>
      </c>
      <c r="H217" s="18">
        <v>61611.0</v>
      </c>
      <c r="I217" s="14" t="s">
        <v>50</v>
      </c>
      <c r="J217" s="16" t="s">
        <v>19</v>
      </c>
      <c r="K217" s="17" t="s">
        <v>20</v>
      </c>
      <c r="L217" s="8" t="s">
        <v>21</v>
      </c>
      <c r="M217" s="8" t="s">
        <v>21</v>
      </c>
      <c r="N217" s="18">
        <v>61612.0</v>
      </c>
      <c r="O217" s="29"/>
      <c r="P217" s="29"/>
      <c r="Q217" s="29"/>
      <c r="R217" s="29"/>
      <c r="S217" s="29"/>
      <c r="T217" s="29"/>
      <c r="U217" s="29"/>
      <c r="V217" s="29"/>
    </row>
    <row r="218" outlineLevel="1">
      <c r="A218" s="8">
        <v>227.0</v>
      </c>
      <c r="B218" s="9" t="s">
        <v>675</v>
      </c>
      <c r="C218" s="25" t="s">
        <v>676</v>
      </c>
      <c r="D218" s="26"/>
      <c r="E218" s="27"/>
      <c r="F218" s="27" t="s">
        <v>677</v>
      </c>
      <c r="G218" s="14" t="s">
        <v>29</v>
      </c>
      <c r="H218" s="18">
        <v>61611.0</v>
      </c>
      <c r="I218" s="14" t="s">
        <v>54</v>
      </c>
      <c r="J218" s="16" t="s">
        <v>19</v>
      </c>
      <c r="K218" s="17" t="s">
        <v>20</v>
      </c>
      <c r="L218" s="8" t="s">
        <v>21</v>
      </c>
      <c r="M218" s="8" t="s">
        <v>21</v>
      </c>
      <c r="N218" s="18">
        <v>61612.0</v>
      </c>
      <c r="O218" s="29"/>
      <c r="P218" s="29"/>
      <c r="Q218" s="29"/>
      <c r="R218" s="29"/>
      <c r="S218" s="29"/>
      <c r="T218" s="29"/>
      <c r="U218" s="29"/>
      <c r="V218" s="29"/>
    </row>
    <row r="219" outlineLevel="1">
      <c r="A219" s="8">
        <v>228.0</v>
      </c>
      <c r="B219" s="9" t="s">
        <v>678</v>
      </c>
      <c r="C219" s="25" t="s">
        <v>679</v>
      </c>
      <c r="D219" s="26"/>
      <c r="E219" s="27"/>
      <c r="F219" s="27"/>
      <c r="G219" s="14" t="s">
        <v>29</v>
      </c>
      <c r="H219" s="18">
        <v>61611.0</v>
      </c>
      <c r="I219" s="14" t="s">
        <v>30</v>
      </c>
      <c r="J219" s="16" t="s">
        <v>19</v>
      </c>
      <c r="K219" s="17" t="s">
        <v>20</v>
      </c>
      <c r="L219" s="8" t="s">
        <v>21</v>
      </c>
      <c r="M219" s="8" t="s">
        <v>21</v>
      </c>
      <c r="N219" s="18">
        <v>61612.0</v>
      </c>
      <c r="O219" s="29"/>
      <c r="P219" s="29"/>
      <c r="Q219" s="29"/>
      <c r="R219" s="29"/>
      <c r="S219" s="29"/>
      <c r="T219" s="29"/>
      <c r="U219" s="29"/>
      <c r="V219" s="29"/>
    </row>
    <row r="220" outlineLevel="1">
      <c r="A220" s="8">
        <v>229.0</v>
      </c>
      <c r="B220" s="9" t="s">
        <v>680</v>
      </c>
      <c r="C220" s="25" t="s">
        <v>681</v>
      </c>
      <c r="D220" s="26"/>
      <c r="E220" s="27"/>
      <c r="F220" s="27" t="s">
        <v>682</v>
      </c>
      <c r="G220" s="14" t="s">
        <v>29</v>
      </c>
      <c r="H220" s="18">
        <v>61611.0</v>
      </c>
      <c r="I220" s="14" t="s">
        <v>80</v>
      </c>
      <c r="J220" s="16" t="s">
        <v>19</v>
      </c>
      <c r="K220" s="17" t="s">
        <v>20</v>
      </c>
      <c r="L220" s="8" t="s">
        <v>21</v>
      </c>
      <c r="M220" s="8" t="s">
        <v>21</v>
      </c>
      <c r="N220" s="18">
        <v>61612.0</v>
      </c>
      <c r="O220" s="29"/>
      <c r="P220" s="29"/>
      <c r="Q220" s="29"/>
      <c r="R220" s="29"/>
      <c r="S220" s="29"/>
      <c r="T220" s="29"/>
      <c r="U220" s="29"/>
      <c r="V220" s="29"/>
    </row>
    <row r="221" outlineLevel="1">
      <c r="A221" s="8">
        <v>230.0</v>
      </c>
      <c r="B221" s="9" t="s">
        <v>683</v>
      </c>
      <c r="C221" s="25" t="s">
        <v>684</v>
      </c>
      <c r="D221" s="26" t="s">
        <v>685</v>
      </c>
      <c r="E221" s="27">
        <v>2.05548026478E11</v>
      </c>
      <c r="F221" s="27"/>
      <c r="G221" s="14" t="s">
        <v>17</v>
      </c>
      <c r="H221" s="18">
        <v>61612.0</v>
      </c>
      <c r="I221" s="14" t="s">
        <v>38</v>
      </c>
      <c r="J221" s="16" t="s">
        <v>19</v>
      </c>
      <c r="K221" s="17" t="s">
        <v>20</v>
      </c>
      <c r="L221" s="8" t="s">
        <v>21</v>
      </c>
      <c r="M221" s="8" t="s">
        <v>21</v>
      </c>
      <c r="N221" s="18">
        <v>61613.0</v>
      </c>
      <c r="O221" s="29"/>
      <c r="P221" s="29"/>
      <c r="Q221" s="29"/>
      <c r="R221" s="29"/>
      <c r="S221" s="29"/>
      <c r="T221" s="29"/>
      <c r="U221" s="29"/>
      <c r="V221" s="29"/>
    </row>
    <row r="222" outlineLevel="1">
      <c r="A222" s="8">
        <v>231.0</v>
      </c>
      <c r="B222" s="9" t="s">
        <v>686</v>
      </c>
      <c r="C222" s="25" t="s">
        <v>687</v>
      </c>
      <c r="D222" s="26"/>
      <c r="E222" s="27"/>
      <c r="F222" s="27" t="s">
        <v>688</v>
      </c>
      <c r="G222" s="14" t="s">
        <v>29</v>
      </c>
      <c r="H222" s="18">
        <v>61612.0</v>
      </c>
      <c r="I222" s="14" t="s">
        <v>689</v>
      </c>
      <c r="J222" s="16" t="s">
        <v>19</v>
      </c>
      <c r="K222" s="17" t="s">
        <v>20</v>
      </c>
      <c r="L222" s="8" t="s">
        <v>21</v>
      </c>
      <c r="M222" s="8" t="s">
        <v>21</v>
      </c>
      <c r="N222" s="18">
        <v>61613.0</v>
      </c>
      <c r="O222" s="29"/>
      <c r="P222" s="29"/>
      <c r="Q222" s="29"/>
      <c r="R222" s="29"/>
      <c r="S222" s="29"/>
      <c r="T222" s="29"/>
      <c r="U222" s="29"/>
      <c r="V222" s="29"/>
    </row>
    <row r="223" outlineLevel="1">
      <c r="A223" s="8">
        <v>232.0</v>
      </c>
      <c r="B223" s="9" t="s">
        <v>690</v>
      </c>
      <c r="C223" s="25" t="s">
        <v>691</v>
      </c>
      <c r="D223" s="26" t="s">
        <v>692</v>
      </c>
      <c r="E223" s="27">
        <v>1.07551000231E11</v>
      </c>
      <c r="F223" s="27"/>
      <c r="G223" s="14" t="s">
        <v>17</v>
      </c>
      <c r="H223" s="18">
        <v>61612.0</v>
      </c>
      <c r="I223" s="14" t="s">
        <v>64</v>
      </c>
      <c r="J223" s="16" t="s">
        <v>19</v>
      </c>
      <c r="K223" s="17" t="s">
        <v>20</v>
      </c>
      <c r="L223" s="8" t="s">
        <v>21</v>
      </c>
      <c r="M223" s="8" t="s">
        <v>21</v>
      </c>
      <c r="N223" s="18">
        <v>61613.0</v>
      </c>
      <c r="O223" s="29"/>
      <c r="P223" s="29"/>
      <c r="Q223" s="29"/>
      <c r="R223" s="29"/>
      <c r="S223" s="29"/>
      <c r="T223" s="29"/>
      <c r="U223" s="29"/>
      <c r="V223" s="29"/>
    </row>
    <row r="224" outlineLevel="1">
      <c r="A224" s="8">
        <v>233.0</v>
      </c>
      <c r="B224" s="9" t="s">
        <v>693</v>
      </c>
      <c r="C224" s="25" t="s">
        <v>694</v>
      </c>
      <c r="D224" s="26"/>
      <c r="E224" s="27"/>
      <c r="F224" s="27" t="s">
        <v>695</v>
      </c>
      <c r="G224" s="14" t="s">
        <v>17</v>
      </c>
      <c r="H224" s="18">
        <v>61612.0</v>
      </c>
      <c r="I224" s="14" t="s">
        <v>232</v>
      </c>
      <c r="J224" s="16" t="s">
        <v>19</v>
      </c>
      <c r="K224" s="17" t="s">
        <v>20</v>
      </c>
      <c r="L224" s="8" t="s">
        <v>21</v>
      </c>
      <c r="M224" s="8" t="s">
        <v>21</v>
      </c>
      <c r="N224" s="18">
        <v>61613.0</v>
      </c>
      <c r="O224" s="29"/>
      <c r="P224" s="29"/>
      <c r="Q224" s="29"/>
      <c r="R224" s="29"/>
      <c r="S224" s="29"/>
      <c r="T224" s="29"/>
      <c r="U224" s="29"/>
      <c r="V224" s="29"/>
    </row>
    <row r="225" outlineLevel="1">
      <c r="A225" s="8">
        <v>234.0</v>
      </c>
      <c r="B225" s="9" t="s">
        <v>696</v>
      </c>
      <c r="C225" s="25" t="s">
        <v>697</v>
      </c>
      <c r="D225" s="26" t="s">
        <v>698</v>
      </c>
      <c r="E225" s="27">
        <v>1.35557010539E11</v>
      </c>
      <c r="F225" s="27"/>
      <c r="G225" s="14" t="s">
        <v>17</v>
      </c>
      <c r="H225" s="18">
        <v>61612.0</v>
      </c>
      <c r="I225" s="14" t="s">
        <v>18</v>
      </c>
      <c r="J225" s="16" t="s">
        <v>19</v>
      </c>
      <c r="K225" s="17" t="s">
        <v>20</v>
      </c>
      <c r="L225" s="8" t="s">
        <v>21</v>
      </c>
      <c r="M225" s="8" t="s">
        <v>21</v>
      </c>
      <c r="N225" s="18">
        <v>61613.0</v>
      </c>
      <c r="O225" s="29"/>
      <c r="P225" s="29"/>
      <c r="Q225" s="29"/>
      <c r="R225" s="29"/>
      <c r="S225" s="29"/>
      <c r="T225" s="29"/>
      <c r="U225" s="29"/>
      <c r="V225" s="29"/>
    </row>
    <row r="226" outlineLevel="1">
      <c r="A226" s="8">
        <v>235.0</v>
      </c>
      <c r="B226" s="9" t="s">
        <v>699</v>
      </c>
      <c r="C226" s="25" t="s">
        <v>700</v>
      </c>
      <c r="D226" s="26" t="s">
        <v>701</v>
      </c>
      <c r="E226" s="27">
        <v>4.15554000955E11</v>
      </c>
      <c r="F226" s="27"/>
      <c r="G226" s="14" t="s">
        <v>29</v>
      </c>
      <c r="H226" s="18">
        <v>61612.0</v>
      </c>
      <c r="I226" s="14" t="s">
        <v>50</v>
      </c>
      <c r="J226" s="16" t="s">
        <v>19</v>
      </c>
      <c r="K226" s="17" t="s">
        <v>20</v>
      </c>
      <c r="L226" s="8" t="s">
        <v>21</v>
      </c>
      <c r="M226" s="8" t="s">
        <v>21</v>
      </c>
      <c r="N226" s="18">
        <v>61613.0</v>
      </c>
      <c r="O226" s="29"/>
      <c r="P226" s="29"/>
      <c r="Q226" s="29"/>
      <c r="R226" s="29"/>
      <c r="S226" s="29"/>
      <c r="T226" s="29"/>
      <c r="U226" s="29"/>
      <c r="V226" s="29"/>
    </row>
    <row r="227" outlineLevel="1">
      <c r="A227" s="8">
        <v>236.0</v>
      </c>
      <c r="B227" s="9" t="s">
        <v>702</v>
      </c>
      <c r="C227" s="25" t="s">
        <v>703</v>
      </c>
      <c r="D227" s="26" t="s">
        <v>704</v>
      </c>
      <c r="E227" s="27">
        <v>1.15556014913E11</v>
      </c>
      <c r="F227" s="27"/>
      <c r="G227" s="14" t="s">
        <v>17</v>
      </c>
      <c r="H227" s="18">
        <v>61613.0</v>
      </c>
      <c r="I227" s="14" t="s">
        <v>30</v>
      </c>
      <c r="J227" s="16" t="s">
        <v>19</v>
      </c>
      <c r="K227" s="17" t="s">
        <v>20</v>
      </c>
      <c r="L227" s="8" t="s">
        <v>21</v>
      </c>
      <c r="M227" s="8" t="s">
        <v>21</v>
      </c>
      <c r="N227" s="18">
        <v>61614.0</v>
      </c>
      <c r="O227" s="29"/>
      <c r="P227" s="29"/>
      <c r="Q227" s="29"/>
      <c r="R227" s="29"/>
      <c r="S227" s="29"/>
      <c r="T227" s="29"/>
      <c r="U227" s="29"/>
      <c r="V227" s="29"/>
    </row>
    <row r="228" outlineLevel="1">
      <c r="A228" s="8">
        <v>237.0</v>
      </c>
      <c r="B228" s="9" t="s">
        <v>705</v>
      </c>
      <c r="C228" s="25" t="s">
        <v>706</v>
      </c>
      <c r="D228" s="26" t="s">
        <v>707</v>
      </c>
      <c r="E228" s="27">
        <v>4.15558001425E11</v>
      </c>
      <c r="F228" s="27"/>
      <c r="G228" s="14" t="s">
        <v>17</v>
      </c>
      <c r="H228" s="18">
        <v>61613.0</v>
      </c>
      <c r="I228" s="14" t="s">
        <v>88</v>
      </c>
      <c r="J228" s="16" t="s">
        <v>19</v>
      </c>
      <c r="K228" s="17" t="s">
        <v>20</v>
      </c>
      <c r="L228" s="8" t="s">
        <v>21</v>
      </c>
      <c r="M228" s="8" t="s">
        <v>21</v>
      </c>
      <c r="N228" s="18">
        <v>61614.0</v>
      </c>
      <c r="O228" s="29"/>
      <c r="P228" s="29"/>
      <c r="Q228" s="29"/>
      <c r="R228" s="29"/>
      <c r="S228" s="29"/>
      <c r="T228" s="29"/>
      <c r="U228" s="29"/>
      <c r="V228" s="29"/>
    </row>
    <row r="229" outlineLevel="1">
      <c r="A229" s="8">
        <v>238.0</v>
      </c>
      <c r="B229" s="9" t="s">
        <v>708</v>
      </c>
      <c r="C229" s="25" t="s">
        <v>709</v>
      </c>
      <c r="D229" s="26"/>
      <c r="E229" s="27"/>
      <c r="F229" s="27" t="s">
        <v>710</v>
      </c>
      <c r="G229" s="14" t="s">
        <v>29</v>
      </c>
      <c r="H229" s="18">
        <v>61613.0</v>
      </c>
      <c r="I229" s="14" t="s">
        <v>54</v>
      </c>
      <c r="J229" s="16" t="s">
        <v>19</v>
      </c>
      <c r="K229" s="17" t="s">
        <v>20</v>
      </c>
      <c r="L229" s="8" t="s">
        <v>21</v>
      </c>
      <c r="M229" s="8" t="s">
        <v>21</v>
      </c>
      <c r="N229" s="18">
        <v>61614.0</v>
      </c>
      <c r="O229" s="29"/>
      <c r="P229" s="29"/>
      <c r="Q229" s="29"/>
      <c r="R229" s="29"/>
      <c r="S229" s="29"/>
      <c r="T229" s="29"/>
      <c r="U229" s="29"/>
      <c r="V229" s="29"/>
    </row>
    <row r="230" outlineLevel="1">
      <c r="A230" s="8">
        <v>239.0</v>
      </c>
      <c r="B230" s="9" t="s">
        <v>711</v>
      </c>
      <c r="C230" s="25" t="s">
        <v>712</v>
      </c>
      <c r="D230" s="26"/>
      <c r="E230" s="27"/>
      <c r="F230" s="27" t="s">
        <v>713</v>
      </c>
      <c r="G230" s="14" t="s">
        <v>29</v>
      </c>
      <c r="H230" s="18">
        <v>61613.0</v>
      </c>
      <c r="I230" s="14" t="s">
        <v>95</v>
      </c>
      <c r="J230" s="16" t="s">
        <v>19</v>
      </c>
      <c r="K230" s="17" t="s">
        <v>20</v>
      </c>
      <c r="L230" s="8" t="s">
        <v>21</v>
      </c>
      <c r="M230" s="8" t="s">
        <v>21</v>
      </c>
      <c r="N230" s="18">
        <v>61614.0</v>
      </c>
      <c r="O230" s="29"/>
      <c r="P230" s="29"/>
      <c r="Q230" s="29"/>
      <c r="R230" s="29"/>
      <c r="S230" s="29"/>
      <c r="T230" s="29"/>
      <c r="U230" s="29"/>
      <c r="V230" s="29"/>
    </row>
    <row r="231" outlineLevel="1">
      <c r="A231" s="8">
        <v>240.0</v>
      </c>
      <c r="B231" s="9" t="s">
        <v>714</v>
      </c>
      <c r="C231" s="25" t="s">
        <v>715</v>
      </c>
      <c r="D231" s="26" t="s">
        <v>716</v>
      </c>
      <c r="E231" s="27">
        <v>1.05558096445E11</v>
      </c>
      <c r="F231" s="27"/>
      <c r="G231" s="14" t="s">
        <v>29</v>
      </c>
      <c r="H231" s="18">
        <v>61613.0</v>
      </c>
      <c r="I231" s="14" t="s">
        <v>34</v>
      </c>
      <c r="J231" s="16" t="s">
        <v>19</v>
      </c>
      <c r="K231" s="17" t="s">
        <v>20</v>
      </c>
      <c r="L231" s="8" t="s">
        <v>21</v>
      </c>
      <c r="M231" s="8" t="s">
        <v>21</v>
      </c>
      <c r="N231" s="18">
        <v>61614.0</v>
      </c>
      <c r="O231" s="29"/>
      <c r="P231" s="29"/>
      <c r="Q231" s="29"/>
      <c r="R231" s="29"/>
      <c r="S231" s="29"/>
      <c r="T231" s="29"/>
      <c r="U231" s="29"/>
      <c r="V231" s="29"/>
    </row>
    <row r="232" outlineLevel="1">
      <c r="A232" s="8">
        <v>241.0</v>
      </c>
      <c r="B232" s="9" t="s">
        <v>717</v>
      </c>
      <c r="C232" s="25" t="s">
        <v>718</v>
      </c>
      <c r="D232" s="26"/>
      <c r="E232" s="27"/>
      <c r="F232" s="27" t="s">
        <v>293</v>
      </c>
      <c r="G232" s="14" t="s">
        <v>17</v>
      </c>
      <c r="H232" s="18">
        <v>61613.0</v>
      </c>
      <c r="I232" s="14" t="s">
        <v>101</v>
      </c>
      <c r="J232" s="16" t="s">
        <v>19</v>
      </c>
      <c r="K232" s="17" t="s">
        <v>20</v>
      </c>
      <c r="L232" s="8" t="s">
        <v>21</v>
      </c>
      <c r="M232" s="8" t="s">
        <v>21</v>
      </c>
      <c r="N232" s="18">
        <v>61614.0</v>
      </c>
      <c r="O232" s="29"/>
      <c r="P232" s="29"/>
      <c r="Q232" s="29"/>
      <c r="R232" s="29"/>
      <c r="S232" s="29"/>
      <c r="T232" s="29"/>
      <c r="U232" s="29"/>
      <c r="V232" s="29"/>
    </row>
    <row r="233" outlineLevel="1">
      <c r="A233" s="8">
        <v>242.0</v>
      </c>
      <c r="B233" s="9" t="s">
        <v>719</v>
      </c>
      <c r="C233" s="25" t="s">
        <v>720</v>
      </c>
      <c r="D233" s="26" t="s">
        <v>721</v>
      </c>
      <c r="E233" s="27">
        <v>7.05541000266E11</v>
      </c>
      <c r="F233" s="27"/>
      <c r="G233" s="14" t="s">
        <v>29</v>
      </c>
      <c r="H233" s="18">
        <v>61614.0</v>
      </c>
      <c r="I233" s="14" t="s">
        <v>30</v>
      </c>
      <c r="J233" s="16" t="s">
        <v>19</v>
      </c>
      <c r="K233" s="17" t="s">
        <v>20</v>
      </c>
      <c r="L233" s="8" t="s">
        <v>21</v>
      </c>
      <c r="M233" s="8" t="s">
        <v>21</v>
      </c>
      <c r="N233" s="18">
        <v>61615.0</v>
      </c>
      <c r="O233" s="29"/>
      <c r="P233" s="29"/>
      <c r="Q233" s="29"/>
      <c r="R233" s="29"/>
      <c r="S233" s="29"/>
      <c r="T233" s="29"/>
      <c r="U233" s="29"/>
      <c r="V233" s="29"/>
    </row>
    <row r="234" outlineLevel="1">
      <c r="A234" s="8">
        <v>243.0</v>
      </c>
      <c r="B234" s="9" t="s">
        <v>722</v>
      </c>
      <c r="C234" s="25" t="s">
        <v>723</v>
      </c>
      <c r="D234" s="26"/>
      <c r="E234" s="27"/>
      <c r="F234" s="27" t="s">
        <v>724</v>
      </c>
      <c r="G234" s="14" t="s">
        <v>17</v>
      </c>
      <c r="H234" s="18">
        <v>61614.0</v>
      </c>
      <c r="I234" s="14" t="s">
        <v>38</v>
      </c>
      <c r="J234" s="16" t="s">
        <v>19</v>
      </c>
      <c r="K234" s="17" t="s">
        <v>20</v>
      </c>
      <c r="L234" s="8" t="s">
        <v>21</v>
      </c>
      <c r="M234" s="8" t="s">
        <v>21</v>
      </c>
      <c r="N234" s="18">
        <v>61615.0</v>
      </c>
      <c r="O234" s="29"/>
      <c r="P234" s="29"/>
      <c r="Q234" s="29"/>
      <c r="R234" s="29"/>
      <c r="S234" s="29"/>
      <c r="T234" s="29"/>
      <c r="U234" s="29"/>
      <c r="V234" s="29"/>
    </row>
    <row r="235" outlineLevel="1">
      <c r="A235" s="8">
        <v>244.0</v>
      </c>
      <c r="B235" s="9" t="s">
        <v>725</v>
      </c>
      <c r="C235" s="25" t="s">
        <v>726</v>
      </c>
      <c r="D235" s="26"/>
      <c r="E235" s="27"/>
      <c r="F235" s="27" t="s">
        <v>587</v>
      </c>
      <c r="G235" s="14" t="s">
        <v>17</v>
      </c>
      <c r="H235" s="18">
        <v>61614.0</v>
      </c>
      <c r="I235" s="14" t="s">
        <v>111</v>
      </c>
      <c r="J235" s="16" t="s">
        <v>19</v>
      </c>
      <c r="K235" s="17" t="s">
        <v>20</v>
      </c>
      <c r="L235" s="8" t="s">
        <v>21</v>
      </c>
      <c r="M235" s="8" t="s">
        <v>21</v>
      </c>
      <c r="N235" s="18">
        <v>61615.0</v>
      </c>
      <c r="O235" s="29"/>
      <c r="P235" s="29"/>
      <c r="Q235" s="29"/>
      <c r="R235" s="29"/>
      <c r="S235" s="29"/>
      <c r="T235" s="29"/>
      <c r="U235" s="29"/>
      <c r="V235" s="29"/>
    </row>
    <row r="236" outlineLevel="1">
      <c r="A236" s="8">
        <v>245.0</v>
      </c>
      <c r="B236" s="9" t="s">
        <v>727</v>
      </c>
      <c r="C236" s="25" t="s">
        <v>728</v>
      </c>
      <c r="D236" s="26"/>
      <c r="E236" s="27"/>
      <c r="F236" s="27"/>
      <c r="G236" s="14" t="s">
        <v>17</v>
      </c>
      <c r="H236" s="18">
        <v>61614.0</v>
      </c>
      <c r="I236" s="14" t="s">
        <v>50</v>
      </c>
      <c r="J236" s="16" t="s">
        <v>19</v>
      </c>
      <c r="K236" s="17" t="s">
        <v>20</v>
      </c>
      <c r="L236" s="8" t="s">
        <v>21</v>
      </c>
      <c r="M236" s="8" t="s">
        <v>21</v>
      </c>
      <c r="N236" s="18">
        <v>61615.0</v>
      </c>
      <c r="O236" s="29"/>
      <c r="P236" s="29"/>
      <c r="Q236" s="29"/>
      <c r="R236" s="29"/>
      <c r="S236" s="29"/>
      <c r="T236" s="29"/>
      <c r="U236" s="29"/>
      <c r="V236" s="29"/>
    </row>
    <row r="237" outlineLevel="1">
      <c r="A237" s="8">
        <v>246.0</v>
      </c>
      <c r="B237" s="9" t="s">
        <v>729</v>
      </c>
      <c r="C237" s="25" t="s">
        <v>730</v>
      </c>
      <c r="D237" s="26" t="s">
        <v>731</v>
      </c>
      <c r="E237" s="27">
        <v>4.15550000357E11</v>
      </c>
      <c r="F237" s="27"/>
      <c r="G237" s="14" t="s">
        <v>29</v>
      </c>
      <c r="H237" s="18">
        <v>61614.0</v>
      </c>
      <c r="I237" s="14" t="s">
        <v>50</v>
      </c>
      <c r="J237" s="16" t="s">
        <v>19</v>
      </c>
      <c r="K237" s="17" t="s">
        <v>20</v>
      </c>
      <c r="L237" s="8" t="s">
        <v>21</v>
      </c>
      <c r="M237" s="8" t="s">
        <v>21</v>
      </c>
      <c r="N237" s="18">
        <v>61615.0</v>
      </c>
      <c r="O237" s="29"/>
      <c r="P237" s="29"/>
      <c r="Q237" s="29"/>
      <c r="R237" s="29"/>
      <c r="S237" s="29"/>
      <c r="T237" s="29"/>
      <c r="U237" s="29"/>
      <c r="V237" s="29"/>
    </row>
    <row r="238" outlineLevel="1">
      <c r="A238" s="8">
        <v>247.0</v>
      </c>
      <c r="B238" s="9" t="s">
        <v>732</v>
      </c>
      <c r="C238" s="25" t="s">
        <v>733</v>
      </c>
      <c r="D238" s="26" t="s">
        <v>734</v>
      </c>
      <c r="E238" s="27">
        <v>5.05554001624E11</v>
      </c>
      <c r="F238" s="27"/>
      <c r="G238" s="14" t="s">
        <v>17</v>
      </c>
      <c r="H238" s="18">
        <v>61614.0</v>
      </c>
      <c r="I238" s="14" t="s">
        <v>54</v>
      </c>
      <c r="J238" s="16" t="s">
        <v>19</v>
      </c>
      <c r="K238" s="17" t="s">
        <v>20</v>
      </c>
      <c r="L238" s="8" t="s">
        <v>21</v>
      </c>
      <c r="M238" s="8" t="s">
        <v>21</v>
      </c>
      <c r="N238" s="18">
        <v>61615.0</v>
      </c>
      <c r="O238" s="29"/>
      <c r="P238" s="29"/>
      <c r="Q238" s="29"/>
      <c r="R238" s="29"/>
      <c r="S238" s="29"/>
      <c r="T238" s="29"/>
      <c r="U238" s="29"/>
      <c r="V238" s="29"/>
    </row>
    <row r="239" outlineLevel="1">
      <c r="A239" s="8">
        <v>248.0</v>
      </c>
      <c r="B239" s="9" t="s">
        <v>735</v>
      </c>
      <c r="C239" s="25" t="s">
        <v>736</v>
      </c>
      <c r="D239" s="26"/>
      <c r="E239" s="27"/>
      <c r="F239" s="27" t="s">
        <v>737</v>
      </c>
      <c r="G239" s="14" t="s">
        <v>17</v>
      </c>
      <c r="H239" s="18">
        <v>61615.0</v>
      </c>
      <c r="I239" s="14" t="s">
        <v>124</v>
      </c>
      <c r="J239" s="16" t="s">
        <v>19</v>
      </c>
      <c r="K239" s="17" t="s">
        <v>20</v>
      </c>
      <c r="L239" s="8" t="s">
        <v>21</v>
      </c>
      <c r="M239" s="8" t="s">
        <v>21</v>
      </c>
      <c r="N239" s="18">
        <v>61616.0</v>
      </c>
      <c r="O239" s="29"/>
      <c r="P239" s="29"/>
      <c r="Q239" s="29"/>
      <c r="R239" s="29"/>
      <c r="S239" s="29"/>
      <c r="T239" s="29"/>
      <c r="U239" s="29"/>
      <c r="V239" s="29"/>
    </row>
    <row r="240" outlineLevel="1">
      <c r="A240" s="8">
        <v>249.0</v>
      </c>
      <c r="B240" s="9" t="s">
        <v>738</v>
      </c>
      <c r="C240" s="25" t="s">
        <v>739</v>
      </c>
      <c r="D240" s="26"/>
      <c r="E240" s="27"/>
      <c r="F240" s="27" t="s">
        <v>740</v>
      </c>
      <c r="G240" s="14" t="s">
        <v>29</v>
      </c>
      <c r="H240" s="18">
        <v>61615.0</v>
      </c>
      <c r="I240" s="14" t="s">
        <v>80</v>
      </c>
      <c r="J240" s="16" t="s">
        <v>19</v>
      </c>
      <c r="K240" s="17" t="s">
        <v>20</v>
      </c>
      <c r="L240" s="8" t="s">
        <v>21</v>
      </c>
      <c r="M240" s="8" t="s">
        <v>21</v>
      </c>
      <c r="N240" s="18">
        <v>61616.0</v>
      </c>
      <c r="O240" s="29"/>
      <c r="P240" s="29"/>
      <c r="Q240" s="29"/>
      <c r="R240" s="29"/>
      <c r="S240" s="29"/>
      <c r="T240" s="29"/>
      <c r="U240" s="29"/>
      <c r="V240" s="29"/>
    </row>
    <row r="241" outlineLevel="1">
      <c r="A241" s="8">
        <v>250.0</v>
      </c>
      <c r="B241" s="9" t="s">
        <v>741</v>
      </c>
      <c r="C241" s="25" t="s">
        <v>742</v>
      </c>
      <c r="D241" s="26" t="s">
        <v>743</v>
      </c>
      <c r="E241" s="27">
        <v>7.455370008E11</v>
      </c>
      <c r="F241" s="27"/>
      <c r="G241" s="14" t="s">
        <v>29</v>
      </c>
      <c r="H241" s="18">
        <v>61615.0</v>
      </c>
      <c r="I241" s="14" t="s">
        <v>144</v>
      </c>
      <c r="J241" s="16" t="s">
        <v>19</v>
      </c>
      <c r="K241" s="17" t="s">
        <v>20</v>
      </c>
      <c r="L241" s="8" t="s">
        <v>21</v>
      </c>
      <c r="M241" s="8" t="s">
        <v>21</v>
      </c>
      <c r="N241" s="18">
        <v>61616.0</v>
      </c>
      <c r="O241" s="29"/>
      <c r="P241" s="29"/>
      <c r="Q241" s="29"/>
      <c r="R241" s="29"/>
      <c r="S241" s="29"/>
      <c r="T241" s="29"/>
      <c r="U241" s="29"/>
      <c r="V241" s="29"/>
    </row>
    <row r="242" outlineLevel="1">
      <c r="A242" s="8">
        <v>251.0</v>
      </c>
      <c r="B242" s="9" t="s">
        <v>744</v>
      </c>
      <c r="C242" s="25" t="s">
        <v>745</v>
      </c>
      <c r="D242" s="26" t="s">
        <v>746</v>
      </c>
      <c r="E242" s="27">
        <v>1.05536026878E11</v>
      </c>
      <c r="F242" s="27"/>
      <c r="G242" s="14" t="s">
        <v>29</v>
      </c>
      <c r="H242" s="18">
        <v>61615.0</v>
      </c>
      <c r="I242" s="14" t="s">
        <v>101</v>
      </c>
      <c r="J242" s="16" t="s">
        <v>19</v>
      </c>
      <c r="K242" s="17" t="s">
        <v>20</v>
      </c>
      <c r="L242" s="8" t="s">
        <v>21</v>
      </c>
      <c r="M242" s="8" t="s">
        <v>21</v>
      </c>
      <c r="N242" s="18">
        <v>61616.0</v>
      </c>
      <c r="O242" s="29"/>
      <c r="P242" s="29"/>
      <c r="Q242" s="29"/>
      <c r="R242" s="29"/>
      <c r="S242" s="29"/>
      <c r="T242" s="29"/>
      <c r="U242" s="29"/>
      <c r="V242" s="29"/>
    </row>
    <row r="243" outlineLevel="1">
      <c r="A243" s="8">
        <v>252.0</v>
      </c>
      <c r="B243" s="9" t="s">
        <v>747</v>
      </c>
      <c r="C243" s="25" t="s">
        <v>748</v>
      </c>
      <c r="D243" s="26" t="s">
        <v>749</v>
      </c>
      <c r="E243" s="27">
        <v>1.07551000053E11</v>
      </c>
      <c r="F243" s="27"/>
      <c r="G243" s="14" t="s">
        <v>17</v>
      </c>
      <c r="H243" s="18">
        <v>61615.0</v>
      </c>
      <c r="I243" s="14" t="s">
        <v>60</v>
      </c>
      <c r="J243" s="16" t="s">
        <v>19</v>
      </c>
      <c r="K243" s="17" t="s">
        <v>20</v>
      </c>
      <c r="L243" s="8" t="s">
        <v>21</v>
      </c>
      <c r="M243" s="8" t="s">
        <v>21</v>
      </c>
      <c r="N243" s="18">
        <v>61616.0</v>
      </c>
      <c r="O243" s="29"/>
      <c r="P243" s="29"/>
      <c r="Q243" s="29"/>
      <c r="R243" s="29"/>
      <c r="S243" s="29"/>
      <c r="T243" s="29"/>
      <c r="U243" s="29"/>
      <c r="V243" s="29"/>
    </row>
    <row r="244" outlineLevel="1">
      <c r="A244" s="8">
        <v>253.0</v>
      </c>
      <c r="B244" s="9" t="s">
        <v>750</v>
      </c>
      <c r="C244" s="25" t="s">
        <v>751</v>
      </c>
      <c r="D244" s="26"/>
      <c r="E244" s="27"/>
      <c r="F244" s="27" t="s">
        <v>752</v>
      </c>
      <c r="G244" s="14" t="s">
        <v>29</v>
      </c>
      <c r="H244" s="18">
        <v>61615.0</v>
      </c>
      <c r="I244" s="14" t="s">
        <v>335</v>
      </c>
      <c r="J244" s="16" t="s">
        <v>19</v>
      </c>
      <c r="K244" s="17" t="s">
        <v>20</v>
      </c>
      <c r="L244" s="8" t="s">
        <v>21</v>
      </c>
      <c r="M244" s="8" t="s">
        <v>21</v>
      </c>
      <c r="N244" s="18">
        <v>61616.0</v>
      </c>
      <c r="O244" s="29"/>
      <c r="P244" s="29"/>
      <c r="Q244" s="29"/>
      <c r="R244" s="29"/>
      <c r="S244" s="29"/>
      <c r="T244" s="29"/>
      <c r="U244" s="29"/>
      <c r="V244" s="29"/>
    </row>
    <row r="245" outlineLevel="1">
      <c r="A245" s="8">
        <v>254.0</v>
      </c>
      <c r="B245" s="9" t="s">
        <v>753</v>
      </c>
      <c r="C245" s="25" t="s">
        <v>754</v>
      </c>
      <c r="D245" s="26"/>
      <c r="E245" s="27"/>
      <c r="F245" s="27"/>
      <c r="G245" s="14" t="s">
        <v>17</v>
      </c>
      <c r="H245" s="18">
        <v>61615.0</v>
      </c>
      <c r="I245" s="14" t="s">
        <v>50</v>
      </c>
      <c r="J245" s="16" t="s">
        <v>19</v>
      </c>
      <c r="K245" s="17" t="s">
        <v>20</v>
      </c>
      <c r="L245" s="8" t="s">
        <v>21</v>
      </c>
      <c r="M245" s="8" t="s">
        <v>21</v>
      </c>
      <c r="N245" s="18">
        <v>61616.0</v>
      </c>
      <c r="O245" s="29"/>
      <c r="P245" s="29"/>
      <c r="Q245" s="29"/>
      <c r="R245" s="29"/>
      <c r="S245" s="29"/>
      <c r="T245" s="29"/>
      <c r="U245" s="29"/>
      <c r="V245" s="29"/>
    </row>
    <row r="246" outlineLevel="1">
      <c r="A246" s="8">
        <v>255.0</v>
      </c>
      <c r="B246" s="9" t="s">
        <v>755</v>
      </c>
      <c r="C246" s="25" t="s">
        <v>756</v>
      </c>
      <c r="D246" s="26"/>
      <c r="E246" s="27"/>
      <c r="F246" s="27"/>
      <c r="G246" s="14" t="s">
        <v>17</v>
      </c>
      <c r="H246" s="18">
        <v>61615.0</v>
      </c>
      <c r="I246" s="14" t="s">
        <v>38</v>
      </c>
      <c r="J246" s="16" t="s">
        <v>19</v>
      </c>
      <c r="K246" s="17" t="s">
        <v>20</v>
      </c>
      <c r="L246" s="8" t="s">
        <v>21</v>
      </c>
      <c r="M246" s="8" t="s">
        <v>21</v>
      </c>
      <c r="N246" s="18">
        <v>61616.0</v>
      </c>
      <c r="O246" s="29"/>
      <c r="P246" s="29"/>
      <c r="Q246" s="29"/>
      <c r="R246" s="29"/>
      <c r="S246" s="29"/>
      <c r="T246" s="29"/>
      <c r="U246" s="29"/>
      <c r="V246" s="29"/>
    </row>
    <row r="247" outlineLevel="1">
      <c r="A247" s="8">
        <v>256.0</v>
      </c>
      <c r="B247" s="9" t="s">
        <v>757</v>
      </c>
      <c r="C247" s="25" t="s">
        <v>758</v>
      </c>
      <c r="D247" s="26"/>
      <c r="E247" s="27"/>
      <c r="F247" s="27"/>
      <c r="G247" s="14" t="s">
        <v>17</v>
      </c>
      <c r="H247" s="18">
        <v>61616.0</v>
      </c>
      <c r="I247" s="14" t="s">
        <v>34</v>
      </c>
      <c r="J247" s="16" t="s">
        <v>19</v>
      </c>
      <c r="K247" s="17" t="s">
        <v>20</v>
      </c>
      <c r="L247" s="8" t="s">
        <v>21</v>
      </c>
      <c r="M247" s="8" t="s">
        <v>21</v>
      </c>
      <c r="N247" s="18">
        <v>61617.0</v>
      </c>
      <c r="O247" s="29"/>
      <c r="P247" s="29"/>
      <c r="Q247" s="29"/>
      <c r="R247" s="29"/>
      <c r="S247" s="29"/>
      <c r="T247" s="29"/>
      <c r="U247" s="29"/>
      <c r="V247" s="29"/>
    </row>
    <row r="248" outlineLevel="1">
      <c r="A248" s="8">
        <v>257.0</v>
      </c>
      <c r="B248" s="9" t="s">
        <v>759</v>
      </c>
      <c r="C248" s="25" t="s">
        <v>760</v>
      </c>
      <c r="D248" s="26"/>
      <c r="E248" s="27"/>
      <c r="F248" s="27" t="s">
        <v>761</v>
      </c>
      <c r="G248" s="14" t="s">
        <v>29</v>
      </c>
      <c r="H248" s="18">
        <v>61616.0</v>
      </c>
      <c r="I248" s="14" t="s">
        <v>38</v>
      </c>
      <c r="J248" s="16" t="s">
        <v>19</v>
      </c>
      <c r="K248" s="17" t="s">
        <v>20</v>
      </c>
      <c r="L248" s="8" t="s">
        <v>21</v>
      </c>
      <c r="M248" s="8" t="s">
        <v>21</v>
      </c>
      <c r="N248" s="18">
        <v>61617.0</v>
      </c>
      <c r="O248" s="29"/>
      <c r="P248" s="29"/>
      <c r="Q248" s="29"/>
      <c r="R248" s="29"/>
      <c r="S248" s="29"/>
      <c r="T248" s="29"/>
      <c r="U248" s="29"/>
      <c r="V248" s="29"/>
    </row>
    <row r="249" outlineLevel="1">
      <c r="A249" s="8">
        <v>258.0</v>
      </c>
      <c r="B249" s="9" t="s">
        <v>762</v>
      </c>
      <c r="C249" s="25" t="s">
        <v>763</v>
      </c>
      <c r="D249" s="26"/>
      <c r="E249" s="27"/>
      <c r="F249" s="27"/>
      <c r="G249" s="14" t="s">
        <v>17</v>
      </c>
      <c r="H249" s="18">
        <v>61616.0</v>
      </c>
      <c r="I249" s="14" t="s">
        <v>80</v>
      </c>
      <c r="J249" s="16" t="s">
        <v>19</v>
      </c>
      <c r="K249" s="17" t="s">
        <v>20</v>
      </c>
      <c r="L249" s="8" t="s">
        <v>21</v>
      </c>
      <c r="M249" s="8" t="s">
        <v>21</v>
      </c>
      <c r="N249" s="18">
        <v>61617.0</v>
      </c>
      <c r="O249" s="29"/>
      <c r="P249" s="29"/>
      <c r="Q249" s="29"/>
      <c r="R249" s="29"/>
      <c r="S249" s="29"/>
      <c r="T249" s="29"/>
      <c r="U249" s="29"/>
      <c r="V249" s="29"/>
    </row>
    <row r="250" outlineLevel="1">
      <c r="A250" s="8">
        <v>259.0</v>
      </c>
      <c r="B250" s="9" t="s">
        <v>764</v>
      </c>
      <c r="C250" s="25" t="s">
        <v>765</v>
      </c>
      <c r="D250" s="26"/>
      <c r="E250" s="27"/>
      <c r="F250" s="27"/>
      <c r="G250" s="14" t="s">
        <v>17</v>
      </c>
      <c r="H250" s="18">
        <v>61616.0</v>
      </c>
      <c r="I250" s="14" t="s">
        <v>454</v>
      </c>
      <c r="J250" s="16" t="s">
        <v>19</v>
      </c>
      <c r="K250" s="17" t="s">
        <v>20</v>
      </c>
      <c r="L250" s="8" t="s">
        <v>21</v>
      </c>
      <c r="M250" s="8" t="s">
        <v>21</v>
      </c>
      <c r="N250" s="18">
        <v>61617.0</v>
      </c>
      <c r="O250" s="29"/>
      <c r="P250" s="29"/>
      <c r="Q250" s="29"/>
      <c r="R250" s="29"/>
      <c r="S250" s="29"/>
      <c r="T250" s="29"/>
      <c r="U250" s="29"/>
      <c r="V250" s="29"/>
    </row>
    <row r="251" outlineLevel="1">
      <c r="A251" s="8">
        <v>260.0</v>
      </c>
      <c r="B251" s="9" t="s">
        <v>766</v>
      </c>
      <c r="C251" s="25" t="s">
        <v>767</v>
      </c>
      <c r="D251" s="26"/>
      <c r="E251" s="27"/>
      <c r="F251" s="27"/>
      <c r="G251" s="14" t="s">
        <v>29</v>
      </c>
      <c r="H251" s="18">
        <v>61616.0</v>
      </c>
      <c r="I251" s="14" t="s">
        <v>50</v>
      </c>
      <c r="J251" s="16" t="s">
        <v>19</v>
      </c>
      <c r="K251" s="17" t="s">
        <v>20</v>
      </c>
      <c r="L251" s="8" t="s">
        <v>21</v>
      </c>
      <c r="M251" s="8" t="s">
        <v>21</v>
      </c>
      <c r="N251" s="18">
        <v>61617.0</v>
      </c>
      <c r="O251" s="29"/>
      <c r="P251" s="29"/>
      <c r="Q251" s="29"/>
      <c r="R251" s="29"/>
      <c r="S251" s="29"/>
      <c r="T251" s="29"/>
      <c r="U251" s="29"/>
      <c r="V251" s="29"/>
    </row>
    <row r="252" outlineLevel="1">
      <c r="A252" s="8">
        <v>261.0</v>
      </c>
      <c r="B252" s="9" t="s">
        <v>768</v>
      </c>
      <c r="C252" s="25" t="s">
        <v>769</v>
      </c>
      <c r="D252" s="26"/>
      <c r="E252" s="27"/>
      <c r="F252" s="27" t="s">
        <v>770</v>
      </c>
      <c r="G252" s="14" t="s">
        <v>29</v>
      </c>
      <c r="H252" s="18">
        <v>61616.0</v>
      </c>
      <c r="I252" s="14" t="s">
        <v>30</v>
      </c>
      <c r="J252" s="16" t="s">
        <v>19</v>
      </c>
      <c r="K252" s="17" t="s">
        <v>20</v>
      </c>
      <c r="L252" s="8" t="s">
        <v>21</v>
      </c>
      <c r="M252" s="8" t="s">
        <v>21</v>
      </c>
      <c r="N252" s="18">
        <v>61617.0</v>
      </c>
      <c r="O252" s="29"/>
      <c r="P252" s="29"/>
      <c r="Q252" s="29"/>
      <c r="R252" s="29"/>
      <c r="S252" s="29"/>
      <c r="T252" s="29"/>
      <c r="U252" s="29"/>
      <c r="V252" s="29"/>
    </row>
    <row r="253" outlineLevel="1">
      <c r="A253" s="8">
        <v>262.0</v>
      </c>
      <c r="B253" s="9" t="s">
        <v>771</v>
      </c>
      <c r="C253" s="25" t="s">
        <v>772</v>
      </c>
      <c r="D253" s="26"/>
      <c r="E253" s="27"/>
      <c r="F253" s="27" t="s">
        <v>773</v>
      </c>
      <c r="G253" s="14" t="s">
        <v>29</v>
      </c>
      <c r="H253" s="18">
        <v>61616.0</v>
      </c>
      <c r="I253" s="14" t="s">
        <v>50</v>
      </c>
      <c r="J253" s="16" t="s">
        <v>19</v>
      </c>
      <c r="K253" s="17" t="s">
        <v>20</v>
      </c>
      <c r="L253" s="8" t="s">
        <v>21</v>
      </c>
      <c r="M253" s="8" t="s">
        <v>21</v>
      </c>
      <c r="N253" s="18">
        <v>61617.0</v>
      </c>
      <c r="O253" s="29"/>
      <c r="P253" s="29"/>
      <c r="Q253" s="29"/>
      <c r="R253" s="29"/>
      <c r="S253" s="29"/>
      <c r="T253" s="29"/>
      <c r="U253" s="29"/>
      <c r="V253" s="29"/>
    </row>
    <row r="254" outlineLevel="1">
      <c r="A254" s="8">
        <v>263.0</v>
      </c>
      <c r="B254" s="9" t="s">
        <v>774</v>
      </c>
      <c r="C254" s="25" t="s">
        <v>775</v>
      </c>
      <c r="D254" s="26" t="s">
        <v>776</v>
      </c>
      <c r="E254" s="27">
        <v>1.05533129722E11</v>
      </c>
      <c r="F254" s="27"/>
      <c r="G254" s="14" t="s">
        <v>17</v>
      </c>
      <c r="H254" s="18">
        <v>61616.0</v>
      </c>
      <c r="I254" s="14" t="s">
        <v>467</v>
      </c>
      <c r="J254" s="16" t="s">
        <v>19</v>
      </c>
      <c r="K254" s="17" t="s">
        <v>20</v>
      </c>
      <c r="L254" s="8" t="s">
        <v>21</v>
      </c>
      <c r="M254" s="8" t="s">
        <v>21</v>
      </c>
      <c r="N254" s="18">
        <v>61617.0</v>
      </c>
      <c r="O254" s="29"/>
      <c r="P254" s="29"/>
      <c r="Q254" s="29"/>
      <c r="R254" s="29"/>
      <c r="S254" s="29"/>
      <c r="T254" s="29"/>
      <c r="U254" s="29"/>
      <c r="V254" s="29"/>
    </row>
    <row r="255" outlineLevel="1">
      <c r="A255" s="8">
        <v>264.0</v>
      </c>
      <c r="B255" s="9" t="s">
        <v>777</v>
      </c>
      <c r="C255" s="25" t="s">
        <v>778</v>
      </c>
      <c r="D255" s="26" t="s">
        <v>779</v>
      </c>
      <c r="E255" s="27">
        <v>4.15566003504E11</v>
      </c>
      <c r="F255" s="27"/>
      <c r="G255" s="14" t="s">
        <v>29</v>
      </c>
      <c r="H255" s="18">
        <v>61616.0</v>
      </c>
      <c r="I255" s="14" t="s">
        <v>467</v>
      </c>
      <c r="J255" s="16" t="s">
        <v>19</v>
      </c>
      <c r="K255" s="17" t="s">
        <v>20</v>
      </c>
      <c r="L255" s="8" t="s">
        <v>21</v>
      </c>
      <c r="M255" s="8" t="s">
        <v>21</v>
      </c>
      <c r="N255" s="18">
        <v>61617.0</v>
      </c>
      <c r="O255" s="29"/>
      <c r="P255" s="29"/>
      <c r="Q255" s="29"/>
      <c r="R255" s="29"/>
      <c r="S255" s="29"/>
      <c r="T255" s="29"/>
      <c r="U255" s="29"/>
      <c r="V255" s="29"/>
    </row>
    <row r="256" outlineLevel="1">
      <c r="A256" s="8">
        <v>265.0</v>
      </c>
      <c r="B256" s="9" t="s">
        <v>780</v>
      </c>
      <c r="C256" s="25" t="s">
        <v>781</v>
      </c>
      <c r="D256" s="26" t="s">
        <v>782</v>
      </c>
      <c r="E256" s="27">
        <v>1.2356100242E11</v>
      </c>
      <c r="F256" s="27"/>
      <c r="G256" s="14" t="s">
        <v>17</v>
      </c>
      <c r="H256" s="18">
        <v>61617.0</v>
      </c>
      <c r="I256" s="14" t="s">
        <v>46</v>
      </c>
      <c r="J256" s="16" t="s">
        <v>19</v>
      </c>
      <c r="K256" s="17" t="s">
        <v>20</v>
      </c>
      <c r="L256" s="8" t="s">
        <v>21</v>
      </c>
      <c r="M256" s="8" t="s">
        <v>21</v>
      </c>
      <c r="N256" s="18">
        <v>61618.0</v>
      </c>
      <c r="O256" s="29"/>
      <c r="P256" s="29"/>
      <c r="Q256" s="29"/>
      <c r="R256" s="29"/>
      <c r="S256" s="29"/>
      <c r="T256" s="29"/>
      <c r="U256" s="29"/>
      <c r="V256" s="29"/>
    </row>
    <row r="257" outlineLevel="1">
      <c r="A257" s="8">
        <v>266.0</v>
      </c>
      <c r="B257" s="9" t="s">
        <v>783</v>
      </c>
      <c r="C257" s="25" t="s">
        <v>784</v>
      </c>
      <c r="D257" s="26"/>
      <c r="E257" s="27"/>
      <c r="F257" s="27" t="s">
        <v>785</v>
      </c>
      <c r="G257" s="14" t="s">
        <v>17</v>
      </c>
      <c r="H257" s="18">
        <v>61617.0</v>
      </c>
      <c r="I257" s="14" t="s">
        <v>38</v>
      </c>
      <c r="J257" s="16" t="s">
        <v>19</v>
      </c>
      <c r="K257" s="17" t="s">
        <v>20</v>
      </c>
      <c r="L257" s="8" t="s">
        <v>21</v>
      </c>
      <c r="M257" s="8" t="s">
        <v>21</v>
      </c>
      <c r="N257" s="18">
        <v>61618.0</v>
      </c>
      <c r="O257" s="29"/>
      <c r="P257" s="29"/>
      <c r="Q257" s="29"/>
      <c r="R257" s="29"/>
      <c r="S257" s="29"/>
      <c r="T257" s="29"/>
      <c r="U257" s="29"/>
      <c r="V257" s="29"/>
    </row>
    <row r="258" outlineLevel="1">
      <c r="A258" s="8">
        <v>267.0</v>
      </c>
      <c r="B258" s="9" t="s">
        <v>786</v>
      </c>
      <c r="C258" s="25" t="s">
        <v>787</v>
      </c>
      <c r="D258" s="26"/>
      <c r="E258" s="27"/>
      <c r="F258" s="27" t="s">
        <v>788</v>
      </c>
      <c r="G258" s="14" t="s">
        <v>17</v>
      </c>
      <c r="H258" s="18">
        <v>61617.0</v>
      </c>
      <c r="I258" s="14" t="s">
        <v>80</v>
      </c>
      <c r="J258" s="16" t="s">
        <v>19</v>
      </c>
      <c r="K258" s="17" t="s">
        <v>20</v>
      </c>
      <c r="L258" s="8" t="s">
        <v>21</v>
      </c>
      <c r="M258" s="8" t="s">
        <v>21</v>
      </c>
      <c r="N258" s="18">
        <v>61618.0</v>
      </c>
      <c r="O258" s="29"/>
      <c r="P258" s="29"/>
      <c r="Q258" s="29"/>
      <c r="R258" s="29"/>
      <c r="S258" s="29"/>
      <c r="T258" s="29"/>
      <c r="U258" s="29"/>
      <c r="V258" s="29"/>
    </row>
    <row r="259" outlineLevel="1">
      <c r="A259" s="8">
        <v>268.0</v>
      </c>
      <c r="B259" s="9" t="s">
        <v>789</v>
      </c>
      <c r="C259" s="25" t="s">
        <v>790</v>
      </c>
      <c r="D259" s="26"/>
      <c r="E259" s="27"/>
      <c r="F259" s="27" t="s">
        <v>682</v>
      </c>
      <c r="G259" s="14" t="s">
        <v>29</v>
      </c>
      <c r="H259" s="18">
        <v>61617.0</v>
      </c>
      <c r="I259" s="14" t="s">
        <v>232</v>
      </c>
      <c r="J259" s="16" t="s">
        <v>19</v>
      </c>
      <c r="K259" s="17" t="s">
        <v>20</v>
      </c>
      <c r="L259" s="8" t="s">
        <v>21</v>
      </c>
      <c r="M259" s="8" t="s">
        <v>21</v>
      </c>
      <c r="N259" s="18">
        <v>61618.0</v>
      </c>
      <c r="O259" s="29"/>
      <c r="P259" s="29"/>
      <c r="Q259" s="29"/>
      <c r="R259" s="29"/>
      <c r="S259" s="29"/>
      <c r="T259" s="29"/>
      <c r="U259" s="29"/>
      <c r="V259" s="29"/>
    </row>
    <row r="260" outlineLevel="1">
      <c r="A260" s="8">
        <v>269.0</v>
      </c>
      <c r="B260" s="9" t="s">
        <v>791</v>
      </c>
      <c r="C260" s="25" t="s">
        <v>792</v>
      </c>
      <c r="D260" s="26"/>
      <c r="E260" s="27"/>
      <c r="F260" s="27" t="s">
        <v>793</v>
      </c>
      <c r="G260" s="14" t="s">
        <v>17</v>
      </c>
      <c r="H260" s="18">
        <v>61617.0</v>
      </c>
      <c r="I260" s="14" t="s">
        <v>64</v>
      </c>
      <c r="J260" s="16" t="s">
        <v>19</v>
      </c>
      <c r="K260" s="17" t="s">
        <v>20</v>
      </c>
      <c r="L260" s="8" t="s">
        <v>21</v>
      </c>
      <c r="M260" s="8" t="s">
        <v>21</v>
      </c>
      <c r="N260" s="18">
        <v>61618.0</v>
      </c>
      <c r="O260" s="29"/>
      <c r="P260" s="29"/>
      <c r="Q260" s="29"/>
      <c r="R260" s="29"/>
      <c r="S260" s="29"/>
      <c r="T260" s="29"/>
      <c r="U260" s="29"/>
      <c r="V260" s="29"/>
    </row>
    <row r="261" outlineLevel="1">
      <c r="A261" s="8">
        <v>270.0</v>
      </c>
      <c r="B261" s="9" t="s">
        <v>794</v>
      </c>
      <c r="C261" s="25" t="s">
        <v>795</v>
      </c>
      <c r="D261" s="26"/>
      <c r="E261" s="27"/>
      <c r="F261" s="27" t="s">
        <v>796</v>
      </c>
      <c r="G261" s="14" t="s">
        <v>17</v>
      </c>
      <c r="H261" s="18">
        <v>61617.0</v>
      </c>
      <c r="I261" s="14" t="s">
        <v>80</v>
      </c>
      <c r="J261" s="16" t="s">
        <v>19</v>
      </c>
      <c r="K261" s="17" t="s">
        <v>20</v>
      </c>
      <c r="L261" s="8" t="s">
        <v>21</v>
      </c>
      <c r="M261" s="8" t="s">
        <v>21</v>
      </c>
      <c r="N261" s="18">
        <v>61618.0</v>
      </c>
      <c r="O261" s="29"/>
      <c r="P261" s="29"/>
      <c r="Q261" s="29"/>
      <c r="R261" s="29"/>
      <c r="S261" s="29"/>
      <c r="T261" s="29"/>
      <c r="U261" s="29"/>
      <c r="V261" s="29"/>
    </row>
    <row r="262" outlineLevel="1">
      <c r="A262" s="8">
        <v>271.0</v>
      </c>
      <c r="B262" s="9" t="s">
        <v>797</v>
      </c>
      <c r="C262" s="25" t="s">
        <v>798</v>
      </c>
      <c r="D262" s="26"/>
      <c r="E262" s="27"/>
      <c r="F262" s="27" t="s">
        <v>799</v>
      </c>
      <c r="G262" s="14" t="s">
        <v>29</v>
      </c>
      <c r="H262" s="18">
        <v>61617.0</v>
      </c>
      <c r="I262" s="14" t="s">
        <v>64</v>
      </c>
      <c r="J262" s="16" t="s">
        <v>19</v>
      </c>
      <c r="K262" s="17" t="s">
        <v>20</v>
      </c>
      <c r="L262" s="8" t="s">
        <v>21</v>
      </c>
      <c r="M262" s="8" t="s">
        <v>21</v>
      </c>
      <c r="N262" s="18">
        <v>61618.0</v>
      </c>
      <c r="O262" s="29"/>
      <c r="P262" s="29"/>
      <c r="Q262" s="29"/>
      <c r="R262" s="29"/>
      <c r="S262" s="29"/>
      <c r="T262" s="29"/>
      <c r="U262" s="29"/>
      <c r="V262" s="29"/>
    </row>
    <row r="263" outlineLevel="1">
      <c r="A263" s="8">
        <v>272.0</v>
      </c>
      <c r="B263" s="9" t="s">
        <v>800</v>
      </c>
      <c r="C263" s="25" t="s">
        <v>801</v>
      </c>
      <c r="D263" s="26"/>
      <c r="E263" s="27"/>
      <c r="F263" s="27" t="s">
        <v>802</v>
      </c>
      <c r="G263" s="14" t="s">
        <v>29</v>
      </c>
      <c r="H263" s="18">
        <v>61617.0</v>
      </c>
      <c r="I263" s="14" t="s">
        <v>101</v>
      </c>
      <c r="J263" s="16" t="s">
        <v>19</v>
      </c>
      <c r="K263" s="17" t="s">
        <v>20</v>
      </c>
      <c r="L263" s="8" t="s">
        <v>21</v>
      </c>
      <c r="M263" s="8" t="s">
        <v>21</v>
      </c>
      <c r="N263" s="18">
        <v>61618.0</v>
      </c>
      <c r="O263" s="29"/>
      <c r="P263" s="29"/>
      <c r="Q263" s="29"/>
      <c r="R263" s="29"/>
      <c r="S263" s="29"/>
      <c r="T263" s="29"/>
      <c r="U263" s="29"/>
      <c r="V263" s="29"/>
    </row>
    <row r="264" outlineLevel="1">
      <c r="A264" s="8">
        <v>273.0</v>
      </c>
      <c r="B264" s="9" t="s">
        <v>803</v>
      </c>
      <c r="C264" s="25" t="s">
        <v>804</v>
      </c>
      <c r="D264" s="26" t="s">
        <v>805</v>
      </c>
      <c r="E264" s="27">
        <v>1.25554018466E11</v>
      </c>
      <c r="F264" s="27"/>
      <c r="G264" s="14" t="s">
        <v>29</v>
      </c>
      <c r="H264" s="18">
        <v>61617.0</v>
      </c>
      <c r="I264" s="14" t="s">
        <v>34</v>
      </c>
      <c r="J264" s="16" t="s">
        <v>19</v>
      </c>
      <c r="K264" s="17" t="s">
        <v>20</v>
      </c>
      <c r="L264" s="8" t="s">
        <v>21</v>
      </c>
      <c r="M264" s="8" t="s">
        <v>21</v>
      </c>
      <c r="N264" s="18">
        <v>61618.0</v>
      </c>
      <c r="O264" s="29"/>
      <c r="P264" s="29"/>
      <c r="Q264" s="29"/>
      <c r="R264" s="29"/>
      <c r="S264" s="29"/>
      <c r="T264" s="29"/>
      <c r="U264" s="29"/>
      <c r="V264" s="29"/>
    </row>
    <row r="265" outlineLevel="1">
      <c r="A265" s="8">
        <v>274.0</v>
      </c>
      <c r="B265" s="9" t="s">
        <v>806</v>
      </c>
      <c r="C265" s="25" t="s">
        <v>807</v>
      </c>
      <c r="D265" s="26"/>
      <c r="E265" s="27"/>
      <c r="F265" s="27" t="s">
        <v>808</v>
      </c>
      <c r="G265" s="14" t="s">
        <v>17</v>
      </c>
      <c r="H265" s="18">
        <v>61618.0</v>
      </c>
      <c r="I265" s="14" t="s">
        <v>50</v>
      </c>
      <c r="J265" s="16" t="s">
        <v>19</v>
      </c>
      <c r="K265" s="17" t="s">
        <v>20</v>
      </c>
      <c r="L265" s="8" t="s">
        <v>21</v>
      </c>
      <c r="M265" s="8" t="s">
        <v>21</v>
      </c>
      <c r="N265" s="18">
        <v>61619.0</v>
      </c>
      <c r="O265" s="29"/>
      <c r="P265" s="29"/>
      <c r="Q265" s="29"/>
      <c r="R265" s="29"/>
      <c r="S265" s="29"/>
      <c r="T265" s="29"/>
      <c r="U265" s="29"/>
      <c r="V265" s="29"/>
    </row>
    <row r="266" outlineLevel="1">
      <c r="A266" s="8">
        <v>275.0</v>
      </c>
      <c r="B266" s="9" t="s">
        <v>809</v>
      </c>
      <c r="C266" s="25" t="s">
        <v>810</v>
      </c>
      <c r="D266" s="26"/>
      <c r="E266" s="27"/>
      <c r="F266" s="27" t="s">
        <v>811</v>
      </c>
      <c r="G266" s="14" t="s">
        <v>29</v>
      </c>
      <c r="H266" s="18">
        <v>61618.0</v>
      </c>
      <c r="I266" s="14" t="s">
        <v>30</v>
      </c>
      <c r="J266" s="16" t="s">
        <v>19</v>
      </c>
      <c r="K266" s="17" t="s">
        <v>20</v>
      </c>
      <c r="L266" s="8" t="s">
        <v>21</v>
      </c>
      <c r="M266" s="8" t="s">
        <v>21</v>
      </c>
      <c r="N266" s="18">
        <v>61619.0</v>
      </c>
      <c r="O266" s="29"/>
      <c r="P266" s="29"/>
      <c r="Q266" s="29"/>
      <c r="R266" s="29"/>
      <c r="S266" s="29"/>
      <c r="T266" s="29"/>
      <c r="U266" s="29"/>
      <c r="V266" s="29"/>
    </row>
    <row r="267" outlineLevel="1">
      <c r="A267" s="8">
        <v>276.0</v>
      </c>
      <c r="B267" s="9" t="s">
        <v>812</v>
      </c>
      <c r="C267" s="25" t="s">
        <v>813</v>
      </c>
      <c r="D267" s="26"/>
      <c r="E267" s="27"/>
      <c r="F267" s="27" t="s">
        <v>814</v>
      </c>
      <c r="G267" s="14" t="s">
        <v>17</v>
      </c>
      <c r="H267" s="18">
        <v>61618.0</v>
      </c>
      <c r="I267" s="14" t="s">
        <v>88</v>
      </c>
      <c r="J267" s="16" t="s">
        <v>19</v>
      </c>
      <c r="K267" s="17" t="s">
        <v>20</v>
      </c>
      <c r="L267" s="8" t="s">
        <v>21</v>
      </c>
      <c r="M267" s="8" t="s">
        <v>21</v>
      </c>
      <c r="N267" s="18">
        <v>61619.0</v>
      </c>
      <c r="O267" s="29"/>
      <c r="P267" s="29"/>
      <c r="Q267" s="29"/>
      <c r="R267" s="29"/>
      <c r="S267" s="29"/>
      <c r="T267" s="29"/>
      <c r="U267" s="29"/>
      <c r="V267" s="29"/>
    </row>
    <row r="268" outlineLevel="1">
      <c r="A268" s="8">
        <v>277.0</v>
      </c>
      <c r="B268" s="9" t="s">
        <v>815</v>
      </c>
      <c r="C268" s="25" t="s">
        <v>816</v>
      </c>
      <c r="D268" s="26"/>
      <c r="E268" s="27"/>
      <c r="F268" s="27" t="s">
        <v>817</v>
      </c>
      <c r="G268" s="14" t="s">
        <v>17</v>
      </c>
      <c r="H268" s="18">
        <v>61618.0</v>
      </c>
      <c r="I268" s="14" t="s">
        <v>38</v>
      </c>
      <c r="J268" s="16" t="s">
        <v>19</v>
      </c>
      <c r="K268" s="17" t="s">
        <v>20</v>
      </c>
      <c r="L268" s="8" t="s">
        <v>21</v>
      </c>
      <c r="M268" s="8" t="s">
        <v>21</v>
      </c>
      <c r="N268" s="18">
        <v>61619.0</v>
      </c>
      <c r="O268" s="29"/>
      <c r="P268" s="29"/>
      <c r="Q268" s="29"/>
      <c r="R268" s="29"/>
      <c r="S268" s="29"/>
      <c r="T268" s="29"/>
      <c r="U268" s="29"/>
      <c r="V268" s="29"/>
    </row>
    <row r="269" outlineLevel="1">
      <c r="A269" s="8">
        <v>278.0</v>
      </c>
      <c r="B269" s="9" t="s">
        <v>818</v>
      </c>
      <c r="C269" s="25" t="s">
        <v>819</v>
      </c>
      <c r="D269" s="26"/>
      <c r="E269" s="27"/>
      <c r="F269" s="27" t="s">
        <v>820</v>
      </c>
      <c r="G269" s="14" t="s">
        <v>17</v>
      </c>
      <c r="H269" s="18">
        <v>61618.0</v>
      </c>
      <c r="I269" s="14" t="s">
        <v>38</v>
      </c>
      <c r="J269" s="16" t="s">
        <v>19</v>
      </c>
      <c r="K269" s="17" t="s">
        <v>20</v>
      </c>
      <c r="L269" s="8" t="s">
        <v>21</v>
      </c>
      <c r="M269" s="8" t="s">
        <v>21</v>
      </c>
      <c r="N269" s="18">
        <v>61619.0</v>
      </c>
      <c r="O269" s="29"/>
      <c r="P269" s="29"/>
      <c r="Q269" s="29"/>
      <c r="R269" s="29"/>
      <c r="S269" s="29"/>
      <c r="T269" s="29"/>
      <c r="U269" s="29"/>
      <c r="V269" s="29"/>
    </row>
    <row r="270" outlineLevel="1">
      <c r="A270" s="8">
        <v>279.0</v>
      </c>
      <c r="B270" s="9" t="s">
        <v>821</v>
      </c>
      <c r="C270" s="25" t="s">
        <v>822</v>
      </c>
      <c r="D270" s="26" t="s">
        <v>823</v>
      </c>
      <c r="E270" s="27">
        <v>1.05550005858E11</v>
      </c>
      <c r="F270" s="27"/>
      <c r="G270" s="14" t="s">
        <v>29</v>
      </c>
      <c r="H270" s="18">
        <v>61618.0</v>
      </c>
      <c r="I270" s="14" t="s">
        <v>25</v>
      </c>
      <c r="J270" s="16" t="s">
        <v>19</v>
      </c>
      <c r="K270" s="17" t="s">
        <v>20</v>
      </c>
      <c r="L270" s="8" t="s">
        <v>21</v>
      </c>
      <c r="M270" s="8" t="s">
        <v>21</v>
      </c>
      <c r="N270" s="18">
        <v>61619.0</v>
      </c>
      <c r="O270" s="29"/>
      <c r="P270" s="29"/>
      <c r="Q270" s="29"/>
      <c r="R270" s="29"/>
      <c r="S270" s="29"/>
      <c r="T270" s="29"/>
      <c r="U270" s="29"/>
      <c r="V270" s="29"/>
    </row>
    <row r="271" outlineLevel="1">
      <c r="A271" s="8">
        <v>280.0</v>
      </c>
      <c r="B271" s="9" t="s">
        <v>824</v>
      </c>
      <c r="C271" s="25" t="s">
        <v>825</v>
      </c>
      <c r="D271" s="26"/>
      <c r="E271" s="27"/>
      <c r="F271" s="27" t="s">
        <v>826</v>
      </c>
      <c r="G271" s="14" t="s">
        <v>17</v>
      </c>
      <c r="H271" s="18">
        <v>61618.0</v>
      </c>
      <c r="I271" s="14" t="s">
        <v>34</v>
      </c>
      <c r="J271" s="16" t="s">
        <v>19</v>
      </c>
      <c r="K271" s="17" t="s">
        <v>20</v>
      </c>
      <c r="L271" s="8" t="s">
        <v>21</v>
      </c>
      <c r="M271" s="8" t="s">
        <v>21</v>
      </c>
      <c r="N271" s="18">
        <v>61619.0</v>
      </c>
      <c r="O271" s="29"/>
      <c r="P271" s="29"/>
      <c r="Q271" s="29"/>
      <c r="R271" s="29"/>
      <c r="S271" s="29"/>
      <c r="T271" s="29"/>
      <c r="U271" s="29"/>
      <c r="V271" s="29"/>
    </row>
    <row r="272" outlineLevel="1">
      <c r="A272" s="8">
        <v>281.0</v>
      </c>
      <c r="B272" s="9" t="s">
        <v>827</v>
      </c>
      <c r="C272" s="25" t="s">
        <v>828</v>
      </c>
      <c r="D272" s="26"/>
      <c r="E272" s="27"/>
      <c r="F272" s="27" t="s">
        <v>829</v>
      </c>
      <c r="G272" s="14" t="s">
        <v>17</v>
      </c>
      <c r="H272" s="18">
        <v>61618.0</v>
      </c>
      <c r="I272" s="14" t="s">
        <v>30</v>
      </c>
      <c r="J272" s="16" t="s">
        <v>19</v>
      </c>
      <c r="K272" s="17" t="s">
        <v>20</v>
      </c>
      <c r="L272" s="8" t="s">
        <v>21</v>
      </c>
      <c r="M272" s="8" t="s">
        <v>21</v>
      </c>
      <c r="N272" s="18">
        <v>61619.0</v>
      </c>
      <c r="O272" s="29"/>
      <c r="P272" s="29"/>
      <c r="Q272" s="29"/>
      <c r="R272" s="29"/>
      <c r="S272" s="29"/>
      <c r="T272" s="29"/>
      <c r="U272" s="29"/>
      <c r="V272" s="29"/>
    </row>
    <row r="273" outlineLevel="1">
      <c r="A273" s="8">
        <v>282.0</v>
      </c>
      <c r="B273" s="9" t="s">
        <v>830</v>
      </c>
      <c r="C273" s="25" t="s">
        <v>831</v>
      </c>
      <c r="D273" s="26"/>
      <c r="E273" s="27"/>
      <c r="F273" s="27" t="s">
        <v>832</v>
      </c>
      <c r="G273" s="14" t="s">
        <v>29</v>
      </c>
      <c r="H273" s="18">
        <v>61618.0</v>
      </c>
      <c r="I273" s="14" t="s">
        <v>101</v>
      </c>
      <c r="J273" s="16" t="s">
        <v>19</v>
      </c>
      <c r="K273" s="17" t="s">
        <v>20</v>
      </c>
      <c r="L273" s="8" t="s">
        <v>21</v>
      </c>
      <c r="M273" s="8" t="s">
        <v>21</v>
      </c>
      <c r="N273" s="18">
        <v>61619.0</v>
      </c>
      <c r="O273" s="29"/>
      <c r="P273" s="29"/>
      <c r="Q273" s="29"/>
      <c r="R273" s="29"/>
      <c r="S273" s="29"/>
      <c r="T273" s="29"/>
      <c r="U273" s="29"/>
      <c r="V273" s="29"/>
    </row>
    <row r="274" outlineLevel="1">
      <c r="A274" s="8">
        <v>283.0</v>
      </c>
      <c r="B274" s="9" t="s">
        <v>833</v>
      </c>
      <c r="C274" s="25" t="s">
        <v>834</v>
      </c>
      <c r="D274" s="26"/>
      <c r="E274" s="27"/>
      <c r="F274" s="27" t="s">
        <v>835</v>
      </c>
      <c r="G274" s="14" t="s">
        <v>29</v>
      </c>
      <c r="H274" s="18">
        <v>61619.0</v>
      </c>
      <c r="I274" s="14" t="s">
        <v>60</v>
      </c>
      <c r="J274" s="16" t="s">
        <v>19</v>
      </c>
      <c r="K274" s="17" t="s">
        <v>20</v>
      </c>
      <c r="L274" s="8" t="s">
        <v>21</v>
      </c>
      <c r="M274" s="8" t="s">
        <v>21</v>
      </c>
      <c r="N274" s="18">
        <v>61620.0</v>
      </c>
      <c r="O274" s="29"/>
      <c r="P274" s="29"/>
      <c r="Q274" s="29"/>
      <c r="R274" s="29"/>
      <c r="S274" s="29"/>
      <c r="T274" s="29"/>
      <c r="U274" s="29"/>
      <c r="V274" s="29"/>
    </row>
    <row r="275" outlineLevel="1">
      <c r="A275" s="8">
        <v>284.0</v>
      </c>
      <c r="B275" s="9" t="s">
        <v>836</v>
      </c>
      <c r="C275" s="25" t="s">
        <v>837</v>
      </c>
      <c r="D275" s="26"/>
      <c r="E275" s="27"/>
      <c r="F275" s="27"/>
      <c r="G275" s="14" t="s">
        <v>29</v>
      </c>
      <c r="H275" s="18">
        <v>61619.0</v>
      </c>
      <c r="I275" s="14" t="s">
        <v>46</v>
      </c>
      <c r="J275" s="16" t="s">
        <v>19</v>
      </c>
      <c r="K275" s="17" t="s">
        <v>20</v>
      </c>
      <c r="L275" s="8" t="s">
        <v>21</v>
      </c>
      <c r="M275" s="8" t="s">
        <v>21</v>
      </c>
      <c r="N275" s="18">
        <v>61620.0</v>
      </c>
      <c r="O275" s="29"/>
      <c r="P275" s="29"/>
      <c r="Q275" s="29"/>
      <c r="R275" s="29"/>
      <c r="S275" s="29"/>
      <c r="T275" s="29"/>
      <c r="U275" s="29"/>
      <c r="V275" s="29"/>
    </row>
    <row r="276" outlineLevel="1">
      <c r="A276" s="8">
        <v>285.0</v>
      </c>
      <c r="B276" s="9" t="s">
        <v>838</v>
      </c>
      <c r="C276" s="25" t="s">
        <v>839</v>
      </c>
      <c r="D276" s="26"/>
      <c r="E276" s="27"/>
      <c r="F276" s="27" t="s">
        <v>840</v>
      </c>
      <c r="G276" s="14" t="s">
        <v>17</v>
      </c>
      <c r="H276" s="18">
        <v>61619.0</v>
      </c>
      <c r="I276" s="14" t="s">
        <v>46</v>
      </c>
      <c r="J276" s="16" t="s">
        <v>19</v>
      </c>
      <c r="K276" s="17" t="s">
        <v>20</v>
      </c>
      <c r="L276" s="8" t="s">
        <v>21</v>
      </c>
      <c r="M276" s="8" t="s">
        <v>21</v>
      </c>
      <c r="N276" s="18">
        <v>61620.0</v>
      </c>
      <c r="O276" s="29"/>
      <c r="P276" s="29"/>
      <c r="Q276" s="29"/>
      <c r="R276" s="29"/>
      <c r="S276" s="29"/>
      <c r="T276" s="29"/>
      <c r="U276" s="29"/>
      <c r="V276" s="29"/>
    </row>
    <row r="277" outlineLevel="1">
      <c r="A277" s="8">
        <v>286.0</v>
      </c>
      <c r="B277" s="9" t="s">
        <v>841</v>
      </c>
      <c r="C277" s="25" t="s">
        <v>842</v>
      </c>
      <c r="D277" s="26"/>
      <c r="E277" s="27"/>
      <c r="F277" s="27" t="s">
        <v>843</v>
      </c>
      <c r="G277" s="14" t="s">
        <v>29</v>
      </c>
      <c r="H277" s="18">
        <v>61619.0</v>
      </c>
      <c r="I277" s="14" t="s">
        <v>162</v>
      </c>
      <c r="J277" s="16" t="s">
        <v>19</v>
      </c>
      <c r="K277" s="17" t="s">
        <v>20</v>
      </c>
      <c r="L277" s="8" t="s">
        <v>21</v>
      </c>
      <c r="M277" s="8" t="s">
        <v>21</v>
      </c>
      <c r="N277" s="18">
        <v>61620.0</v>
      </c>
      <c r="O277" s="29"/>
      <c r="P277" s="29"/>
      <c r="Q277" s="29"/>
      <c r="R277" s="29"/>
      <c r="S277" s="29"/>
      <c r="T277" s="29"/>
      <c r="U277" s="29"/>
      <c r="V277" s="29"/>
    </row>
    <row r="278" outlineLevel="1">
      <c r="A278" s="8">
        <v>287.0</v>
      </c>
      <c r="B278" s="9" t="s">
        <v>844</v>
      </c>
      <c r="C278" s="25" t="s">
        <v>845</v>
      </c>
      <c r="D278" s="26"/>
      <c r="E278" s="27"/>
      <c r="F278" s="27"/>
      <c r="G278" s="14" t="s">
        <v>17</v>
      </c>
      <c r="H278" s="18">
        <v>61619.0</v>
      </c>
      <c r="I278" s="14" t="s">
        <v>454</v>
      </c>
      <c r="J278" s="16" t="s">
        <v>19</v>
      </c>
      <c r="K278" s="17" t="s">
        <v>20</v>
      </c>
      <c r="L278" s="8" t="s">
        <v>21</v>
      </c>
      <c r="M278" s="8" t="s">
        <v>21</v>
      </c>
      <c r="N278" s="18">
        <v>61620.0</v>
      </c>
      <c r="O278" s="29"/>
      <c r="P278" s="29"/>
      <c r="Q278" s="29"/>
      <c r="R278" s="29"/>
      <c r="S278" s="29"/>
      <c r="T278" s="29"/>
      <c r="U278" s="29"/>
      <c r="V278" s="29"/>
    </row>
    <row r="279" outlineLevel="1">
      <c r="A279" s="8">
        <v>288.0</v>
      </c>
      <c r="B279" s="9" t="s">
        <v>846</v>
      </c>
      <c r="C279" s="25" t="s">
        <v>847</v>
      </c>
      <c r="D279" s="26"/>
      <c r="E279" s="27"/>
      <c r="F279" s="27" t="s">
        <v>848</v>
      </c>
      <c r="G279" s="14" t="s">
        <v>17</v>
      </c>
      <c r="H279" s="18">
        <v>61619.0</v>
      </c>
      <c r="I279" s="14" t="s">
        <v>80</v>
      </c>
      <c r="J279" s="16" t="s">
        <v>19</v>
      </c>
      <c r="K279" s="17" t="s">
        <v>20</v>
      </c>
      <c r="L279" s="8" t="s">
        <v>21</v>
      </c>
      <c r="M279" s="8" t="s">
        <v>21</v>
      </c>
      <c r="N279" s="18">
        <v>61620.0</v>
      </c>
      <c r="O279" s="29"/>
      <c r="P279" s="29"/>
      <c r="Q279" s="29"/>
      <c r="R279" s="29"/>
      <c r="S279" s="29"/>
      <c r="T279" s="29"/>
      <c r="U279" s="29"/>
      <c r="V279" s="29"/>
    </row>
    <row r="280" outlineLevel="1">
      <c r="A280" s="8">
        <v>289.0</v>
      </c>
      <c r="B280" s="9" t="s">
        <v>849</v>
      </c>
      <c r="C280" s="25" t="s">
        <v>850</v>
      </c>
      <c r="D280" s="26"/>
      <c r="E280" s="27"/>
      <c r="F280" s="27"/>
      <c r="G280" s="14" t="s">
        <v>17</v>
      </c>
      <c r="H280" s="18">
        <v>61619.0</v>
      </c>
      <c r="I280" s="14" t="s">
        <v>54</v>
      </c>
      <c r="J280" s="16" t="s">
        <v>19</v>
      </c>
      <c r="K280" s="17" t="s">
        <v>20</v>
      </c>
      <c r="L280" s="8" t="s">
        <v>21</v>
      </c>
      <c r="M280" s="8" t="s">
        <v>21</v>
      </c>
      <c r="N280" s="18">
        <v>61620.0</v>
      </c>
      <c r="O280" s="29"/>
      <c r="P280" s="29"/>
      <c r="Q280" s="29"/>
      <c r="R280" s="29"/>
      <c r="S280" s="29"/>
      <c r="T280" s="29"/>
      <c r="U280" s="29"/>
      <c r="V280" s="29"/>
    </row>
    <row r="281" outlineLevel="1">
      <c r="A281" s="8">
        <v>290.0</v>
      </c>
      <c r="B281" s="9" t="s">
        <v>851</v>
      </c>
      <c r="C281" s="25" t="s">
        <v>852</v>
      </c>
      <c r="D281" s="26"/>
      <c r="E281" s="27"/>
      <c r="F281" s="27" t="s">
        <v>853</v>
      </c>
      <c r="G281" s="14" t="s">
        <v>29</v>
      </c>
      <c r="H281" s="18">
        <v>61619.0</v>
      </c>
      <c r="I281" s="14" t="s">
        <v>46</v>
      </c>
      <c r="J281" s="16" t="s">
        <v>19</v>
      </c>
      <c r="K281" s="17" t="s">
        <v>20</v>
      </c>
      <c r="L281" s="8" t="s">
        <v>21</v>
      </c>
      <c r="M281" s="8" t="s">
        <v>21</v>
      </c>
      <c r="N281" s="18">
        <v>61620.0</v>
      </c>
      <c r="O281" s="29"/>
      <c r="P281" s="29"/>
      <c r="Q281" s="29"/>
      <c r="R281" s="29"/>
      <c r="S281" s="29"/>
      <c r="T281" s="29"/>
      <c r="U281" s="29"/>
      <c r="V281" s="29"/>
    </row>
    <row r="282" outlineLevel="1">
      <c r="A282" s="8">
        <v>291.0</v>
      </c>
      <c r="B282" s="9" t="s">
        <v>854</v>
      </c>
      <c r="C282" s="25" t="s">
        <v>855</v>
      </c>
      <c r="D282" s="26" t="s">
        <v>856</v>
      </c>
      <c r="E282" s="27">
        <v>6.25550000118E11</v>
      </c>
      <c r="F282" s="27"/>
      <c r="G282" s="14" t="s">
        <v>17</v>
      </c>
      <c r="H282" s="18">
        <v>61619.0</v>
      </c>
      <c r="I282" s="14" t="s">
        <v>38</v>
      </c>
      <c r="J282" s="16" t="s">
        <v>19</v>
      </c>
      <c r="K282" s="17" t="s">
        <v>20</v>
      </c>
      <c r="L282" s="8" t="s">
        <v>21</v>
      </c>
      <c r="M282" s="8" t="s">
        <v>21</v>
      </c>
      <c r="N282" s="18">
        <v>61620.0</v>
      </c>
      <c r="O282" s="29"/>
      <c r="P282" s="29"/>
      <c r="Q282" s="29"/>
      <c r="R282" s="29"/>
      <c r="S282" s="29"/>
      <c r="T282" s="29"/>
      <c r="U282" s="29"/>
      <c r="V282" s="29"/>
    </row>
    <row r="283" outlineLevel="1">
      <c r="A283" s="8">
        <v>292.0</v>
      </c>
      <c r="B283" s="9" t="s">
        <v>857</v>
      </c>
      <c r="C283" s="25" t="s">
        <v>858</v>
      </c>
      <c r="D283" s="26"/>
      <c r="E283" s="27"/>
      <c r="F283" s="27" t="s">
        <v>859</v>
      </c>
      <c r="G283" s="14" t="s">
        <v>17</v>
      </c>
      <c r="H283" s="18">
        <v>61619.0</v>
      </c>
      <c r="I283" s="14" t="s">
        <v>34</v>
      </c>
      <c r="J283" s="16" t="s">
        <v>19</v>
      </c>
      <c r="K283" s="17" t="s">
        <v>20</v>
      </c>
      <c r="L283" s="8" t="s">
        <v>21</v>
      </c>
      <c r="M283" s="8" t="s">
        <v>21</v>
      </c>
      <c r="N283" s="18">
        <v>61620.0</v>
      </c>
      <c r="O283" s="29"/>
      <c r="P283" s="29"/>
      <c r="Q283" s="29"/>
      <c r="R283" s="29"/>
      <c r="S283" s="29"/>
      <c r="T283" s="29"/>
      <c r="U283" s="29"/>
      <c r="V283" s="29"/>
    </row>
    <row r="284" outlineLevel="1">
      <c r="A284" s="8">
        <v>293.0</v>
      </c>
      <c r="B284" s="9" t="s">
        <v>860</v>
      </c>
      <c r="C284" s="25" t="s">
        <v>861</v>
      </c>
      <c r="D284" s="26"/>
      <c r="E284" s="27"/>
      <c r="F284" s="27" t="s">
        <v>862</v>
      </c>
      <c r="G284" s="14" t="s">
        <v>29</v>
      </c>
      <c r="H284" s="18">
        <v>61620.0</v>
      </c>
      <c r="I284" s="14" t="s">
        <v>193</v>
      </c>
      <c r="J284" s="16" t="s">
        <v>19</v>
      </c>
      <c r="K284" s="17" t="s">
        <v>20</v>
      </c>
      <c r="L284" s="8" t="s">
        <v>21</v>
      </c>
      <c r="M284" s="8" t="s">
        <v>21</v>
      </c>
      <c r="N284" s="18">
        <v>61621.0</v>
      </c>
      <c r="O284" s="29"/>
      <c r="P284" s="29"/>
      <c r="Q284" s="29"/>
      <c r="R284" s="29"/>
      <c r="S284" s="29"/>
      <c r="T284" s="29"/>
      <c r="U284" s="29"/>
      <c r="V284" s="29"/>
    </row>
    <row r="285" outlineLevel="1">
      <c r="A285" s="8">
        <v>294.0</v>
      </c>
      <c r="B285" s="9" t="s">
        <v>863</v>
      </c>
      <c r="C285" s="25" t="s">
        <v>864</v>
      </c>
      <c r="D285" s="26"/>
      <c r="E285" s="27"/>
      <c r="F285" s="27" t="s">
        <v>865</v>
      </c>
      <c r="G285" s="14" t="s">
        <v>29</v>
      </c>
      <c r="H285" s="18">
        <v>61620.0</v>
      </c>
      <c r="I285" s="14" t="s">
        <v>689</v>
      </c>
      <c r="J285" s="16" t="s">
        <v>19</v>
      </c>
      <c r="K285" s="17" t="s">
        <v>20</v>
      </c>
      <c r="L285" s="8" t="s">
        <v>21</v>
      </c>
      <c r="M285" s="8" t="s">
        <v>21</v>
      </c>
      <c r="N285" s="18">
        <v>61621.0</v>
      </c>
      <c r="O285" s="29"/>
      <c r="P285" s="29"/>
      <c r="Q285" s="29"/>
      <c r="R285" s="29"/>
      <c r="S285" s="29"/>
      <c r="T285" s="29"/>
      <c r="U285" s="29"/>
      <c r="V285" s="29"/>
    </row>
    <row r="286" outlineLevel="1">
      <c r="A286" s="8">
        <v>295.0</v>
      </c>
      <c r="B286" s="9" t="s">
        <v>866</v>
      </c>
      <c r="C286" s="25" t="s">
        <v>867</v>
      </c>
      <c r="D286" s="26"/>
      <c r="E286" s="27"/>
      <c r="F286" s="27" t="s">
        <v>868</v>
      </c>
      <c r="G286" s="14" t="s">
        <v>29</v>
      </c>
      <c r="H286" s="18">
        <v>61620.0</v>
      </c>
      <c r="I286" s="14" t="s">
        <v>869</v>
      </c>
      <c r="J286" s="16" t="s">
        <v>19</v>
      </c>
      <c r="K286" s="17" t="s">
        <v>20</v>
      </c>
      <c r="L286" s="8" t="s">
        <v>21</v>
      </c>
      <c r="M286" s="8" t="s">
        <v>21</v>
      </c>
      <c r="N286" s="18">
        <v>61621.0</v>
      </c>
      <c r="O286" s="29"/>
      <c r="P286" s="29"/>
      <c r="Q286" s="29"/>
      <c r="R286" s="29"/>
      <c r="S286" s="29"/>
      <c r="T286" s="29"/>
      <c r="U286" s="29"/>
      <c r="V286" s="29"/>
    </row>
    <row r="287" outlineLevel="1">
      <c r="A287" s="8">
        <v>296.0</v>
      </c>
      <c r="B287" s="9" t="s">
        <v>870</v>
      </c>
      <c r="C287" s="25" t="s">
        <v>871</v>
      </c>
      <c r="D287" s="26"/>
      <c r="E287" s="27"/>
      <c r="F287" s="27" t="s">
        <v>872</v>
      </c>
      <c r="G287" s="14" t="s">
        <v>17</v>
      </c>
      <c r="H287" s="18">
        <v>61620.0</v>
      </c>
      <c r="I287" s="14" t="s">
        <v>101</v>
      </c>
      <c r="J287" s="16" t="s">
        <v>19</v>
      </c>
      <c r="K287" s="17" t="s">
        <v>20</v>
      </c>
      <c r="L287" s="8" t="s">
        <v>21</v>
      </c>
      <c r="M287" s="8" t="s">
        <v>21</v>
      </c>
      <c r="N287" s="18">
        <v>61621.0</v>
      </c>
      <c r="O287" s="29"/>
      <c r="P287" s="29"/>
      <c r="Q287" s="29"/>
      <c r="R287" s="29"/>
      <c r="S287" s="29"/>
      <c r="T287" s="29"/>
      <c r="U287" s="29"/>
      <c r="V287" s="29"/>
    </row>
    <row r="288" outlineLevel="1">
      <c r="A288" s="8">
        <v>297.0</v>
      </c>
      <c r="B288" s="9" t="s">
        <v>873</v>
      </c>
      <c r="C288" s="25" t="s">
        <v>874</v>
      </c>
      <c r="D288" s="26"/>
      <c r="E288" s="27"/>
      <c r="F288" s="27" t="s">
        <v>875</v>
      </c>
      <c r="G288" s="14" t="s">
        <v>29</v>
      </c>
      <c r="H288" s="18">
        <v>61620.0</v>
      </c>
      <c r="I288" s="14" t="s">
        <v>124</v>
      </c>
      <c r="J288" s="16" t="s">
        <v>19</v>
      </c>
      <c r="K288" s="17" t="s">
        <v>20</v>
      </c>
      <c r="L288" s="8" t="s">
        <v>21</v>
      </c>
      <c r="M288" s="8" t="s">
        <v>21</v>
      </c>
      <c r="N288" s="18">
        <v>61621.0</v>
      </c>
      <c r="O288" s="29"/>
      <c r="P288" s="29"/>
      <c r="Q288" s="29"/>
      <c r="R288" s="29"/>
      <c r="S288" s="29"/>
      <c r="T288" s="29"/>
      <c r="U288" s="29"/>
      <c r="V288" s="29"/>
    </row>
    <row r="289" outlineLevel="1">
      <c r="A289" s="8">
        <v>298.0</v>
      </c>
      <c r="B289" s="9" t="s">
        <v>876</v>
      </c>
      <c r="C289" s="25" t="s">
        <v>877</v>
      </c>
      <c r="D289" s="26"/>
      <c r="E289" s="27"/>
      <c r="F289" s="27"/>
      <c r="G289" s="14" t="s">
        <v>17</v>
      </c>
      <c r="H289" s="18">
        <v>61620.0</v>
      </c>
      <c r="I289" s="14" t="s">
        <v>64</v>
      </c>
      <c r="J289" s="16" t="s">
        <v>19</v>
      </c>
      <c r="K289" s="17" t="s">
        <v>20</v>
      </c>
      <c r="L289" s="8" t="s">
        <v>21</v>
      </c>
      <c r="M289" s="8" t="s">
        <v>21</v>
      </c>
      <c r="N289" s="18">
        <v>61621.0</v>
      </c>
      <c r="O289" s="29"/>
      <c r="P289" s="29"/>
      <c r="Q289" s="29"/>
      <c r="R289" s="29"/>
      <c r="S289" s="29"/>
      <c r="T289" s="29"/>
      <c r="U289" s="29"/>
      <c r="V289" s="29"/>
    </row>
    <row r="290" outlineLevel="1">
      <c r="A290" s="8">
        <v>299.0</v>
      </c>
      <c r="B290" s="9" t="s">
        <v>878</v>
      </c>
      <c r="C290" s="25" t="s">
        <v>879</v>
      </c>
      <c r="D290" s="26" t="s">
        <v>880</v>
      </c>
      <c r="E290" s="27">
        <v>1.03531012478E11</v>
      </c>
      <c r="F290" s="27"/>
      <c r="G290" s="14" t="s">
        <v>17</v>
      </c>
      <c r="H290" s="18">
        <v>61620.0</v>
      </c>
      <c r="I290" s="14" t="s">
        <v>95</v>
      </c>
      <c r="J290" s="16" t="s">
        <v>19</v>
      </c>
      <c r="K290" s="17" t="s">
        <v>20</v>
      </c>
      <c r="L290" s="8" t="s">
        <v>21</v>
      </c>
      <c r="M290" s="8" t="s">
        <v>21</v>
      </c>
      <c r="N290" s="18">
        <v>61621.0</v>
      </c>
      <c r="O290" s="29"/>
      <c r="P290" s="29"/>
      <c r="Q290" s="29"/>
      <c r="R290" s="29"/>
      <c r="S290" s="29"/>
      <c r="T290" s="29"/>
      <c r="U290" s="29"/>
      <c r="V290" s="29"/>
    </row>
    <row r="291" outlineLevel="1">
      <c r="A291" s="8">
        <v>300.0</v>
      </c>
      <c r="B291" s="9" t="s">
        <v>881</v>
      </c>
      <c r="C291" s="25" t="s">
        <v>882</v>
      </c>
      <c r="D291" s="26"/>
      <c r="E291" s="27"/>
      <c r="F291" s="27" t="s">
        <v>883</v>
      </c>
      <c r="G291" s="14" t="s">
        <v>17</v>
      </c>
      <c r="H291" s="18">
        <v>61621.0</v>
      </c>
      <c r="I291" s="14" t="s">
        <v>467</v>
      </c>
      <c r="J291" s="16" t="s">
        <v>19</v>
      </c>
      <c r="K291" s="17" t="s">
        <v>20</v>
      </c>
      <c r="L291" s="8" t="s">
        <v>21</v>
      </c>
      <c r="M291" s="8" t="s">
        <v>21</v>
      </c>
      <c r="N291" s="18">
        <v>61622.0</v>
      </c>
      <c r="O291" s="29"/>
      <c r="P291" s="29"/>
      <c r="Q291" s="29"/>
      <c r="R291" s="29"/>
      <c r="S291" s="29"/>
      <c r="T291" s="29"/>
      <c r="U291" s="29"/>
      <c r="V291" s="29"/>
    </row>
    <row r="292" outlineLevel="1">
      <c r="A292" s="8">
        <v>301.0</v>
      </c>
      <c r="B292" s="9" t="s">
        <v>884</v>
      </c>
      <c r="C292" s="25" t="s">
        <v>885</v>
      </c>
      <c r="D292" s="26"/>
      <c r="E292" s="27"/>
      <c r="F292" s="27"/>
      <c r="G292" s="14" t="s">
        <v>29</v>
      </c>
      <c r="H292" s="18">
        <v>61621.0</v>
      </c>
      <c r="I292" s="14" t="s">
        <v>38</v>
      </c>
      <c r="J292" s="16" t="s">
        <v>19</v>
      </c>
      <c r="K292" s="17" t="s">
        <v>20</v>
      </c>
      <c r="L292" s="8" t="s">
        <v>21</v>
      </c>
      <c r="M292" s="8" t="s">
        <v>21</v>
      </c>
      <c r="N292" s="18">
        <v>61622.0</v>
      </c>
      <c r="O292" s="29"/>
      <c r="P292" s="29"/>
      <c r="Q292" s="29"/>
      <c r="R292" s="29"/>
      <c r="S292" s="29"/>
      <c r="T292" s="29"/>
      <c r="U292" s="29"/>
      <c r="V292" s="29"/>
    </row>
    <row r="293" outlineLevel="1">
      <c r="A293" s="8">
        <v>302.0</v>
      </c>
      <c r="B293" s="9" t="s">
        <v>886</v>
      </c>
      <c r="C293" s="25" t="s">
        <v>887</v>
      </c>
      <c r="D293" s="26"/>
      <c r="E293" s="27"/>
      <c r="F293" s="27"/>
      <c r="G293" s="14" t="s">
        <v>17</v>
      </c>
      <c r="H293" s="18">
        <v>61621.0</v>
      </c>
      <c r="I293" s="14" t="s">
        <v>124</v>
      </c>
      <c r="J293" s="16" t="s">
        <v>19</v>
      </c>
      <c r="K293" s="17" t="s">
        <v>20</v>
      </c>
      <c r="L293" s="8" t="s">
        <v>21</v>
      </c>
      <c r="M293" s="8" t="s">
        <v>21</v>
      </c>
      <c r="N293" s="18">
        <v>61622.0</v>
      </c>
      <c r="O293" s="29"/>
      <c r="P293" s="29"/>
      <c r="Q293" s="29"/>
      <c r="R293" s="29"/>
      <c r="S293" s="29"/>
      <c r="T293" s="29"/>
      <c r="U293" s="29"/>
      <c r="V293" s="29"/>
    </row>
    <row r="294" outlineLevel="1">
      <c r="A294" s="8">
        <v>303.0</v>
      </c>
      <c r="B294" s="9" t="s">
        <v>888</v>
      </c>
      <c r="C294" s="25" t="s">
        <v>889</v>
      </c>
      <c r="D294" s="26"/>
      <c r="E294" s="27"/>
      <c r="F294" s="27"/>
      <c r="G294" s="14" t="s">
        <v>17</v>
      </c>
      <c r="H294" s="18">
        <v>61621.0</v>
      </c>
      <c r="I294" s="14" t="s">
        <v>111</v>
      </c>
      <c r="J294" s="16" t="s">
        <v>19</v>
      </c>
      <c r="K294" s="17" t="s">
        <v>20</v>
      </c>
      <c r="L294" s="8" t="s">
        <v>21</v>
      </c>
      <c r="M294" s="8" t="s">
        <v>21</v>
      </c>
      <c r="N294" s="18">
        <v>61622.0</v>
      </c>
      <c r="O294" s="29"/>
      <c r="P294" s="29"/>
      <c r="Q294" s="29"/>
      <c r="R294" s="29"/>
      <c r="S294" s="29"/>
      <c r="T294" s="29"/>
      <c r="U294" s="29"/>
      <c r="V294" s="29"/>
    </row>
    <row r="295" outlineLevel="1">
      <c r="A295" s="8">
        <v>304.0</v>
      </c>
      <c r="B295" s="9" t="s">
        <v>890</v>
      </c>
      <c r="C295" s="25" t="s">
        <v>891</v>
      </c>
      <c r="D295" s="26"/>
      <c r="E295" s="27"/>
      <c r="F295" s="27"/>
      <c r="G295" s="14" t="s">
        <v>29</v>
      </c>
      <c r="H295" s="18">
        <v>61621.0</v>
      </c>
      <c r="I295" s="14" t="s">
        <v>64</v>
      </c>
      <c r="J295" s="16" t="s">
        <v>19</v>
      </c>
      <c r="K295" s="17" t="s">
        <v>20</v>
      </c>
      <c r="L295" s="8" t="s">
        <v>21</v>
      </c>
      <c r="M295" s="8" t="s">
        <v>21</v>
      </c>
      <c r="N295" s="18">
        <v>61622.0</v>
      </c>
      <c r="O295" s="29"/>
      <c r="P295" s="29"/>
      <c r="Q295" s="29"/>
      <c r="R295" s="29"/>
      <c r="S295" s="29"/>
      <c r="T295" s="29"/>
      <c r="U295" s="29"/>
      <c r="V295" s="29"/>
    </row>
    <row r="296" outlineLevel="1">
      <c r="A296" s="8">
        <v>305.0</v>
      </c>
      <c r="B296" s="9" t="s">
        <v>892</v>
      </c>
      <c r="C296" s="25" t="s">
        <v>893</v>
      </c>
      <c r="D296" s="26"/>
      <c r="E296" s="27"/>
      <c r="F296" s="27" t="s">
        <v>894</v>
      </c>
      <c r="G296" s="14" t="s">
        <v>29</v>
      </c>
      <c r="H296" s="18">
        <v>61621.0</v>
      </c>
      <c r="I296" s="14" t="s">
        <v>335</v>
      </c>
      <c r="J296" s="16" t="s">
        <v>19</v>
      </c>
      <c r="K296" s="17" t="s">
        <v>20</v>
      </c>
      <c r="L296" s="8" t="s">
        <v>21</v>
      </c>
      <c r="M296" s="8" t="s">
        <v>21</v>
      </c>
      <c r="N296" s="18">
        <v>61622.0</v>
      </c>
      <c r="O296" s="29"/>
      <c r="P296" s="29"/>
      <c r="Q296" s="29"/>
      <c r="R296" s="29"/>
      <c r="S296" s="29"/>
      <c r="T296" s="29"/>
      <c r="U296" s="29"/>
      <c r="V296" s="29"/>
    </row>
    <row r="297" outlineLevel="1">
      <c r="A297" s="8">
        <v>306.0</v>
      </c>
      <c r="B297" s="9" t="s">
        <v>895</v>
      </c>
      <c r="C297" s="25" t="s">
        <v>896</v>
      </c>
      <c r="D297" s="26"/>
      <c r="E297" s="27"/>
      <c r="F297" s="27" t="s">
        <v>897</v>
      </c>
      <c r="G297" s="14" t="s">
        <v>29</v>
      </c>
      <c r="H297" s="18">
        <v>61622.0</v>
      </c>
      <c r="I297" s="14" t="s">
        <v>95</v>
      </c>
      <c r="J297" s="16" t="s">
        <v>19</v>
      </c>
      <c r="K297" s="17" t="s">
        <v>20</v>
      </c>
      <c r="L297" s="8" t="s">
        <v>21</v>
      </c>
      <c r="M297" s="8" t="s">
        <v>21</v>
      </c>
      <c r="N297" s="18">
        <v>61623.0</v>
      </c>
      <c r="O297" s="29"/>
      <c r="P297" s="29"/>
      <c r="Q297" s="29"/>
      <c r="R297" s="29"/>
      <c r="S297" s="29"/>
      <c r="T297" s="29"/>
      <c r="U297" s="29"/>
      <c r="V297" s="29"/>
    </row>
    <row r="298" outlineLevel="1">
      <c r="A298" s="8">
        <v>307.0</v>
      </c>
      <c r="B298" s="9" t="s">
        <v>898</v>
      </c>
      <c r="C298" s="25" t="s">
        <v>899</v>
      </c>
      <c r="D298" s="26"/>
      <c r="E298" s="27"/>
      <c r="F298" s="27" t="s">
        <v>900</v>
      </c>
      <c r="G298" s="14" t="s">
        <v>17</v>
      </c>
      <c r="H298" s="18">
        <v>61622.0</v>
      </c>
      <c r="I298" s="14" t="s">
        <v>30</v>
      </c>
      <c r="J298" s="16" t="s">
        <v>19</v>
      </c>
      <c r="K298" s="17" t="s">
        <v>20</v>
      </c>
      <c r="L298" s="8" t="s">
        <v>21</v>
      </c>
      <c r="M298" s="8" t="s">
        <v>21</v>
      </c>
      <c r="N298" s="18">
        <v>61623.0</v>
      </c>
      <c r="O298" s="29"/>
      <c r="P298" s="29"/>
      <c r="Q298" s="29"/>
      <c r="R298" s="29"/>
      <c r="S298" s="29"/>
      <c r="T298" s="29"/>
      <c r="U298" s="29"/>
      <c r="V298" s="29"/>
    </row>
    <row r="299" outlineLevel="1">
      <c r="A299" s="8">
        <v>308.0</v>
      </c>
      <c r="B299" s="9" t="s">
        <v>901</v>
      </c>
      <c r="C299" s="25" t="s">
        <v>902</v>
      </c>
      <c r="D299" s="26"/>
      <c r="E299" s="27"/>
      <c r="F299" s="27" t="s">
        <v>903</v>
      </c>
      <c r="G299" s="14" t="s">
        <v>29</v>
      </c>
      <c r="H299" s="18">
        <v>61622.0</v>
      </c>
      <c r="I299" s="14" t="s">
        <v>193</v>
      </c>
      <c r="J299" s="16" t="s">
        <v>19</v>
      </c>
      <c r="K299" s="17" t="s">
        <v>20</v>
      </c>
      <c r="L299" s="8" t="s">
        <v>21</v>
      </c>
      <c r="M299" s="8" t="s">
        <v>21</v>
      </c>
      <c r="N299" s="18">
        <v>61623.0</v>
      </c>
      <c r="O299" s="29"/>
      <c r="P299" s="29"/>
      <c r="Q299" s="29"/>
      <c r="R299" s="29"/>
      <c r="S299" s="29"/>
      <c r="T299" s="29"/>
      <c r="U299" s="29"/>
      <c r="V299" s="29"/>
    </row>
    <row r="300" outlineLevel="1">
      <c r="A300" s="8">
        <v>309.0</v>
      </c>
      <c r="B300" s="9" t="s">
        <v>904</v>
      </c>
      <c r="C300" s="25" t="s">
        <v>905</v>
      </c>
      <c r="D300" s="26"/>
      <c r="E300" s="27"/>
      <c r="F300" s="27" t="s">
        <v>906</v>
      </c>
      <c r="G300" s="14" t="s">
        <v>17</v>
      </c>
      <c r="H300" s="18">
        <v>61622.0</v>
      </c>
      <c r="I300" s="14" t="s">
        <v>18</v>
      </c>
      <c r="J300" s="16" t="s">
        <v>19</v>
      </c>
      <c r="K300" s="17" t="s">
        <v>20</v>
      </c>
      <c r="L300" s="8" t="s">
        <v>21</v>
      </c>
      <c r="M300" s="8" t="s">
        <v>21</v>
      </c>
      <c r="N300" s="18">
        <v>61623.0</v>
      </c>
      <c r="O300" s="29"/>
      <c r="P300" s="29"/>
      <c r="Q300" s="29"/>
      <c r="R300" s="29"/>
      <c r="S300" s="29"/>
      <c r="T300" s="29"/>
      <c r="U300" s="29"/>
      <c r="V300" s="29"/>
    </row>
    <row r="301" outlineLevel="1">
      <c r="A301" s="8">
        <v>310.0</v>
      </c>
      <c r="B301" s="9" t="s">
        <v>907</v>
      </c>
      <c r="C301" s="25" t="s">
        <v>908</v>
      </c>
      <c r="D301" s="26"/>
      <c r="E301" s="27"/>
      <c r="F301" s="27" t="s">
        <v>909</v>
      </c>
      <c r="G301" s="14" t="s">
        <v>17</v>
      </c>
      <c r="H301" s="18">
        <v>61622.0</v>
      </c>
      <c r="I301" s="14" t="s">
        <v>193</v>
      </c>
      <c r="J301" s="16" t="s">
        <v>19</v>
      </c>
      <c r="K301" s="17" t="s">
        <v>20</v>
      </c>
      <c r="L301" s="8" t="s">
        <v>21</v>
      </c>
      <c r="M301" s="8" t="s">
        <v>21</v>
      </c>
      <c r="N301" s="18">
        <v>61623.0</v>
      </c>
      <c r="O301" s="29"/>
      <c r="P301" s="29"/>
      <c r="Q301" s="29"/>
      <c r="R301" s="29"/>
      <c r="S301" s="29"/>
      <c r="T301" s="29"/>
      <c r="U301" s="29"/>
      <c r="V301" s="29"/>
    </row>
    <row r="302" outlineLevel="1">
      <c r="A302" s="8">
        <v>311.0</v>
      </c>
      <c r="B302" s="9" t="s">
        <v>910</v>
      </c>
      <c r="C302" s="25" t="s">
        <v>911</v>
      </c>
      <c r="D302" s="26"/>
      <c r="E302" s="27"/>
      <c r="F302" s="27" t="s">
        <v>912</v>
      </c>
      <c r="G302" s="14" t="s">
        <v>17</v>
      </c>
      <c r="H302" s="18">
        <v>61622.0</v>
      </c>
      <c r="I302" s="14" t="s">
        <v>50</v>
      </c>
      <c r="J302" s="16" t="s">
        <v>19</v>
      </c>
      <c r="K302" s="17" t="s">
        <v>20</v>
      </c>
      <c r="L302" s="8" t="s">
        <v>21</v>
      </c>
      <c r="M302" s="8" t="s">
        <v>21</v>
      </c>
      <c r="N302" s="18">
        <v>61623.0</v>
      </c>
      <c r="O302" s="29"/>
      <c r="P302" s="29"/>
      <c r="Q302" s="29"/>
      <c r="R302" s="29"/>
      <c r="S302" s="29"/>
      <c r="T302" s="29"/>
      <c r="U302" s="29"/>
      <c r="V302" s="29"/>
    </row>
    <row r="303" outlineLevel="1">
      <c r="A303" s="8">
        <v>312.0</v>
      </c>
      <c r="B303" s="9" t="s">
        <v>913</v>
      </c>
      <c r="C303" s="25" t="s">
        <v>914</v>
      </c>
      <c r="D303" s="26"/>
      <c r="E303" s="27"/>
      <c r="F303" s="27" t="s">
        <v>915</v>
      </c>
      <c r="G303" s="14" t="s">
        <v>29</v>
      </c>
      <c r="H303" s="18">
        <v>61623.0</v>
      </c>
      <c r="I303" s="14" t="s">
        <v>60</v>
      </c>
      <c r="J303" s="16" t="s">
        <v>19</v>
      </c>
      <c r="K303" s="17" t="s">
        <v>20</v>
      </c>
      <c r="L303" s="8" t="s">
        <v>21</v>
      </c>
      <c r="M303" s="8" t="s">
        <v>21</v>
      </c>
      <c r="N303" s="18">
        <v>61624.0</v>
      </c>
      <c r="O303" s="29"/>
      <c r="P303" s="29"/>
      <c r="Q303" s="29"/>
      <c r="R303" s="29"/>
      <c r="S303" s="29"/>
      <c r="T303" s="29"/>
      <c r="U303" s="29"/>
      <c r="V303" s="29"/>
    </row>
    <row r="304" outlineLevel="1">
      <c r="A304" s="8">
        <v>313.0</v>
      </c>
      <c r="B304" s="9" t="s">
        <v>916</v>
      </c>
      <c r="C304" s="25" t="s">
        <v>917</v>
      </c>
      <c r="D304" s="26"/>
      <c r="E304" s="27"/>
      <c r="F304" s="27" t="s">
        <v>918</v>
      </c>
      <c r="G304" s="14" t="s">
        <v>17</v>
      </c>
      <c r="H304" s="18">
        <v>61623.0</v>
      </c>
      <c r="I304" s="14" t="s">
        <v>80</v>
      </c>
      <c r="J304" s="16" t="s">
        <v>19</v>
      </c>
      <c r="K304" s="17" t="s">
        <v>20</v>
      </c>
      <c r="L304" s="8" t="s">
        <v>21</v>
      </c>
      <c r="M304" s="8" t="s">
        <v>21</v>
      </c>
      <c r="N304" s="18">
        <v>61624.0</v>
      </c>
      <c r="O304" s="29"/>
      <c r="P304" s="29"/>
      <c r="Q304" s="29"/>
      <c r="R304" s="29"/>
      <c r="S304" s="29"/>
      <c r="T304" s="29"/>
      <c r="U304" s="29"/>
      <c r="V304" s="29"/>
    </row>
    <row r="305" outlineLevel="1">
      <c r="A305" s="8">
        <v>314.0</v>
      </c>
      <c r="B305" s="9" t="s">
        <v>919</v>
      </c>
      <c r="C305" s="25" t="s">
        <v>920</v>
      </c>
      <c r="D305" s="26"/>
      <c r="E305" s="27"/>
      <c r="F305" s="27"/>
      <c r="G305" s="14" t="s">
        <v>17</v>
      </c>
      <c r="H305" s="18">
        <v>61623.0</v>
      </c>
      <c r="I305" s="14" t="s">
        <v>454</v>
      </c>
      <c r="J305" s="16" t="s">
        <v>19</v>
      </c>
      <c r="K305" s="17" t="s">
        <v>20</v>
      </c>
      <c r="L305" s="8" t="s">
        <v>21</v>
      </c>
      <c r="M305" s="8" t="s">
        <v>21</v>
      </c>
      <c r="N305" s="18">
        <v>61624.0</v>
      </c>
      <c r="O305" s="29"/>
      <c r="P305" s="29"/>
      <c r="Q305" s="29"/>
      <c r="R305" s="29"/>
      <c r="S305" s="29"/>
      <c r="T305" s="29"/>
      <c r="U305" s="29"/>
      <c r="V305" s="29"/>
    </row>
    <row r="306" outlineLevel="1">
      <c r="A306" s="8">
        <v>315.0</v>
      </c>
      <c r="B306" s="9" t="s">
        <v>921</v>
      </c>
      <c r="C306" s="25" t="s">
        <v>922</v>
      </c>
      <c r="D306" s="26"/>
      <c r="E306" s="27"/>
      <c r="F306" s="27" t="s">
        <v>923</v>
      </c>
      <c r="G306" s="14" t="s">
        <v>29</v>
      </c>
      <c r="H306" s="18">
        <v>61623.0</v>
      </c>
      <c r="I306" s="14" t="s">
        <v>467</v>
      </c>
      <c r="J306" s="16" t="s">
        <v>19</v>
      </c>
      <c r="K306" s="17" t="s">
        <v>20</v>
      </c>
      <c r="L306" s="8" t="s">
        <v>21</v>
      </c>
      <c r="M306" s="8" t="s">
        <v>21</v>
      </c>
      <c r="N306" s="18">
        <v>61624.0</v>
      </c>
      <c r="O306" s="29"/>
      <c r="P306" s="29"/>
      <c r="Q306" s="29"/>
      <c r="R306" s="29"/>
      <c r="S306" s="29"/>
      <c r="T306" s="29"/>
      <c r="U306" s="29"/>
      <c r="V306" s="29"/>
    </row>
    <row r="307" outlineLevel="1">
      <c r="A307" s="8">
        <v>316.0</v>
      </c>
      <c r="B307" s="9" t="s">
        <v>924</v>
      </c>
      <c r="C307" s="25" t="s">
        <v>925</v>
      </c>
      <c r="D307" s="26"/>
      <c r="E307" s="27"/>
      <c r="F307" s="27" t="s">
        <v>926</v>
      </c>
      <c r="G307" s="14" t="s">
        <v>29</v>
      </c>
      <c r="H307" s="18">
        <v>61623.0</v>
      </c>
      <c r="I307" s="14" t="s">
        <v>46</v>
      </c>
      <c r="J307" s="16" t="s">
        <v>19</v>
      </c>
      <c r="K307" s="17" t="s">
        <v>20</v>
      </c>
      <c r="L307" s="8" t="s">
        <v>21</v>
      </c>
      <c r="M307" s="8" t="s">
        <v>21</v>
      </c>
      <c r="N307" s="18">
        <v>61624.0</v>
      </c>
      <c r="O307" s="29"/>
      <c r="P307" s="29"/>
      <c r="Q307" s="29"/>
      <c r="R307" s="29"/>
      <c r="S307" s="29"/>
      <c r="T307" s="29"/>
      <c r="U307" s="29"/>
      <c r="V307" s="29"/>
    </row>
    <row r="308" outlineLevel="1">
      <c r="A308" s="8">
        <v>317.0</v>
      </c>
      <c r="B308" s="9" t="s">
        <v>927</v>
      </c>
      <c r="C308" s="25" t="s">
        <v>928</v>
      </c>
      <c r="D308" s="26"/>
      <c r="E308" s="27"/>
      <c r="F308" s="27"/>
      <c r="G308" s="14" t="s">
        <v>29</v>
      </c>
      <c r="H308" s="18">
        <v>61623.0</v>
      </c>
      <c r="I308" s="14" t="s">
        <v>869</v>
      </c>
      <c r="J308" s="16" t="s">
        <v>19</v>
      </c>
      <c r="K308" s="17" t="s">
        <v>20</v>
      </c>
      <c r="L308" s="8" t="s">
        <v>21</v>
      </c>
      <c r="M308" s="8" t="s">
        <v>21</v>
      </c>
      <c r="N308" s="18">
        <v>61624.0</v>
      </c>
      <c r="O308" s="29"/>
      <c r="P308" s="29"/>
      <c r="Q308" s="29"/>
      <c r="R308" s="29"/>
      <c r="S308" s="29"/>
      <c r="T308" s="29"/>
      <c r="U308" s="29"/>
      <c r="V308" s="29"/>
    </row>
    <row r="309" outlineLevel="1">
      <c r="A309" s="8">
        <v>318.0</v>
      </c>
      <c r="B309" s="9" t="s">
        <v>929</v>
      </c>
      <c r="C309" s="25" t="s">
        <v>930</v>
      </c>
      <c r="D309" s="26"/>
      <c r="E309" s="27"/>
      <c r="F309" s="27" t="s">
        <v>931</v>
      </c>
      <c r="G309" s="14" t="s">
        <v>17</v>
      </c>
      <c r="H309" s="18">
        <v>61624.0</v>
      </c>
      <c r="I309" s="14" t="s">
        <v>54</v>
      </c>
      <c r="J309" s="16" t="s">
        <v>19</v>
      </c>
      <c r="K309" s="17" t="s">
        <v>20</v>
      </c>
      <c r="L309" s="8" t="s">
        <v>21</v>
      </c>
      <c r="M309" s="8" t="s">
        <v>21</v>
      </c>
      <c r="N309" s="18">
        <v>61625.0</v>
      </c>
      <c r="O309" s="29"/>
      <c r="P309" s="29"/>
      <c r="Q309" s="29"/>
      <c r="R309" s="29"/>
      <c r="S309" s="29"/>
      <c r="T309" s="29"/>
      <c r="U309" s="29"/>
      <c r="V309" s="29"/>
    </row>
    <row r="310" outlineLevel="1">
      <c r="A310" s="8">
        <v>319.0</v>
      </c>
      <c r="B310" s="9" t="s">
        <v>932</v>
      </c>
      <c r="C310" s="25" t="s">
        <v>933</v>
      </c>
      <c r="D310" s="26"/>
      <c r="E310" s="27"/>
      <c r="F310" s="27" t="s">
        <v>934</v>
      </c>
      <c r="G310" s="14" t="s">
        <v>29</v>
      </c>
      <c r="H310" s="18">
        <v>61624.0</v>
      </c>
      <c r="I310" s="14" t="s">
        <v>232</v>
      </c>
      <c r="J310" s="16" t="s">
        <v>19</v>
      </c>
      <c r="K310" s="17" t="s">
        <v>20</v>
      </c>
      <c r="L310" s="8" t="s">
        <v>21</v>
      </c>
      <c r="M310" s="8" t="s">
        <v>21</v>
      </c>
      <c r="N310" s="18">
        <v>61625.0</v>
      </c>
      <c r="O310" s="29"/>
      <c r="P310" s="29"/>
      <c r="Q310" s="29"/>
      <c r="R310" s="29"/>
      <c r="S310" s="29"/>
      <c r="T310" s="29"/>
      <c r="U310" s="29"/>
      <c r="V310" s="29"/>
    </row>
    <row r="311" outlineLevel="1">
      <c r="A311" s="8">
        <v>320.0</v>
      </c>
      <c r="B311" s="9" t="s">
        <v>935</v>
      </c>
      <c r="C311" s="25" t="s">
        <v>936</v>
      </c>
      <c r="D311" s="26"/>
      <c r="E311" s="27"/>
      <c r="F311" s="27" t="s">
        <v>937</v>
      </c>
      <c r="G311" s="14" t="s">
        <v>17</v>
      </c>
      <c r="H311" s="18">
        <v>61624.0</v>
      </c>
      <c r="I311" s="14" t="s">
        <v>124</v>
      </c>
      <c r="J311" s="16" t="s">
        <v>19</v>
      </c>
      <c r="K311" s="17" t="s">
        <v>20</v>
      </c>
      <c r="L311" s="8" t="s">
        <v>21</v>
      </c>
      <c r="M311" s="8" t="s">
        <v>21</v>
      </c>
      <c r="N311" s="18">
        <v>61625.0</v>
      </c>
      <c r="O311" s="29"/>
      <c r="P311" s="29"/>
      <c r="Q311" s="29"/>
      <c r="R311" s="29"/>
      <c r="S311" s="29"/>
      <c r="T311" s="29"/>
      <c r="U311" s="29"/>
      <c r="V311" s="29"/>
    </row>
    <row r="312" outlineLevel="1">
      <c r="A312" s="8">
        <v>321.0</v>
      </c>
      <c r="B312" s="9" t="s">
        <v>938</v>
      </c>
      <c r="C312" s="25" t="s">
        <v>939</v>
      </c>
      <c r="D312" s="26"/>
      <c r="E312" s="27"/>
      <c r="F312" s="27"/>
      <c r="G312" s="14" t="s">
        <v>17</v>
      </c>
      <c r="H312" s="18">
        <v>61624.0</v>
      </c>
      <c r="I312" s="14" t="s">
        <v>18</v>
      </c>
      <c r="J312" s="16" t="s">
        <v>19</v>
      </c>
      <c r="K312" s="17" t="s">
        <v>20</v>
      </c>
      <c r="L312" s="8" t="s">
        <v>21</v>
      </c>
      <c r="M312" s="8" t="s">
        <v>21</v>
      </c>
      <c r="N312" s="18">
        <v>61625.0</v>
      </c>
      <c r="O312" s="29"/>
      <c r="P312" s="29"/>
      <c r="Q312" s="29"/>
      <c r="R312" s="29"/>
      <c r="S312" s="29"/>
      <c r="T312" s="29"/>
      <c r="U312" s="29"/>
      <c r="V312" s="29"/>
    </row>
    <row r="313" outlineLevel="1">
      <c r="A313" s="8">
        <v>322.0</v>
      </c>
      <c r="B313" s="9" t="s">
        <v>940</v>
      </c>
      <c r="C313" s="25" t="s">
        <v>941</v>
      </c>
      <c r="D313" s="26"/>
      <c r="E313" s="27"/>
      <c r="F313" s="27" t="s">
        <v>942</v>
      </c>
      <c r="G313" s="14" t="s">
        <v>17</v>
      </c>
      <c r="H313" s="18">
        <v>61624.0</v>
      </c>
      <c r="I313" s="32" t="s">
        <v>18</v>
      </c>
      <c r="J313" s="16" t="s">
        <v>19</v>
      </c>
      <c r="K313" s="17" t="s">
        <v>20</v>
      </c>
      <c r="L313" s="8" t="s">
        <v>21</v>
      </c>
      <c r="M313" s="8" t="s">
        <v>21</v>
      </c>
      <c r="N313" s="18">
        <v>61625.0</v>
      </c>
      <c r="O313" s="29"/>
      <c r="P313" s="29"/>
      <c r="Q313" s="29"/>
      <c r="R313" s="29"/>
      <c r="S313" s="29"/>
      <c r="T313" s="29"/>
      <c r="U313" s="29"/>
      <c r="V313" s="29"/>
    </row>
    <row r="314" outlineLevel="1">
      <c r="A314" s="8">
        <v>323.0</v>
      </c>
      <c r="B314" s="9" t="s">
        <v>943</v>
      </c>
      <c r="C314" s="25" t="s">
        <v>944</v>
      </c>
      <c r="D314" s="26"/>
      <c r="E314" s="27"/>
      <c r="F314" s="27" t="s">
        <v>945</v>
      </c>
      <c r="G314" s="14" t="s">
        <v>29</v>
      </c>
      <c r="H314" s="18">
        <v>61624.0</v>
      </c>
      <c r="I314" s="32" t="s">
        <v>232</v>
      </c>
      <c r="J314" s="16" t="s">
        <v>19</v>
      </c>
      <c r="K314" s="17" t="s">
        <v>20</v>
      </c>
      <c r="L314" s="8" t="s">
        <v>21</v>
      </c>
      <c r="M314" s="8" t="s">
        <v>21</v>
      </c>
      <c r="N314" s="18">
        <v>61625.0</v>
      </c>
      <c r="O314" s="29"/>
      <c r="P314" s="29"/>
      <c r="Q314" s="29"/>
      <c r="R314" s="29"/>
      <c r="S314" s="29"/>
      <c r="T314" s="29"/>
      <c r="U314" s="29"/>
      <c r="V314" s="29"/>
    </row>
    <row r="315" outlineLevel="1">
      <c r="A315" s="8">
        <v>324.0</v>
      </c>
      <c r="B315" s="9" t="s">
        <v>946</v>
      </c>
      <c r="C315" s="25" t="s">
        <v>947</v>
      </c>
      <c r="D315" s="26"/>
      <c r="E315" s="27"/>
      <c r="F315" s="27" t="s">
        <v>948</v>
      </c>
      <c r="G315" s="14" t="s">
        <v>17</v>
      </c>
      <c r="H315" s="18">
        <v>61625.0</v>
      </c>
      <c r="I315" s="14" t="s">
        <v>133</v>
      </c>
      <c r="J315" s="16" t="s">
        <v>19</v>
      </c>
      <c r="K315" s="17" t="s">
        <v>20</v>
      </c>
      <c r="L315" s="8" t="s">
        <v>21</v>
      </c>
      <c r="M315" s="8" t="s">
        <v>21</v>
      </c>
      <c r="N315" s="18">
        <v>61626.0</v>
      </c>
      <c r="O315" s="29"/>
      <c r="P315" s="29"/>
      <c r="Q315" s="29"/>
      <c r="R315" s="29"/>
      <c r="S315" s="29"/>
      <c r="T315" s="29"/>
      <c r="U315" s="29"/>
      <c r="V315" s="29"/>
    </row>
    <row r="316" outlineLevel="1">
      <c r="A316" s="8">
        <v>325.0</v>
      </c>
      <c r="B316" s="9" t="s">
        <v>949</v>
      </c>
      <c r="C316" s="25" t="s">
        <v>950</v>
      </c>
      <c r="D316" s="26"/>
      <c r="E316" s="27"/>
      <c r="F316" s="27" t="s">
        <v>951</v>
      </c>
      <c r="G316" s="14" t="s">
        <v>17</v>
      </c>
      <c r="H316" s="18">
        <v>61625.0</v>
      </c>
      <c r="I316" s="14" t="s">
        <v>46</v>
      </c>
      <c r="J316" s="16" t="s">
        <v>19</v>
      </c>
      <c r="K316" s="17" t="s">
        <v>20</v>
      </c>
      <c r="L316" s="8" t="s">
        <v>21</v>
      </c>
      <c r="M316" s="8" t="s">
        <v>21</v>
      </c>
      <c r="N316" s="18">
        <v>61626.0</v>
      </c>
      <c r="O316" s="29"/>
      <c r="P316" s="29"/>
      <c r="Q316" s="29"/>
      <c r="R316" s="29"/>
      <c r="S316" s="29"/>
      <c r="T316" s="29"/>
      <c r="U316" s="29"/>
      <c r="V316" s="29"/>
    </row>
    <row r="317" outlineLevel="1">
      <c r="A317" s="8">
        <v>326.0</v>
      </c>
      <c r="B317" s="9" t="s">
        <v>952</v>
      </c>
      <c r="C317" s="25" t="s">
        <v>953</v>
      </c>
      <c r="D317" s="26"/>
      <c r="E317" s="27"/>
      <c r="F317" s="27" t="s">
        <v>954</v>
      </c>
      <c r="G317" s="14" t="s">
        <v>29</v>
      </c>
      <c r="H317" s="18">
        <v>61625.0</v>
      </c>
      <c r="I317" s="14" t="s">
        <v>50</v>
      </c>
      <c r="J317" s="16" t="s">
        <v>19</v>
      </c>
      <c r="K317" s="17" t="s">
        <v>20</v>
      </c>
      <c r="L317" s="8" t="s">
        <v>21</v>
      </c>
      <c r="M317" s="8" t="s">
        <v>21</v>
      </c>
      <c r="N317" s="18">
        <v>61626.0</v>
      </c>
      <c r="O317" s="29"/>
      <c r="P317" s="29"/>
      <c r="Q317" s="29"/>
      <c r="R317" s="29"/>
      <c r="S317" s="29"/>
      <c r="T317" s="29"/>
      <c r="U317" s="29"/>
      <c r="V317" s="29"/>
    </row>
    <row r="318" outlineLevel="1">
      <c r="A318" s="8">
        <v>327.0</v>
      </c>
      <c r="B318" s="9" t="s">
        <v>955</v>
      </c>
      <c r="C318" s="25" t="s">
        <v>956</v>
      </c>
      <c r="D318" s="26"/>
      <c r="E318" s="27"/>
      <c r="F318" s="27" t="s">
        <v>957</v>
      </c>
      <c r="G318" s="14" t="s">
        <v>29</v>
      </c>
      <c r="H318" s="18">
        <v>61625.0</v>
      </c>
      <c r="I318" s="14" t="s">
        <v>54</v>
      </c>
      <c r="J318" s="16" t="s">
        <v>19</v>
      </c>
      <c r="K318" s="17" t="s">
        <v>20</v>
      </c>
      <c r="L318" s="8" t="s">
        <v>21</v>
      </c>
      <c r="M318" s="8" t="s">
        <v>21</v>
      </c>
      <c r="N318" s="18">
        <v>61626.0</v>
      </c>
      <c r="O318" s="29"/>
      <c r="P318" s="29"/>
      <c r="Q318" s="29"/>
      <c r="R318" s="29"/>
      <c r="S318" s="29"/>
      <c r="T318" s="29"/>
      <c r="U318" s="29"/>
      <c r="V318" s="29"/>
    </row>
    <row r="319" outlineLevel="1">
      <c r="A319" s="8">
        <v>328.0</v>
      </c>
      <c r="B319" s="9" t="s">
        <v>958</v>
      </c>
      <c r="C319" s="25" t="s">
        <v>959</v>
      </c>
      <c r="D319" s="26"/>
      <c r="E319" s="27"/>
      <c r="F319" s="27"/>
      <c r="G319" s="14" t="s">
        <v>29</v>
      </c>
      <c r="H319" s="18">
        <v>61625.0</v>
      </c>
      <c r="I319" s="14" t="s">
        <v>101</v>
      </c>
      <c r="J319" s="16" t="s">
        <v>19</v>
      </c>
      <c r="K319" s="17" t="s">
        <v>20</v>
      </c>
      <c r="L319" s="8" t="s">
        <v>21</v>
      </c>
      <c r="M319" s="8" t="s">
        <v>21</v>
      </c>
      <c r="N319" s="18">
        <v>61626.0</v>
      </c>
      <c r="O319" s="29"/>
      <c r="P319" s="29"/>
      <c r="Q319" s="29"/>
      <c r="R319" s="29"/>
      <c r="S319" s="29"/>
      <c r="T319" s="29"/>
      <c r="U319" s="29"/>
      <c r="V319" s="29"/>
    </row>
    <row r="320" outlineLevel="1">
      <c r="A320" s="8">
        <v>329.0</v>
      </c>
      <c r="B320" s="9" t="s">
        <v>960</v>
      </c>
      <c r="C320" s="25" t="s">
        <v>961</v>
      </c>
      <c r="D320" s="26"/>
      <c r="E320" s="27"/>
      <c r="F320" s="27" t="s">
        <v>962</v>
      </c>
      <c r="G320" s="14" t="s">
        <v>17</v>
      </c>
      <c r="H320" s="18">
        <v>61625.0</v>
      </c>
      <c r="I320" s="14" t="s">
        <v>50</v>
      </c>
      <c r="J320" s="16" t="s">
        <v>19</v>
      </c>
      <c r="K320" s="17" t="s">
        <v>20</v>
      </c>
      <c r="L320" s="8" t="s">
        <v>21</v>
      </c>
      <c r="M320" s="8" t="s">
        <v>21</v>
      </c>
      <c r="N320" s="18">
        <v>61626.0</v>
      </c>
      <c r="O320" s="29"/>
      <c r="P320" s="29"/>
      <c r="Q320" s="29"/>
      <c r="R320" s="29"/>
      <c r="S320" s="29"/>
      <c r="T320" s="29"/>
      <c r="U320" s="29"/>
      <c r="V320" s="29"/>
    </row>
    <row r="321" outlineLevel="1">
      <c r="A321" s="8">
        <v>330.0</v>
      </c>
      <c r="B321" s="9" t="s">
        <v>963</v>
      </c>
      <c r="C321" s="25" t="s">
        <v>964</v>
      </c>
      <c r="D321" s="26"/>
      <c r="E321" s="27"/>
      <c r="F321" s="27" t="s">
        <v>965</v>
      </c>
      <c r="G321" s="14" t="s">
        <v>29</v>
      </c>
      <c r="H321" s="18">
        <v>61625.0</v>
      </c>
      <c r="I321" s="14" t="s">
        <v>34</v>
      </c>
      <c r="J321" s="16" t="s">
        <v>19</v>
      </c>
      <c r="K321" s="17" t="s">
        <v>20</v>
      </c>
      <c r="L321" s="8" t="s">
        <v>21</v>
      </c>
      <c r="M321" s="8" t="s">
        <v>21</v>
      </c>
      <c r="N321" s="18">
        <v>61626.0</v>
      </c>
      <c r="O321" s="29"/>
      <c r="P321" s="29"/>
      <c r="Q321" s="29"/>
      <c r="R321" s="29"/>
      <c r="S321" s="29"/>
      <c r="T321" s="29"/>
      <c r="U321" s="29"/>
      <c r="V321" s="29"/>
    </row>
    <row r="322" outlineLevel="1">
      <c r="A322" s="8">
        <v>331.0</v>
      </c>
      <c r="B322" s="9" t="s">
        <v>966</v>
      </c>
      <c r="C322" s="25" t="s">
        <v>967</v>
      </c>
      <c r="D322" s="26"/>
      <c r="E322" s="27"/>
      <c r="F322" s="27" t="s">
        <v>968</v>
      </c>
      <c r="G322" s="14" t="s">
        <v>17</v>
      </c>
      <c r="H322" s="18">
        <v>61625.0</v>
      </c>
      <c r="I322" s="14" t="s">
        <v>144</v>
      </c>
      <c r="J322" s="16" t="s">
        <v>19</v>
      </c>
      <c r="K322" s="17" t="s">
        <v>20</v>
      </c>
      <c r="L322" s="8" t="s">
        <v>21</v>
      </c>
      <c r="M322" s="8" t="s">
        <v>21</v>
      </c>
      <c r="N322" s="18">
        <v>61626.0</v>
      </c>
      <c r="O322" s="29"/>
      <c r="P322" s="29"/>
      <c r="Q322" s="29"/>
      <c r="R322" s="29"/>
      <c r="S322" s="29"/>
      <c r="T322" s="29"/>
      <c r="U322" s="29"/>
      <c r="V322" s="29"/>
    </row>
    <row r="323" outlineLevel="1">
      <c r="A323" s="8">
        <v>332.0</v>
      </c>
      <c r="B323" s="9" t="s">
        <v>969</v>
      </c>
      <c r="C323" s="25" t="s">
        <v>970</v>
      </c>
      <c r="D323" s="26"/>
      <c r="E323" s="27"/>
      <c r="F323" s="27" t="s">
        <v>971</v>
      </c>
      <c r="G323" s="14" t="s">
        <v>17</v>
      </c>
      <c r="H323" s="18">
        <v>61625.0</v>
      </c>
      <c r="I323" s="32" t="s">
        <v>64</v>
      </c>
      <c r="J323" s="16" t="s">
        <v>19</v>
      </c>
      <c r="K323" s="17" t="s">
        <v>20</v>
      </c>
      <c r="L323" s="8" t="s">
        <v>21</v>
      </c>
      <c r="M323" s="8" t="s">
        <v>21</v>
      </c>
      <c r="N323" s="18">
        <v>61626.0</v>
      </c>
      <c r="O323" s="29"/>
      <c r="P323" s="29"/>
      <c r="Q323" s="29"/>
      <c r="R323" s="29"/>
      <c r="S323" s="29"/>
      <c r="T323" s="29"/>
      <c r="U323" s="29"/>
      <c r="V323" s="29"/>
    </row>
    <row r="324" outlineLevel="1">
      <c r="A324" s="8">
        <v>333.0</v>
      </c>
      <c r="B324" s="9" t="s">
        <v>972</v>
      </c>
      <c r="C324" s="25" t="s">
        <v>973</v>
      </c>
      <c r="D324" s="26"/>
      <c r="E324" s="27"/>
      <c r="F324" s="27" t="s">
        <v>974</v>
      </c>
      <c r="G324" s="14" t="s">
        <v>17</v>
      </c>
      <c r="H324" s="18">
        <v>61625.0</v>
      </c>
      <c r="I324" s="32" t="s">
        <v>38</v>
      </c>
      <c r="J324" s="16" t="s">
        <v>19</v>
      </c>
      <c r="K324" s="17" t="s">
        <v>20</v>
      </c>
      <c r="L324" s="8" t="s">
        <v>21</v>
      </c>
      <c r="M324" s="8" t="s">
        <v>21</v>
      </c>
      <c r="N324" s="18">
        <v>61626.0</v>
      </c>
      <c r="O324" s="29"/>
      <c r="P324" s="29"/>
      <c r="Q324" s="29"/>
      <c r="R324" s="29"/>
      <c r="S324" s="29"/>
      <c r="T324" s="29"/>
      <c r="U324" s="29"/>
      <c r="V324" s="29"/>
    </row>
    <row r="325" outlineLevel="1">
      <c r="A325" s="8">
        <v>334.0</v>
      </c>
      <c r="B325" s="9" t="s">
        <v>975</v>
      </c>
      <c r="C325" s="25" t="s">
        <v>976</v>
      </c>
      <c r="D325" s="26"/>
      <c r="E325" s="27"/>
      <c r="F325" s="27" t="s">
        <v>977</v>
      </c>
      <c r="G325" s="14" t="s">
        <v>29</v>
      </c>
      <c r="H325" s="18">
        <v>61625.0</v>
      </c>
      <c r="I325" s="32" t="s">
        <v>34</v>
      </c>
      <c r="J325" s="16" t="s">
        <v>19</v>
      </c>
      <c r="K325" s="17" t="s">
        <v>20</v>
      </c>
      <c r="L325" s="8" t="s">
        <v>21</v>
      </c>
      <c r="M325" s="8" t="s">
        <v>21</v>
      </c>
      <c r="N325" s="18">
        <v>61626.0</v>
      </c>
      <c r="O325" s="29"/>
      <c r="P325" s="29"/>
      <c r="Q325" s="29"/>
      <c r="R325" s="29"/>
      <c r="S325" s="29"/>
      <c r="T325" s="29"/>
      <c r="U325" s="29"/>
      <c r="V325" s="29"/>
    </row>
    <row r="326" outlineLevel="1">
      <c r="A326" s="8">
        <v>335.0</v>
      </c>
      <c r="B326" s="9" t="s">
        <v>978</v>
      </c>
      <c r="C326" s="25" t="s">
        <v>979</v>
      </c>
      <c r="D326" s="26"/>
      <c r="E326" s="27"/>
      <c r="F326" s="27" t="s">
        <v>980</v>
      </c>
      <c r="G326" s="14" t="s">
        <v>17</v>
      </c>
      <c r="H326" s="18">
        <v>61625.0</v>
      </c>
      <c r="I326" s="14" t="s">
        <v>46</v>
      </c>
      <c r="J326" s="16" t="s">
        <v>19</v>
      </c>
      <c r="K326" s="17" t="s">
        <v>20</v>
      </c>
      <c r="L326" s="8" t="s">
        <v>21</v>
      </c>
      <c r="M326" s="8" t="s">
        <v>21</v>
      </c>
      <c r="N326" s="18">
        <v>61626.0</v>
      </c>
      <c r="O326" s="29"/>
      <c r="P326" s="29"/>
      <c r="Q326" s="29"/>
      <c r="R326" s="29"/>
      <c r="S326" s="29"/>
      <c r="T326" s="29"/>
      <c r="U326" s="29"/>
      <c r="V326" s="29"/>
    </row>
    <row r="327" outlineLevel="1">
      <c r="A327" s="8">
        <v>336.0</v>
      </c>
      <c r="B327" s="9" t="s">
        <v>981</v>
      </c>
      <c r="C327" s="25" t="s">
        <v>982</v>
      </c>
      <c r="D327" s="26"/>
      <c r="E327" s="27"/>
      <c r="F327" s="27" t="s">
        <v>983</v>
      </c>
      <c r="G327" s="14" t="s">
        <v>17</v>
      </c>
      <c r="H327" s="18">
        <v>61626.0</v>
      </c>
      <c r="I327" s="14" t="s">
        <v>101</v>
      </c>
      <c r="J327" s="16" t="s">
        <v>19</v>
      </c>
      <c r="K327" s="17" t="s">
        <v>20</v>
      </c>
      <c r="L327" s="8" t="s">
        <v>21</v>
      </c>
      <c r="M327" s="8" t="s">
        <v>21</v>
      </c>
      <c r="N327" s="18">
        <v>61627.0</v>
      </c>
      <c r="O327" s="29"/>
      <c r="P327" s="29"/>
      <c r="Q327" s="29"/>
      <c r="R327" s="29"/>
      <c r="S327" s="29"/>
      <c r="T327" s="29"/>
      <c r="U327" s="29"/>
      <c r="V327" s="29"/>
    </row>
    <row r="328" outlineLevel="1">
      <c r="A328" s="8">
        <v>337.0</v>
      </c>
      <c r="B328" s="9" t="s">
        <v>984</v>
      </c>
      <c r="C328" s="25" t="s">
        <v>985</v>
      </c>
      <c r="D328" s="26"/>
      <c r="E328" s="27"/>
      <c r="F328" s="27" t="s">
        <v>986</v>
      </c>
      <c r="G328" s="14" t="s">
        <v>29</v>
      </c>
      <c r="H328" s="18">
        <v>61626.0</v>
      </c>
      <c r="I328" s="14" t="s">
        <v>88</v>
      </c>
      <c r="J328" s="16" t="s">
        <v>19</v>
      </c>
      <c r="K328" s="17" t="s">
        <v>20</v>
      </c>
      <c r="L328" s="8" t="s">
        <v>21</v>
      </c>
      <c r="M328" s="8" t="s">
        <v>21</v>
      </c>
      <c r="N328" s="18">
        <v>61627.0</v>
      </c>
      <c r="O328" s="29"/>
      <c r="P328" s="29"/>
      <c r="Q328" s="29"/>
      <c r="R328" s="29"/>
      <c r="S328" s="29"/>
      <c r="T328" s="29"/>
      <c r="U328" s="29"/>
      <c r="V328" s="29"/>
    </row>
    <row r="329" outlineLevel="1">
      <c r="A329" s="8">
        <v>338.0</v>
      </c>
      <c r="B329" s="9" t="s">
        <v>987</v>
      </c>
      <c r="C329" s="25" t="s">
        <v>988</v>
      </c>
      <c r="D329" s="26"/>
      <c r="E329" s="27"/>
      <c r="F329" s="27"/>
      <c r="G329" s="14" t="s">
        <v>29</v>
      </c>
      <c r="H329" s="18">
        <v>61626.0</v>
      </c>
      <c r="I329" s="14" t="s">
        <v>54</v>
      </c>
      <c r="J329" s="16" t="s">
        <v>19</v>
      </c>
      <c r="K329" s="17" t="s">
        <v>20</v>
      </c>
      <c r="L329" s="8" t="s">
        <v>21</v>
      </c>
      <c r="M329" s="8" t="s">
        <v>21</v>
      </c>
      <c r="N329" s="18">
        <v>61627.0</v>
      </c>
      <c r="O329" s="29"/>
      <c r="P329" s="29"/>
      <c r="Q329" s="29"/>
      <c r="R329" s="29"/>
      <c r="S329" s="29"/>
      <c r="T329" s="29"/>
      <c r="U329" s="29"/>
      <c r="V329" s="29"/>
    </row>
    <row r="330" outlineLevel="1">
      <c r="A330" s="8">
        <v>339.0</v>
      </c>
      <c r="B330" s="9" t="s">
        <v>989</v>
      </c>
      <c r="C330" s="25" t="s">
        <v>990</v>
      </c>
      <c r="D330" s="26"/>
      <c r="E330" s="27"/>
      <c r="F330" s="27" t="s">
        <v>991</v>
      </c>
      <c r="G330" s="14" t="s">
        <v>29</v>
      </c>
      <c r="H330" s="18">
        <v>61626.0</v>
      </c>
      <c r="I330" s="14" t="s">
        <v>95</v>
      </c>
      <c r="J330" s="16" t="s">
        <v>19</v>
      </c>
      <c r="K330" s="17" t="s">
        <v>20</v>
      </c>
      <c r="L330" s="8" t="s">
        <v>21</v>
      </c>
      <c r="M330" s="8" t="s">
        <v>21</v>
      </c>
      <c r="N330" s="18">
        <v>61627.0</v>
      </c>
      <c r="O330" s="29"/>
      <c r="P330" s="29"/>
      <c r="Q330" s="29"/>
      <c r="R330" s="29"/>
      <c r="S330" s="29"/>
      <c r="T330" s="29"/>
      <c r="U330" s="29"/>
      <c r="V330" s="29"/>
    </row>
    <row r="331" outlineLevel="1">
      <c r="A331" s="8">
        <v>340.0</v>
      </c>
      <c r="B331" s="9" t="s">
        <v>992</v>
      </c>
      <c r="C331" s="25" t="s">
        <v>993</v>
      </c>
      <c r="D331" s="26"/>
      <c r="E331" s="27"/>
      <c r="F331" s="27"/>
      <c r="G331" s="14" t="s">
        <v>17</v>
      </c>
      <c r="H331" s="18">
        <v>61626.0</v>
      </c>
      <c r="I331" s="14" t="s">
        <v>34</v>
      </c>
      <c r="J331" s="16" t="s">
        <v>19</v>
      </c>
      <c r="K331" s="17" t="s">
        <v>20</v>
      </c>
      <c r="L331" s="8" t="s">
        <v>21</v>
      </c>
      <c r="M331" s="8" t="s">
        <v>21</v>
      </c>
      <c r="N331" s="18">
        <v>61627.0</v>
      </c>
      <c r="O331" s="29"/>
      <c r="P331" s="29"/>
      <c r="Q331" s="29"/>
      <c r="R331" s="29"/>
      <c r="S331" s="29"/>
      <c r="T331" s="29"/>
      <c r="U331" s="29"/>
      <c r="V331" s="29"/>
    </row>
    <row r="332" outlineLevel="1">
      <c r="A332" s="8">
        <v>341.0</v>
      </c>
      <c r="B332" s="9" t="s">
        <v>994</v>
      </c>
      <c r="C332" s="25" t="s">
        <v>995</v>
      </c>
      <c r="D332" s="26"/>
      <c r="E332" s="27"/>
      <c r="F332" s="27"/>
      <c r="G332" s="14" t="s">
        <v>29</v>
      </c>
      <c r="H332" s="18">
        <v>61626.0</v>
      </c>
      <c r="I332" s="14" t="s">
        <v>101</v>
      </c>
      <c r="J332" s="16" t="s">
        <v>19</v>
      </c>
      <c r="K332" s="17" t="s">
        <v>20</v>
      </c>
      <c r="L332" s="8" t="s">
        <v>21</v>
      </c>
      <c r="M332" s="8" t="s">
        <v>21</v>
      </c>
      <c r="N332" s="18">
        <v>61627.0</v>
      </c>
      <c r="O332" s="29"/>
      <c r="P332" s="29"/>
      <c r="Q332" s="29"/>
      <c r="R332" s="29"/>
      <c r="S332" s="29"/>
      <c r="T332" s="29"/>
      <c r="U332" s="29"/>
      <c r="V332" s="29"/>
    </row>
    <row r="333" outlineLevel="1">
      <c r="A333" s="8">
        <v>342.0</v>
      </c>
      <c r="B333" s="9" t="s">
        <v>996</v>
      </c>
      <c r="C333" s="25" t="s">
        <v>997</v>
      </c>
      <c r="D333" s="26"/>
      <c r="E333" s="27"/>
      <c r="F333" s="27" t="s">
        <v>998</v>
      </c>
      <c r="G333" s="14" t="s">
        <v>17</v>
      </c>
      <c r="H333" s="18">
        <v>61626.0</v>
      </c>
      <c r="I333" s="14" t="s">
        <v>30</v>
      </c>
      <c r="J333" s="16" t="s">
        <v>19</v>
      </c>
      <c r="K333" s="17" t="s">
        <v>20</v>
      </c>
      <c r="L333" s="8" t="s">
        <v>21</v>
      </c>
      <c r="M333" s="8" t="s">
        <v>21</v>
      </c>
      <c r="N333" s="18">
        <v>61627.0</v>
      </c>
      <c r="O333" s="29"/>
      <c r="P333" s="29"/>
      <c r="Q333" s="29"/>
      <c r="R333" s="29"/>
      <c r="S333" s="29"/>
      <c r="T333" s="29"/>
      <c r="U333" s="29"/>
      <c r="V333" s="29"/>
    </row>
    <row r="334" outlineLevel="1">
      <c r="A334" s="8">
        <v>343.0</v>
      </c>
      <c r="B334" s="9" t="s">
        <v>999</v>
      </c>
      <c r="C334" s="25" t="s">
        <v>1000</v>
      </c>
      <c r="D334" s="26"/>
      <c r="E334" s="27"/>
      <c r="F334" s="27" t="s">
        <v>1001</v>
      </c>
      <c r="G334" s="14" t="s">
        <v>17</v>
      </c>
      <c r="H334" s="18">
        <v>61626.0</v>
      </c>
      <c r="I334" s="14" t="s">
        <v>38</v>
      </c>
      <c r="J334" s="16" t="s">
        <v>19</v>
      </c>
      <c r="K334" s="17" t="s">
        <v>20</v>
      </c>
      <c r="L334" s="8" t="s">
        <v>21</v>
      </c>
      <c r="M334" s="8" t="s">
        <v>21</v>
      </c>
      <c r="N334" s="18">
        <v>61627.0</v>
      </c>
      <c r="O334" s="29"/>
      <c r="P334" s="29"/>
      <c r="Q334" s="29"/>
      <c r="R334" s="29"/>
      <c r="S334" s="29"/>
      <c r="T334" s="29"/>
      <c r="U334" s="29"/>
      <c r="V334" s="29"/>
    </row>
    <row r="335" outlineLevel="1">
      <c r="A335" s="8">
        <v>344.0</v>
      </c>
      <c r="B335" s="9" t="s">
        <v>1002</v>
      </c>
      <c r="C335" s="25" t="s">
        <v>1003</v>
      </c>
      <c r="D335" s="26"/>
      <c r="E335" s="27"/>
      <c r="F335" s="27" t="s">
        <v>1004</v>
      </c>
      <c r="G335" s="14" t="s">
        <v>17</v>
      </c>
      <c r="H335" s="18">
        <v>61626.0</v>
      </c>
      <c r="I335" s="14" t="s">
        <v>111</v>
      </c>
      <c r="J335" s="16" t="s">
        <v>19</v>
      </c>
      <c r="K335" s="17" t="s">
        <v>20</v>
      </c>
      <c r="L335" s="8" t="s">
        <v>21</v>
      </c>
      <c r="M335" s="8" t="s">
        <v>21</v>
      </c>
      <c r="N335" s="18">
        <v>61627.0</v>
      </c>
      <c r="O335" s="29"/>
      <c r="P335" s="29"/>
      <c r="Q335" s="29"/>
      <c r="R335" s="29"/>
      <c r="S335" s="29"/>
      <c r="T335" s="29"/>
      <c r="U335" s="29"/>
      <c r="V335" s="29"/>
    </row>
    <row r="336" outlineLevel="1">
      <c r="A336" s="8">
        <v>345.0</v>
      </c>
      <c r="B336" s="9" t="s">
        <v>1005</v>
      </c>
      <c r="C336" s="25" t="s">
        <v>1006</v>
      </c>
      <c r="D336" s="26"/>
      <c r="E336" s="27"/>
      <c r="F336" s="27" t="s">
        <v>1007</v>
      </c>
      <c r="G336" s="14" t="s">
        <v>29</v>
      </c>
      <c r="H336" s="18">
        <v>61626.0</v>
      </c>
      <c r="I336" s="14" t="s">
        <v>50</v>
      </c>
      <c r="J336" s="16" t="s">
        <v>19</v>
      </c>
      <c r="K336" s="17" t="s">
        <v>20</v>
      </c>
      <c r="L336" s="8" t="s">
        <v>21</v>
      </c>
      <c r="M336" s="8" t="s">
        <v>21</v>
      </c>
      <c r="N336" s="18">
        <v>61627.0</v>
      </c>
      <c r="O336" s="29"/>
      <c r="P336" s="29"/>
      <c r="Q336" s="29"/>
      <c r="R336" s="29"/>
      <c r="S336" s="29"/>
      <c r="T336" s="29"/>
      <c r="U336" s="29"/>
      <c r="V336" s="29"/>
    </row>
    <row r="337" outlineLevel="1">
      <c r="A337" s="8">
        <v>346.0</v>
      </c>
      <c r="B337" s="9" t="s">
        <v>1008</v>
      </c>
      <c r="C337" s="25" t="s">
        <v>1009</v>
      </c>
      <c r="D337" s="26"/>
      <c r="E337" s="27"/>
      <c r="F337" s="27" t="s">
        <v>1010</v>
      </c>
      <c r="G337" s="14" t="s">
        <v>17</v>
      </c>
      <c r="H337" s="18">
        <v>61626.0</v>
      </c>
      <c r="I337" s="14" t="s">
        <v>50</v>
      </c>
      <c r="J337" s="16" t="s">
        <v>19</v>
      </c>
      <c r="K337" s="17" t="s">
        <v>20</v>
      </c>
      <c r="L337" s="8" t="s">
        <v>21</v>
      </c>
      <c r="M337" s="8" t="s">
        <v>21</v>
      </c>
      <c r="N337" s="18">
        <v>61627.0</v>
      </c>
      <c r="O337" s="29"/>
      <c r="P337" s="29"/>
      <c r="Q337" s="29"/>
      <c r="R337" s="29"/>
      <c r="S337" s="29"/>
      <c r="T337" s="29"/>
      <c r="U337" s="29"/>
      <c r="V337" s="29"/>
    </row>
    <row r="338" outlineLevel="1">
      <c r="A338" s="8">
        <v>347.0</v>
      </c>
      <c r="B338" s="9" t="s">
        <v>1011</v>
      </c>
      <c r="C338" s="25" t="s">
        <v>1012</v>
      </c>
      <c r="D338" s="26"/>
      <c r="E338" s="27"/>
      <c r="F338" s="27" t="s">
        <v>322</v>
      </c>
      <c r="G338" s="14" t="s">
        <v>17</v>
      </c>
      <c r="H338" s="18">
        <v>61626.0</v>
      </c>
      <c r="I338" s="14" t="s">
        <v>54</v>
      </c>
      <c r="J338" s="16" t="s">
        <v>19</v>
      </c>
      <c r="K338" s="17" t="s">
        <v>20</v>
      </c>
      <c r="L338" s="8" t="s">
        <v>21</v>
      </c>
      <c r="M338" s="8" t="s">
        <v>21</v>
      </c>
      <c r="N338" s="18">
        <v>61627.0</v>
      </c>
      <c r="O338" s="29"/>
      <c r="P338" s="29"/>
      <c r="Q338" s="29"/>
      <c r="R338" s="29"/>
      <c r="S338" s="29"/>
      <c r="T338" s="29"/>
      <c r="U338" s="29"/>
      <c r="V338" s="29"/>
    </row>
    <row r="339" outlineLevel="1">
      <c r="A339" s="8">
        <v>348.0</v>
      </c>
      <c r="B339" s="9" t="s">
        <v>1013</v>
      </c>
      <c r="C339" s="25" t="s">
        <v>1014</v>
      </c>
      <c r="D339" s="26"/>
      <c r="E339" s="27">
        <v>3.471201015392E12</v>
      </c>
      <c r="F339" s="27" t="s">
        <v>840</v>
      </c>
      <c r="G339" s="14" t="s">
        <v>29</v>
      </c>
      <c r="H339" s="18">
        <v>61626.0</v>
      </c>
      <c r="I339" s="14" t="s">
        <v>124</v>
      </c>
      <c r="J339" s="16" t="s">
        <v>19</v>
      </c>
      <c r="K339" s="17" t="s">
        <v>20</v>
      </c>
      <c r="L339" s="8" t="s">
        <v>21</v>
      </c>
      <c r="M339" s="8" t="s">
        <v>21</v>
      </c>
      <c r="N339" s="18">
        <v>61627.0</v>
      </c>
      <c r="O339" s="29"/>
      <c r="P339" s="29"/>
      <c r="Q339" s="29"/>
      <c r="R339" s="29"/>
      <c r="S339" s="29"/>
      <c r="T339" s="29"/>
      <c r="U339" s="29"/>
      <c r="V339" s="29"/>
    </row>
    <row r="340" outlineLevel="1">
      <c r="A340" s="8">
        <v>349.0</v>
      </c>
      <c r="B340" s="9" t="s">
        <v>1015</v>
      </c>
      <c r="C340" s="25" t="s">
        <v>1016</v>
      </c>
      <c r="D340" s="26"/>
      <c r="E340" s="27"/>
      <c r="F340" s="27"/>
      <c r="G340" s="14" t="s">
        <v>29</v>
      </c>
      <c r="H340" s="18">
        <v>61627.0</v>
      </c>
      <c r="I340" s="14" t="s">
        <v>80</v>
      </c>
      <c r="J340" s="16" t="s">
        <v>19</v>
      </c>
      <c r="K340" s="17" t="s">
        <v>20</v>
      </c>
      <c r="L340" s="8" t="s">
        <v>21</v>
      </c>
      <c r="M340" s="8" t="s">
        <v>21</v>
      </c>
      <c r="N340" s="18">
        <v>61628.0</v>
      </c>
      <c r="O340" s="29"/>
      <c r="P340" s="29"/>
      <c r="Q340" s="29"/>
      <c r="R340" s="29"/>
      <c r="S340" s="29"/>
      <c r="T340" s="29"/>
      <c r="U340" s="29"/>
      <c r="V340" s="29"/>
    </row>
    <row r="341" outlineLevel="1">
      <c r="A341" s="8">
        <v>350.0</v>
      </c>
      <c r="B341" s="9" t="s">
        <v>1017</v>
      </c>
      <c r="C341" s="25" t="s">
        <v>1018</v>
      </c>
      <c r="D341" s="26"/>
      <c r="E341" s="27"/>
      <c r="F341" s="27" t="s">
        <v>1019</v>
      </c>
      <c r="G341" s="14" t="s">
        <v>29</v>
      </c>
      <c r="H341" s="18">
        <v>61627.0</v>
      </c>
      <c r="I341" s="14" t="s">
        <v>335</v>
      </c>
      <c r="J341" s="16" t="s">
        <v>19</v>
      </c>
      <c r="K341" s="17" t="s">
        <v>20</v>
      </c>
      <c r="L341" s="8" t="s">
        <v>21</v>
      </c>
      <c r="M341" s="8" t="s">
        <v>21</v>
      </c>
      <c r="N341" s="18">
        <v>61628.0</v>
      </c>
      <c r="O341" s="29"/>
      <c r="P341" s="29"/>
      <c r="Q341" s="29"/>
      <c r="R341" s="29"/>
      <c r="S341" s="29"/>
      <c r="T341" s="29"/>
      <c r="U341" s="29"/>
      <c r="V341" s="29"/>
    </row>
    <row r="342" outlineLevel="1">
      <c r="A342" s="8">
        <v>351.0</v>
      </c>
      <c r="B342" s="9" t="s">
        <v>1020</v>
      </c>
      <c r="C342" s="25" t="s">
        <v>1021</v>
      </c>
      <c r="D342" s="26"/>
      <c r="E342" s="27"/>
      <c r="F342" s="27" t="s">
        <v>334</v>
      </c>
      <c r="G342" s="14" t="s">
        <v>17</v>
      </c>
      <c r="H342" s="18">
        <v>61627.0</v>
      </c>
      <c r="I342" s="14" t="s">
        <v>162</v>
      </c>
      <c r="J342" s="16" t="s">
        <v>19</v>
      </c>
      <c r="K342" s="17" t="s">
        <v>20</v>
      </c>
      <c r="L342" s="8" t="s">
        <v>21</v>
      </c>
      <c r="M342" s="8" t="s">
        <v>21</v>
      </c>
      <c r="N342" s="18">
        <v>61628.0</v>
      </c>
      <c r="O342" s="29"/>
      <c r="P342" s="29"/>
      <c r="Q342" s="29"/>
      <c r="R342" s="29"/>
      <c r="S342" s="29"/>
      <c r="T342" s="29"/>
      <c r="U342" s="29"/>
      <c r="V342" s="29"/>
    </row>
    <row r="343" outlineLevel="1">
      <c r="A343" s="8">
        <v>352.0</v>
      </c>
      <c r="B343" s="9" t="s">
        <v>1022</v>
      </c>
      <c r="C343" s="25" t="s">
        <v>1023</v>
      </c>
      <c r="D343" s="26"/>
      <c r="E343" s="27"/>
      <c r="F343" s="27" t="s">
        <v>1024</v>
      </c>
      <c r="G343" s="14" t="s">
        <v>29</v>
      </c>
      <c r="H343" s="18">
        <v>61627.0</v>
      </c>
      <c r="I343" s="14" t="s">
        <v>80</v>
      </c>
      <c r="J343" s="16" t="s">
        <v>19</v>
      </c>
      <c r="K343" s="17" t="s">
        <v>20</v>
      </c>
      <c r="L343" s="8" t="s">
        <v>21</v>
      </c>
      <c r="M343" s="8" t="s">
        <v>21</v>
      </c>
      <c r="N343" s="18">
        <v>61628.0</v>
      </c>
      <c r="O343" s="29"/>
      <c r="P343" s="29"/>
      <c r="Q343" s="29"/>
      <c r="R343" s="29"/>
      <c r="S343" s="29"/>
      <c r="T343" s="29"/>
      <c r="U343" s="29"/>
      <c r="V343" s="29"/>
    </row>
    <row r="344" outlineLevel="1">
      <c r="A344" s="8">
        <v>353.0</v>
      </c>
      <c r="B344" s="9" t="s">
        <v>1025</v>
      </c>
      <c r="C344" s="25" t="s">
        <v>1026</v>
      </c>
      <c r="D344" s="26"/>
      <c r="E344" s="27"/>
      <c r="F344" s="27" t="s">
        <v>1027</v>
      </c>
      <c r="G344" s="14" t="s">
        <v>17</v>
      </c>
      <c r="H344" s="18">
        <v>61627.0</v>
      </c>
      <c r="I344" s="14" t="s">
        <v>869</v>
      </c>
      <c r="J344" s="16" t="s">
        <v>19</v>
      </c>
      <c r="K344" s="17" t="s">
        <v>20</v>
      </c>
      <c r="L344" s="8" t="s">
        <v>21</v>
      </c>
      <c r="M344" s="8" t="s">
        <v>21</v>
      </c>
      <c r="N344" s="18">
        <v>61628.0</v>
      </c>
      <c r="O344" s="29"/>
      <c r="P344" s="29"/>
      <c r="Q344" s="29"/>
      <c r="R344" s="29"/>
      <c r="S344" s="29"/>
      <c r="T344" s="29"/>
      <c r="U344" s="29"/>
      <c r="V344" s="29"/>
    </row>
    <row r="345" outlineLevel="1">
      <c r="A345" s="8">
        <v>354.0</v>
      </c>
      <c r="B345" s="9" t="s">
        <v>1028</v>
      </c>
      <c r="C345" s="25" t="s">
        <v>1029</v>
      </c>
      <c r="D345" s="26"/>
      <c r="E345" s="27"/>
      <c r="F345" s="27" t="s">
        <v>1030</v>
      </c>
      <c r="G345" s="14" t="s">
        <v>17</v>
      </c>
      <c r="H345" s="18">
        <v>61627.0</v>
      </c>
      <c r="I345" s="14" t="s">
        <v>46</v>
      </c>
      <c r="J345" s="16" t="s">
        <v>19</v>
      </c>
      <c r="K345" s="17" t="s">
        <v>20</v>
      </c>
      <c r="L345" s="8" t="s">
        <v>21</v>
      </c>
      <c r="M345" s="8" t="s">
        <v>21</v>
      </c>
      <c r="N345" s="18">
        <v>61628.0</v>
      </c>
      <c r="O345" s="29"/>
      <c r="P345" s="29"/>
      <c r="Q345" s="29"/>
      <c r="R345" s="29"/>
      <c r="S345" s="29"/>
      <c r="T345" s="29"/>
      <c r="U345" s="29"/>
      <c r="V345" s="29"/>
    </row>
    <row r="346" outlineLevel="1">
      <c r="A346" s="8">
        <v>355.0</v>
      </c>
      <c r="B346" s="9" t="s">
        <v>1031</v>
      </c>
      <c r="C346" s="25" t="s">
        <v>1032</v>
      </c>
      <c r="D346" s="26"/>
      <c r="E346" s="27"/>
      <c r="F346" s="27" t="s">
        <v>1033</v>
      </c>
      <c r="G346" s="14" t="s">
        <v>17</v>
      </c>
      <c r="H346" s="18">
        <v>61627.0</v>
      </c>
      <c r="I346" s="14" t="s">
        <v>38</v>
      </c>
      <c r="J346" s="16" t="s">
        <v>19</v>
      </c>
      <c r="K346" s="17" t="s">
        <v>20</v>
      </c>
      <c r="L346" s="8" t="s">
        <v>21</v>
      </c>
      <c r="M346" s="8" t="s">
        <v>21</v>
      </c>
      <c r="N346" s="18">
        <v>61628.0</v>
      </c>
      <c r="O346" s="29"/>
      <c r="P346" s="29"/>
      <c r="Q346" s="29"/>
      <c r="R346" s="29"/>
      <c r="S346" s="29"/>
      <c r="T346" s="29"/>
      <c r="U346" s="29"/>
      <c r="V346" s="29"/>
    </row>
    <row r="347" outlineLevel="1">
      <c r="A347" s="8">
        <v>356.0</v>
      </c>
      <c r="B347" s="9" t="s">
        <v>1034</v>
      </c>
      <c r="C347" s="25" t="s">
        <v>1035</v>
      </c>
      <c r="D347" s="26"/>
      <c r="E347" s="27"/>
      <c r="F347" s="27" t="s">
        <v>1036</v>
      </c>
      <c r="G347" s="14" t="s">
        <v>29</v>
      </c>
      <c r="H347" s="18">
        <v>61627.0</v>
      </c>
      <c r="I347" s="14" t="s">
        <v>34</v>
      </c>
      <c r="J347" s="16" t="s">
        <v>19</v>
      </c>
      <c r="K347" s="17" t="s">
        <v>20</v>
      </c>
      <c r="L347" s="8" t="s">
        <v>21</v>
      </c>
      <c r="M347" s="8" t="s">
        <v>21</v>
      </c>
      <c r="N347" s="18">
        <v>61628.0</v>
      </c>
      <c r="O347" s="29"/>
      <c r="P347" s="29"/>
      <c r="Q347" s="29"/>
      <c r="R347" s="29"/>
      <c r="S347" s="29"/>
      <c r="T347" s="29"/>
      <c r="U347" s="29"/>
      <c r="V347" s="29"/>
    </row>
    <row r="348" outlineLevel="1">
      <c r="A348" s="8">
        <v>357.0</v>
      </c>
      <c r="B348" s="9" t="s">
        <v>1037</v>
      </c>
      <c r="C348" s="25" t="s">
        <v>1038</v>
      </c>
      <c r="D348" s="26"/>
      <c r="E348" s="27"/>
      <c r="F348" s="27" t="s">
        <v>1039</v>
      </c>
      <c r="G348" s="14" t="s">
        <v>17</v>
      </c>
      <c r="H348" s="18">
        <v>61627.0</v>
      </c>
      <c r="I348" s="14" t="s">
        <v>38</v>
      </c>
      <c r="J348" s="16" t="s">
        <v>19</v>
      </c>
      <c r="K348" s="17" t="s">
        <v>20</v>
      </c>
      <c r="L348" s="8" t="s">
        <v>21</v>
      </c>
      <c r="M348" s="8" t="s">
        <v>21</v>
      </c>
      <c r="N348" s="18">
        <v>61628.0</v>
      </c>
      <c r="O348" s="29"/>
      <c r="P348" s="29"/>
      <c r="Q348" s="29"/>
      <c r="R348" s="29"/>
      <c r="S348" s="29"/>
      <c r="T348" s="29"/>
      <c r="U348" s="29"/>
      <c r="V348" s="29"/>
    </row>
    <row r="349" outlineLevel="1">
      <c r="A349" s="8">
        <v>358.0</v>
      </c>
      <c r="B349" s="9" t="s">
        <v>1040</v>
      </c>
      <c r="C349" s="25" t="s">
        <v>1041</v>
      </c>
      <c r="D349" s="26"/>
      <c r="E349" s="27"/>
      <c r="F349" s="27" t="s">
        <v>1042</v>
      </c>
      <c r="G349" s="14" t="s">
        <v>17</v>
      </c>
      <c r="H349" s="18">
        <v>61627.0</v>
      </c>
      <c r="I349" s="14" t="s">
        <v>50</v>
      </c>
      <c r="J349" s="16" t="s">
        <v>19</v>
      </c>
      <c r="K349" s="17" t="s">
        <v>20</v>
      </c>
      <c r="L349" s="8" t="s">
        <v>21</v>
      </c>
      <c r="M349" s="8" t="s">
        <v>21</v>
      </c>
      <c r="N349" s="18">
        <v>61628.0</v>
      </c>
      <c r="O349" s="29"/>
      <c r="P349" s="29"/>
      <c r="Q349" s="29"/>
      <c r="R349" s="29"/>
      <c r="S349" s="29"/>
      <c r="T349" s="29"/>
      <c r="U349" s="29"/>
      <c r="V349" s="29"/>
    </row>
    <row r="350" outlineLevel="1">
      <c r="A350" s="8">
        <v>359.0</v>
      </c>
      <c r="B350" s="9" t="s">
        <v>1043</v>
      </c>
      <c r="C350" s="25" t="s">
        <v>1044</v>
      </c>
      <c r="D350" s="26"/>
      <c r="E350" s="27"/>
      <c r="F350" s="27" t="s">
        <v>1045</v>
      </c>
      <c r="G350" s="14" t="s">
        <v>29</v>
      </c>
      <c r="H350" s="18">
        <v>61627.0</v>
      </c>
      <c r="I350" s="14" t="s">
        <v>467</v>
      </c>
      <c r="J350" s="16" t="s">
        <v>19</v>
      </c>
      <c r="K350" s="17" t="s">
        <v>20</v>
      </c>
      <c r="L350" s="8" t="s">
        <v>21</v>
      </c>
      <c r="M350" s="8" t="s">
        <v>21</v>
      </c>
      <c r="N350" s="18">
        <v>61628.0</v>
      </c>
      <c r="O350" s="29"/>
      <c r="P350" s="29"/>
      <c r="Q350" s="29"/>
      <c r="R350" s="29"/>
      <c r="S350" s="29"/>
      <c r="T350" s="29"/>
      <c r="U350" s="29"/>
      <c r="V350" s="29"/>
    </row>
    <row r="351" outlineLevel="1">
      <c r="A351" s="8">
        <v>360.0</v>
      </c>
      <c r="B351" s="9" t="s">
        <v>1046</v>
      </c>
      <c r="C351" s="25" t="s">
        <v>1047</v>
      </c>
      <c r="D351" s="26"/>
      <c r="E351" s="27"/>
      <c r="F351" s="27" t="s">
        <v>1048</v>
      </c>
      <c r="G351" s="14" t="s">
        <v>29</v>
      </c>
      <c r="H351" s="18">
        <v>61627.0</v>
      </c>
      <c r="I351" s="14" t="s">
        <v>46</v>
      </c>
      <c r="J351" s="16" t="s">
        <v>19</v>
      </c>
      <c r="K351" s="17" t="s">
        <v>20</v>
      </c>
      <c r="L351" s="8" t="s">
        <v>21</v>
      </c>
      <c r="M351" s="8" t="s">
        <v>21</v>
      </c>
      <c r="N351" s="18">
        <v>61628.0</v>
      </c>
      <c r="O351" s="29"/>
      <c r="P351" s="29"/>
      <c r="Q351" s="29"/>
      <c r="R351" s="29"/>
      <c r="S351" s="29"/>
      <c r="T351" s="29"/>
      <c r="U351" s="29"/>
      <c r="V351" s="29"/>
    </row>
    <row r="352" outlineLevel="1">
      <c r="A352" s="8">
        <v>361.0</v>
      </c>
      <c r="B352" s="9" t="s">
        <v>1049</v>
      </c>
      <c r="C352" s="25" t="s">
        <v>1050</v>
      </c>
      <c r="D352" s="26"/>
      <c r="E352" s="27"/>
      <c r="F352" s="27" t="s">
        <v>1051</v>
      </c>
      <c r="G352" s="14" t="s">
        <v>29</v>
      </c>
      <c r="H352" s="18">
        <v>61627.0</v>
      </c>
      <c r="I352" s="14" t="s">
        <v>101</v>
      </c>
      <c r="J352" s="16" t="s">
        <v>19</v>
      </c>
      <c r="K352" s="17" t="s">
        <v>20</v>
      </c>
      <c r="L352" s="8" t="s">
        <v>21</v>
      </c>
      <c r="M352" s="8" t="s">
        <v>21</v>
      </c>
      <c r="N352" s="18">
        <v>61628.0</v>
      </c>
      <c r="O352" s="29"/>
      <c r="P352" s="29"/>
      <c r="Q352" s="29"/>
      <c r="R352" s="29"/>
      <c r="S352" s="29"/>
      <c r="T352" s="29"/>
      <c r="U352" s="29"/>
      <c r="V352" s="29"/>
    </row>
    <row r="353" outlineLevel="1">
      <c r="A353" s="8">
        <v>362.0</v>
      </c>
      <c r="B353" s="9" t="s">
        <v>1052</v>
      </c>
      <c r="C353" s="25" t="s">
        <v>1053</v>
      </c>
      <c r="D353" s="26"/>
      <c r="E353" s="27"/>
      <c r="F353" s="27" t="s">
        <v>1054</v>
      </c>
      <c r="G353" s="14" t="s">
        <v>17</v>
      </c>
      <c r="H353" s="18">
        <v>61627.0</v>
      </c>
      <c r="I353" s="14" t="s">
        <v>46</v>
      </c>
      <c r="J353" s="16" t="s">
        <v>19</v>
      </c>
      <c r="K353" s="17" t="s">
        <v>20</v>
      </c>
      <c r="L353" s="8" t="s">
        <v>21</v>
      </c>
      <c r="M353" s="8" t="s">
        <v>21</v>
      </c>
      <c r="N353" s="18">
        <v>61628.0</v>
      </c>
      <c r="O353" s="29"/>
      <c r="P353" s="29"/>
      <c r="Q353" s="29"/>
      <c r="R353" s="29"/>
      <c r="S353" s="29"/>
      <c r="T353" s="29"/>
      <c r="U353" s="29"/>
      <c r="V353" s="29"/>
    </row>
    <row r="354" outlineLevel="1">
      <c r="A354" s="8">
        <v>363.0</v>
      </c>
      <c r="B354" s="9" t="s">
        <v>1055</v>
      </c>
      <c r="C354" s="25" t="s">
        <v>1056</v>
      </c>
      <c r="D354" s="26"/>
      <c r="E354" s="27"/>
      <c r="F354" s="27" t="s">
        <v>1057</v>
      </c>
      <c r="G354" s="14" t="s">
        <v>29</v>
      </c>
      <c r="H354" s="18">
        <v>61627.0</v>
      </c>
      <c r="I354" s="32" t="s">
        <v>30</v>
      </c>
      <c r="J354" s="16" t="s">
        <v>19</v>
      </c>
      <c r="K354" s="17" t="s">
        <v>20</v>
      </c>
      <c r="L354" s="8" t="s">
        <v>21</v>
      </c>
      <c r="M354" s="8" t="s">
        <v>21</v>
      </c>
      <c r="N354" s="18">
        <v>61628.0</v>
      </c>
      <c r="O354" s="29"/>
      <c r="P354" s="29"/>
      <c r="Q354" s="29"/>
      <c r="R354" s="29"/>
      <c r="S354" s="29"/>
      <c r="T354" s="29"/>
      <c r="U354" s="29"/>
      <c r="V354" s="29"/>
    </row>
    <row r="355" outlineLevel="1">
      <c r="A355" s="8">
        <v>364.0</v>
      </c>
      <c r="B355" s="9" t="s">
        <v>1058</v>
      </c>
      <c r="C355" s="25" t="s">
        <v>1059</v>
      </c>
      <c r="D355" s="26" t="s">
        <v>1060</v>
      </c>
      <c r="E355" s="27">
        <v>1.320500230027E12</v>
      </c>
      <c r="F355" s="27" t="s">
        <v>1061</v>
      </c>
      <c r="G355" s="14" t="s">
        <v>17</v>
      </c>
      <c r="H355" s="18">
        <v>61628.0</v>
      </c>
      <c r="I355" s="32" t="s">
        <v>101</v>
      </c>
      <c r="J355" s="16" t="s">
        <v>19</v>
      </c>
      <c r="K355" s="17" t="s">
        <v>20</v>
      </c>
      <c r="L355" s="8" t="s">
        <v>21</v>
      </c>
      <c r="M355" s="8" t="s">
        <v>21</v>
      </c>
      <c r="N355" s="18">
        <v>61629.0</v>
      </c>
      <c r="O355" s="29"/>
      <c r="P355" s="29"/>
      <c r="Q355" s="29"/>
      <c r="R355" s="29"/>
      <c r="S355" s="29"/>
      <c r="T355" s="29"/>
      <c r="U355" s="29"/>
      <c r="V355" s="29"/>
    </row>
    <row r="356" outlineLevel="1">
      <c r="A356" s="8">
        <v>365.0</v>
      </c>
      <c r="B356" s="9" t="s">
        <v>1062</v>
      </c>
      <c r="C356" s="25" t="s">
        <v>1063</v>
      </c>
      <c r="D356" s="26"/>
      <c r="E356" s="27"/>
      <c r="F356" s="27" t="s">
        <v>1064</v>
      </c>
      <c r="G356" s="14" t="s">
        <v>17</v>
      </c>
      <c r="H356" s="18">
        <v>61628.0</v>
      </c>
      <c r="I356" s="14" t="s">
        <v>54</v>
      </c>
      <c r="J356" s="16" t="s">
        <v>19</v>
      </c>
      <c r="K356" s="17" t="s">
        <v>20</v>
      </c>
      <c r="L356" s="8" t="s">
        <v>21</v>
      </c>
      <c r="M356" s="8" t="s">
        <v>21</v>
      </c>
      <c r="N356" s="18">
        <v>61629.0</v>
      </c>
      <c r="O356" s="29"/>
      <c r="P356" s="29"/>
      <c r="Q356" s="29"/>
      <c r="R356" s="29"/>
      <c r="S356" s="29"/>
      <c r="T356" s="29"/>
      <c r="U356" s="29"/>
      <c r="V356" s="29"/>
    </row>
    <row r="357" outlineLevel="1">
      <c r="A357" s="8">
        <v>366.0</v>
      </c>
      <c r="B357" s="9" t="s">
        <v>1065</v>
      </c>
      <c r="C357" s="25" t="s">
        <v>1066</v>
      </c>
      <c r="D357" s="26"/>
      <c r="E357" s="27"/>
      <c r="F357" s="27" t="s">
        <v>1067</v>
      </c>
      <c r="G357" s="14" t="s">
        <v>17</v>
      </c>
      <c r="H357" s="18">
        <v>61628.0</v>
      </c>
      <c r="I357" s="14" t="s">
        <v>34</v>
      </c>
      <c r="J357" s="16" t="s">
        <v>19</v>
      </c>
      <c r="K357" s="17" t="s">
        <v>20</v>
      </c>
      <c r="L357" s="8" t="s">
        <v>21</v>
      </c>
      <c r="M357" s="8" t="s">
        <v>21</v>
      </c>
      <c r="N357" s="18">
        <v>61629.0</v>
      </c>
      <c r="O357" s="29"/>
      <c r="P357" s="29"/>
      <c r="Q357" s="29"/>
      <c r="R357" s="29"/>
      <c r="S357" s="29"/>
      <c r="T357" s="29"/>
      <c r="U357" s="29"/>
      <c r="V357" s="29"/>
    </row>
    <row r="358" outlineLevel="1">
      <c r="A358" s="8">
        <v>367.0</v>
      </c>
      <c r="B358" s="9" t="s">
        <v>1068</v>
      </c>
      <c r="C358" s="25" t="s">
        <v>1069</v>
      </c>
      <c r="D358" s="26"/>
      <c r="E358" s="27"/>
      <c r="F358" s="27" t="s">
        <v>1070</v>
      </c>
      <c r="G358" s="14" t="s">
        <v>29</v>
      </c>
      <c r="H358" s="18">
        <v>61628.0</v>
      </c>
      <c r="I358" s="14" t="s">
        <v>80</v>
      </c>
      <c r="J358" s="16" t="s">
        <v>19</v>
      </c>
      <c r="K358" s="17" t="s">
        <v>20</v>
      </c>
      <c r="L358" s="8" t="s">
        <v>21</v>
      </c>
      <c r="M358" s="8" t="s">
        <v>21</v>
      </c>
      <c r="N358" s="18">
        <v>61629.0</v>
      </c>
      <c r="O358" s="29"/>
      <c r="P358" s="29"/>
      <c r="Q358" s="29"/>
      <c r="R358" s="29"/>
      <c r="S358" s="29"/>
      <c r="T358" s="29"/>
      <c r="U358" s="29"/>
      <c r="V358" s="29"/>
    </row>
    <row r="359" outlineLevel="1">
      <c r="A359" s="8">
        <v>368.0</v>
      </c>
      <c r="B359" s="9" t="s">
        <v>1071</v>
      </c>
      <c r="C359" s="25" t="s">
        <v>1072</v>
      </c>
      <c r="D359" s="26"/>
      <c r="E359" s="27"/>
      <c r="F359" s="27" t="s">
        <v>1073</v>
      </c>
      <c r="G359" s="14" t="s">
        <v>17</v>
      </c>
      <c r="H359" s="18">
        <v>61628.0</v>
      </c>
      <c r="I359" s="14" t="s">
        <v>54</v>
      </c>
      <c r="J359" s="16" t="s">
        <v>19</v>
      </c>
      <c r="K359" s="17" t="s">
        <v>20</v>
      </c>
      <c r="L359" s="8" t="s">
        <v>21</v>
      </c>
      <c r="M359" s="8" t="s">
        <v>21</v>
      </c>
      <c r="N359" s="18">
        <v>61629.0</v>
      </c>
      <c r="O359" s="29"/>
      <c r="P359" s="29"/>
      <c r="Q359" s="29"/>
      <c r="R359" s="29"/>
      <c r="S359" s="29"/>
      <c r="T359" s="29"/>
      <c r="U359" s="29"/>
      <c r="V359" s="29"/>
    </row>
    <row r="360" outlineLevel="1">
      <c r="A360" s="8">
        <v>369.0</v>
      </c>
      <c r="B360" s="9" t="s">
        <v>1074</v>
      </c>
      <c r="C360" s="25" t="s">
        <v>1075</v>
      </c>
      <c r="D360" s="26"/>
      <c r="E360" s="27"/>
      <c r="F360" s="27"/>
      <c r="G360" s="14" t="s">
        <v>17</v>
      </c>
      <c r="H360" s="18">
        <v>61628.0</v>
      </c>
      <c r="I360" s="14" t="s">
        <v>95</v>
      </c>
      <c r="J360" s="16" t="s">
        <v>19</v>
      </c>
      <c r="K360" s="17" t="s">
        <v>20</v>
      </c>
      <c r="L360" s="8" t="s">
        <v>21</v>
      </c>
      <c r="M360" s="8" t="s">
        <v>21</v>
      </c>
      <c r="N360" s="18">
        <v>61629.0</v>
      </c>
      <c r="O360" s="29"/>
      <c r="P360" s="29"/>
      <c r="Q360" s="29"/>
      <c r="R360" s="29"/>
      <c r="S360" s="29"/>
      <c r="T360" s="29"/>
      <c r="U360" s="29"/>
      <c r="V360" s="29"/>
    </row>
    <row r="361" outlineLevel="1">
      <c r="A361" s="8">
        <v>370.0</v>
      </c>
      <c r="B361" s="9" t="s">
        <v>1076</v>
      </c>
      <c r="C361" s="25" t="s">
        <v>1077</v>
      </c>
      <c r="D361" s="26"/>
      <c r="E361" s="27"/>
      <c r="F361" s="27" t="s">
        <v>1078</v>
      </c>
      <c r="G361" s="14" t="s">
        <v>29</v>
      </c>
      <c r="H361" s="18">
        <v>61628.0</v>
      </c>
      <c r="I361" s="14" t="s">
        <v>34</v>
      </c>
      <c r="J361" s="16" t="s">
        <v>19</v>
      </c>
      <c r="K361" s="17" t="s">
        <v>20</v>
      </c>
      <c r="L361" s="8" t="s">
        <v>21</v>
      </c>
      <c r="M361" s="8" t="s">
        <v>21</v>
      </c>
      <c r="N361" s="18">
        <v>61629.0</v>
      </c>
      <c r="O361" s="29"/>
      <c r="P361" s="29"/>
      <c r="Q361" s="29"/>
      <c r="R361" s="29"/>
      <c r="S361" s="29"/>
      <c r="T361" s="29"/>
      <c r="U361" s="29"/>
      <c r="V361" s="29"/>
    </row>
    <row r="362" outlineLevel="1">
      <c r="A362" s="8">
        <v>371.0</v>
      </c>
      <c r="B362" s="9" t="s">
        <v>1079</v>
      </c>
      <c r="C362" s="25" t="s">
        <v>1080</v>
      </c>
      <c r="D362" s="26"/>
      <c r="E362" s="27"/>
      <c r="F362" s="27" t="s">
        <v>1081</v>
      </c>
      <c r="G362" s="14" t="s">
        <v>29</v>
      </c>
      <c r="H362" s="18">
        <v>61628.0</v>
      </c>
      <c r="I362" s="14" t="s">
        <v>101</v>
      </c>
      <c r="J362" s="16" t="s">
        <v>19</v>
      </c>
      <c r="K362" s="17" t="s">
        <v>20</v>
      </c>
      <c r="L362" s="8" t="s">
        <v>21</v>
      </c>
      <c r="M362" s="8" t="s">
        <v>21</v>
      </c>
      <c r="N362" s="18">
        <v>61629.0</v>
      </c>
      <c r="O362" s="29"/>
      <c r="P362" s="29"/>
      <c r="Q362" s="29"/>
      <c r="R362" s="29"/>
      <c r="S362" s="29"/>
      <c r="T362" s="29"/>
      <c r="U362" s="29"/>
      <c r="V362" s="29"/>
    </row>
    <row r="363" outlineLevel="1">
      <c r="A363" s="8">
        <v>372.0</v>
      </c>
      <c r="B363" s="9" t="s">
        <v>1082</v>
      </c>
      <c r="C363" s="25" t="s">
        <v>1083</v>
      </c>
      <c r="D363" s="26"/>
      <c r="E363" s="27"/>
      <c r="F363" s="27" t="s">
        <v>1084</v>
      </c>
      <c r="G363" s="14" t="s">
        <v>29</v>
      </c>
      <c r="H363" s="18">
        <v>61628.0</v>
      </c>
      <c r="I363" s="14" t="s">
        <v>30</v>
      </c>
      <c r="J363" s="16" t="s">
        <v>19</v>
      </c>
      <c r="K363" s="17" t="s">
        <v>20</v>
      </c>
      <c r="L363" s="8" t="s">
        <v>21</v>
      </c>
      <c r="M363" s="8" t="s">
        <v>21</v>
      </c>
      <c r="N363" s="18">
        <v>61629.0</v>
      </c>
      <c r="O363" s="29"/>
      <c r="P363" s="29"/>
      <c r="Q363" s="29"/>
      <c r="R363" s="29"/>
      <c r="S363" s="29"/>
      <c r="T363" s="29"/>
      <c r="U363" s="29"/>
      <c r="V363" s="29"/>
    </row>
    <row r="364" outlineLevel="1">
      <c r="A364" s="8">
        <v>373.0</v>
      </c>
      <c r="B364" s="9" t="s">
        <v>1085</v>
      </c>
      <c r="C364" s="25" t="s">
        <v>1086</v>
      </c>
      <c r="D364" s="26"/>
      <c r="E364" s="27"/>
      <c r="F364" s="27" t="s">
        <v>1087</v>
      </c>
      <c r="G364" s="14" t="s">
        <v>17</v>
      </c>
      <c r="H364" s="18">
        <v>61628.0</v>
      </c>
      <c r="I364" s="14" t="s">
        <v>38</v>
      </c>
      <c r="J364" s="16" t="s">
        <v>19</v>
      </c>
      <c r="K364" s="17" t="s">
        <v>20</v>
      </c>
      <c r="L364" s="8" t="s">
        <v>21</v>
      </c>
      <c r="M364" s="8" t="s">
        <v>21</v>
      </c>
      <c r="N364" s="18">
        <v>61629.0</v>
      </c>
      <c r="O364" s="29"/>
      <c r="P364" s="29"/>
      <c r="Q364" s="29"/>
      <c r="R364" s="29"/>
      <c r="S364" s="29"/>
      <c r="T364" s="29"/>
      <c r="U364" s="29"/>
      <c r="V364" s="29"/>
    </row>
    <row r="365" outlineLevel="1">
      <c r="A365" s="8">
        <v>374.0</v>
      </c>
      <c r="B365" s="9" t="s">
        <v>1088</v>
      </c>
      <c r="C365" s="25" t="s">
        <v>1089</v>
      </c>
      <c r="D365" s="26"/>
      <c r="E365" s="27"/>
      <c r="F365" s="27"/>
      <c r="G365" s="14" t="s">
        <v>29</v>
      </c>
      <c r="H365" s="18">
        <v>61629.0</v>
      </c>
      <c r="I365" s="14" t="s">
        <v>111</v>
      </c>
      <c r="J365" s="16" t="s">
        <v>19</v>
      </c>
      <c r="K365" s="17" t="s">
        <v>20</v>
      </c>
      <c r="L365" s="8" t="s">
        <v>21</v>
      </c>
      <c r="M365" s="8" t="s">
        <v>21</v>
      </c>
      <c r="N365" s="18">
        <v>61630.0</v>
      </c>
      <c r="O365" s="29"/>
      <c r="P365" s="29"/>
      <c r="Q365" s="29"/>
      <c r="R365" s="29"/>
      <c r="S365" s="29"/>
      <c r="T365" s="29"/>
      <c r="U365" s="29"/>
      <c r="V365" s="29"/>
    </row>
    <row r="366" outlineLevel="1">
      <c r="A366" s="8">
        <v>375.0</v>
      </c>
      <c r="B366" s="9" t="s">
        <v>1090</v>
      </c>
      <c r="C366" s="25" t="s">
        <v>1091</v>
      </c>
      <c r="D366" s="26"/>
      <c r="E366" s="27"/>
      <c r="F366" s="27" t="s">
        <v>505</v>
      </c>
      <c r="G366" s="14" t="s">
        <v>17</v>
      </c>
      <c r="H366" s="18">
        <v>61629.0</v>
      </c>
      <c r="I366" s="14" t="s">
        <v>50</v>
      </c>
      <c r="J366" s="16" t="s">
        <v>19</v>
      </c>
      <c r="K366" s="17" t="s">
        <v>20</v>
      </c>
      <c r="L366" s="8" t="s">
        <v>21</v>
      </c>
      <c r="M366" s="8" t="s">
        <v>21</v>
      </c>
      <c r="N366" s="18">
        <v>61630.0</v>
      </c>
      <c r="O366" s="29"/>
      <c r="P366" s="29"/>
      <c r="Q366" s="29"/>
      <c r="R366" s="29"/>
      <c r="S366" s="29"/>
      <c r="T366" s="29"/>
      <c r="U366" s="29"/>
      <c r="V366" s="29"/>
    </row>
    <row r="367" outlineLevel="1">
      <c r="A367" s="8">
        <v>376.0</v>
      </c>
      <c r="B367" s="9" t="s">
        <v>1092</v>
      </c>
      <c r="C367" s="25" t="s">
        <v>1093</v>
      </c>
      <c r="D367" s="26"/>
      <c r="E367" s="27"/>
      <c r="F367" s="27" t="s">
        <v>571</v>
      </c>
      <c r="G367" s="14" t="s">
        <v>17</v>
      </c>
      <c r="H367" s="18">
        <v>61629.0</v>
      </c>
      <c r="I367" s="14" t="s">
        <v>50</v>
      </c>
      <c r="J367" s="16" t="s">
        <v>19</v>
      </c>
      <c r="K367" s="17" t="s">
        <v>20</v>
      </c>
      <c r="L367" s="8" t="s">
        <v>21</v>
      </c>
      <c r="M367" s="8" t="s">
        <v>21</v>
      </c>
      <c r="N367" s="18">
        <v>61630.0</v>
      </c>
      <c r="O367" s="29"/>
      <c r="P367" s="29"/>
      <c r="Q367" s="29"/>
      <c r="R367" s="29"/>
      <c r="S367" s="29"/>
      <c r="T367" s="29"/>
      <c r="U367" s="29"/>
      <c r="V367" s="29"/>
    </row>
    <row r="368" outlineLevel="1">
      <c r="A368" s="8">
        <v>377.0</v>
      </c>
      <c r="B368" s="9" t="s">
        <v>1094</v>
      </c>
      <c r="C368" s="25" t="s">
        <v>1095</v>
      </c>
      <c r="D368" s="26"/>
      <c r="E368" s="27"/>
      <c r="F368" s="27" t="s">
        <v>1096</v>
      </c>
      <c r="G368" s="14" t="s">
        <v>17</v>
      </c>
      <c r="H368" s="18">
        <v>61629.0</v>
      </c>
      <c r="I368" s="14" t="s">
        <v>54</v>
      </c>
      <c r="J368" s="16" t="s">
        <v>19</v>
      </c>
      <c r="K368" s="17" t="s">
        <v>20</v>
      </c>
      <c r="L368" s="8" t="s">
        <v>21</v>
      </c>
      <c r="M368" s="8" t="s">
        <v>21</v>
      </c>
      <c r="N368" s="18">
        <v>61630.0</v>
      </c>
      <c r="O368" s="29"/>
      <c r="P368" s="29"/>
      <c r="Q368" s="29"/>
      <c r="R368" s="29"/>
      <c r="S368" s="29"/>
      <c r="T368" s="29"/>
      <c r="U368" s="29"/>
      <c r="V368" s="29"/>
    </row>
    <row r="369" outlineLevel="1">
      <c r="A369" s="8">
        <v>378.0</v>
      </c>
      <c r="B369" s="9" t="s">
        <v>1097</v>
      </c>
      <c r="C369" s="25" t="s">
        <v>1098</v>
      </c>
      <c r="D369" s="26"/>
      <c r="E369" s="27"/>
      <c r="F369" s="27" t="s">
        <v>421</v>
      </c>
      <c r="G369" s="14" t="s">
        <v>29</v>
      </c>
      <c r="H369" s="18">
        <v>61629.0</v>
      </c>
      <c r="I369" s="14" t="s">
        <v>54</v>
      </c>
      <c r="J369" s="16" t="s">
        <v>19</v>
      </c>
      <c r="K369" s="17" t="s">
        <v>20</v>
      </c>
      <c r="L369" s="8" t="s">
        <v>21</v>
      </c>
      <c r="M369" s="8" t="s">
        <v>21</v>
      </c>
      <c r="N369" s="18">
        <v>61630.0</v>
      </c>
      <c r="O369" s="29"/>
      <c r="P369" s="29"/>
      <c r="Q369" s="29"/>
      <c r="R369" s="29"/>
      <c r="S369" s="29"/>
      <c r="T369" s="29"/>
      <c r="U369" s="29"/>
      <c r="V369" s="29"/>
    </row>
    <row r="370" outlineLevel="1">
      <c r="A370" s="8">
        <v>379.0</v>
      </c>
      <c r="B370" s="9" t="s">
        <v>1099</v>
      </c>
      <c r="C370" s="25" t="s">
        <v>1100</v>
      </c>
      <c r="D370" s="26"/>
      <c r="E370" s="27"/>
      <c r="F370" s="27" t="s">
        <v>1101</v>
      </c>
      <c r="G370" s="14" t="s">
        <v>17</v>
      </c>
      <c r="H370" s="18">
        <v>61629.0</v>
      </c>
      <c r="I370" s="14" t="s">
        <v>95</v>
      </c>
      <c r="J370" s="16" t="s">
        <v>19</v>
      </c>
      <c r="K370" s="17" t="s">
        <v>20</v>
      </c>
      <c r="L370" s="8" t="s">
        <v>21</v>
      </c>
      <c r="M370" s="8" t="s">
        <v>21</v>
      </c>
      <c r="N370" s="18">
        <v>61630.0</v>
      </c>
      <c r="O370" s="29"/>
      <c r="P370" s="29"/>
      <c r="Q370" s="29"/>
      <c r="R370" s="29"/>
      <c r="S370" s="29"/>
      <c r="T370" s="29"/>
      <c r="U370" s="29"/>
      <c r="V370" s="29"/>
    </row>
    <row r="371" outlineLevel="1">
      <c r="A371" s="8">
        <v>380.0</v>
      </c>
      <c r="B371" s="9" t="s">
        <v>1102</v>
      </c>
      <c r="C371" s="25" t="s">
        <v>1103</v>
      </c>
      <c r="D371" s="26"/>
      <c r="E371" s="27"/>
      <c r="F371" s="27" t="s">
        <v>1104</v>
      </c>
      <c r="G371" s="14" t="s">
        <v>17</v>
      </c>
      <c r="H371" s="18">
        <v>61630.0</v>
      </c>
      <c r="I371" s="14" t="s">
        <v>34</v>
      </c>
      <c r="J371" s="16" t="s">
        <v>19</v>
      </c>
      <c r="K371" s="17" t="s">
        <v>20</v>
      </c>
      <c r="L371" s="8" t="s">
        <v>21</v>
      </c>
      <c r="M371" s="8" t="s">
        <v>21</v>
      </c>
      <c r="N371" s="18">
        <v>61631.0</v>
      </c>
      <c r="O371" s="29"/>
      <c r="P371" s="29"/>
      <c r="Q371" s="29"/>
      <c r="R371" s="29"/>
      <c r="S371" s="29"/>
      <c r="T371" s="29"/>
      <c r="U371" s="29"/>
      <c r="V371" s="29"/>
    </row>
    <row r="372" outlineLevel="1">
      <c r="A372" s="8">
        <v>381.0</v>
      </c>
      <c r="B372" s="9" t="s">
        <v>1105</v>
      </c>
      <c r="C372" s="25" t="s">
        <v>1106</v>
      </c>
      <c r="D372" s="26" t="s">
        <v>1107</v>
      </c>
      <c r="E372" s="27">
        <v>1.909802884545E12</v>
      </c>
      <c r="F372" s="27" t="s">
        <v>1108</v>
      </c>
      <c r="G372" s="14" t="s">
        <v>29</v>
      </c>
      <c r="H372" s="18">
        <v>61630.0</v>
      </c>
      <c r="I372" s="14" t="s">
        <v>101</v>
      </c>
      <c r="J372" s="16" t="s">
        <v>19</v>
      </c>
      <c r="K372" s="17" t="s">
        <v>20</v>
      </c>
      <c r="L372" s="8" t="s">
        <v>21</v>
      </c>
      <c r="M372" s="8" t="s">
        <v>21</v>
      </c>
      <c r="N372" s="18">
        <v>61631.0</v>
      </c>
      <c r="O372" s="29"/>
      <c r="P372" s="29"/>
      <c r="Q372" s="29"/>
      <c r="R372" s="29"/>
      <c r="S372" s="29"/>
      <c r="T372" s="29"/>
      <c r="U372" s="29"/>
      <c r="V372" s="29"/>
    </row>
    <row r="373" outlineLevel="1">
      <c r="A373" s="8">
        <v>382.0</v>
      </c>
      <c r="B373" s="9" t="s">
        <v>1109</v>
      </c>
      <c r="C373" s="25" t="s">
        <v>1110</v>
      </c>
      <c r="D373" s="26"/>
      <c r="E373" s="27"/>
      <c r="F373" s="27" t="s">
        <v>1111</v>
      </c>
      <c r="G373" s="14" t="s">
        <v>29</v>
      </c>
      <c r="H373" s="18">
        <v>61630.0</v>
      </c>
      <c r="I373" s="14" t="s">
        <v>30</v>
      </c>
      <c r="J373" s="16" t="s">
        <v>19</v>
      </c>
      <c r="K373" s="17" t="s">
        <v>20</v>
      </c>
      <c r="L373" s="8" t="s">
        <v>21</v>
      </c>
      <c r="M373" s="8" t="s">
        <v>21</v>
      </c>
      <c r="N373" s="18">
        <v>61631.0</v>
      </c>
      <c r="O373" s="29"/>
      <c r="P373" s="29"/>
      <c r="Q373" s="29"/>
      <c r="R373" s="29"/>
      <c r="S373" s="29"/>
      <c r="T373" s="29"/>
      <c r="U373" s="29"/>
      <c r="V373" s="29"/>
    </row>
    <row r="374" outlineLevel="1">
      <c r="A374" s="8">
        <v>383.0</v>
      </c>
      <c r="B374" s="9" t="s">
        <v>1112</v>
      </c>
      <c r="C374" s="25" t="s">
        <v>1113</v>
      </c>
      <c r="D374" s="26"/>
      <c r="E374" s="27"/>
      <c r="F374" s="27" t="s">
        <v>1114</v>
      </c>
      <c r="G374" s="14" t="s">
        <v>29</v>
      </c>
      <c r="H374" s="18">
        <v>61630.0</v>
      </c>
      <c r="I374" s="14" t="s">
        <v>38</v>
      </c>
      <c r="J374" s="16" t="s">
        <v>19</v>
      </c>
      <c r="K374" s="17" t="s">
        <v>20</v>
      </c>
      <c r="L374" s="8" t="s">
        <v>21</v>
      </c>
      <c r="M374" s="8" t="s">
        <v>21</v>
      </c>
      <c r="N374" s="18">
        <v>61631.0</v>
      </c>
      <c r="O374" s="29"/>
      <c r="P374" s="29"/>
      <c r="Q374" s="29"/>
      <c r="R374" s="29"/>
      <c r="S374" s="29"/>
      <c r="T374" s="29"/>
      <c r="U374" s="29"/>
      <c r="V374" s="29"/>
    </row>
    <row r="375" outlineLevel="1">
      <c r="A375" s="8">
        <v>384.0</v>
      </c>
      <c r="B375" s="9" t="s">
        <v>1115</v>
      </c>
      <c r="C375" s="25" t="s">
        <v>1116</v>
      </c>
      <c r="D375" s="26"/>
      <c r="E375" s="27"/>
      <c r="F375" s="27" t="s">
        <v>1117</v>
      </c>
      <c r="G375" s="14" t="s">
        <v>17</v>
      </c>
      <c r="H375" s="18">
        <v>61630.0</v>
      </c>
      <c r="I375" s="14" t="s">
        <v>111</v>
      </c>
      <c r="J375" s="16" t="s">
        <v>19</v>
      </c>
      <c r="K375" s="17" t="s">
        <v>20</v>
      </c>
      <c r="L375" s="8" t="s">
        <v>21</v>
      </c>
      <c r="M375" s="8" t="s">
        <v>21</v>
      </c>
      <c r="N375" s="18">
        <v>61631.0</v>
      </c>
      <c r="O375" s="29"/>
      <c r="P375" s="29"/>
      <c r="Q375" s="29"/>
      <c r="R375" s="29"/>
      <c r="S375" s="29"/>
      <c r="T375" s="29"/>
      <c r="U375" s="29"/>
      <c r="V375" s="29"/>
    </row>
    <row r="376" outlineLevel="1">
      <c r="A376" s="8">
        <v>385.0</v>
      </c>
      <c r="B376" s="9" t="s">
        <v>1118</v>
      </c>
      <c r="C376" s="25" t="s">
        <v>1119</v>
      </c>
      <c r="D376" s="26"/>
      <c r="E376" s="27"/>
      <c r="F376" s="27" t="s">
        <v>965</v>
      </c>
      <c r="G376" s="14" t="s">
        <v>29</v>
      </c>
      <c r="H376" s="18">
        <v>61630.0</v>
      </c>
      <c r="I376" s="14" t="s">
        <v>50</v>
      </c>
      <c r="J376" s="16" t="s">
        <v>19</v>
      </c>
      <c r="K376" s="17" t="s">
        <v>20</v>
      </c>
      <c r="L376" s="8" t="s">
        <v>21</v>
      </c>
      <c r="M376" s="8" t="s">
        <v>21</v>
      </c>
      <c r="N376" s="18">
        <v>61631.0</v>
      </c>
      <c r="O376" s="29"/>
      <c r="P376" s="29"/>
      <c r="Q376" s="29"/>
      <c r="R376" s="29"/>
      <c r="S376" s="29"/>
      <c r="T376" s="29"/>
      <c r="U376" s="29"/>
      <c r="V376" s="29"/>
    </row>
    <row r="377" outlineLevel="1">
      <c r="A377" s="8">
        <v>386.0</v>
      </c>
      <c r="B377" s="9" t="s">
        <v>1120</v>
      </c>
      <c r="C377" s="25" t="s">
        <v>1121</v>
      </c>
      <c r="D377" s="26"/>
      <c r="E377" s="27"/>
      <c r="F377" s="27" t="s">
        <v>1122</v>
      </c>
      <c r="G377" s="14" t="s">
        <v>17</v>
      </c>
      <c r="H377" s="18">
        <v>61631.0</v>
      </c>
      <c r="I377" s="14" t="s">
        <v>50</v>
      </c>
      <c r="J377" s="16" t="s">
        <v>19</v>
      </c>
      <c r="K377" s="17" t="s">
        <v>20</v>
      </c>
      <c r="L377" s="8" t="s">
        <v>21</v>
      </c>
      <c r="M377" s="8" t="s">
        <v>21</v>
      </c>
      <c r="N377" s="18">
        <v>61632.0</v>
      </c>
      <c r="O377" s="29"/>
      <c r="P377" s="29"/>
      <c r="Q377" s="29"/>
      <c r="R377" s="29"/>
      <c r="S377" s="29"/>
      <c r="T377" s="29"/>
      <c r="U377" s="29"/>
      <c r="V377" s="29"/>
    </row>
    <row r="378" outlineLevel="1">
      <c r="A378" s="8">
        <v>387.0</v>
      </c>
      <c r="B378" s="9" t="s">
        <v>1123</v>
      </c>
      <c r="C378" s="25" t="s">
        <v>1124</v>
      </c>
      <c r="D378" s="26"/>
      <c r="E378" s="27"/>
      <c r="F378" s="27" t="s">
        <v>1125</v>
      </c>
      <c r="G378" s="14" t="s">
        <v>17</v>
      </c>
      <c r="H378" s="18">
        <v>61631.0</v>
      </c>
      <c r="I378" s="14" t="s">
        <v>54</v>
      </c>
      <c r="J378" s="16" t="s">
        <v>19</v>
      </c>
      <c r="K378" s="17" t="s">
        <v>20</v>
      </c>
      <c r="L378" s="8" t="s">
        <v>21</v>
      </c>
      <c r="M378" s="8" t="s">
        <v>21</v>
      </c>
      <c r="N378" s="18">
        <v>61632.0</v>
      </c>
      <c r="O378" s="29"/>
      <c r="P378" s="29"/>
      <c r="Q378" s="29"/>
      <c r="R378" s="29"/>
      <c r="S378" s="29"/>
      <c r="T378" s="29"/>
      <c r="U378" s="29"/>
      <c r="V378" s="29"/>
    </row>
    <row r="379" outlineLevel="1">
      <c r="A379" s="8">
        <v>388.0</v>
      </c>
      <c r="B379" s="9" t="s">
        <v>1126</v>
      </c>
      <c r="C379" s="25" t="s">
        <v>1127</v>
      </c>
      <c r="D379" s="26"/>
      <c r="E379" s="27"/>
      <c r="F379" s="27" t="s">
        <v>1128</v>
      </c>
      <c r="G379" s="14" t="s">
        <v>17</v>
      </c>
      <c r="H379" s="18">
        <v>61631.0</v>
      </c>
      <c r="I379" s="14" t="s">
        <v>54</v>
      </c>
      <c r="J379" s="16" t="s">
        <v>19</v>
      </c>
      <c r="K379" s="17" t="s">
        <v>20</v>
      </c>
      <c r="L379" s="8" t="s">
        <v>21</v>
      </c>
      <c r="M379" s="8" t="s">
        <v>21</v>
      </c>
      <c r="N379" s="18">
        <v>61632.0</v>
      </c>
      <c r="O379" s="29"/>
      <c r="P379" s="29"/>
      <c r="Q379" s="29"/>
      <c r="R379" s="29"/>
      <c r="S379" s="29"/>
      <c r="T379" s="29"/>
      <c r="U379" s="29"/>
      <c r="V379" s="29"/>
    </row>
    <row r="380" outlineLevel="1">
      <c r="A380" s="8">
        <v>389.0</v>
      </c>
      <c r="B380" s="9" t="s">
        <v>1129</v>
      </c>
      <c r="C380" s="25" t="s">
        <v>1130</v>
      </c>
      <c r="D380" s="26"/>
      <c r="E380" s="27"/>
      <c r="F380" s="27" t="s">
        <v>1131</v>
      </c>
      <c r="G380" s="14" t="s">
        <v>29</v>
      </c>
      <c r="H380" s="18">
        <v>61632.0</v>
      </c>
      <c r="I380" s="14" t="s">
        <v>95</v>
      </c>
      <c r="J380" s="16" t="s">
        <v>19</v>
      </c>
      <c r="K380" s="17" t="s">
        <v>20</v>
      </c>
      <c r="L380" s="8" t="s">
        <v>21</v>
      </c>
      <c r="M380" s="8" t="s">
        <v>21</v>
      </c>
      <c r="N380" s="18">
        <v>61633.0</v>
      </c>
      <c r="O380" s="29"/>
      <c r="P380" s="29"/>
      <c r="Q380" s="29"/>
      <c r="R380" s="29"/>
      <c r="S380" s="29"/>
      <c r="T380" s="29"/>
      <c r="U380" s="29"/>
      <c r="V380" s="29"/>
    </row>
    <row r="381" outlineLevel="1">
      <c r="A381" s="8">
        <v>390.0</v>
      </c>
      <c r="B381" s="9" t="s">
        <v>1132</v>
      </c>
      <c r="C381" s="25" t="s">
        <v>1133</v>
      </c>
      <c r="D381" s="26"/>
      <c r="E381" s="27"/>
      <c r="F381" s="27" t="s">
        <v>1134</v>
      </c>
      <c r="G381" s="14" t="s">
        <v>17</v>
      </c>
      <c r="H381" s="18">
        <v>61632.0</v>
      </c>
      <c r="I381" s="14" t="s">
        <v>34</v>
      </c>
      <c r="J381" s="16" t="s">
        <v>19</v>
      </c>
      <c r="K381" s="17" t="s">
        <v>20</v>
      </c>
      <c r="L381" s="8" t="s">
        <v>21</v>
      </c>
      <c r="M381" s="8" t="s">
        <v>21</v>
      </c>
      <c r="N381" s="18">
        <v>61633.0</v>
      </c>
      <c r="O381" s="29"/>
      <c r="P381" s="29"/>
      <c r="Q381" s="29"/>
      <c r="R381" s="29"/>
      <c r="S381" s="29"/>
      <c r="T381" s="29"/>
      <c r="U381" s="29"/>
      <c r="V381" s="29"/>
    </row>
    <row r="382" outlineLevel="1">
      <c r="A382" s="8">
        <v>391.0</v>
      </c>
      <c r="B382" s="9" t="s">
        <v>1135</v>
      </c>
      <c r="C382" s="25" t="s">
        <v>1136</v>
      </c>
      <c r="D382" s="26"/>
      <c r="E382" s="27"/>
      <c r="F382" s="27"/>
      <c r="G382" s="14" t="s">
        <v>17</v>
      </c>
      <c r="H382" s="18">
        <v>61632.0</v>
      </c>
      <c r="I382" s="14" t="s">
        <v>101</v>
      </c>
      <c r="J382" s="16" t="s">
        <v>19</v>
      </c>
      <c r="K382" s="17" t="s">
        <v>20</v>
      </c>
      <c r="L382" s="8" t="s">
        <v>21</v>
      </c>
      <c r="M382" s="8" t="s">
        <v>21</v>
      </c>
      <c r="N382" s="18">
        <v>61633.0</v>
      </c>
      <c r="O382" s="29"/>
      <c r="P382" s="29"/>
      <c r="Q382" s="29"/>
      <c r="R382" s="29"/>
      <c r="S382" s="29"/>
      <c r="T382" s="29"/>
      <c r="U382" s="29"/>
      <c r="V382" s="29"/>
    </row>
    <row r="383" outlineLevel="1">
      <c r="A383" s="8">
        <v>392.0</v>
      </c>
      <c r="B383" s="9" t="s">
        <v>1137</v>
      </c>
      <c r="C383" s="25" t="s">
        <v>1138</v>
      </c>
      <c r="D383" s="26"/>
      <c r="E383" s="27"/>
      <c r="F383" s="27" t="s">
        <v>1139</v>
      </c>
      <c r="G383" s="14" t="s">
        <v>29</v>
      </c>
      <c r="H383" s="18">
        <v>61633.0</v>
      </c>
      <c r="I383" s="14" t="s">
        <v>30</v>
      </c>
      <c r="J383" s="16" t="s">
        <v>19</v>
      </c>
      <c r="K383" s="17" t="s">
        <v>20</v>
      </c>
      <c r="L383" s="8" t="s">
        <v>21</v>
      </c>
      <c r="M383" s="8" t="s">
        <v>21</v>
      </c>
      <c r="N383" s="18">
        <v>61634.0</v>
      </c>
      <c r="O383" s="29"/>
      <c r="P383" s="29"/>
      <c r="Q383" s="29"/>
      <c r="R383" s="29"/>
      <c r="S383" s="29"/>
      <c r="T383" s="29"/>
      <c r="U383" s="29"/>
      <c r="V383" s="29"/>
    </row>
    <row r="384" outlineLevel="1">
      <c r="A384" s="8">
        <v>393.0</v>
      </c>
      <c r="B384" s="9" t="s">
        <v>1140</v>
      </c>
      <c r="C384" s="25" t="s">
        <v>1141</v>
      </c>
      <c r="D384" s="26"/>
      <c r="E384" s="27"/>
      <c r="F384" s="27" t="s">
        <v>1142</v>
      </c>
      <c r="G384" s="14" t="s">
        <v>29</v>
      </c>
      <c r="H384" s="18">
        <v>61633.0</v>
      </c>
      <c r="I384" s="14" t="s">
        <v>38</v>
      </c>
      <c r="J384" s="16" t="s">
        <v>19</v>
      </c>
      <c r="K384" s="17" t="s">
        <v>20</v>
      </c>
      <c r="L384" s="8" t="s">
        <v>21</v>
      </c>
      <c r="M384" s="8" t="s">
        <v>21</v>
      </c>
      <c r="N384" s="18">
        <v>61634.0</v>
      </c>
      <c r="O384" s="29"/>
      <c r="P384" s="29"/>
      <c r="Q384" s="29"/>
      <c r="R384" s="29"/>
      <c r="S384" s="29"/>
      <c r="T384" s="29"/>
      <c r="U384" s="29"/>
      <c r="V384" s="29"/>
    </row>
    <row r="385" outlineLevel="1">
      <c r="A385" s="8">
        <v>394.0</v>
      </c>
      <c r="B385" s="9" t="s">
        <v>1143</v>
      </c>
      <c r="C385" s="25" t="s">
        <v>1144</v>
      </c>
      <c r="D385" s="26"/>
      <c r="E385" s="27"/>
      <c r="F385" s="27" t="s">
        <v>132</v>
      </c>
      <c r="G385" s="14" t="s">
        <v>29</v>
      </c>
      <c r="H385" s="18">
        <v>61633.0</v>
      </c>
      <c r="I385" s="14" t="s">
        <v>124</v>
      </c>
      <c r="J385" s="16" t="s">
        <v>19</v>
      </c>
      <c r="K385" s="17" t="s">
        <v>20</v>
      </c>
      <c r="L385" s="8" t="s">
        <v>21</v>
      </c>
      <c r="M385" s="8" t="s">
        <v>21</v>
      </c>
      <c r="N385" s="18">
        <v>61634.0</v>
      </c>
      <c r="O385" s="29"/>
      <c r="P385" s="29"/>
      <c r="Q385" s="29"/>
      <c r="R385" s="29"/>
      <c r="S385" s="29"/>
      <c r="T385" s="29"/>
      <c r="U385" s="29"/>
      <c r="V385" s="29"/>
    </row>
    <row r="386" outlineLevel="1">
      <c r="A386" s="8">
        <v>395.0</v>
      </c>
      <c r="B386" s="9" t="s">
        <v>1145</v>
      </c>
      <c r="C386" s="25" t="s">
        <v>1146</v>
      </c>
      <c r="D386" s="26"/>
      <c r="E386" s="27"/>
      <c r="F386" s="27" t="s">
        <v>1147</v>
      </c>
      <c r="G386" s="14" t="s">
        <v>29</v>
      </c>
      <c r="H386" s="18">
        <v>61634.0</v>
      </c>
      <c r="I386" s="14" t="s">
        <v>64</v>
      </c>
      <c r="J386" s="16" t="s">
        <v>19</v>
      </c>
      <c r="K386" s="17" t="s">
        <v>20</v>
      </c>
      <c r="L386" s="8" t="s">
        <v>21</v>
      </c>
      <c r="M386" s="8" t="s">
        <v>21</v>
      </c>
      <c r="N386" s="18">
        <v>61635.0</v>
      </c>
      <c r="O386" s="29"/>
      <c r="P386" s="29"/>
      <c r="Q386" s="29"/>
      <c r="R386" s="29"/>
      <c r="S386" s="29"/>
      <c r="T386" s="29"/>
      <c r="U386" s="29"/>
      <c r="V386" s="29"/>
    </row>
    <row r="387" outlineLevel="1">
      <c r="A387" s="8">
        <v>396.0</v>
      </c>
      <c r="B387" s="9" t="s">
        <v>1148</v>
      </c>
      <c r="C387" s="25" t="s">
        <v>1149</v>
      </c>
      <c r="D387" s="26"/>
      <c r="E387" s="27"/>
      <c r="F387" s="27" t="s">
        <v>1150</v>
      </c>
      <c r="G387" s="14" t="s">
        <v>29</v>
      </c>
      <c r="H387" s="18">
        <v>61634.0</v>
      </c>
      <c r="I387" s="32" t="s">
        <v>162</v>
      </c>
      <c r="J387" s="16" t="s">
        <v>19</v>
      </c>
      <c r="K387" s="17" t="s">
        <v>20</v>
      </c>
      <c r="L387" s="8" t="s">
        <v>21</v>
      </c>
      <c r="M387" s="8" t="s">
        <v>21</v>
      </c>
      <c r="N387" s="18">
        <v>61635.0</v>
      </c>
      <c r="O387" s="29"/>
      <c r="P387" s="29"/>
      <c r="Q387" s="29"/>
      <c r="R387" s="29"/>
      <c r="S387" s="29"/>
      <c r="T387" s="29"/>
      <c r="U387" s="29"/>
      <c r="V387" s="29"/>
    </row>
    <row r="388" outlineLevel="1">
      <c r="A388" s="8">
        <v>397.0</v>
      </c>
      <c r="B388" s="9" t="s">
        <v>1151</v>
      </c>
      <c r="C388" s="25" t="s">
        <v>1152</v>
      </c>
      <c r="D388" s="26"/>
      <c r="E388" s="27"/>
      <c r="F388" s="27" t="s">
        <v>1153</v>
      </c>
      <c r="G388" s="14" t="s">
        <v>29</v>
      </c>
      <c r="H388" s="18">
        <v>61634.0</v>
      </c>
      <c r="I388" s="14" t="s">
        <v>50</v>
      </c>
      <c r="J388" s="16" t="s">
        <v>19</v>
      </c>
      <c r="K388" s="17" t="s">
        <v>20</v>
      </c>
      <c r="L388" s="8" t="s">
        <v>21</v>
      </c>
      <c r="M388" s="8" t="s">
        <v>21</v>
      </c>
      <c r="N388" s="18">
        <v>61635.0</v>
      </c>
      <c r="O388" s="29"/>
      <c r="P388" s="29"/>
      <c r="Q388" s="29"/>
      <c r="R388" s="29"/>
      <c r="S388" s="29"/>
      <c r="T388" s="29"/>
      <c r="U388" s="29"/>
      <c r="V388" s="29"/>
    </row>
    <row r="389" outlineLevel="1">
      <c r="A389" s="8">
        <v>398.0</v>
      </c>
      <c r="B389" s="9" t="s">
        <v>1154</v>
      </c>
      <c r="C389" s="25" t="s">
        <v>1155</v>
      </c>
      <c r="D389" s="26"/>
      <c r="E389" s="27"/>
      <c r="F389" s="27"/>
      <c r="G389" s="14" t="s">
        <v>29</v>
      </c>
      <c r="H389" s="18">
        <v>61635.0</v>
      </c>
      <c r="I389" s="14" t="s">
        <v>467</v>
      </c>
      <c r="J389" s="16" t="s">
        <v>19</v>
      </c>
      <c r="K389" s="17" t="s">
        <v>20</v>
      </c>
      <c r="L389" s="8" t="s">
        <v>21</v>
      </c>
      <c r="M389" s="8" t="s">
        <v>21</v>
      </c>
      <c r="N389" s="18">
        <v>61636.0</v>
      </c>
      <c r="O389" s="29"/>
      <c r="P389" s="29"/>
      <c r="Q389" s="29"/>
      <c r="R389" s="29"/>
      <c r="S389" s="29"/>
      <c r="T389" s="29"/>
      <c r="U389" s="29"/>
      <c r="V389" s="29"/>
    </row>
    <row r="390" outlineLevel="1">
      <c r="A390" s="8">
        <v>399.0</v>
      </c>
      <c r="B390" s="9" t="s">
        <v>1156</v>
      </c>
      <c r="C390" s="25" t="s">
        <v>1157</v>
      </c>
      <c r="D390" s="26"/>
      <c r="E390" s="27"/>
      <c r="F390" s="27" t="s">
        <v>1158</v>
      </c>
      <c r="G390" s="14" t="s">
        <v>29</v>
      </c>
      <c r="H390" s="18">
        <v>61635.0</v>
      </c>
      <c r="I390" s="14" t="s">
        <v>46</v>
      </c>
      <c r="J390" s="16" t="s">
        <v>19</v>
      </c>
      <c r="K390" s="17" t="s">
        <v>20</v>
      </c>
      <c r="L390" s="8" t="s">
        <v>21</v>
      </c>
      <c r="M390" s="8" t="s">
        <v>21</v>
      </c>
      <c r="N390" s="18">
        <v>61636.0</v>
      </c>
      <c r="O390" s="29"/>
      <c r="P390" s="29"/>
      <c r="Q390" s="29"/>
      <c r="R390" s="29"/>
      <c r="S390" s="29"/>
      <c r="T390" s="29"/>
      <c r="U390" s="29"/>
      <c r="V390" s="29"/>
    </row>
    <row r="391" outlineLevel="1">
      <c r="A391" s="8">
        <v>400.0</v>
      </c>
      <c r="B391" s="9" t="s">
        <v>1159</v>
      </c>
      <c r="C391" s="25" t="s">
        <v>1160</v>
      </c>
      <c r="D391" s="26"/>
      <c r="E391" s="27"/>
      <c r="F391" s="27" t="s">
        <v>1161</v>
      </c>
      <c r="G391" s="14" t="s">
        <v>29</v>
      </c>
      <c r="H391" s="18">
        <v>61635.0</v>
      </c>
      <c r="I391" s="14" t="s">
        <v>101</v>
      </c>
      <c r="J391" s="16" t="s">
        <v>19</v>
      </c>
      <c r="K391" s="17" t="s">
        <v>20</v>
      </c>
      <c r="L391" s="8" t="s">
        <v>21</v>
      </c>
      <c r="M391" s="8" t="s">
        <v>21</v>
      </c>
      <c r="N391" s="18">
        <v>61636.0</v>
      </c>
      <c r="O391" s="29"/>
      <c r="P391" s="29"/>
      <c r="Q391" s="29"/>
      <c r="R391" s="29"/>
      <c r="S391" s="29"/>
      <c r="T391" s="29"/>
      <c r="U391" s="29"/>
      <c r="V391" s="29"/>
    </row>
    <row r="392" outlineLevel="1">
      <c r="A392" s="8">
        <v>401.0</v>
      </c>
      <c r="B392" s="9" t="s">
        <v>1162</v>
      </c>
      <c r="C392" s="25" t="s">
        <v>1163</v>
      </c>
      <c r="D392" s="26"/>
      <c r="E392" s="27"/>
      <c r="F392" s="27" t="s">
        <v>1164</v>
      </c>
      <c r="G392" s="14" t="s">
        <v>17</v>
      </c>
      <c r="H392" s="18">
        <v>61636.0</v>
      </c>
      <c r="I392" s="14" t="s">
        <v>50</v>
      </c>
      <c r="J392" s="16" t="s">
        <v>19</v>
      </c>
      <c r="K392" s="17" t="s">
        <v>20</v>
      </c>
      <c r="L392" s="8" t="s">
        <v>21</v>
      </c>
      <c r="M392" s="8" t="s">
        <v>21</v>
      </c>
      <c r="N392" s="18">
        <v>61637.0</v>
      </c>
      <c r="O392" s="29"/>
      <c r="P392" s="29"/>
      <c r="Q392" s="29"/>
      <c r="R392" s="29"/>
      <c r="S392" s="29"/>
      <c r="T392" s="29"/>
      <c r="U392" s="29"/>
      <c r="V392" s="29"/>
    </row>
    <row r="393" outlineLevel="1">
      <c r="A393" s="8">
        <v>402.0</v>
      </c>
      <c r="B393" s="9" t="s">
        <v>1165</v>
      </c>
      <c r="C393" s="25" t="s">
        <v>1166</v>
      </c>
      <c r="D393" s="26"/>
      <c r="E393" s="27"/>
      <c r="F393" s="27"/>
      <c r="G393" s="14" t="s">
        <v>17</v>
      </c>
      <c r="H393" s="18">
        <v>61636.0</v>
      </c>
      <c r="I393" s="14" t="s">
        <v>579</v>
      </c>
      <c r="J393" s="16" t="s">
        <v>19</v>
      </c>
      <c r="K393" s="17" t="s">
        <v>20</v>
      </c>
      <c r="L393" s="8" t="s">
        <v>21</v>
      </c>
      <c r="M393" s="8" t="s">
        <v>21</v>
      </c>
      <c r="N393" s="18">
        <v>61637.0</v>
      </c>
      <c r="O393" s="29"/>
      <c r="P393" s="29"/>
      <c r="Q393" s="29"/>
      <c r="R393" s="29"/>
      <c r="S393" s="29"/>
      <c r="T393" s="29"/>
      <c r="U393" s="29"/>
      <c r="V393" s="29"/>
    </row>
    <row r="394" outlineLevel="1">
      <c r="A394" s="8">
        <v>403.0</v>
      </c>
      <c r="B394" s="9" t="s">
        <v>1167</v>
      </c>
      <c r="C394" s="25" t="s">
        <v>1168</v>
      </c>
      <c r="D394" s="26"/>
      <c r="E394" s="27"/>
      <c r="F394" s="27" t="s">
        <v>1169</v>
      </c>
      <c r="G394" s="14" t="s">
        <v>17</v>
      </c>
      <c r="H394" s="18">
        <v>61636.0</v>
      </c>
      <c r="I394" s="14" t="s">
        <v>583</v>
      </c>
      <c r="J394" s="16" t="s">
        <v>19</v>
      </c>
      <c r="K394" s="17" t="s">
        <v>20</v>
      </c>
      <c r="L394" s="8" t="s">
        <v>21</v>
      </c>
      <c r="M394" s="8" t="s">
        <v>21</v>
      </c>
      <c r="N394" s="18">
        <v>61637.0</v>
      </c>
      <c r="O394" s="29"/>
      <c r="P394" s="29"/>
      <c r="Q394" s="29"/>
      <c r="R394" s="29"/>
      <c r="S394" s="29"/>
      <c r="T394" s="29"/>
      <c r="U394" s="29"/>
      <c r="V394" s="29"/>
    </row>
    <row r="395" outlineLevel="1">
      <c r="A395" s="8">
        <v>404.0</v>
      </c>
      <c r="B395" s="9" t="s">
        <v>1170</v>
      </c>
      <c r="C395" s="25" t="s">
        <v>1171</v>
      </c>
      <c r="D395" s="26"/>
      <c r="E395" s="27"/>
      <c r="F395" s="27" t="s">
        <v>1172</v>
      </c>
      <c r="G395" s="14" t="s">
        <v>29</v>
      </c>
      <c r="H395" s="18">
        <v>61636.0</v>
      </c>
      <c r="I395" s="14" t="s">
        <v>588</v>
      </c>
      <c r="J395" s="16" t="s">
        <v>19</v>
      </c>
      <c r="K395" s="17" t="s">
        <v>20</v>
      </c>
      <c r="L395" s="8" t="s">
        <v>21</v>
      </c>
      <c r="M395" s="8" t="s">
        <v>21</v>
      </c>
      <c r="N395" s="18">
        <v>61637.0</v>
      </c>
      <c r="O395" s="29"/>
      <c r="P395" s="29"/>
      <c r="Q395" s="29"/>
      <c r="R395" s="29"/>
      <c r="S395" s="29"/>
      <c r="T395" s="29"/>
      <c r="U395" s="29"/>
      <c r="V395" s="29"/>
    </row>
    <row r="396" outlineLevel="1">
      <c r="A396" s="8">
        <v>405.0</v>
      </c>
      <c r="B396" s="9" t="s">
        <v>1173</v>
      </c>
      <c r="C396" s="25" t="s">
        <v>1174</v>
      </c>
      <c r="D396" s="26"/>
      <c r="E396" s="27"/>
      <c r="F396" s="27" t="s">
        <v>1175</v>
      </c>
      <c r="G396" s="14" t="s">
        <v>17</v>
      </c>
      <c r="H396" s="18">
        <v>61636.0</v>
      </c>
      <c r="I396" s="14" t="s">
        <v>592</v>
      </c>
      <c r="J396" s="16" t="s">
        <v>19</v>
      </c>
      <c r="K396" s="17" t="s">
        <v>20</v>
      </c>
      <c r="L396" s="8" t="s">
        <v>21</v>
      </c>
      <c r="M396" s="8" t="s">
        <v>21</v>
      </c>
      <c r="N396" s="18">
        <v>61637.0</v>
      </c>
      <c r="O396" s="29"/>
      <c r="P396" s="29"/>
      <c r="Q396" s="29"/>
      <c r="R396" s="29"/>
      <c r="S396" s="29"/>
      <c r="T396" s="29"/>
      <c r="U396" s="29"/>
      <c r="V396" s="29"/>
    </row>
    <row r="397" outlineLevel="1">
      <c r="A397" s="8">
        <v>406.0</v>
      </c>
      <c r="B397" s="9" t="s">
        <v>1176</v>
      </c>
      <c r="C397" s="25" t="s">
        <v>1177</v>
      </c>
      <c r="D397" s="26"/>
      <c r="E397" s="27"/>
      <c r="F397" s="27" t="s">
        <v>1178</v>
      </c>
      <c r="G397" s="14" t="s">
        <v>17</v>
      </c>
      <c r="H397" s="18">
        <v>61636.0</v>
      </c>
      <c r="I397" s="14" t="s">
        <v>596</v>
      </c>
      <c r="J397" s="16" t="s">
        <v>19</v>
      </c>
      <c r="K397" s="17" t="s">
        <v>20</v>
      </c>
      <c r="L397" s="8" t="s">
        <v>21</v>
      </c>
      <c r="M397" s="8" t="s">
        <v>21</v>
      </c>
      <c r="N397" s="18">
        <v>61637.0</v>
      </c>
      <c r="O397" s="29"/>
      <c r="P397" s="29"/>
      <c r="Q397" s="29"/>
      <c r="R397" s="29"/>
      <c r="S397" s="29"/>
      <c r="T397" s="29"/>
      <c r="U397" s="29"/>
      <c r="V397" s="29"/>
    </row>
    <row r="398" outlineLevel="1">
      <c r="A398" s="8">
        <v>407.0</v>
      </c>
      <c r="B398" s="9" t="s">
        <v>1179</v>
      </c>
      <c r="C398" s="25" t="s">
        <v>1180</v>
      </c>
      <c r="D398" s="26"/>
      <c r="E398" s="27"/>
      <c r="F398" s="27" t="s">
        <v>1181</v>
      </c>
      <c r="G398" s="14" t="s">
        <v>29</v>
      </c>
      <c r="H398" s="18">
        <v>61636.0</v>
      </c>
      <c r="I398" s="14" t="s">
        <v>600</v>
      </c>
      <c r="J398" s="16" t="s">
        <v>19</v>
      </c>
      <c r="K398" s="17" t="s">
        <v>20</v>
      </c>
      <c r="L398" s="8" t="s">
        <v>21</v>
      </c>
      <c r="M398" s="8" t="s">
        <v>21</v>
      </c>
      <c r="N398" s="18">
        <v>61637.0</v>
      </c>
      <c r="O398" s="29"/>
      <c r="P398" s="29"/>
      <c r="Q398" s="29"/>
      <c r="R398" s="29"/>
      <c r="S398" s="29"/>
      <c r="T398" s="29"/>
      <c r="U398" s="29"/>
      <c r="V398" s="29"/>
    </row>
    <row r="399" outlineLevel="1">
      <c r="A399" s="8">
        <v>408.0</v>
      </c>
      <c r="B399" s="9" t="s">
        <v>1182</v>
      </c>
      <c r="C399" s="25" t="s">
        <v>1183</v>
      </c>
      <c r="D399" s="26"/>
      <c r="E399" s="27"/>
      <c r="F399" s="27" t="s">
        <v>1184</v>
      </c>
      <c r="G399" s="14" t="s">
        <v>29</v>
      </c>
      <c r="H399" s="18">
        <v>61636.0</v>
      </c>
      <c r="I399" s="14" t="s">
        <v>603</v>
      </c>
      <c r="J399" s="16" t="s">
        <v>19</v>
      </c>
      <c r="K399" s="17" t="s">
        <v>20</v>
      </c>
      <c r="L399" s="8" t="s">
        <v>21</v>
      </c>
      <c r="M399" s="8" t="s">
        <v>21</v>
      </c>
      <c r="N399" s="18">
        <v>61637.0</v>
      </c>
      <c r="O399" s="29"/>
      <c r="P399" s="29"/>
      <c r="Q399" s="29"/>
      <c r="R399" s="29"/>
      <c r="S399" s="29"/>
      <c r="T399" s="29"/>
      <c r="U399" s="29"/>
      <c r="V399" s="29"/>
    </row>
    <row r="400" outlineLevel="1">
      <c r="A400" s="8">
        <v>409.0</v>
      </c>
      <c r="B400" s="9" t="s">
        <v>1185</v>
      </c>
      <c r="C400" s="25" t="s">
        <v>1186</v>
      </c>
      <c r="D400" s="26"/>
      <c r="E400" s="27"/>
      <c r="F400" s="27" t="s">
        <v>1187</v>
      </c>
      <c r="G400" s="14" t="s">
        <v>29</v>
      </c>
      <c r="H400" s="18">
        <v>61636.0</v>
      </c>
      <c r="I400" s="32" t="s">
        <v>454</v>
      </c>
      <c r="J400" s="16" t="s">
        <v>19</v>
      </c>
      <c r="K400" s="17" t="s">
        <v>20</v>
      </c>
      <c r="L400" s="8" t="s">
        <v>21</v>
      </c>
      <c r="M400" s="8" t="s">
        <v>21</v>
      </c>
      <c r="N400" s="18">
        <v>61637.0</v>
      </c>
      <c r="O400" s="29"/>
      <c r="P400" s="29"/>
      <c r="Q400" s="29"/>
      <c r="R400" s="29"/>
      <c r="S400" s="29"/>
      <c r="T400" s="29"/>
      <c r="U400" s="29"/>
      <c r="V400" s="29"/>
    </row>
    <row r="401" outlineLevel="1">
      <c r="A401" s="8">
        <v>410.0</v>
      </c>
      <c r="B401" s="9" t="s">
        <v>1188</v>
      </c>
      <c r="C401" s="25" t="s">
        <v>1189</v>
      </c>
      <c r="D401" s="26"/>
      <c r="E401" s="27"/>
      <c r="F401" s="27" t="s">
        <v>1190</v>
      </c>
      <c r="G401" s="14" t="s">
        <v>17</v>
      </c>
      <c r="H401" s="18">
        <v>61636.0</v>
      </c>
      <c r="I401" s="14" t="s">
        <v>50</v>
      </c>
      <c r="J401" s="16" t="s">
        <v>19</v>
      </c>
      <c r="K401" s="17" t="s">
        <v>20</v>
      </c>
      <c r="L401" s="8" t="s">
        <v>21</v>
      </c>
      <c r="M401" s="8" t="s">
        <v>21</v>
      </c>
      <c r="N401" s="18">
        <v>61637.0</v>
      </c>
      <c r="O401" s="29"/>
      <c r="P401" s="29"/>
      <c r="Q401" s="29"/>
      <c r="R401" s="29"/>
      <c r="S401" s="29"/>
      <c r="T401" s="29"/>
      <c r="U401" s="29"/>
      <c r="V401" s="29"/>
    </row>
    <row r="402" outlineLevel="1">
      <c r="A402" s="8">
        <v>411.0</v>
      </c>
      <c r="B402" s="9" t="s">
        <v>1191</v>
      </c>
      <c r="C402" s="25" t="s">
        <v>1192</v>
      </c>
      <c r="D402" s="26"/>
      <c r="E402" s="27"/>
      <c r="F402" s="27" t="s">
        <v>1193</v>
      </c>
      <c r="G402" s="14" t="s">
        <v>29</v>
      </c>
      <c r="H402" s="18">
        <v>61636.0</v>
      </c>
      <c r="I402" s="14" t="s">
        <v>60</v>
      </c>
      <c r="J402" s="16" t="s">
        <v>19</v>
      </c>
      <c r="K402" s="17" t="s">
        <v>20</v>
      </c>
      <c r="L402" s="8" t="s">
        <v>21</v>
      </c>
      <c r="M402" s="8" t="s">
        <v>21</v>
      </c>
      <c r="N402" s="18">
        <v>61637.0</v>
      </c>
      <c r="O402" s="29"/>
      <c r="P402" s="29"/>
      <c r="Q402" s="29"/>
      <c r="R402" s="29"/>
      <c r="S402" s="29"/>
      <c r="T402" s="29"/>
      <c r="U402" s="29"/>
      <c r="V402" s="29"/>
    </row>
    <row r="403" outlineLevel="1">
      <c r="A403" s="8">
        <v>412.0</v>
      </c>
      <c r="B403" s="9" t="s">
        <v>1194</v>
      </c>
      <c r="C403" s="25" t="s">
        <v>1195</v>
      </c>
      <c r="D403" s="26"/>
      <c r="E403" s="27"/>
      <c r="F403" s="27" t="s">
        <v>1196</v>
      </c>
      <c r="G403" s="14" t="s">
        <v>17</v>
      </c>
      <c r="H403" s="18">
        <v>61636.0</v>
      </c>
      <c r="I403" s="14" t="s">
        <v>80</v>
      </c>
      <c r="J403" s="16" t="s">
        <v>19</v>
      </c>
      <c r="K403" s="17" t="s">
        <v>20</v>
      </c>
      <c r="L403" s="8" t="s">
        <v>21</v>
      </c>
      <c r="M403" s="8" t="s">
        <v>21</v>
      </c>
      <c r="N403" s="18">
        <v>61637.0</v>
      </c>
      <c r="O403" s="29"/>
      <c r="P403" s="29"/>
      <c r="Q403" s="29"/>
      <c r="R403" s="29"/>
      <c r="S403" s="29"/>
      <c r="T403" s="29"/>
      <c r="U403" s="29"/>
      <c r="V403" s="29"/>
    </row>
    <row r="404" outlineLevel="1">
      <c r="A404" s="8">
        <v>413.0</v>
      </c>
      <c r="B404" s="9" t="s">
        <v>1197</v>
      </c>
      <c r="C404" s="25" t="s">
        <v>1198</v>
      </c>
      <c r="D404" s="26"/>
      <c r="E404" s="27"/>
      <c r="F404" s="27" t="s">
        <v>1199</v>
      </c>
      <c r="G404" s="14" t="s">
        <v>17</v>
      </c>
      <c r="H404" s="18">
        <v>61636.0</v>
      </c>
      <c r="I404" s="14" t="s">
        <v>454</v>
      </c>
      <c r="J404" s="16" t="s">
        <v>19</v>
      </c>
      <c r="K404" s="17" t="s">
        <v>20</v>
      </c>
      <c r="L404" s="8" t="s">
        <v>21</v>
      </c>
      <c r="M404" s="8" t="s">
        <v>21</v>
      </c>
      <c r="N404" s="18">
        <v>61637.0</v>
      </c>
      <c r="O404" s="29"/>
      <c r="P404" s="29"/>
      <c r="Q404" s="29"/>
      <c r="R404" s="29"/>
      <c r="S404" s="29"/>
      <c r="T404" s="29"/>
      <c r="U404" s="29"/>
      <c r="V404" s="29"/>
    </row>
    <row r="405" outlineLevel="1">
      <c r="A405" s="33">
        <v>414.0</v>
      </c>
      <c r="B405" s="34" t="s">
        <v>1200</v>
      </c>
      <c r="C405" s="35" t="s">
        <v>1201</v>
      </c>
      <c r="D405" s="36"/>
      <c r="E405" s="35"/>
      <c r="F405" s="35"/>
      <c r="G405" s="37" t="s">
        <v>17</v>
      </c>
      <c r="H405" s="38">
        <v>61636.0</v>
      </c>
      <c r="I405" s="37" t="s">
        <v>467</v>
      </c>
      <c r="J405" s="33" t="s">
        <v>19</v>
      </c>
      <c r="K405" s="39" t="s">
        <v>20</v>
      </c>
      <c r="L405" s="33" t="s">
        <v>21</v>
      </c>
      <c r="M405" s="33" t="s">
        <v>21</v>
      </c>
      <c r="N405" s="38">
        <v>61637.0</v>
      </c>
      <c r="O405" s="40"/>
      <c r="P405" s="40"/>
      <c r="Q405" s="40"/>
      <c r="R405" s="40"/>
      <c r="S405" s="40"/>
      <c r="T405" s="40"/>
      <c r="U405" s="40"/>
      <c r="V405" s="40"/>
    </row>
    <row r="406">
      <c r="A406" s="41">
        <v>1.0</v>
      </c>
      <c r="B406" s="9" t="s">
        <v>1202</v>
      </c>
      <c r="C406" s="25" t="s">
        <v>1203</v>
      </c>
      <c r="D406" s="26"/>
      <c r="E406" s="27"/>
      <c r="F406" s="27" t="s">
        <v>1204</v>
      </c>
      <c r="G406" s="14" t="s">
        <v>29</v>
      </c>
      <c r="H406" s="18">
        <v>61637.0</v>
      </c>
      <c r="I406" s="14" t="s">
        <v>46</v>
      </c>
      <c r="J406" s="16" t="s">
        <v>19</v>
      </c>
      <c r="K406" s="17" t="s">
        <v>20</v>
      </c>
      <c r="L406" s="8" t="s">
        <v>21</v>
      </c>
      <c r="M406" s="8" t="s">
        <v>21</v>
      </c>
      <c r="N406" s="18">
        <f t="shared" ref="N406:N589" si="3">H406+1</f>
        <v>61638</v>
      </c>
      <c r="O406" s="29"/>
      <c r="P406" s="29"/>
      <c r="Q406" s="29"/>
      <c r="R406" s="29"/>
      <c r="S406" s="29"/>
      <c r="T406" s="29"/>
      <c r="U406" s="29"/>
      <c r="V406" s="29"/>
    </row>
    <row r="407">
      <c r="A407" s="41">
        <v>2.0</v>
      </c>
      <c r="B407" s="9" t="s">
        <v>1205</v>
      </c>
      <c r="C407" s="25" t="s">
        <v>1206</v>
      </c>
      <c r="D407" s="26"/>
      <c r="E407" s="27"/>
      <c r="F407" s="27"/>
      <c r="G407" s="14" t="s">
        <v>17</v>
      </c>
      <c r="H407" s="15">
        <v>25112.0</v>
      </c>
      <c r="I407" s="14" t="s">
        <v>869</v>
      </c>
      <c r="J407" s="16" t="s">
        <v>19</v>
      </c>
      <c r="K407" s="17" t="s">
        <v>20</v>
      </c>
      <c r="L407" s="8" t="s">
        <v>21</v>
      </c>
      <c r="M407" s="8" t="s">
        <v>21</v>
      </c>
      <c r="N407" s="18">
        <f t="shared" si="3"/>
        <v>25113</v>
      </c>
      <c r="O407" s="29"/>
      <c r="P407" s="29"/>
      <c r="Q407" s="29"/>
      <c r="R407" s="29"/>
      <c r="S407" s="29"/>
      <c r="T407" s="29"/>
      <c r="U407" s="29"/>
      <c r="V407" s="29"/>
    </row>
    <row r="408">
      <c r="A408" s="41">
        <v>3.0</v>
      </c>
      <c r="B408" s="9" t="s">
        <v>1207</v>
      </c>
      <c r="C408" s="25" t="s">
        <v>1208</v>
      </c>
      <c r="D408" s="26"/>
      <c r="E408" s="27"/>
      <c r="F408" s="27"/>
      <c r="G408" s="14" t="s">
        <v>17</v>
      </c>
      <c r="H408" s="15">
        <v>25112.0</v>
      </c>
      <c r="I408" s="14" t="s">
        <v>54</v>
      </c>
      <c r="J408" s="16" t="s">
        <v>19</v>
      </c>
      <c r="K408" s="17" t="s">
        <v>20</v>
      </c>
      <c r="L408" s="8" t="s">
        <v>21</v>
      </c>
      <c r="M408" s="8" t="s">
        <v>21</v>
      </c>
      <c r="N408" s="18">
        <f t="shared" si="3"/>
        <v>25113</v>
      </c>
      <c r="O408" s="29"/>
      <c r="P408" s="29"/>
      <c r="Q408" s="29"/>
      <c r="R408" s="29"/>
      <c r="S408" s="29"/>
      <c r="T408" s="29"/>
      <c r="U408" s="29"/>
      <c r="V408" s="29"/>
    </row>
    <row r="409">
      <c r="A409" s="41">
        <v>4.0</v>
      </c>
      <c r="B409" s="9" t="s">
        <v>1209</v>
      </c>
      <c r="C409" s="25" t="s">
        <v>1210</v>
      </c>
      <c r="D409" s="26"/>
      <c r="E409" s="27"/>
      <c r="F409" s="27"/>
      <c r="G409" s="14" t="s">
        <v>29</v>
      </c>
      <c r="H409" s="15">
        <v>25112.0</v>
      </c>
      <c r="I409" s="14" t="s">
        <v>64</v>
      </c>
      <c r="J409" s="16" t="s">
        <v>19</v>
      </c>
      <c r="K409" s="17" t="s">
        <v>20</v>
      </c>
      <c r="L409" s="8" t="s">
        <v>21</v>
      </c>
      <c r="M409" s="8" t="s">
        <v>21</v>
      </c>
      <c r="N409" s="18">
        <f t="shared" si="3"/>
        <v>25113</v>
      </c>
      <c r="O409" s="29"/>
      <c r="P409" s="29"/>
      <c r="Q409" s="29"/>
      <c r="R409" s="29"/>
      <c r="S409" s="29"/>
      <c r="T409" s="29"/>
      <c r="U409" s="29"/>
      <c r="V409" s="29"/>
    </row>
    <row r="410">
      <c r="A410" s="41">
        <v>5.0</v>
      </c>
      <c r="B410" s="9" t="s">
        <v>1211</v>
      </c>
      <c r="C410" s="25" t="s">
        <v>1212</v>
      </c>
      <c r="D410" s="26"/>
      <c r="E410" s="27"/>
      <c r="F410" s="27" t="s">
        <v>1213</v>
      </c>
      <c r="G410" s="14" t="s">
        <v>29</v>
      </c>
      <c r="H410" s="15">
        <v>25112.0</v>
      </c>
      <c r="I410" s="14" t="s">
        <v>124</v>
      </c>
      <c r="J410" s="16" t="s">
        <v>19</v>
      </c>
      <c r="K410" s="17" t="s">
        <v>20</v>
      </c>
      <c r="L410" s="8" t="s">
        <v>21</v>
      </c>
      <c r="M410" s="8" t="s">
        <v>21</v>
      </c>
      <c r="N410" s="18">
        <f t="shared" si="3"/>
        <v>25113</v>
      </c>
      <c r="O410" s="29"/>
      <c r="P410" s="29"/>
      <c r="Q410" s="29"/>
      <c r="R410" s="29"/>
      <c r="S410" s="29"/>
      <c r="T410" s="29"/>
      <c r="U410" s="29"/>
      <c r="V410" s="29"/>
    </row>
    <row r="411">
      <c r="A411" s="41">
        <v>6.0</v>
      </c>
      <c r="B411" s="9" t="s">
        <v>1214</v>
      </c>
      <c r="C411" s="25" t="s">
        <v>1215</v>
      </c>
      <c r="D411" s="26"/>
      <c r="E411" s="27"/>
      <c r="F411" s="27" t="s">
        <v>1216</v>
      </c>
      <c r="G411" s="14" t="s">
        <v>29</v>
      </c>
      <c r="H411" s="15">
        <v>25112.0</v>
      </c>
      <c r="I411" s="32" t="s">
        <v>467</v>
      </c>
      <c r="J411" s="16" t="s">
        <v>19</v>
      </c>
      <c r="K411" s="17" t="s">
        <v>20</v>
      </c>
      <c r="L411" s="8" t="s">
        <v>21</v>
      </c>
      <c r="M411" s="8" t="s">
        <v>21</v>
      </c>
      <c r="N411" s="18">
        <f t="shared" si="3"/>
        <v>25113</v>
      </c>
      <c r="O411" s="29"/>
      <c r="P411" s="29"/>
      <c r="Q411" s="29"/>
      <c r="R411" s="29"/>
      <c r="S411" s="29"/>
      <c r="T411" s="29"/>
      <c r="U411" s="29"/>
      <c r="V411" s="29"/>
    </row>
    <row r="412">
      <c r="A412" s="41">
        <v>7.0</v>
      </c>
      <c r="B412" s="9" t="s">
        <v>1217</v>
      </c>
      <c r="C412" s="25" t="s">
        <v>1218</v>
      </c>
      <c r="D412" s="26"/>
      <c r="E412" s="27"/>
      <c r="F412" s="27" t="s">
        <v>1219</v>
      </c>
      <c r="G412" s="14" t="s">
        <v>17</v>
      </c>
      <c r="H412" s="15">
        <v>25112.0</v>
      </c>
      <c r="I412" s="32" t="s">
        <v>193</v>
      </c>
      <c r="J412" s="16" t="s">
        <v>19</v>
      </c>
      <c r="K412" s="17" t="s">
        <v>20</v>
      </c>
      <c r="L412" s="8" t="s">
        <v>21</v>
      </c>
      <c r="M412" s="8" t="s">
        <v>21</v>
      </c>
      <c r="N412" s="18">
        <f t="shared" si="3"/>
        <v>25113</v>
      </c>
      <c r="O412" s="29"/>
      <c r="P412" s="29"/>
      <c r="Q412" s="29"/>
      <c r="R412" s="29"/>
      <c r="S412" s="29"/>
      <c r="T412" s="29"/>
      <c r="U412" s="29"/>
      <c r="V412" s="29"/>
    </row>
    <row r="413">
      <c r="A413" s="41">
        <v>8.0</v>
      </c>
      <c r="B413" s="9" t="s">
        <v>1220</v>
      </c>
      <c r="C413" s="25" t="s">
        <v>1221</v>
      </c>
      <c r="D413" s="26"/>
      <c r="E413" s="27"/>
      <c r="F413" s="27" t="s">
        <v>1222</v>
      </c>
      <c r="G413" s="14" t="s">
        <v>29</v>
      </c>
      <c r="H413" s="15">
        <v>25113.0</v>
      </c>
      <c r="I413" s="32" t="s">
        <v>1223</v>
      </c>
      <c r="J413" s="16" t="s">
        <v>19</v>
      </c>
      <c r="K413" s="17" t="s">
        <v>20</v>
      </c>
      <c r="L413" s="8" t="s">
        <v>21</v>
      </c>
      <c r="M413" s="8" t="s">
        <v>21</v>
      </c>
      <c r="N413" s="18">
        <f t="shared" si="3"/>
        <v>25114</v>
      </c>
      <c r="O413" s="29"/>
      <c r="P413" s="29"/>
      <c r="Q413" s="29"/>
      <c r="R413" s="29"/>
      <c r="S413" s="29"/>
      <c r="T413" s="29"/>
      <c r="U413" s="29"/>
      <c r="V413" s="29"/>
    </row>
    <row r="414">
      <c r="A414" s="41">
        <v>9.0</v>
      </c>
      <c r="B414" s="9" t="s">
        <v>1224</v>
      </c>
      <c r="C414" s="25" t="s">
        <v>1225</v>
      </c>
      <c r="D414" s="26"/>
      <c r="E414" s="27"/>
      <c r="F414" s="27"/>
      <c r="G414" s="14" t="s">
        <v>17</v>
      </c>
      <c r="H414" s="15">
        <v>25113.0</v>
      </c>
      <c r="I414" s="14" t="s">
        <v>335</v>
      </c>
      <c r="J414" s="16" t="s">
        <v>19</v>
      </c>
      <c r="K414" s="17" t="s">
        <v>20</v>
      </c>
      <c r="L414" s="8" t="s">
        <v>21</v>
      </c>
      <c r="M414" s="8" t="s">
        <v>21</v>
      </c>
      <c r="N414" s="18">
        <f t="shared" si="3"/>
        <v>25114</v>
      </c>
      <c r="O414" s="29"/>
      <c r="P414" s="29"/>
      <c r="Q414" s="29"/>
      <c r="R414" s="29"/>
      <c r="S414" s="29"/>
      <c r="T414" s="29"/>
      <c r="U414" s="29"/>
      <c r="V414" s="29"/>
    </row>
    <row r="415">
      <c r="A415" s="41">
        <v>10.0</v>
      </c>
      <c r="B415" s="9" t="s">
        <v>1226</v>
      </c>
      <c r="C415" s="25" t="s">
        <v>1227</v>
      </c>
      <c r="D415" s="26"/>
      <c r="E415" s="27"/>
      <c r="F415" s="27" t="s">
        <v>1228</v>
      </c>
      <c r="G415" s="14" t="s">
        <v>17</v>
      </c>
      <c r="H415" s="15">
        <v>25113.0</v>
      </c>
      <c r="I415" s="14" t="s">
        <v>46</v>
      </c>
      <c r="J415" s="16" t="s">
        <v>19</v>
      </c>
      <c r="K415" s="17" t="s">
        <v>20</v>
      </c>
      <c r="L415" s="8" t="s">
        <v>21</v>
      </c>
      <c r="M415" s="8" t="s">
        <v>21</v>
      </c>
      <c r="N415" s="18">
        <f t="shared" si="3"/>
        <v>25114</v>
      </c>
      <c r="O415" s="29"/>
      <c r="P415" s="29"/>
      <c r="Q415" s="29"/>
      <c r="R415" s="29"/>
      <c r="S415" s="29"/>
      <c r="T415" s="29"/>
      <c r="U415" s="29"/>
      <c r="V415" s="29"/>
    </row>
    <row r="416">
      <c r="A416" s="41">
        <v>11.0</v>
      </c>
      <c r="B416" s="9" t="s">
        <v>1229</v>
      </c>
      <c r="C416" s="25" t="s">
        <v>1230</v>
      </c>
      <c r="D416" s="26"/>
      <c r="E416" s="27"/>
      <c r="F416" s="27" t="s">
        <v>1231</v>
      </c>
      <c r="G416" s="14" t="s">
        <v>17</v>
      </c>
      <c r="H416" s="15">
        <v>25113.0</v>
      </c>
      <c r="I416" s="14" t="s">
        <v>50</v>
      </c>
      <c r="J416" s="16" t="s">
        <v>19</v>
      </c>
      <c r="K416" s="17" t="s">
        <v>20</v>
      </c>
      <c r="L416" s="8" t="s">
        <v>21</v>
      </c>
      <c r="M416" s="8" t="s">
        <v>21</v>
      </c>
      <c r="N416" s="18">
        <f t="shared" si="3"/>
        <v>25114</v>
      </c>
      <c r="O416" s="29"/>
      <c r="P416" s="29"/>
      <c r="Q416" s="29"/>
      <c r="R416" s="29"/>
      <c r="S416" s="29"/>
      <c r="T416" s="29"/>
      <c r="U416" s="29"/>
      <c r="V416" s="29"/>
    </row>
    <row r="417">
      <c r="A417" s="41">
        <v>12.0</v>
      </c>
      <c r="B417" s="9" t="s">
        <v>1232</v>
      </c>
      <c r="C417" s="25" t="s">
        <v>1233</v>
      </c>
      <c r="D417" s="26"/>
      <c r="E417" s="27"/>
      <c r="F417" s="27" t="s">
        <v>1234</v>
      </c>
      <c r="G417" s="14" t="s">
        <v>29</v>
      </c>
      <c r="H417" s="15">
        <v>25113.0</v>
      </c>
      <c r="I417" s="14" t="s">
        <v>54</v>
      </c>
      <c r="J417" s="16" t="s">
        <v>19</v>
      </c>
      <c r="K417" s="17" t="s">
        <v>20</v>
      </c>
      <c r="L417" s="8" t="s">
        <v>21</v>
      </c>
      <c r="M417" s="8" t="s">
        <v>21</v>
      </c>
      <c r="N417" s="18">
        <f t="shared" si="3"/>
        <v>25114</v>
      </c>
      <c r="O417" s="29"/>
      <c r="P417" s="29"/>
      <c r="Q417" s="29"/>
      <c r="R417" s="29"/>
      <c r="S417" s="29"/>
      <c r="T417" s="29"/>
      <c r="U417" s="29"/>
      <c r="V417" s="29"/>
    </row>
    <row r="418">
      <c r="A418" s="41">
        <v>13.0</v>
      </c>
      <c r="B418" s="9" t="s">
        <v>1235</v>
      </c>
      <c r="C418" s="25" t="s">
        <v>1236</v>
      </c>
      <c r="D418" s="26"/>
      <c r="E418" s="27"/>
      <c r="F418" s="27" t="s">
        <v>1237</v>
      </c>
      <c r="G418" s="14" t="s">
        <v>17</v>
      </c>
      <c r="H418" s="15">
        <v>25113.0</v>
      </c>
      <c r="I418" s="14" t="s">
        <v>101</v>
      </c>
      <c r="J418" s="16" t="s">
        <v>19</v>
      </c>
      <c r="K418" s="17" t="s">
        <v>20</v>
      </c>
      <c r="L418" s="8" t="s">
        <v>21</v>
      </c>
      <c r="M418" s="8" t="s">
        <v>21</v>
      </c>
      <c r="N418" s="18">
        <f t="shared" si="3"/>
        <v>25114</v>
      </c>
      <c r="O418" s="29"/>
      <c r="P418" s="29"/>
      <c r="Q418" s="29"/>
      <c r="R418" s="29"/>
      <c r="S418" s="29"/>
      <c r="T418" s="29"/>
      <c r="U418" s="29"/>
      <c r="V418" s="29"/>
    </row>
    <row r="419">
      <c r="A419" s="41">
        <v>14.0</v>
      </c>
      <c r="B419" s="9" t="s">
        <v>1238</v>
      </c>
      <c r="C419" s="25" t="s">
        <v>1239</v>
      </c>
      <c r="D419" s="26"/>
      <c r="E419" s="27"/>
      <c r="F419" s="27" t="s">
        <v>1240</v>
      </c>
      <c r="G419" s="14" t="s">
        <v>17</v>
      </c>
      <c r="H419" s="15">
        <v>25114.0</v>
      </c>
      <c r="I419" s="14" t="s">
        <v>50</v>
      </c>
      <c r="J419" s="16" t="s">
        <v>19</v>
      </c>
      <c r="K419" s="17" t="s">
        <v>20</v>
      </c>
      <c r="L419" s="8" t="s">
        <v>21</v>
      </c>
      <c r="M419" s="8" t="s">
        <v>21</v>
      </c>
      <c r="N419" s="18">
        <f t="shared" si="3"/>
        <v>25115</v>
      </c>
      <c r="O419" s="29"/>
      <c r="P419" s="29"/>
      <c r="Q419" s="29"/>
      <c r="R419" s="29"/>
      <c r="S419" s="29"/>
      <c r="T419" s="29"/>
      <c r="U419" s="29"/>
      <c r="V419" s="29"/>
    </row>
    <row r="420">
      <c r="A420" s="41">
        <v>15.0</v>
      </c>
      <c r="B420" s="9" t="s">
        <v>1241</v>
      </c>
      <c r="C420" s="25" t="s">
        <v>1242</v>
      </c>
      <c r="D420" s="26"/>
      <c r="E420" s="27"/>
      <c r="F420" s="27" t="s">
        <v>1243</v>
      </c>
      <c r="G420" s="14" t="s">
        <v>29</v>
      </c>
      <c r="H420" s="15">
        <v>25114.0</v>
      </c>
      <c r="I420" s="14" t="s">
        <v>34</v>
      </c>
      <c r="J420" s="16" t="s">
        <v>19</v>
      </c>
      <c r="K420" s="17" t="s">
        <v>20</v>
      </c>
      <c r="L420" s="8" t="s">
        <v>21</v>
      </c>
      <c r="M420" s="8" t="s">
        <v>21</v>
      </c>
      <c r="N420" s="18">
        <f t="shared" si="3"/>
        <v>25115</v>
      </c>
      <c r="O420" s="29"/>
      <c r="P420" s="29"/>
      <c r="Q420" s="29"/>
      <c r="R420" s="29"/>
      <c r="S420" s="29"/>
      <c r="T420" s="29"/>
      <c r="U420" s="29"/>
      <c r="V420" s="29"/>
    </row>
    <row r="421">
      <c r="A421" s="41">
        <v>16.0</v>
      </c>
      <c r="B421" s="9" t="s">
        <v>1244</v>
      </c>
      <c r="C421" s="25" t="s">
        <v>1245</v>
      </c>
      <c r="D421" s="26"/>
      <c r="E421" s="27"/>
      <c r="F421" s="27" t="s">
        <v>1246</v>
      </c>
      <c r="G421" s="14" t="s">
        <v>29</v>
      </c>
      <c r="H421" s="15">
        <v>25114.0</v>
      </c>
      <c r="I421" s="14" t="s">
        <v>869</v>
      </c>
      <c r="J421" s="16" t="s">
        <v>19</v>
      </c>
      <c r="K421" s="17" t="s">
        <v>20</v>
      </c>
      <c r="L421" s="8" t="s">
        <v>21</v>
      </c>
      <c r="M421" s="8" t="s">
        <v>21</v>
      </c>
      <c r="N421" s="18">
        <f t="shared" si="3"/>
        <v>25115</v>
      </c>
      <c r="O421" s="29"/>
      <c r="P421" s="29"/>
      <c r="Q421" s="29"/>
      <c r="R421" s="29"/>
      <c r="S421" s="29"/>
      <c r="T421" s="29"/>
      <c r="U421" s="29"/>
      <c r="V421" s="29"/>
    </row>
    <row r="422">
      <c r="A422" s="41">
        <v>17.0</v>
      </c>
      <c r="B422" s="9" t="s">
        <v>1247</v>
      </c>
      <c r="C422" s="25" t="s">
        <v>1248</v>
      </c>
      <c r="D422" s="26"/>
      <c r="E422" s="27"/>
      <c r="F422" s="27"/>
      <c r="G422" s="14" t="s">
        <v>29</v>
      </c>
      <c r="H422" s="15">
        <v>25114.0</v>
      </c>
      <c r="I422" s="32" t="s">
        <v>1249</v>
      </c>
      <c r="J422" s="16" t="s">
        <v>19</v>
      </c>
      <c r="K422" s="17" t="s">
        <v>20</v>
      </c>
      <c r="L422" s="8" t="s">
        <v>21</v>
      </c>
      <c r="M422" s="8" t="s">
        <v>21</v>
      </c>
      <c r="N422" s="18">
        <f t="shared" si="3"/>
        <v>25115</v>
      </c>
      <c r="O422" s="29"/>
      <c r="P422" s="29"/>
      <c r="Q422" s="29"/>
      <c r="R422" s="29"/>
      <c r="S422" s="29"/>
      <c r="T422" s="29"/>
      <c r="U422" s="29"/>
      <c r="V422" s="29"/>
    </row>
    <row r="423">
      <c r="A423" s="41">
        <v>18.0</v>
      </c>
      <c r="B423" s="9" t="s">
        <v>1250</v>
      </c>
      <c r="C423" s="25" t="s">
        <v>1251</v>
      </c>
      <c r="D423" s="26"/>
      <c r="E423" s="27"/>
      <c r="F423" s="27"/>
      <c r="G423" s="14" t="s">
        <v>17</v>
      </c>
      <c r="H423" s="15">
        <v>25114.0</v>
      </c>
      <c r="I423" s="32" t="s">
        <v>1252</v>
      </c>
      <c r="J423" s="16" t="s">
        <v>19</v>
      </c>
      <c r="K423" s="17" t="s">
        <v>20</v>
      </c>
      <c r="L423" s="8" t="s">
        <v>21</v>
      </c>
      <c r="M423" s="8" t="s">
        <v>21</v>
      </c>
      <c r="N423" s="18">
        <f t="shared" si="3"/>
        <v>25115</v>
      </c>
      <c r="O423" s="29"/>
      <c r="P423" s="29"/>
      <c r="Q423" s="29"/>
      <c r="R423" s="29"/>
      <c r="S423" s="29"/>
      <c r="T423" s="29"/>
      <c r="U423" s="29"/>
      <c r="V423" s="29"/>
    </row>
    <row r="424">
      <c r="A424" s="41">
        <v>19.0</v>
      </c>
      <c r="B424" s="9" t="s">
        <v>1253</v>
      </c>
      <c r="C424" s="25" t="s">
        <v>1254</v>
      </c>
      <c r="D424" s="26"/>
      <c r="E424" s="27"/>
      <c r="F424" s="27" t="s">
        <v>1255</v>
      </c>
      <c r="G424" s="14" t="s">
        <v>29</v>
      </c>
      <c r="H424" s="15">
        <v>25115.0</v>
      </c>
      <c r="I424" s="32" t="s">
        <v>1256</v>
      </c>
      <c r="J424" s="16" t="s">
        <v>19</v>
      </c>
      <c r="K424" s="17" t="s">
        <v>20</v>
      </c>
      <c r="L424" s="8" t="s">
        <v>21</v>
      </c>
      <c r="M424" s="8" t="s">
        <v>21</v>
      </c>
      <c r="N424" s="18">
        <f t="shared" si="3"/>
        <v>25116</v>
      </c>
      <c r="O424" s="29"/>
      <c r="P424" s="29"/>
      <c r="Q424" s="29"/>
      <c r="R424" s="29"/>
      <c r="S424" s="29"/>
      <c r="T424" s="29"/>
      <c r="U424" s="29"/>
      <c r="V424" s="29"/>
    </row>
    <row r="425">
      <c r="A425" s="41">
        <v>20.0</v>
      </c>
      <c r="B425" s="9" t="s">
        <v>1257</v>
      </c>
      <c r="C425" s="25" t="s">
        <v>1258</v>
      </c>
      <c r="D425" s="26" t="s">
        <v>1259</v>
      </c>
      <c r="E425" s="27">
        <v>1.05560069727E11</v>
      </c>
      <c r="F425" s="27"/>
      <c r="G425" s="14" t="s">
        <v>17</v>
      </c>
      <c r="H425" s="15">
        <v>25115.0</v>
      </c>
      <c r="I425" s="14" t="s">
        <v>46</v>
      </c>
      <c r="J425" s="16" t="s">
        <v>19</v>
      </c>
      <c r="K425" s="17" t="s">
        <v>20</v>
      </c>
      <c r="L425" s="8" t="s">
        <v>21</v>
      </c>
      <c r="M425" s="8" t="s">
        <v>21</v>
      </c>
      <c r="N425" s="18">
        <f t="shared" si="3"/>
        <v>25116</v>
      </c>
      <c r="O425" s="29"/>
      <c r="P425" s="29"/>
      <c r="Q425" s="29"/>
      <c r="R425" s="29"/>
      <c r="S425" s="29"/>
      <c r="T425" s="29"/>
      <c r="U425" s="29"/>
      <c r="V425" s="29"/>
    </row>
    <row r="426">
      <c r="A426" s="41">
        <v>21.0</v>
      </c>
      <c r="B426" s="9" t="s">
        <v>1260</v>
      </c>
      <c r="C426" s="25" t="s">
        <v>1261</v>
      </c>
      <c r="D426" s="26"/>
      <c r="E426" s="27"/>
      <c r="F426" s="27"/>
      <c r="G426" s="14" t="s">
        <v>17</v>
      </c>
      <c r="H426" s="15">
        <v>25115.0</v>
      </c>
      <c r="I426" s="14" t="s">
        <v>101</v>
      </c>
      <c r="J426" s="16" t="s">
        <v>19</v>
      </c>
      <c r="K426" s="17" t="s">
        <v>20</v>
      </c>
      <c r="L426" s="8" t="s">
        <v>21</v>
      </c>
      <c r="M426" s="8" t="s">
        <v>21</v>
      </c>
      <c r="N426" s="18">
        <f t="shared" si="3"/>
        <v>25116</v>
      </c>
      <c r="O426" s="29"/>
      <c r="P426" s="29"/>
      <c r="Q426" s="29"/>
      <c r="R426" s="29"/>
      <c r="S426" s="29"/>
      <c r="T426" s="29"/>
      <c r="U426" s="29"/>
      <c r="V426" s="29"/>
    </row>
    <row r="427">
      <c r="A427" s="41">
        <v>22.0</v>
      </c>
      <c r="B427" s="9" t="s">
        <v>1262</v>
      </c>
      <c r="C427" s="25" t="s">
        <v>1263</v>
      </c>
      <c r="D427" s="26"/>
      <c r="E427" s="27"/>
      <c r="F427" s="27" t="s">
        <v>1264</v>
      </c>
      <c r="G427" s="14" t="s">
        <v>17</v>
      </c>
      <c r="H427" s="15">
        <v>25115.0</v>
      </c>
      <c r="I427" s="14" t="s">
        <v>88</v>
      </c>
      <c r="J427" s="16" t="s">
        <v>19</v>
      </c>
      <c r="K427" s="17" t="s">
        <v>20</v>
      </c>
      <c r="L427" s="8" t="s">
        <v>21</v>
      </c>
      <c r="M427" s="8" t="s">
        <v>21</v>
      </c>
      <c r="N427" s="18">
        <f t="shared" si="3"/>
        <v>25116</v>
      </c>
      <c r="O427" s="29"/>
      <c r="P427" s="29"/>
      <c r="Q427" s="29"/>
      <c r="R427" s="29"/>
      <c r="S427" s="29"/>
      <c r="T427" s="29"/>
      <c r="U427" s="29"/>
      <c r="V427" s="29"/>
    </row>
    <row r="428">
      <c r="A428" s="41">
        <v>23.0</v>
      </c>
      <c r="B428" s="9" t="s">
        <v>1265</v>
      </c>
      <c r="C428" s="25" t="s">
        <v>1266</v>
      </c>
      <c r="D428" s="26"/>
      <c r="E428" s="27"/>
      <c r="F428" s="27" t="s">
        <v>1267</v>
      </c>
      <c r="G428" s="14" t="s">
        <v>29</v>
      </c>
      <c r="H428" s="15">
        <v>25115.0</v>
      </c>
      <c r="I428" s="14" t="s">
        <v>54</v>
      </c>
      <c r="J428" s="16" t="s">
        <v>19</v>
      </c>
      <c r="K428" s="17" t="s">
        <v>20</v>
      </c>
      <c r="L428" s="8" t="s">
        <v>21</v>
      </c>
      <c r="M428" s="8" t="s">
        <v>21</v>
      </c>
      <c r="N428" s="18">
        <f t="shared" si="3"/>
        <v>25116</v>
      </c>
      <c r="O428" s="29"/>
      <c r="P428" s="29"/>
      <c r="Q428" s="29"/>
      <c r="R428" s="29"/>
      <c r="S428" s="29"/>
      <c r="T428" s="29"/>
      <c r="U428" s="29"/>
      <c r="V428" s="29"/>
    </row>
    <row r="429">
      <c r="A429" s="41">
        <v>24.0</v>
      </c>
      <c r="B429" s="9" t="s">
        <v>1268</v>
      </c>
      <c r="C429" s="25" t="s">
        <v>1269</v>
      </c>
      <c r="D429" s="26"/>
      <c r="E429" s="27"/>
      <c r="F429" s="27" t="s">
        <v>1270</v>
      </c>
      <c r="G429" s="14" t="s">
        <v>17</v>
      </c>
      <c r="H429" s="15">
        <v>25116.0</v>
      </c>
      <c r="I429" s="14" t="s">
        <v>95</v>
      </c>
      <c r="J429" s="16" t="s">
        <v>19</v>
      </c>
      <c r="K429" s="17" t="s">
        <v>20</v>
      </c>
      <c r="L429" s="8" t="s">
        <v>21</v>
      </c>
      <c r="M429" s="8" t="s">
        <v>21</v>
      </c>
      <c r="N429" s="18">
        <f t="shared" si="3"/>
        <v>25117</v>
      </c>
      <c r="O429" s="29"/>
      <c r="P429" s="29"/>
      <c r="Q429" s="29"/>
      <c r="R429" s="29"/>
      <c r="S429" s="29"/>
      <c r="T429" s="29"/>
      <c r="U429" s="29"/>
      <c r="V429" s="29"/>
    </row>
    <row r="430">
      <c r="A430" s="41">
        <v>25.0</v>
      </c>
      <c r="B430" s="9" t="s">
        <v>1271</v>
      </c>
      <c r="C430" s="25" t="s">
        <v>1272</v>
      </c>
      <c r="D430" s="26"/>
      <c r="E430" s="27"/>
      <c r="F430" s="27" t="s">
        <v>1273</v>
      </c>
      <c r="G430" s="14" t="s">
        <v>17</v>
      </c>
      <c r="H430" s="15">
        <v>25116.0</v>
      </c>
      <c r="I430" s="14" t="s">
        <v>34</v>
      </c>
      <c r="J430" s="16" t="s">
        <v>19</v>
      </c>
      <c r="K430" s="17" t="s">
        <v>20</v>
      </c>
      <c r="L430" s="8" t="s">
        <v>21</v>
      </c>
      <c r="M430" s="8" t="s">
        <v>21</v>
      </c>
      <c r="N430" s="18">
        <f t="shared" si="3"/>
        <v>25117</v>
      </c>
      <c r="O430" s="29"/>
      <c r="P430" s="29"/>
      <c r="Q430" s="29"/>
      <c r="R430" s="29"/>
      <c r="S430" s="29"/>
      <c r="T430" s="29"/>
      <c r="U430" s="29"/>
      <c r="V430" s="29"/>
    </row>
    <row r="431">
      <c r="A431" s="41">
        <v>26.0</v>
      </c>
      <c r="B431" s="9" t="s">
        <v>1274</v>
      </c>
      <c r="C431" s="25" t="s">
        <v>1275</v>
      </c>
      <c r="D431" s="26"/>
      <c r="E431" s="27"/>
      <c r="F431" s="27" t="s">
        <v>1276</v>
      </c>
      <c r="G431" s="14" t="s">
        <v>29</v>
      </c>
      <c r="H431" s="15">
        <v>25116.0</v>
      </c>
      <c r="I431" s="14" t="s">
        <v>101</v>
      </c>
      <c r="J431" s="16" t="s">
        <v>19</v>
      </c>
      <c r="K431" s="17" t="s">
        <v>20</v>
      </c>
      <c r="L431" s="8" t="s">
        <v>21</v>
      </c>
      <c r="M431" s="8" t="s">
        <v>21</v>
      </c>
      <c r="N431" s="18">
        <f t="shared" si="3"/>
        <v>25117</v>
      </c>
      <c r="O431" s="29"/>
      <c r="P431" s="29"/>
      <c r="Q431" s="29"/>
      <c r="R431" s="29"/>
      <c r="S431" s="29"/>
      <c r="T431" s="29"/>
      <c r="U431" s="29"/>
      <c r="V431" s="29"/>
    </row>
    <row r="432">
      <c r="A432" s="41">
        <v>27.0</v>
      </c>
      <c r="B432" s="9" t="s">
        <v>1277</v>
      </c>
      <c r="C432" s="25" t="s">
        <v>1278</v>
      </c>
      <c r="D432" s="26"/>
      <c r="E432" s="27"/>
      <c r="F432" s="27" t="s">
        <v>1279</v>
      </c>
      <c r="G432" s="14" t="s">
        <v>29</v>
      </c>
      <c r="H432" s="15">
        <v>25116.0</v>
      </c>
      <c r="I432" s="14" t="s">
        <v>30</v>
      </c>
      <c r="J432" s="16" t="s">
        <v>19</v>
      </c>
      <c r="K432" s="17" t="s">
        <v>20</v>
      </c>
      <c r="L432" s="8" t="s">
        <v>21</v>
      </c>
      <c r="M432" s="8" t="s">
        <v>21</v>
      </c>
      <c r="N432" s="18">
        <f t="shared" si="3"/>
        <v>25117</v>
      </c>
      <c r="O432" s="29"/>
      <c r="P432" s="29"/>
      <c r="Q432" s="29"/>
      <c r="R432" s="29"/>
      <c r="S432" s="29"/>
      <c r="T432" s="29"/>
      <c r="U432" s="29"/>
      <c r="V432" s="29"/>
    </row>
    <row r="433">
      <c r="A433" s="41">
        <v>28.0</v>
      </c>
      <c r="B433" s="9" t="s">
        <v>1280</v>
      </c>
      <c r="C433" s="25" t="s">
        <v>1281</v>
      </c>
      <c r="D433" s="26" t="s">
        <v>1282</v>
      </c>
      <c r="E433" s="27">
        <v>5.354419589674E12</v>
      </c>
      <c r="F433" s="27" t="s">
        <v>1283</v>
      </c>
      <c r="G433" s="14" t="s">
        <v>29</v>
      </c>
      <c r="H433" s="15">
        <v>25116.0</v>
      </c>
      <c r="I433" s="14" t="s">
        <v>38</v>
      </c>
      <c r="J433" s="16" t="s">
        <v>19</v>
      </c>
      <c r="K433" s="17" t="s">
        <v>20</v>
      </c>
      <c r="L433" s="8" t="s">
        <v>21</v>
      </c>
      <c r="M433" s="8" t="s">
        <v>21</v>
      </c>
      <c r="N433" s="18">
        <f t="shared" si="3"/>
        <v>25117</v>
      </c>
      <c r="O433" s="29"/>
      <c r="P433" s="29"/>
      <c r="Q433" s="29"/>
      <c r="R433" s="29"/>
      <c r="S433" s="29"/>
      <c r="T433" s="29"/>
      <c r="U433" s="29"/>
      <c r="V433" s="29"/>
    </row>
    <row r="434">
      <c r="A434" s="41">
        <v>29.0</v>
      </c>
      <c r="B434" s="9" t="s">
        <v>1284</v>
      </c>
      <c r="C434" s="25" t="s">
        <v>1285</v>
      </c>
      <c r="D434" s="26" t="s">
        <v>1286</v>
      </c>
      <c r="E434" s="27">
        <v>1.863615486608E12</v>
      </c>
      <c r="F434" s="27" t="s">
        <v>1287</v>
      </c>
      <c r="G434" s="14" t="s">
        <v>17</v>
      </c>
      <c r="H434" s="15">
        <v>25117.0</v>
      </c>
      <c r="I434" s="14" t="s">
        <v>111</v>
      </c>
      <c r="J434" s="16" t="s">
        <v>19</v>
      </c>
      <c r="K434" s="17" t="s">
        <v>20</v>
      </c>
      <c r="L434" s="8" t="s">
        <v>21</v>
      </c>
      <c r="M434" s="8" t="s">
        <v>21</v>
      </c>
      <c r="N434" s="18">
        <f t="shared" si="3"/>
        <v>25118</v>
      </c>
      <c r="O434" s="29"/>
      <c r="P434" s="29"/>
      <c r="Q434" s="29"/>
      <c r="R434" s="29"/>
      <c r="S434" s="29"/>
      <c r="T434" s="29"/>
      <c r="U434" s="29"/>
      <c r="V434" s="29"/>
    </row>
    <row r="435">
      <c r="A435" s="41">
        <v>30.0</v>
      </c>
      <c r="B435" s="9" t="s">
        <v>1288</v>
      </c>
      <c r="C435" s="25" t="s">
        <v>1289</v>
      </c>
      <c r="D435" s="26" t="s">
        <v>1290</v>
      </c>
      <c r="E435" s="27">
        <v>8.441068113149E12</v>
      </c>
      <c r="F435" s="27" t="s">
        <v>1291</v>
      </c>
      <c r="G435" s="14" t="s">
        <v>29</v>
      </c>
      <c r="H435" s="15">
        <v>25117.0</v>
      </c>
      <c r="I435" s="14" t="s">
        <v>50</v>
      </c>
      <c r="J435" s="16" t="s">
        <v>19</v>
      </c>
      <c r="K435" s="17" t="s">
        <v>20</v>
      </c>
      <c r="L435" s="8" t="s">
        <v>21</v>
      </c>
      <c r="M435" s="8" t="s">
        <v>21</v>
      </c>
      <c r="N435" s="18">
        <f t="shared" si="3"/>
        <v>25118</v>
      </c>
      <c r="O435" s="29"/>
      <c r="P435" s="29"/>
      <c r="Q435" s="29"/>
      <c r="R435" s="29"/>
      <c r="S435" s="29"/>
      <c r="T435" s="29"/>
      <c r="U435" s="29"/>
      <c r="V435" s="29"/>
    </row>
    <row r="436">
      <c r="A436" s="41">
        <v>31.0</v>
      </c>
      <c r="B436" s="9" t="s">
        <v>1292</v>
      </c>
      <c r="C436" s="25" t="s">
        <v>1293</v>
      </c>
      <c r="D436" s="26"/>
      <c r="E436" s="42"/>
      <c r="F436" s="27" t="s">
        <v>1294</v>
      </c>
      <c r="G436" s="14" t="s">
        <v>17</v>
      </c>
      <c r="H436" s="15">
        <v>25117.0</v>
      </c>
      <c r="I436" s="14" t="s">
        <v>50</v>
      </c>
      <c r="J436" s="16" t="s">
        <v>19</v>
      </c>
      <c r="K436" s="17" t="s">
        <v>20</v>
      </c>
      <c r="L436" s="8" t="s">
        <v>21</v>
      </c>
      <c r="M436" s="8" t="s">
        <v>21</v>
      </c>
      <c r="N436" s="18">
        <f t="shared" si="3"/>
        <v>25118</v>
      </c>
      <c r="O436" s="29"/>
      <c r="P436" s="29"/>
      <c r="Q436" s="29"/>
      <c r="R436" s="29"/>
      <c r="S436" s="29"/>
      <c r="T436" s="29"/>
      <c r="U436" s="29"/>
      <c r="V436" s="29"/>
    </row>
    <row r="437">
      <c r="A437" s="41">
        <v>32.0</v>
      </c>
      <c r="B437" s="9" t="s">
        <v>1295</v>
      </c>
      <c r="C437" s="25" t="s">
        <v>1296</v>
      </c>
      <c r="D437" s="26" t="s">
        <v>1297</v>
      </c>
      <c r="E437" s="27">
        <v>6.752630941777E12</v>
      </c>
      <c r="F437" s="27" t="s">
        <v>1298</v>
      </c>
      <c r="G437" s="14" t="s">
        <v>17</v>
      </c>
      <c r="H437" s="15">
        <v>25117.0</v>
      </c>
      <c r="I437" s="14" t="s">
        <v>54</v>
      </c>
      <c r="J437" s="16" t="s">
        <v>19</v>
      </c>
      <c r="K437" s="17" t="s">
        <v>20</v>
      </c>
      <c r="L437" s="8" t="s">
        <v>21</v>
      </c>
      <c r="M437" s="8" t="s">
        <v>21</v>
      </c>
      <c r="N437" s="18">
        <f t="shared" si="3"/>
        <v>25118</v>
      </c>
      <c r="O437" s="29"/>
      <c r="P437" s="29"/>
      <c r="Q437" s="29"/>
      <c r="R437" s="29"/>
      <c r="S437" s="29"/>
      <c r="T437" s="29"/>
      <c r="U437" s="29"/>
      <c r="V437" s="29"/>
    </row>
    <row r="438">
      <c r="A438" s="41">
        <v>33.0</v>
      </c>
      <c r="B438" s="9" t="s">
        <v>1299</v>
      </c>
      <c r="C438" s="25" t="s">
        <v>1300</v>
      </c>
      <c r="D438" s="26"/>
      <c r="E438" s="27">
        <v>8.960220051996E12</v>
      </c>
      <c r="F438" s="27" t="s">
        <v>1301</v>
      </c>
      <c r="G438" s="14" t="s">
        <v>17</v>
      </c>
      <c r="H438" s="15">
        <v>25117.0</v>
      </c>
      <c r="I438" s="14" t="s">
        <v>124</v>
      </c>
      <c r="J438" s="16" t="s">
        <v>19</v>
      </c>
      <c r="K438" s="17" t="s">
        <v>20</v>
      </c>
      <c r="L438" s="8" t="s">
        <v>21</v>
      </c>
      <c r="M438" s="8" t="s">
        <v>21</v>
      </c>
      <c r="N438" s="18">
        <f t="shared" si="3"/>
        <v>25118</v>
      </c>
      <c r="O438" s="29"/>
      <c r="P438" s="29"/>
      <c r="Q438" s="29"/>
      <c r="R438" s="29"/>
      <c r="S438" s="29"/>
      <c r="T438" s="29"/>
      <c r="U438" s="29"/>
      <c r="V438" s="29"/>
    </row>
    <row r="439">
      <c r="A439" s="41">
        <v>34.0</v>
      </c>
      <c r="B439" s="9" t="s">
        <v>1302</v>
      </c>
      <c r="C439" s="25" t="s">
        <v>1303</v>
      </c>
      <c r="D439" s="26" t="s">
        <v>1304</v>
      </c>
      <c r="E439" s="27">
        <v>6.97708423207E12</v>
      </c>
      <c r="F439" s="27" t="s">
        <v>1305</v>
      </c>
      <c r="G439" s="14" t="s">
        <v>29</v>
      </c>
      <c r="H439" s="15">
        <v>25118.0</v>
      </c>
      <c r="I439" s="14" t="s">
        <v>80</v>
      </c>
      <c r="J439" s="16" t="s">
        <v>19</v>
      </c>
      <c r="K439" s="17" t="s">
        <v>20</v>
      </c>
      <c r="L439" s="8" t="s">
        <v>21</v>
      </c>
      <c r="M439" s="8" t="s">
        <v>21</v>
      </c>
      <c r="N439" s="18">
        <f t="shared" si="3"/>
        <v>25119</v>
      </c>
      <c r="O439" s="29"/>
      <c r="P439" s="29"/>
      <c r="Q439" s="29"/>
      <c r="R439" s="29"/>
      <c r="S439" s="29"/>
      <c r="T439" s="29"/>
      <c r="U439" s="29"/>
      <c r="V439" s="29"/>
    </row>
    <row r="440">
      <c r="A440" s="41">
        <v>35.0</v>
      </c>
      <c r="B440" s="9" t="s">
        <v>1306</v>
      </c>
      <c r="C440" s="25" t="s">
        <v>1307</v>
      </c>
      <c r="D440" s="26"/>
      <c r="E440" s="27">
        <v>2.818016738566E12</v>
      </c>
      <c r="F440" s="27" t="s">
        <v>1308</v>
      </c>
      <c r="G440" s="14" t="s">
        <v>17</v>
      </c>
      <c r="H440" s="15">
        <v>25118.0</v>
      </c>
      <c r="I440" s="14" t="s">
        <v>335</v>
      </c>
      <c r="J440" s="16" t="s">
        <v>19</v>
      </c>
      <c r="K440" s="17" t="s">
        <v>20</v>
      </c>
      <c r="L440" s="8" t="s">
        <v>21</v>
      </c>
      <c r="M440" s="8" t="s">
        <v>21</v>
      </c>
      <c r="N440" s="18">
        <f t="shared" si="3"/>
        <v>25119</v>
      </c>
      <c r="O440" s="29"/>
      <c r="P440" s="29"/>
      <c r="Q440" s="29"/>
      <c r="R440" s="29"/>
      <c r="S440" s="29"/>
      <c r="T440" s="29"/>
      <c r="U440" s="29"/>
      <c r="V440" s="29"/>
    </row>
    <row r="441">
      <c r="A441" s="41">
        <v>36.0</v>
      </c>
      <c r="B441" s="9" t="s">
        <v>1309</v>
      </c>
      <c r="C441" s="25" t="s">
        <v>1310</v>
      </c>
      <c r="D441" s="26" t="s">
        <v>1304</v>
      </c>
      <c r="E441" s="27"/>
      <c r="F441" s="27" t="s">
        <v>1311</v>
      </c>
      <c r="G441" s="14" t="s">
        <v>17</v>
      </c>
      <c r="H441" s="15">
        <v>25118.0</v>
      </c>
      <c r="I441" s="14" t="s">
        <v>162</v>
      </c>
      <c r="J441" s="16" t="s">
        <v>19</v>
      </c>
      <c r="K441" s="17" t="s">
        <v>20</v>
      </c>
      <c r="L441" s="8" t="s">
        <v>21</v>
      </c>
      <c r="M441" s="8" t="s">
        <v>21</v>
      </c>
      <c r="N441" s="18">
        <f t="shared" si="3"/>
        <v>25119</v>
      </c>
      <c r="O441" s="29"/>
      <c r="P441" s="29"/>
      <c r="Q441" s="29"/>
      <c r="R441" s="29"/>
      <c r="S441" s="29"/>
      <c r="T441" s="29"/>
      <c r="U441" s="29"/>
      <c r="V441" s="29"/>
    </row>
    <row r="442">
      <c r="A442" s="41">
        <v>37.0</v>
      </c>
      <c r="B442" s="9" t="s">
        <v>1312</v>
      </c>
      <c r="C442" s="25" t="s">
        <v>1313</v>
      </c>
      <c r="D442" s="26"/>
      <c r="E442" s="27"/>
      <c r="F442" s="27" t="s">
        <v>1314</v>
      </c>
      <c r="G442" s="14" t="s">
        <v>29</v>
      </c>
      <c r="H442" s="15">
        <v>25118.0</v>
      </c>
      <c r="I442" s="14" t="s">
        <v>80</v>
      </c>
      <c r="J442" s="16" t="s">
        <v>19</v>
      </c>
      <c r="K442" s="17" t="s">
        <v>20</v>
      </c>
      <c r="L442" s="8" t="s">
        <v>21</v>
      </c>
      <c r="M442" s="8" t="s">
        <v>21</v>
      </c>
      <c r="N442" s="18">
        <f t="shared" si="3"/>
        <v>25119</v>
      </c>
      <c r="O442" s="29"/>
      <c r="P442" s="29"/>
      <c r="Q442" s="29"/>
      <c r="R442" s="29"/>
      <c r="S442" s="29"/>
      <c r="T442" s="29"/>
      <c r="U442" s="29"/>
      <c r="V442" s="29"/>
    </row>
    <row r="443">
      <c r="A443" s="41">
        <v>38.0</v>
      </c>
      <c r="B443" s="9" t="s">
        <v>1315</v>
      </c>
      <c r="C443" s="25" t="s">
        <v>1316</v>
      </c>
      <c r="D443" s="26"/>
      <c r="E443" s="27"/>
      <c r="F443" s="27" t="s">
        <v>1317</v>
      </c>
      <c r="G443" s="14" t="s">
        <v>29</v>
      </c>
      <c r="H443" s="15">
        <v>25118.0</v>
      </c>
      <c r="I443" s="14" t="s">
        <v>869</v>
      </c>
      <c r="J443" s="16" t="s">
        <v>19</v>
      </c>
      <c r="K443" s="17" t="s">
        <v>20</v>
      </c>
      <c r="L443" s="8" t="s">
        <v>21</v>
      </c>
      <c r="M443" s="8" t="s">
        <v>21</v>
      </c>
      <c r="N443" s="18">
        <f t="shared" si="3"/>
        <v>25119</v>
      </c>
      <c r="O443" s="29"/>
      <c r="P443" s="29"/>
      <c r="Q443" s="29"/>
      <c r="R443" s="29"/>
      <c r="S443" s="29"/>
      <c r="T443" s="29"/>
      <c r="U443" s="29"/>
      <c r="V443" s="29"/>
    </row>
    <row r="444">
      <c r="A444" s="41">
        <v>39.0</v>
      </c>
      <c r="B444" s="9" t="s">
        <v>1318</v>
      </c>
      <c r="C444" s="25" t="s">
        <v>1319</v>
      </c>
      <c r="D444" s="26"/>
      <c r="E444" s="27"/>
      <c r="F444" s="27" t="s">
        <v>1320</v>
      </c>
      <c r="G444" s="14" t="s">
        <v>29</v>
      </c>
      <c r="H444" s="15">
        <v>25119.0</v>
      </c>
      <c r="I444" s="14" t="s">
        <v>46</v>
      </c>
      <c r="J444" s="16" t="s">
        <v>19</v>
      </c>
      <c r="K444" s="17" t="s">
        <v>20</v>
      </c>
      <c r="L444" s="8" t="s">
        <v>21</v>
      </c>
      <c r="M444" s="8" t="s">
        <v>21</v>
      </c>
      <c r="N444" s="18">
        <f t="shared" si="3"/>
        <v>25120</v>
      </c>
      <c r="O444" s="29"/>
      <c r="P444" s="29"/>
      <c r="Q444" s="29"/>
      <c r="R444" s="29"/>
      <c r="S444" s="29"/>
      <c r="T444" s="29"/>
      <c r="U444" s="29"/>
      <c r="V444" s="29"/>
    </row>
    <row r="445">
      <c r="A445" s="41">
        <v>40.0</v>
      </c>
      <c r="B445" s="9" t="s">
        <v>1321</v>
      </c>
      <c r="C445" s="25" t="s">
        <v>1322</v>
      </c>
      <c r="D445" s="26"/>
      <c r="E445" s="27"/>
      <c r="F445" s="27" t="s">
        <v>1323</v>
      </c>
      <c r="G445" s="14" t="s">
        <v>17</v>
      </c>
      <c r="H445" s="15">
        <v>25119.0</v>
      </c>
      <c r="I445" s="14" t="s">
        <v>38</v>
      </c>
      <c r="J445" s="16" t="s">
        <v>19</v>
      </c>
      <c r="K445" s="17" t="s">
        <v>20</v>
      </c>
      <c r="L445" s="8" t="s">
        <v>21</v>
      </c>
      <c r="M445" s="8" t="s">
        <v>21</v>
      </c>
      <c r="N445" s="18">
        <f t="shared" si="3"/>
        <v>25120</v>
      </c>
      <c r="O445" s="29"/>
      <c r="P445" s="29"/>
      <c r="Q445" s="29"/>
      <c r="R445" s="29"/>
      <c r="S445" s="29"/>
      <c r="T445" s="29"/>
      <c r="U445" s="29"/>
      <c r="V445" s="29"/>
    </row>
    <row r="446">
      <c r="A446" s="41">
        <v>41.0</v>
      </c>
      <c r="B446" s="9" t="s">
        <v>1324</v>
      </c>
      <c r="C446" s="25" t="s">
        <v>1325</v>
      </c>
      <c r="D446" s="26" t="s">
        <v>1304</v>
      </c>
      <c r="E446" s="27"/>
      <c r="F446" s="27" t="s">
        <v>1326</v>
      </c>
      <c r="G446" s="14" t="s">
        <v>29</v>
      </c>
      <c r="H446" s="15">
        <v>25119.0</v>
      </c>
      <c r="I446" s="14" t="s">
        <v>34</v>
      </c>
      <c r="J446" s="16" t="s">
        <v>19</v>
      </c>
      <c r="K446" s="17" t="s">
        <v>20</v>
      </c>
      <c r="L446" s="8" t="s">
        <v>21</v>
      </c>
      <c r="M446" s="8" t="s">
        <v>21</v>
      </c>
      <c r="N446" s="18">
        <f t="shared" si="3"/>
        <v>25120</v>
      </c>
      <c r="O446" s="29"/>
      <c r="P446" s="29"/>
      <c r="Q446" s="29"/>
      <c r="R446" s="29"/>
      <c r="S446" s="29"/>
      <c r="T446" s="29"/>
      <c r="U446" s="29"/>
      <c r="V446" s="29"/>
    </row>
    <row r="447">
      <c r="A447" s="41">
        <v>42.0</v>
      </c>
      <c r="B447" s="9" t="s">
        <v>1327</v>
      </c>
      <c r="C447" s="25" t="s">
        <v>1328</v>
      </c>
      <c r="D447" s="26"/>
      <c r="E447" s="27"/>
      <c r="F447" s="27" t="s">
        <v>1329</v>
      </c>
      <c r="G447" s="14" t="s">
        <v>17</v>
      </c>
      <c r="H447" s="15">
        <v>25119.0</v>
      </c>
      <c r="I447" s="14" t="s">
        <v>38</v>
      </c>
      <c r="J447" s="16" t="s">
        <v>19</v>
      </c>
      <c r="K447" s="17" t="s">
        <v>20</v>
      </c>
      <c r="L447" s="8" t="s">
        <v>21</v>
      </c>
      <c r="M447" s="8" t="s">
        <v>21</v>
      </c>
      <c r="N447" s="18">
        <f t="shared" si="3"/>
        <v>25120</v>
      </c>
      <c r="O447" s="29"/>
      <c r="P447" s="29"/>
      <c r="Q447" s="29"/>
      <c r="R447" s="29"/>
      <c r="S447" s="29"/>
      <c r="T447" s="29"/>
      <c r="U447" s="29"/>
      <c r="V447" s="29"/>
    </row>
    <row r="448">
      <c r="A448" s="41">
        <v>43.0</v>
      </c>
      <c r="B448" s="9" t="s">
        <v>1330</v>
      </c>
      <c r="C448" s="25" t="s">
        <v>1331</v>
      </c>
      <c r="D448" s="26"/>
      <c r="E448" s="27"/>
      <c r="F448" s="27"/>
      <c r="G448" s="14" t="s">
        <v>17</v>
      </c>
      <c r="H448" s="15">
        <v>25119.0</v>
      </c>
      <c r="I448" s="14" t="s">
        <v>50</v>
      </c>
      <c r="J448" s="16" t="s">
        <v>19</v>
      </c>
      <c r="K448" s="17" t="s">
        <v>20</v>
      </c>
      <c r="L448" s="8" t="s">
        <v>21</v>
      </c>
      <c r="M448" s="8" t="s">
        <v>21</v>
      </c>
      <c r="N448" s="18">
        <f t="shared" si="3"/>
        <v>25120</v>
      </c>
      <c r="O448" s="29"/>
      <c r="P448" s="29"/>
      <c r="Q448" s="29"/>
      <c r="R448" s="29"/>
      <c r="S448" s="29"/>
      <c r="T448" s="29"/>
      <c r="U448" s="29"/>
      <c r="V448" s="29"/>
    </row>
    <row r="449">
      <c r="A449" s="41">
        <v>44.0</v>
      </c>
      <c r="B449" s="9" t="s">
        <v>1332</v>
      </c>
      <c r="C449" s="25" t="s">
        <v>1333</v>
      </c>
      <c r="D449" s="26"/>
      <c r="E449" s="27"/>
      <c r="F449" s="27"/>
      <c r="G449" s="14" t="s">
        <v>17</v>
      </c>
      <c r="H449" s="15">
        <v>25120.0</v>
      </c>
      <c r="I449" s="14" t="s">
        <v>467</v>
      </c>
      <c r="J449" s="16" t="s">
        <v>19</v>
      </c>
      <c r="K449" s="17" t="s">
        <v>20</v>
      </c>
      <c r="L449" s="8" t="s">
        <v>21</v>
      </c>
      <c r="M449" s="8" t="s">
        <v>21</v>
      </c>
      <c r="N449" s="18">
        <f t="shared" si="3"/>
        <v>25121</v>
      </c>
      <c r="O449" s="29"/>
      <c r="P449" s="29"/>
      <c r="Q449" s="29"/>
      <c r="R449" s="29"/>
      <c r="S449" s="29"/>
      <c r="T449" s="29"/>
      <c r="U449" s="29"/>
      <c r="V449" s="29"/>
    </row>
    <row r="450">
      <c r="A450" s="41">
        <v>45.0</v>
      </c>
      <c r="B450" s="9" t="s">
        <v>1334</v>
      </c>
      <c r="C450" s="25" t="s">
        <v>1335</v>
      </c>
      <c r="D450" s="26"/>
      <c r="E450" s="27"/>
      <c r="F450" s="27"/>
      <c r="G450" s="14" t="s">
        <v>29</v>
      </c>
      <c r="H450" s="15">
        <v>25120.0</v>
      </c>
      <c r="I450" s="14" t="s">
        <v>46</v>
      </c>
      <c r="J450" s="16" t="s">
        <v>19</v>
      </c>
      <c r="K450" s="17" t="s">
        <v>20</v>
      </c>
      <c r="L450" s="8" t="s">
        <v>21</v>
      </c>
      <c r="M450" s="8" t="s">
        <v>21</v>
      </c>
      <c r="N450" s="18">
        <f t="shared" si="3"/>
        <v>25121</v>
      </c>
      <c r="O450" s="29"/>
      <c r="P450" s="29"/>
      <c r="Q450" s="29"/>
      <c r="R450" s="29"/>
      <c r="S450" s="29"/>
      <c r="T450" s="29"/>
      <c r="U450" s="29"/>
      <c r="V450" s="29"/>
    </row>
    <row r="451">
      <c r="A451" s="41">
        <v>46.0</v>
      </c>
      <c r="B451" s="9" t="s">
        <v>1336</v>
      </c>
      <c r="C451" s="25" t="s">
        <v>1337</v>
      </c>
      <c r="D451" s="26"/>
      <c r="E451" s="27"/>
      <c r="F451" s="42"/>
      <c r="G451" s="14" t="s">
        <v>17</v>
      </c>
      <c r="H451" s="15">
        <v>25120.0</v>
      </c>
      <c r="I451" s="14" t="s">
        <v>101</v>
      </c>
      <c r="J451" s="16" t="s">
        <v>19</v>
      </c>
      <c r="K451" s="17" t="s">
        <v>20</v>
      </c>
      <c r="L451" s="8" t="s">
        <v>21</v>
      </c>
      <c r="M451" s="8" t="s">
        <v>21</v>
      </c>
      <c r="N451" s="18">
        <f t="shared" si="3"/>
        <v>25121</v>
      </c>
      <c r="O451" s="29"/>
      <c r="P451" s="29"/>
      <c r="Q451" s="29"/>
      <c r="R451" s="29"/>
      <c r="S451" s="29"/>
      <c r="T451" s="29"/>
      <c r="U451" s="29"/>
      <c r="V451" s="29"/>
    </row>
    <row r="452">
      <c r="A452" s="41">
        <v>47.0</v>
      </c>
      <c r="B452" s="9" t="s">
        <v>1338</v>
      </c>
      <c r="C452" s="25" t="s">
        <v>1339</v>
      </c>
      <c r="D452" s="26"/>
      <c r="E452" s="27"/>
      <c r="F452" s="27"/>
      <c r="G452" s="14" t="s">
        <v>17</v>
      </c>
      <c r="H452" s="15">
        <v>25120.0</v>
      </c>
      <c r="I452" s="14" t="s">
        <v>46</v>
      </c>
      <c r="J452" s="16" t="s">
        <v>19</v>
      </c>
      <c r="K452" s="17" t="s">
        <v>20</v>
      </c>
      <c r="L452" s="8" t="s">
        <v>21</v>
      </c>
      <c r="M452" s="8" t="s">
        <v>21</v>
      </c>
      <c r="N452" s="18">
        <f t="shared" si="3"/>
        <v>25121</v>
      </c>
      <c r="O452" s="29"/>
      <c r="P452" s="29"/>
      <c r="Q452" s="29"/>
      <c r="R452" s="29"/>
      <c r="S452" s="29"/>
      <c r="T452" s="29"/>
      <c r="U452" s="29"/>
      <c r="V452" s="29"/>
    </row>
    <row r="453">
      <c r="A453" s="41">
        <v>48.0</v>
      </c>
      <c r="B453" s="9" t="s">
        <v>1340</v>
      </c>
      <c r="C453" s="25" t="s">
        <v>1341</v>
      </c>
      <c r="D453" s="26" t="s">
        <v>1304</v>
      </c>
      <c r="E453" s="27">
        <v>6.736857322934E12</v>
      </c>
      <c r="F453" s="27" t="s">
        <v>1342</v>
      </c>
      <c r="G453" s="14" t="s">
        <v>29</v>
      </c>
      <c r="H453" s="15">
        <v>25120.0</v>
      </c>
      <c r="I453" s="32" t="s">
        <v>1343</v>
      </c>
      <c r="J453" s="16" t="s">
        <v>19</v>
      </c>
      <c r="K453" s="17" t="s">
        <v>20</v>
      </c>
      <c r="L453" s="8" t="s">
        <v>21</v>
      </c>
      <c r="M453" s="8" t="s">
        <v>21</v>
      </c>
      <c r="N453" s="18">
        <f t="shared" si="3"/>
        <v>25121</v>
      </c>
      <c r="O453" s="29"/>
      <c r="P453" s="29"/>
      <c r="Q453" s="29"/>
      <c r="R453" s="29"/>
      <c r="S453" s="29"/>
      <c r="T453" s="29"/>
      <c r="U453" s="29"/>
      <c r="V453" s="29"/>
    </row>
    <row r="454">
      <c r="A454" s="41">
        <v>49.0</v>
      </c>
      <c r="B454" s="9" t="s">
        <v>1344</v>
      </c>
      <c r="C454" s="25" t="s">
        <v>1345</v>
      </c>
      <c r="D454" s="26" t="s">
        <v>1304</v>
      </c>
      <c r="E454" s="27">
        <v>7.270475899904E12</v>
      </c>
      <c r="F454" s="27" t="s">
        <v>1346</v>
      </c>
      <c r="G454" s="14" t="s">
        <v>29</v>
      </c>
      <c r="H454" s="15">
        <v>25121.0</v>
      </c>
      <c r="I454" s="32" t="s">
        <v>1347</v>
      </c>
      <c r="J454" s="16" t="s">
        <v>19</v>
      </c>
      <c r="K454" s="17" t="s">
        <v>20</v>
      </c>
      <c r="L454" s="8" t="s">
        <v>21</v>
      </c>
      <c r="M454" s="8" t="s">
        <v>21</v>
      </c>
      <c r="N454" s="18">
        <f t="shared" si="3"/>
        <v>25122</v>
      </c>
      <c r="O454" s="29"/>
      <c r="P454" s="29"/>
      <c r="Q454" s="29"/>
      <c r="R454" s="29"/>
      <c r="S454" s="29"/>
      <c r="T454" s="29"/>
      <c r="U454" s="29"/>
      <c r="V454" s="29"/>
    </row>
    <row r="455">
      <c r="A455" s="41">
        <v>50.0</v>
      </c>
      <c r="B455" s="9" t="s">
        <v>1348</v>
      </c>
      <c r="C455" s="25" t="s">
        <v>1349</v>
      </c>
      <c r="D455" s="26" t="s">
        <v>1282</v>
      </c>
      <c r="E455" s="27">
        <v>1.051871687522E12</v>
      </c>
      <c r="F455" s="27" t="s">
        <v>1350</v>
      </c>
      <c r="G455" s="14" t="s">
        <v>29</v>
      </c>
      <c r="H455" s="15">
        <v>25121.0</v>
      </c>
      <c r="I455" s="14" t="s">
        <v>54</v>
      </c>
      <c r="J455" s="16" t="s">
        <v>19</v>
      </c>
      <c r="K455" s="17" t="s">
        <v>20</v>
      </c>
      <c r="L455" s="8" t="s">
        <v>21</v>
      </c>
      <c r="M455" s="8" t="s">
        <v>21</v>
      </c>
      <c r="N455" s="18">
        <f t="shared" si="3"/>
        <v>25122</v>
      </c>
      <c r="O455" s="29"/>
      <c r="P455" s="29"/>
      <c r="Q455" s="29"/>
      <c r="R455" s="29"/>
      <c r="S455" s="29"/>
      <c r="T455" s="29"/>
      <c r="U455" s="29"/>
      <c r="V455" s="29"/>
    </row>
    <row r="456">
      <c r="A456" s="41">
        <v>51.0</v>
      </c>
      <c r="B456" s="9" t="s">
        <v>1351</v>
      </c>
      <c r="C456" s="25" t="s">
        <v>1352</v>
      </c>
      <c r="D456" s="26"/>
      <c r="E456" s="27">
        <v>7.438414107891E12</v>
      </c>
      <c r="F456" s="27" t="s">
        <v>1353</v>
      </c>
      <c r="G456" s="14" t="s">
        <v>17</v>
      </c>
      <c r="H456" s="15">
        <v>25121.0</v>
      </c>
      <c r="I456" s="14" t="s">
        <v>34</v>
      </c>
      <c r="J456" s="16" t="s">
        <v>19</v>
      </c>
      <c r="K456" s="17" t="s">
        <v>20</v>
      </c>
      <c r="L456" s="8" t="s">
        <v>21</v>
      </c>
      <c r="M456" s="8" t="s">
        <v>21</v>
      </c>
      <c r="N456" s="18">
        <f t="shared" si="3"/>
        <v>25122</v>
      </c>
      <c r="O456" s="29"/>
      <c r="P456" s="29"/>
      <c r="Q456" s="29"/>
      <c r="R456" s="29"/>
      <c r="S456" s="29"/>
      <c r="T456" s="29"/>
      <c r="U456" s="29"/>
      <c r="V456" s="29"/>
    </row>
    <row r="457">
      <c r="A457" s="41">
        <v>52.0</v>
      </c>
      <c r="B457" s="9" t="s">
        <v>1354</v>
      </c>
      <c r="C457" s="25" t="s">
        <v>1355</v>
      </c>
      <c r="D457" s="26"/>
      <c r="E457" s="27">
        <v>8.102568371498E12</v>
      </c>
      <c r="F457" s="27" t="s">
        <v>1356</v>
      </c>
      <c r="G457" s="14" t="s">
        <v>29</v>
      </c>
      <c r="H457" s="15">
        <v>25121.0</v>
      </c>
      <c r="I457" s="14" t="s">
        <v>50</v>
      </c>
      <c r="J457" s="16" t="s">
        <v>19</v>
      </c>
      <c r="K457" s="17" t="s">
        <v>20</v>
      </c>
      <c r="L457" s="8" t="s">
        <v>21</v>
      </c>
      <c r="M457" s="8" t="s">
        <v>21</v>
      </c>
      <c r="N457" s="18">
        <f t="shared" si="3"/>
        <v>25122</v>
      </c>
      <c r="O457" s="29"/>
      <c r="P457" s="29"/>
      <c r="Q457" s="29"/>
      <c r="R457" s="29"/>
      <c r="S457" s="29"/>
      <c r="T457" s="29"/>
      <c r="U457" s="29"/>
      <c r="V457" s="29"/>
    </row>
    <row r="458">
      <c r="A458" s="41">
        <v>53.0</v>
      </c>
      <c r="B458" s="9" t="s">
        <v>1357</v>
      </c>
      <c r="C458" s="25" t="s">
        <v>1358</v>
      </c>
      <c r="D458" s="26"/>
      <c r="E458" s="27"/>
      <c r="F458" s="27"/>
      <c r="G458" s="14" t="s">
        <v>17</v>
      </c>
      <c r="H458" s="15">
        <v>25121.0</v>
      </c>
      <c r="I458" s="32" t="s">
        <v>1359</v>
      </c>
      <c r="J458" s="16" t="s">
        <v>19</v>
      </c>
      <c r="K458" s="17" t="s">
        <v>20</v>
      </c>
      <c r="L458" s="8" t="s">
        <v>21</v>
      </c>
      <c r="M458" s="8" t="s">
        <v>21</v>
      </c>
      <c r="N458" s="18">
        <f t="shared" si="3"/>
        <v>25122</v>
      </c>
      <c r="O458" s="29"/>
      <c r="P458" s="29"/>
      <c r="Q458" s="29"/>
      <c r="R458" s="29"/>
      <c r="S458" s="29"/>
      <c r="T458" s="29"/>
      <c r="U458" s="29"/>
      <c r="V458" s="29"/>
    </row>
    <row r="459">
      <c r="A459" s="41">
        <v>54.0</v>
      </c>
      <c r="B459" s="9" t="s">
        <v>1360</v>
      </c>
      <c r="C459" s="25" t="s">
        <v>1361</v>
      </c>
      <c r="D459" s="26"/>
      <c r="E459" s="27"/>
      <c r="F459" s="27"/>
      <c r="G459" s="14" t="s">
        <v>17</v>
      </c>
      <c r="H459" s="15">
        <v>25122.0</v>
      </c>
      <c r="I459" s="32" t="s">
        <v>1362</v>
      </c>
      <c r="J459" s="16" t="s">
        <v>19</v>
      </c>
      <c r="K459" s="17" t="s">
        <v>20</v>
      </c>
      <c r="L459" s="8" t="s">
        <v>21</v>
      </c>
      <c r="M459" s="8" t="s">
        <v>21</v>
      </c>
      <c r="N459" s="18">
        <f t="shared" si="3"/>
        <v>25123</v>
      </c>
      <c r="O459" s="29"/>
      <c r="P459" s="29"/>
      <c r="Q459" s="29"/>
      <c r="R459" s="29"/>
      <c r="S459" s="29"/>
      <c r="T459" s="29"/>
      <c r="U459" s="29"/>
      <c r="V459" s="29"/>
    </row>
    <row r="460">
      <c r="A460" s="41">
        <v>55.0</v>
      </c>
      <c r="B460" s="9" t="s">
        <v>1363</v>
      </c>
      <c r="C460" s="25" t="s">
        <v>1364</v>
      </c>
      <c r="D460" s="26"/>
      <c r="E460" s="27"/>
      <c r="F460" s="27"/>
      <c r="G460" s="14" t="s">
        <v>17</v>
      </c>
      <c r="H460" s="15">
        <v>25122.0</v>
      </c>
      <c r="I460" s="14" t="s">
        <v>50</v>
      </c>
      <c r="J460" s="16" t="s">
        <v>19</v>
      </c>
      <c r="K460" s="17" t="s">
        <v>20</v>
      </c>
      <c r="L460" s="8" t="s">
        <v>21</v>
      </c>
      <c r="M460" s="8" t="s">
        <v>21</v>
      </c>
      <c r="N460" s="18">
        <f t="shared" si="3"/>
        <v>25123</v>
      </c>
      <c r="O460" s="29"/>
      <c r="P460" s="29"/>
      <c r="Q460" s="29"/>
      <c r="R460" s="29"/>
      <c r="S460" s="29"/>
      <c r="T460" s="29"/>
      <c r="U460" s="29"/>
      <c r="V460" s="29"/>
    </row>
    <row r="461">
      <c r="A461" s="41">
        <v>56.0</v>
      </c>
      <c r="B461" s="9" t="s">
        <v>1365</v>
      </c>
      <c r="C461" s="25" t="s">
        <v>1366</v>
      </c>
      <c r="D461" s="26"/>
      <c r="E461" s="27"/>
      <c r="F461" s="27" t="s">
        <v>1367</v>
      </c>
      <c r="G461" s="14" t="s">
        <v>29</v>
      </c>
      <c r="H461" s="15">
        <v>25122.0</v>
      </c>
      <c r="I461" s="14" t="s">
        <v>64</v>
      </c>
      <c r="J461" s="16" t="s">
        <v>19</v>
      </c>
      <c r="K461" s="17" t="s">
        <v>20</v>
      </c>
      <c r="L461" s="8" t="s">
        <v>21</v>
      </c>
      <c r="M461" s="8" t="s">
        <v>21</v>
      </c>
      <c r="N461" s="18">
        <f t="shared" si="3"/>
        <v>25123</v>
      </c>
      <c r="O461" s="29"/>
      <c r="P461" s="29"/>
      <c r="Q461" s="29"/>
      <c r="R461" s="29"/>
      <c r="S461" s="29"/>
      <c r="T461" s="29"/>
      <c r="U461" s="29"/>
      <c r="V461" s="29"/>
    </row>
    <row r="462">
      <c r="A462" s="41">
        <v>57.0</v>
      </c>
      <c r="B462" s="9" t="s">
        <v>1368</v>
      </c>
      <c r="C462" s="25" t="s">
        <v>1369</v>
      </c>
      <c r="D462" s="26"/>
      <c r="E462" s="27">
        <v>8.848316044749E12</v>
      </c>
      <c r="F462" s="27"/>
      <c r="G462" s="14" t="s">
        <v>17</v>
      </c>
      <c r="H462" s="15">
        <v>25122.0</v>
      </c>
      <c r="I462" s="14" t="s">
        <v>101</v>
      </c>
      <c r="J462" s="16" t="s">
        <v>19</v>
      </c>
      <c r="K462" s="17" t="s">
        <v>20</v>
      </c>
      <c r="L462" s="8" t="s">
        <v>21</v>
      </c>
      <c r="M462" s="8" t="s">
        <v>21</v>
      </c>
      <c r="N462" s="18">
        <f t="shared" si="3"/>
        <v>25123</v>
      </c>
      <c r="O462" s="29"/>
      <c r="P462" s="29"/>
      <c r="Q462" s="29"/>
      <c r="R462" s="29"/>
      <c r="S462" s="29"/>
      <c r="T462" s="29"/>
      <c r="U462" s="29"/>
      <c r="V462" s="29"/>
    </row>
    <row r="463">
      <c r="A463" s="41">
        <v>58.0</v>
      </c>
      <c r="B463" s="9" t="s">
        <v>1370</v>
      </c>
      <c r="C463" s="25" t="s">
        <v>1371</v>
      </c>
      <c r="D463" s="26" t="s">
        <v>1286</v>
      </c>
      <c r="E463" s="27">
        <v>2.817632208305E12</v>
      </c>
      <c r="F463" s="27"/>
      <c r="G463" s="14" t="s">
        <v>17</v>
      </c>
      <c r="H463" s="15">
        <v>25122.0</v>
      </c>
      <c r="I463" s="14" t="s">
        <v>34</v>
      </c>
      <c r="J463" s="16" t="s">
        <v>19</v>
      </c>
      <c r="K463" s="17" t="s">
        <v>20</v>
      </c>
      <c r="L463" s="8" t="s">
        <v>21</v>
      </c>
      <c r="M463" s="8" t="s">
        <v>21</v>
      </c>
      <c r="N463" s="18">
        <f t="shared" si="3"/>
        <v>25123</v>
      </c>
      <c r="O463" s="29"/>
      <c r="P463" s="29"/>
      <c r="Q463" s="29"/>
      <c r="R463" s="29"/>
      <c r="S463" s="29"/>
      <c r="T463" s="29"/>
      <c r="U463" s="29"/>
      <c r="V463" s="29"/>
    </row>
    <row r="464">
      <c r="A464" s="41">
        <v>59.0</v>
      </c>
      <c r="B464" s="9" t="s">
        <v>1372</v>
      </c>
      <c r="C464" s="25" t="s">
        <v>1373</v>
      </c>
      <c r="D464" s="26" t="s">
        <v>1282</v>
      </c>
      <c r="E464" s="27"/>
      <c r="F464" s="27"/>
      <c r="G464" s="14" t="s">
        <v>29</v>
      </c>
      <c r="H464" s="15">
        <v>25123.0</v>
      </c>
      <c r="I464" s="14" t="s">
        <v>46</v>
      </c>
      <c r="J464" s="16" t="s">
        <v>19</v>
      </c>
      <c r="K464" s="17" t="s">
        <v>20</v>
      </c>
      <c r="L464" s="8" t="s">
        <v>21</v>
      </c>
      <c r="M464" s="8" t="s">
        <v>21</v>
      </c>
      <c r="N464" s="18">
        <f t="shared" si="3"/>
        <v>25124</v>
      </c>
      <c r="O464" s="29"/>
      <c r="P464" s="29"/>
      <c r="Q464" s="29"/>
      <c r="R464" s="29"/>
      <c r="S464" s="29"/>
      <c r="T464" s="29"/>
      <c r="U464" s="29"/>
      <c r="V464" s="29"/>
    </row>
    <row r="465">
      <c r="A465" s="41">
        <v>60.0</v>
      </c>
      <c r="B465" s="9" t="s">
        <v>1374</v>
      </c>
      <c r="C465" s="25" t="s">
        <v>1375</v>
      </c>
      <c r="D465" s="26" t="s">
        <v>1282</v>
      </c>
      <c r="E465" s="27">
        <v>6.21690510371E12</v>
      </c>
      <c r="F465" s="27"/>
      <c r="G465" s="14" t="s">
        <v>29</v>
      </c>
      <c r="H465" s="15">
        <v>25123.0</v>
      </c>
      <c r="I465" s="14" t="s">
        <v>101</v>
      </c>
      <c r="J465" s="16" t="s">
        <v>19</v>
      </c>
      <c r="K465" s="17" t="s">
        <v>20</v>
      </c>
      <c r="L465" s="8" t="s">
        <v>21</v>
      </c>
      <c r="M465" s="8" t="s">
        <v>21</v>
      </c>
      <c r="N465" s="18">
        <f t="shared" si="3"/>
        <v>25124</v>
      </c>
      <c r="O465" s="29"/>
      <c r="P465" s="29"/>
      <c r="Q465" s="29"/>
      <c r="R465" s="29"/>
      <c r="S465" s="29"/>
      <c r="T465" s="29"/>
      <c r="U465" s="29"/>
      <c r="V465" s="29"/>
    </row>
    <row r="466">
      <c r="A466" s="41">
        <v>61.0</v>
      </c>
      <c r="B466" s="9" t="s">
        <v>1376</v>
      </c>
      <c r="C466" s="25" t="s">
        <v>1377</v>
      </c>
      <c r="D466" s="26"/>
      <c r="E466" s="27"/>
      <c r="F466" s="27" t="s">
        <v>1378</v>
      </c>
      <c r="G466" s="14" t="s">
        <v>29</v>
      </c>
      <c r="H466" s="15">
        <v>25123.0</v>
      </c>
      <c r="I466" s="14" t="s">
        <v>60</v>
      </c>
      <c r="J466" s="16" t="s">
        <v>19</v>
      </c>
      <c r="K466" s="17" t="s">
        <v>20</v>
      </c>
      <c r="L466" s="8" t="s">
        <v>21</v>
      </c>
      <c r="M466" s="8" t="s">
        <v>21</v>
      </c>
      <c r="N466" s="18">
        <f t="shared" si="3"/>
        <v>25124</v>
      </c>
      <c r="O466" s="29"/>
      <c r="P466" s="29"/>
      <c r="Q466" s="29"/>
      <c r="R466" s="29"/>
      <c r="S466" s="29"/>
      <c r="T466" s="29"/>
      <c r="U466" s="29"/>
      <c r="V466" s="29"/>
    </row>
    <row r="467">
      <c r="A467" s="41">
        <v>62.0</v>
      </c>
      <c r="B467" s="9" t="s">
        <v>1379</v>
      </c>
      <c r="C467" s="25" t="s">
        <v>1380</v>
      </c>
      <c r="D467" s="26" t="s">
        <v>1297</v>
      </c>
      <c r="E467" s="27"/>
      <c r="F467" s="27"/>
      <c r="G467" s="14" t="s">
        <v>17</v>
      </c>
      <c r="H467" s="15">
        <v>25123.0</v>
      </c>
      <c r="I467" s="14" t="s">
        <v>25</v>
      </c>
      <c r="J467" s="16" t="s">
        <v>19</v>
      </c>
      <c r="K467" s="17" t="s">
        <v>20</v>
      </c>
      <c r="L467" s="8" t="s">
        <v>21</v>
      </c>
      <c r="M467" s="8" t="s">
        <v>21</v>
      </c>
      <c r="N467" s="18">
        <f t="shared" si="3"/>
        <v>25124</v>
      </c>
      <c r="O467" s="29"/>
      <c r="P467" s="29"/>
      <c r="Q467" s="29"/>
      <c r="R467" s="29"/>
      <c r="S467" s="29"/>
      <c r="T467" s="29"/>
      <c r="U467" s="29"/>
      <c r="V467" s="29"/>
    </row>
    <row r="468">
      <c r="A468" s="41">
        <v>63.0</v>
      </c>
      <c r="B468" s="9" t="s">
        <v>1381</v>
      </c>
      <c r="C468" s="25" t="s">
        <v>1382</v>
      </c>
      <c r="D468" s="26" t="s">
        <v>1304</v>
      </c>
      <c r="E468" s="27"/>
      <c r="F468" s="27" t="s">
        <v>1383</v>
      </c>
      <c r="G468" s="14" t="s">
        <v>29</v>
      </c>
      <c r="H468" s="15">
        <v>25123.0</v>
      </c>
      <c r="I468" s="14" t="s">
        <v>34</v>
      </c>
      <c r="J468" s="16" t="s">
        <v>19</v>
      </c>
      <c r="K468" s="17" t="s">
        <v>20</v>
      </c>
      <c r="L468" s="8" t="s">
        <v>21</v>
      </c>
      <c r="M468" s="8" t="s">
        <v>21</v>
      </c>
      <c r="N468" s="18">
        <f t="shared" si="3"/>
        <v>25124</v>
      </c>
      <c r="O468" s="29"/>
      <c r="P468" s="29"/>
      <c r="Q468" s="29"/>
      <c r="R468" s="29"/>
      <c r="S468" s="29"/>
      <c r="T468" s="29"/>
      <c r="U468" s="29"/>
      <c r="V468" s="29"/>
    </row>
    <row r="469">
      <c r="A469" s="41">
        <v>64.0</v>
      </c>
      <c r="B469" s="9" t="s">
        <v>1384</v>
      </c>
      <c r="C469" s="25" t="s">
        <v>1385</v>
      </c>
      <c r="D469" s="26"/>
      <c r="E469" s="27"/>
      <c r="F469" s="27" t="s">
        <v>1386</v>
      </c>
      <c r="G469" s="14" t="s">
        <v>17</v>
      </c>
      <c r="H469" s="15">
        <v>25124.0</v>
      </c>
      <c r="I469" s="32" t="s">
        <v>1387</v>
      </c>
      <c r="J469" s="16" t="s">
        <v>19</v>
      </c>
      <c r="K469" s="17" t="s">
        <v>20</v>
      </c>
      <c r="L469" s="8" t="s">
        <v>21</v>
      </c>
      <c r="M469" s="8" t="s">
        <v>21</v>
      </c>
      <c r="N469" s="18">
        <f t="shared" si="3"/>
        <v>25125</v>
      </c>
      <c r="O469" s="29"/>
      <c r="P469" s="29"/>
      <c r="Q469" s="29"/>
      <c r="R469" s="29"/>
      <c r="S469" s="29"/>
      <c r="T469" s="29"/>
      <c r="U469" s="29"/>
      <c r="V469" s="29"/>
    </row>
    <row r="470">
      <c r="A470" s="41">
        <v>65.0</v>
      </c>
      <c r="B470" s="9" t="s">
        <v>1388</v>
      </c>
      <c r="C470" s="25" t="s">
        <v>1389</v>
      </c>
      <c r="D470" s="26" t="s">
        <v>1290</v>
      </c>
      <c r="E470" s="27"/>
      <c r="F470" s="27" t="s">
        <v>1390</v>
      </c>
      <c r="G470" s="14" t="s">
        <v>17</v>
      </c>
      <c r="H470" s="15">
        <v>25124.0</v>
      </c>
      <c r="I470" s="32" t="s">
        <v>1391</v>
      </c>
      <c r="J470" s="16" t="s">
        <v>19</v>
      </c>
      <c r="K470" s="17" t="s">
        <v>20</v>
      </c>
      <c r="L470" s="8" t="s">
        <v>21</v>
      </c>
      <c r="M470" s="8" t="s">
        <v>21</v>
      </c>
      <c r="N470" s="18">
        <f t="shared" si="3"/>
        <v>25125</v>
      </c>
      <c r="O470" s="29"/>
      <c r="P470" s="29"/>
      <c r="Q470" s="29"/>
      <c r="R470" s="29"/>
      <c r="S470" s="29"/>
      <c r="T470" s="29"/>
      <c r="U470" s="29"/>
      <c r="V470" s="29"/>
    </row>
    <row r="471">
      <c r="A471" s="41">
        <v>66.0</v>
      </c>
      <c r="B471" s="9" t="s">
        <v>1392</v>
      </c>
      <c r="C471" s="25" t="s">
        <v>1393</v>
      </c>
      <c r="D471" s="26" t="s">
        <v>1290</v>
      </c>
      <c r="E471" s="27"/>
      <c r="F471" s="27" t="s">
        <v>1394</v>
      </c>
      <c r="G471" s="14" t="s">
        <v>17</v>
      </c>
      <c r="H471" s="15">
        <v>25124.0</v>
      </c>
      <c r="I471" s="14" t="s">
        <v>64</v>
      </c>
      <c r="J471" s="16" t="s">
        <v>19</v>
      </c>
      <c r="K471" s="17" t="s">
        <v>20</v>
      </c>
      <c r="L471" s="8" t="s">
        <v>21</v>
      </c>
      <c r="M471" s="8" t="s">
        <v>21</v>
      </c>
      <c r="N471" s="18">
        <f t="shared" si="3"/>
        <v>25125</v>
      </c>
      <c r="O471" s="29"/>
      <c r="P471" s="29"/>
      <c r="Q471" s="29"/>
      <c r="R471" s="29"/>
      <c r="S471" s="29"/>
      <c r="T471" s="29"/>
      <c r="U471" s="29"/>
      <c r="V471" s="29"/>
    </row>
    <row r="472">
      <c r="A472" s="41">
        <v>67.0</v>
      </c>
      <c r="B472" s="9" t="s">
        <v>1395</v>
      </c>
      <c r="C472" s="25" t="s">
        <v>1396</v>
      </c>
      <c r="D472" s="42"/>
      <c r="E472" s="27"/>
      <c r="F472" s="27" t="s">
        <v>1397</v>
      </c>
      <c r="G472" s="14" t="s">
        <v>29</v>
      </c>
      <c r="H472" s="15">
        <v>25124.0</v>
      </c>
      <c r="I472" s="14" t="s">
        <v>454</v>
      </c>
      <c r="J472" s="16" t="s">
        <v>19</v>
      </c>
      <c r="K472" s="17" t="s">
        <v>20</v>
      </c>
      <c r="L472" s="8" t="s">
        <v>21</v>
      </c>
      <c r="M472" s="8" t="s">
        <v>21</v>
      </c>
      <c r="N472" s="18">
        <f t="shared" si="3"/>
        <v>25125</v>
      </c>
      <c r="O472" s="29"/>
      <c r="P472" s="29"/>
      <c r="Q472" s="29"/>
      <c r="R472" s="29"/>
      <c r="S472" s="29"/>
      <c r="T472" s="29"/>
      <c r="U472" s="29"/>
      <c r="V472" s="29"/>
    </row>
    <row r="473">
      <c r="A473" s="41">
        <v>68.0</v>
      </c>
      <c r="B473" s="9" t="s">
        <v>1398</v>
      </c>
      <c r="C473" s="25" t="s">
        <v>1399</v>
      </c>
      <c r="D473" s="26" t="s">
        <v>1297</v>
      </c>
      <c r="E473" s="27"/>
      <c r="F473" s="27" t="s">
        <v>1400</v>
      </c>
      <c r="G473" s="14" t="s">
        <v>17</v>
      </c>
      <c r="H473" s="15">
        <v>25124.0</v>
      </c>
      <c r="I473" s="14" t="s">
        <v>60</v>
      </c>
      <c r="J473" s="16" t="s">
        <v>19</v>
      </c>
      <c r="K473" s="17" t="s">
        <v>20</v>
      </c>
      <c r="L473" s="8" t="s">
        <v>21</v>
      </c>
      <c r="M473" s="8" t="s">
        <v>21</v>
      </c>
      <c r="N473" s="18">
        <f t="shared" si="3"/>
        <v>25125</v>
      </c>
      <c r="O473" s="29"/>
      <c r="P473" s="29"/>
      <c r="Q473" s="29"/>
      <c r="R473" s="29"/>
      <c r="S473" s="29"/>
      <c r="T473" s="29"/>
      <c r="U473" s="29"/>
      <c r="V473" s="29"/>
    </row>
    <row r="474">
      <c r="A474" s="41">
        <v>69.0</v>
      </c>
      <c r="B474" s="9" t="s">
        <v>1401</v>
      </c>
      <c r="C474" s="25" t="s">
        <v>1402</v>
      </c>
      <c r="D474" s="26" t="s">
        <v>1290</v>
      </c>
      <c r="E474" s="27"/>
      <c r="F474" s="27" t="s">
        <v>1403</v>
      </c>
      <c r="G474" s="14" t="s">
        <v>17</v>
      </c>
      <c r="H474" s="15">
        <v>25125.0</v>
      </c>
      <c r="I474" s="14" t="s">
        <v>46</v>
      </c>
      <c r="J474" s="16" t="s">
        <v>19</v>
      </c>
      <c r="K474" s="17" t="s">
        <v>20</v>
      </c>
      <c r="L474" s="8" t="s">
        <v>21</v>
      </c>
      <c r="M474" s="8" t="s">
        <v>21</v>
      </c>
      <c r="N474" s="18">
        <f t="shared" si="3"/>
        <v>25126</v>
      </c>
      <c r="O474" s="29"/>
      <c r="P474" s="29"/>
      <c r="Q474" s="29"/>
      <c r="R474" s="29"/>
      <c r="S474" s="29"/>
      <c r="T474" s="29"/>
      <c r="U474" s="29"/>
      <c r="V474" s="29"/>
    </row>
    <row r="475">
      <c r="A475" s="41">
        <v>70.0</v>
      </c>
      <c r="B475" s="9" t="s">
        <v>1404</v>
      </c>
      <c r="C475" s="25" t="s">
        <v>1405</v>
      </c>
      <c r="D475" s="26"/>
      <c r="E475" s="27"/>
      <c r="F475" s="27" t="s">
        <v>1406</v>
      </c>
      <c r="G475" s="14" t="s">
        <v>29</v>
      </c>
      <c r="H475" s="15">
        <v>25125.0</v>
      </c>
      <c r="I475" s="14" t="s">
        <v>46</v>
      </c>
      <c r="J475" s="16" t="s">
        <v>19</v>
      </c>
      <c r="K475" s="17" t="s">
        <v>20</v>
      </c>
      <c r="L475" s="8" t="s">
        <v>21</v>
      </c>
      <c r="M475" s="8" t="s">
        <v>21</v>
      </c>
      <c r="N475" s="18">
        <f t="shared" si="3"/>
        <v>25126</v>
      </c>
      <c r="O475" s="29"/>
      <c r="P475" s="29"/>
      <c r="Q475" s="29"/>
      <c r="R475" s="29"/>
      <c r="S475" s="29"/>
      <c r="T475" s="29"/>
      <c r="U475" s="29"/>
      <c r="V475" s="29"/>
    </row>
    <row r="476">
      <c r="A476" s="41">
        <v>71.0</v>
      </c>
      <c r="B476" s="9" t="s">
        <v>1407</v>
      </c>
      <c r="C476" s="25" t="s">
        <v>1408</v>
      </c>
      <c r="D476" s="26"/>
      <c r="E476" s="27"/>
      <c r="F476" s="27" t="s">
        <v>1409</v>
      </c>
      <c r="G476" s="14" t="s">
        <v>29</v>
      </c>
      <c r="H476" s="15">
        <v>25125.0</v>
      </c>
      <c r="I476" s="14" t="s">
        <v>232</v>
      </c>
      <c r="J476" s="16" t="s">
        <v>19</v>
      </c>
      <c r="K476" s="17" t="s">
        <v>20</v>
      </c>
      <c r="L476" s="8" t="s">
        <v>21</v>
      </c>
      <c r="M476" s="8" t="s">
        <v>21</v>
      </c>
      <c r="N476" s="18">
        <f t="shared" si="3"/>
        <v>25126</v>
      </c>
      <c r="O476" s="29"/>
      <c r="P476" s="29"/>
      <c r="Q476" s="29"/>
      <c r="R476" s="29"/>
      <c r="S476" s="29"/>
      <c r="T476" s="29"/>
      <c r="U476" s="29"/>
      <c r="V476" s="29"/>
    </row>
    <row r="477">
      <c r="A477" s="41">
        <v>72.0</v>
      </c>
      <c r="B477" s="9" t="s">
        <v>1410</v>
      </c>
      <c r="C477" s="25" t="s">
        <v>1411</v>
      </c>
      <c r="D477" s="26"/>
      <c r="E477" s="27"/>
      <c r="F477" s="27" t="s">
        <v>1412</v>
      </c>
      <c r="G477" s="14" t="s">
        <v>29</v>
      </c>
      <c r="H477" s="15">
        <v>25125.0</v>
      </c>
      <c r="I477" s="14" t="s">
        <v>454</v>
      </c>
      <c r="J477" s="16" t="s">
        <v>19</v>
      </c>
      <c r="K477" s="17" t="s">
        <v>20</v>
      </c>
      <c r="L477" s="8" t="s">
        <v>21</v>
      </c>
      <c r="M477" s="8" t="s">
        <v>21</v>
      </c>
      <c r="N477" s="18">
        <f t="shared" si="3"/>
        <v>25126</v>
      </c>
      <c r="O477" s="29"/>
      <c r="P477" s="29"/>
      <c r="Q477" s="29"/>
      <c r="R477" s="29"/>
      <c r="S477" s="29"/>
      <c r="T477" s="29"/>
      <c r="U477" s="29"/>
      <c r="V477" s="29"/>
    </row>
    <row r="478">
      <c r="A478" s="41">
        <v>73.0</v>
      </c>
      <c r="B478" s="9" t="s">
        <v>1413</v>
      </c>
      <c r="C478" s="25" t="s">
        <v>1414</v>
      </c>
      <c r="D478" s="26"/>
      <c r="E478" s="27"/>
      <c r="F478" s="27" t="s">
        <v>1415</v>
      </c>
      <c r="G478" s="14" t="s">
        <v>17</v>
      </c>
      <c r="H478" s="15">
        <v>25125.0</v>
      </c>
      <c r="I478" s="14" t="s">
        <v>80</v>
      </c>
      <c r="J478" s="16" t="s">
        <v>19</v>
      </c>
      <c r="K478" s="17" t="s">
        <v>20</v>
      </c>
      <c r="L478" s="8" t="s">
        <v>21</v>
      </c>
      <c r="M478" s="8" t="s">
        <v>21</v>
      </c>
      <c r="N478" s="18">
        <f t="shared" si="3"/>
        <v>25126</v>
      </c>
      <c r="O478" s="29"/>
      <c r="P478" s="29"/>
      <c r="Q478" s="29"/>
      <c r="R478" s="29"/>
      <c r="S478" s="29"/>
      <c r="T478" s="29"/>
      <c r="U478" s="29"/>
      <c r="V478" s="29"/>
    </row>
    <row r="479">
      <c r="A479" s="41">
        <v>74.0</v>
      </c>
      <c r="B479" s="9" t="s">
        <v>1416</v>
      </c>
      <c r="C479" s="25" t="s">
        <v>1417</v>
      </c>
      <c r="D479" s="26"/>
      <c r="E479" s="27"/>
      <c r="F479" s="27" t="s">
        <v>1418</v>
      </c>
      <c r="G479" s="14" t="s">
        <v>29</v>
      </c>
      <c r="H479" s="15">
        <v>25126.0</v>
      </c>
      <c r="I479" s="14" t="s">
        <v>54</v>
      </c>
      <c r="J479" s="16" t="s">
        <v>19</v>
      </c>
      <c r="K479" s="17" t="s">
        <v>20</v>
      </c>
      <c r="L479" s="8" t="s">
        <v>21</v>
      </c>
      <c r="M479" s="8" t="s">
        <v>21</v>
      </c>
      <c r="N479" s="18">
        <f t="shared" si="3"/>
        <v>25127</v>
      </c>
      <c r="O479" s="29"/>
      <c r="P479" s="29"/>
      <c r="Q479" s="29"/>
      <c r="R479" s="29"/>
      <c r="S479" s="29"/>
      <c r="T479" s="29"/>
      <c r="U479" s="29"/>
      <c r="V479" s="29"/>
    </row>
    <row r="480">
      <c r="A480" s="41">
        <v>75.0</v>
      </c>
      <c r="B480" s="9" t="s">
        <v>1419</v>
      </c>
      <c r="C480" s="25" t="s">
        <v>1420</v>
      </c>
      <c r="D480" s="26" t="s">
        <v>1290</v>
      </c>
      <c r="E480" s="27"/>
      <c r="F480" s="27" t="s">
        <v>1421</v>
      </c>
      <c r="G480" s="14" t="s">
        <v>17</v>
      </c>
      <c r="H480" s="15">
        <v>25126.0</v>
      </c>
      <c r="I480" s="14" t="s">
        <v>46</v>
      </c>
      <c r="J480" s="16" t="s">
        <v>19</v>
      </c>
      <c r="K480" s="17" t="s">
        <v>20</v>
      </c>
      <c r="L480" s="8" t="s">
        <v>21</v>
      </c>
      <c r="M480" s="8" t="s">
        <v>21</v>
      </c>
      <c r="N480" s="18">
        <f t="shared" si="3"/>
        <v>25127</v>
      </c>
      <c r="O480" s="29"/>
      <c r="P480" s="29"/>
      <c r="Q480" s="29"/>
      <c r="R480" s="29"/>
      <c r="S480" s="29"/>
      <c r="T480" s="29"/>
      <c r="U480" s="29"/>
      <c r="V480" s="29"/>
    </row>
    <row r="481">
      <c r="A481" s="41">
        <v>76.0</v>
      </c>
      <c r="B481" s="9" t="s">
        <v>1422</v>
      </c>
      <c r="C481" s="25" t="s">
        <v>1423</v>
      </c>
      <c r="D481" s="26" t="s">
        <v>1290</v>
      </c>
      <c r="E481" s="27"/>
      <c r="F481" s="27" t="s">
        <v>1424</v>
      </c>
      <c r="G481" s="14" t="s">
        <v>17</v>
      </c>
      <c r="H481" s="15">
        <v>25126.0</v>
      </c>
      <c r="I481" s="14" t="s">
        <v>38</v>
      </c>
      <c r="J481" s="16" t="s">
        <v>19</v>
      </c>
      <c r="K481" s="17" t="s">
        <v>20</v>
      </c>
      <c r="L481" s="8" t="s">
        <v>21</v>
      </c>
      <c r="M481" s="8" t="s">
        <v>21</v>
      </c>
      <c r="N481" s="18">
        <f t="shared" si="3"/>
        <v>25127</v>
      </c>
      <c r="O481" s="29"/>
      <c r="P481" s="29"/>
      <c r="Q481" s="29"/>
      <c r="R481" s="29"/>
      <c r="S481" s="29"/>
      <c r="T481" s="29"/>
      <c r="U481" s="29"/>
      <c r="V481" s="29"/>
    </row>
    <row r="482">
      <c r="A482" s="41">
        <v>77.0</v>
      </c>
      <c r="B482" s="9" t="s">
        <v>1425</v>
      </c>
      <c r="C482" s="25" t="s">
        <v>1426</v>
      </c>
      <c r="D482" s="26" t="s">
        <v>1297</v>
      </c>
      <c r="E482" s="27"/>
      <c r="F482" s="27" t="s">
        <v>1427</v>
      </c>
      <c r="G482" s="14" t="s">
        <v>17</v>
      </c>
      <c r="H482" s="15">
        <v>25126.0</v>
      </c>
      <c r="I482" s="14" t="s">
        <v>34</v>
      </c>
      <c r="J482" s="16" t="s">
        <v>19</v>
      </c>
      <c r="K482" s="17" t="s">
        <v>20</v>
      </c>
      <c r="L482" s="8" t="s">
        <v>21</v>
      </c>
      <c r="M482" s="8" t="s">
        <v>21</v>
      </c>
      <c r="N482" s="18">
        <f t="shared" si="3"/>
        <v>25127</v>
      </c>
      <c r="O482" s="29"/>
      <c r="P482" s="29"/>
      <c r="Q482" s="29"/>
      <c r="R482" s="29"/>
      <c r="S482" s="29"/>
      <c r="T482" s="29"/>
      <c r="U482" s="29"/>
      <c r="V482" s="29"/>
    </row>
    <row r="483">
      <c r="A483" s="41">
        <v>78.0</v>
      </c>
      <c r="B483" s="9" t="s">
        <v>1428</v>
      </c>
      <c r="C483" s="25" t="s">
        <v>1429</v>
      </c>
      <c r="D483" s="26" t="s">
        <v>1304</v>
      </c>
      <c r="E483" s="27"/>
      <c r="F483" s="27" t="s">
        <v>1430</v>
      </c>
      <c r="G483" s="14" t="s">
        <v>29</v>
      </c>
      <c r="H483" s="15">
        <v>25126.0</v>
      </c>
      <c r="I483" s="14" t="s">
        <v>193</v>
      </c>
      <c r="J483" s="16" t="s">
        <v>19</v>
      </c>
      <c r="K483" s="17" t="s">
        <v>20</v>
      </c>
      <c r="L483" s="8" t="s">
        <v>21</v>
      </c>
      <c r="M483" s="8" t="s">
        <v>21</v>
      </c>
      <c r="N483" s="18">
        <f t="shared" si="3"/>
        <v>25127</v>
      </c>
      <c r="O483" s="29"/>
      <c r="P483" s="29"/>
      <c r="Q483" s="29"/>
      <c r="R483" s="29"/>
      <c r="S483" s="29"/>
      <c r="T483" s="29"/>
      <c r="U483" s="29"/>
      <c r="V483" s="29"/>
    </row>
    <row r="484">
      <c r="A484" s="41">
        <v>79.0</v>
      </c>
      <c r="B484" s="9" t="s">
        <v>1431</v>
      </c>
      <c r="C484" s="25" t="s">
        <v>1432</v>
      </c>
      <c r="D484" s="26"/>
      <c r="E484" s="27"/>
      <c r="F484" s="27" t="s">
        <v>1433</v>
      </c>
      <c r="G484" s="14" t="s">
        <v>17</v>
      </c>
      <c r="H484" s="15">
        <v>25127.0</v>
      </c>
      <c r="I484" s="14" t="s">
        <v>1434</v>
      </c>
      <c r="J484" s="16" t="s">
        <v>19</v>
      </c>
      <c r="K484" s="17" t="s">
        <v>20</v>
      </c>
      <c r="L484" s="8" t="s">
        <v>21</v>
      </c>
      <c r="M484" s="8" t="s">
        <v>21</v>
      </c>
      <c r="N484" s="18">
        <f t="shared" si="3"/>
        <v>25128</v>
      </c>
      <c r="O484" s="29"/>
      <c r="P484" s="29"/>
      <c r="Q484" s="29"/>
      <c r="R484" s="29"/>
      <c r="S484" s="29"/>
      <c r="T484" s="29"/>
      <c r="U484" s="29"/>
      <c r="V484" s="29"/>
    </row>
    <row r="485">
      <c r="A485" s="41">
        <v>80.0</v>
      </c>
      <c r="B485" s="9" t="s">
        <v>1435</v>
      </c>
      <c r="C485" s="25" t="s">
        <v>1436</v>
      </c>
      <c r="D485" s="26"/>
      <c r="E485" s="27"/>
      <c r="F485" s="27" t="s">
        <v>1437</v>
      </c>
      <c r="G485" s="14" t="s">
        <v>17</v>
      </c>
      <c r="H485" s="15">
        <v>25127.0</v>
      </c>
      <c r="I485" s="14" t="s">
        <v>42</v>
      </c>
      <c r="J485" s="16" t="s">
        <v>19</v>
      </c>
      <c r="K485" s="17" t="s">
        <v>20</v>
      </c>
      <c r="L485" s="8" t="s">
        <v>21</v>
      </c>
      <c r="M485" s="8" t="s">
        <v>21</v>
      </c>
      <c r="N485" s="18">
        <f t="shared" si="3"/>
        <v>25128</v>
      </c>
      <c r="O485" s="29"/>
      <c r="P485" s="29"/>
      <c r="Q485" s="29"/>
      <c r="R485" s="29"/>
      <c r="S485" s="29"/>
      <c r="T485" s="29"/>
      <c r="U485" s="29"/>
      <c r="V485" s="29"/>
    </row>
    <row r="486">
      <c r="A486" s="41">
        <v>81.0</v>
      </c>
      <c r="B486" s="9" t="s">
        <v>1438</v>
      </c>
      <c r="C486" s="25" t="s">
        <v>1439</v>
      </c>
      <c r="D486" s="26"/>
      <c r="E486" s="27"/>
      <c r="F486" s="27" t="s">
        <v>1440</v>
      </c>
      <c r="G486" s="14" t="s">
        <v>29</v>
      </c>
      <c r="H486" s="15">
        <v>25127.0</v>
      </c>
      <c r="I486" s="14" t="s">
        <v>162</v>
      </c>
      <c r="J486" s="16" t="s">
        <v>19</v>
      </c>
      <c r="K486" s="17" t="s">
        <v>20</v>
      </c>
      <c r="L486" s="8" t="s">
        <v>21</v>
      </c>
      <c r="M486" s="8" t="s">
        <v>21</v>
      </c>
      <c r="N486" s="18">
        <f t="shared" si="3"/>
        <v>25128</v>
      </c>
      <c r="O486" s="29"/>
      <c r="P486" s="29"/>
      <c r="Q486" s="29"/>
      <c r="R486" s="29"/>
      <c r="S486" s="29"/>
      <c r="T486" s="29"/>
      <c r="U486" s="29"/>
      <c r="V486" s="29"/>
    </row>
    <row r="487">
      <c r="A487" s="41">
        <v>82.0</v>
      </c>
      <c r="B487" s="9" t="s">
        <v>1441</v>
      </c>
      <c r="C487" s="25" t="s">
        <v>1442</v>
      </c>
      <c r="D487" s="26" t="s">
        <v>1286</v>
      </c>
      <c r="E487" s="27"/>
      <c r="F487" s="27" t="s">
        <v>1443</v>
      </c>
      <c r="G487" s="14" t="s">
        <v>29</v>
      </c>
      <c r="H487" s="15">
        <v>25127.0</v>
      </c>
      <c r="I487" s="14" t="s">
        <v>60</v>
      </c>
      <c r="J487" s="16" t="s">
        <v>19</v>
      </c>
      <c r="K487" s="17" t="s">
        <v>20</v>
      </c>
      <c r="L487" s="8" t="s">
        <v>21</v>
      </c>
      <c r="M487" s="8" t="s">
        <v>21</v>
      </c>
      <c r="N487" s="18">
        <f t="shared" si="3"/>
        <v>25128</v>
      </c>
      <c r="O487" s="29"/>
      <c r="P487" s="29"/>
      <c r="Q487" s="29"/>
      <c r="R487" s="29"/>
      <c r="S487" s="29"/>
      <c r="T487" s="29"/>
      <c r="U487" s="29"/>
      <c r="V487" s="29"/>
    </row>
    <row r="488">
      <c r="A488" s="41">
        <v>83.0</v>
      </c>
      <c r="B488" s="9" t="s">
        <v>1444</v>
      </c>
      <c r="C488" s="25" t="s">
        <v>1445</v>
      </c>
      <c r="D488" s="26" t="s">
        <v>1304</v>
      </c>
      <c r="E488" s="27"/>
      <c r="F488" s="27" t="s">
        <v>1446</v>
      </c>
      <c r="G488" s="14" t="s">
        <v>29</v>
      </c>
      <c r="H488" s="15">
        <v>25127.0</v>
      </c>
      <c r="I488" s="14" t="s">
        <v>38</v>
      </c>
      <c r="J488" s="16" t="s">
        <v>19</v>
      </c>
      <c r="K488" s="17" t="s">
        <v>20</v>
      </c>
      <c r="L488" s="8" t="s">
        <v>21</v>
      </c>
      <c r="M488" s="8" t="s">
        <v>21</v>
      </c>
      <c r="N488" s="18">
        <f t="shared" si="3"/>
        <v>25128</v>
      </c>
      <c r="O488" s="29"/>
      <c r="P488" s="29"/>
      <c r="Q488" s="29"/>
      <c r="R488" s="29"/>
      <c r="S488" s="29"/>
      <c r="T488" s="29"/>
      <c r="U488" s="29"/>
      <c r="V488" s="29"/>
    </row>
    <row r="489">
      <c r="A489" s="41">
        <v>84.0</v>
      </c>
      <c r="B489" s="9" t="s">
        <v>1447</v>
      </c>
      <c r="C489" s="25" t="s">
        <v>1448</v>
      </c>
      <c r="D489" s="26"/>
      <c r="E489" s="27"/>
      <c r="F489" s="27" t="s">
        <v>1449</v>
      </c>
      <c r="G489" s="14" t="s">
        <v>17</v>
      </c>
      <c r="H489" s="15">
        <v>25128.0</v>
      </c>
      <c r="I489" s="32" t="s">
        <v>1450</v>
      </c>
      <c r="J489" s="16" t="s">
        <v>19</v>
      </c>
      <c r="K489" s="17" t="s">
        <v>20</v>
      </c>
      <c r="L489" s="8" t="s">
        <v>21</v>
      </c>
      <c r="M489" s="8" t="s">
        <v>21</v>
      </c>
      <c r="N489" s="18">
        <f t="shared" si="3"/>
        <v>25129</v>
      </c>
      <c r="O489" s="29"/>
      <c r="P489" s="29"/>
      <c r="Q489" s="29"/>
      <c r="R489" s="29"/>
      <c r="S489" s="29"/>
      <c r="T489" s="29"/>
      <c r="U489" s="29"/>
      <c r="V489" s="29"/>
    </row>
    <row r="490">
      <c r="A490" s="41">
        <v>85.0</v>
      </c>
      <c r="B490" s="9" t="s">
        <v>1451</v>
      </c>
      <c r="C490" s="25" t="s">
        <v>1452</v>
      </c>
      <c r="D490" s="26"/>
      <c r="E490" s="27"/>
      <c r="F490" s="27" t="s">
        <v>1453</v>
      </c>
      <c r="G490" s="14" t="s">
        <v>29</v>
      </c>
      <c r="H490" s="15">
        <v>25128.0</v>
      </c>
      <c r="I490" s="32" t="s">
        <v>88</v>
      </c>
      <c r="J490" s="16" t="s">
        <v>19</v>
      </c>
      <c r="K490" s="17" t="s">
        <v>20</v>
      </c>
      <c r="L490" s="8" t="s">
        <v>21</v>
      </c>
      <c r="M490" s="8" t="s">
        <v>21</v>
      </c>
      <c r="N490" s="18">
        <f t="shared" si="3"/>
        <v>25129</v>
      </c>
      <c r="O490" s="29"/>
      <c r="P490" s="29"/>
      <c r="Q490" s="29"/>
      <c r="R490" s="29"/>
      <c r="S490" s="29"/>
      <c r="T490" s="29"/>
      <c r="U490" s="29"/>
      <c r="V490" s="29"/>
    </row>
    <row r="491">
      <c r="A491" s="41">
        <v>86.0</v>
      </c>
      <c r="B491" s="9" t="s">
        <v>1454</v>
      </c>
      <c r="C491" s="25" t="s">
        <v>1455</v>
      </c>
      <c r="D491" s="42"/>
      <c r="E491" s="27">
        <v>2.57622984744E12</v>
      </c>
      <c r="F491" s="27" t="s">
        <v>1456</v>
      </c>
      <c r="G491" s="14" t="s">
        <v>17</v>
      </c>
      <c r="H491" s="15">
        <v>25128.0</v>
      </c>
      <c r="I491" s="14" t="s">
        <v>34</v>
      </c>
      <c r="J491" s="16" t="s">
        <v>19</v>
      </c>
      <c r="K491" s="17" t="s">
        <v>20</v>
      </c>
      <c r="L491" s="8" t="s">
        <v>21</v>
      </c>
      <c r="M491" s="8" t="s">
        <v>21</v>
      </c>
      <c r="N491" s="18">
        <f t="shared" si="3"/>
        <v>25129</v>
      </c>
      <c r="O491" s="29"/>
      <c r="P491" s="29"/>
      <c r="Q491" s="29"/>
      <c r="R491" s="29"/>
      <c r="S491" s="29"/>
      <c r="T491" s="29"/>
      <c r="U491" s="29"/>
      <c r="V491" s="29"/>
    </row>
    <row r="492">
      <c r="A492" s="41">
        <v>87.0</v>
      </c>
      <c r="B492" s="9" t="s">
        <v>1457</v>
      </c>
      <c r="C492" s="25" t="s">
        <v>1458</v>
      </c>
      <c r="D492" s="42"/>
      <c r="E492" s="27">
        <v>4.158609450199E12</v>
      </c>
      <c r="F492" s="27" t="s">
        <v>1459</v>
      </c>
      <c r="G492" s="14" t="s">
        <v>17</v>
      </c>
      <c r="H492" s="15">
        <v>25128.0</v>
      </c>
      <c r="I492" s="14" t="s">
        <v>25</v>
      </c>
      <c r="J492" s="16" t="s">
        <v>19</v>
      </c>
      <c r="K492" s="17" t="s">
        <v>20</v>
      </c>
      <c r="L492" s="8" t="s">
        <v>21</v>
      </c>
      <c r="M492" s="8" t="s">
        <v>21</v>
      </c>
      <c r="N492" s="18">
        <f t="shared" si="3"/>
        <v>25129</v>
      </c>
      <c r="O492" s="29"/>
      <c r="P492" s="29"/>
      <c r="Q492" s="29"/>
      <c r="R492" s="29"/>
      <c r="S492" s="29"/>
      <c r="T492" s="29"/>
      <c r="U492" s="29"/>
      <c r="V492" s="29"/>
    </row>
    <row r="493">
      <c r="A493" s="41">
        <v>88.0</v>
      </c>
      <c r="B493" s="9" t="s">
        <v>1460</v>
      </c>
      <c r="C493" s="25" t="s">
        <v>1461</v>
      </c>
      <c r="D493" s="26"/>
      <c r="E493" s="27"/>
      <c r="F493" s="27" t="s">
        <v>1462</v>
      </c>
      <c r="G493" s="14" t="s">
        <v>17</v>
      </c>
      <c r="H493" s="15">
        <v>25128.0</v>
      </c>
      <c r="I493" s="14" t="s">
        <v>88</v>
      </c>
      <c r="J493" s="16" t="s">
        <v>19</v>
      </c>
      <c r="K493" s="17" t="s">
        <v>20</v>
      </c>
      <c r="L493" s="8" t="s">
        <v>21</v>
      </c>
      <c r="M493" s="8" t="s">
        <v>21</v>
      </c>
      <c r="N493" s="18">
        <f t="shared" si="3"/>
        <v>25129</v>
      </c>
      <c r="O493" s="29"/>
      <c r="P493" s="29"/>
      <c r="Q493" s="29"/>
      <c r="R493" s="29"/>
      <c r="S493" s="29"/>
      <c r="T493" s="29"/>
      <c r="U493" s="29"/>
      <c r="V493" s="29"/>
    </row>
    <row r="494">
      <c r="A494" s="41">
        <v>89.0</v>
      </c>
      <c r="B494" s="9" t="s">
        <v>1463</v>
      </c>
      <c r="C494" s="25" t="s">
        <v>1464</v>
      </c>
      <c r="D494" s="26"/>
      <c r="E494" s="27"/>
      <c r="F494" s="27" t="s">
        <v>1465</v>
      </c>
      <c r="G494" s="14" t="s">
        <v>29</v>
      </c>
      <c r="H494" s="15">
        <v>25129.0</v>
      </c>
      <c r="I494" s="14" t="s">
        <v>38</v>
      </c>
      <c r="J494" s="16" t="s">
        <v>19</v>
      </c>
      <c r="K494" s="17" t="s">
        <v>20</v>
      </c>
      <c r="L494" s="8" t="s">
        <v>21</v>
      </c>
      <c r="M494" s="8" t="s">
        <v>21</v>
      </c>
      <c r="N494" s="18">
        <f t="shared" si="3"/>
        <v>25130</v>
      </c>
      <c r="O494" s="29"/>
      <c r="P494" s="29"/>
      <c r="Q494" s="29"/>
      <c r="R494" s="29"/>
      <c r="S494" s="29"/>
      <c r="T494" s="29"/>
      <c r="U494" s="29"/>
      <c r="V494" s="29"/>
    </row>
    <row r="495">
      <c r="A495" s="41">
        <v>90.0</v>
      </c>
      <c r="B495" s="9" t="s">
        <v>1466</v>
      </c>
      <c r="C495" s="25" t="s">
        <v>1467</v>
      </c>
      <c r="D495" s="26"/>
      <c r="E495" s="27"/>
      <c r="F495" s="27"/>
      <c r="G495" s="14" t="s">
        <v>17</v>
      </c>
      <c r="H495" s="15">
        <v>25129.0</v>
      </c>
      <c r="I495" s="14" t="s">
        <v>869</v>
      </c>
      <c r="J495" s="16" t="s">
        <v>19</v>
      </c>
      <c r="K495" s="17" t="s">
        <v>20</v>
      </c>
      <c r="L495" s="8" t="s">
        <v>21</v>
      </c>
      <c r="M495" s="8" t="s">
        <v>21</v>
      </c>
      <c r="N495" s="18">
        <f t="shared" si="3"/>
        <v>25130</v>
      </c>
      <c r="O495" s="29"/>
      <c r="P495" s="29"/>
      <c r="Q495" s="29"/>
      <c r="R495" s="29"/>
      <c r="S495" s="29"/>
      <c r="T495" s="29"/>
      <c r="U495" s="29"/>
      <c r="V495" s="29"/>
    </row>
    <row r="496">
      <c r="A496" s="41">
        <v>91.0</v>
      </c>
      <c r="B496" s="9" t="s">
        <v>1468</v>
      </c>
      <c r="C496" s="25" t="s">
        <v>1469</v>
      </c>
      <c r="D496" s="26"/>
      <c r="E496" s="27">
        <v>6.27227822769E11</v>
      </c>
      <c r="F496" s="27" t="s">
        <v>1470</v>
      </c>
      <c r="G496" s="14" t="s">
        <v>17</v>
      </c>
      <c r="H496" s="15">
        <v>25129.0</v>
      </c>
      <c r="I496" s="14" t="s">
        <v>1471</v>
      </c>
      <c r="J496" s="16" t="s">
        <v>19</v>
      </c>
      <c r="K496" s="17" t="s">
        <v>20</v>
      </c>
      <c r="L496" s="8" t="s">
        <v>21</v>
      </c>
      <c r="M496" s="8" t="s">
        <v>21</v>
      </c>
      <c r="N496" s="18">
        <f t="shared" si="3"/>
        <v>25130</v>
      </c>
      <c r="O496" s="29"/>
      <c r="P496" s="29"/>
      <c r="Q496" s="29"/>
      <c r="R496" s="29"/>
      <c r="S496" s="29"/>
      <c r="T496" s="29"/>
      <c r="U496" s="29"/>
      <c r="V496" s="29"/>
    </row>
    <row r="497">
      <c r="A497" s="41">
        <v>92.0</v>
      </c>
      <c r="B497" s="9" t="s">
        <v>1472</v>
      </c>
      <c r="C497" s="25" t="s">
        <v>1473</v>
      </c>
      <c r="D497" s="26" t="s">
        <v>1286</v>
      </c>
      <c r="E497" s="27"/>
      <c r="F497" s="27" t="s">
        <v>1474</v>
      </c>
      <c r="G497" s="14" t="s">
        <v>29</v>
      </c>
      <c r="H497" s="15">
        <v>25129.0</v>
      </c>
      <c r="I497" s="14" t="s">
        <v>101</v>
      </c>
      <c r="J497" s="16" t="s">
        <v>19</v>
      </c>
      <c r="K497" s="17" t="s">
        <v>20</v>
      </c>
      <c r="L497" s="8" t="s">
        <v>21</v>
      </c>
      <c r="M497" s="8" t="s">
        <v>21</v>
      </c>
      <c r="N497" s="18">
        <f t="shared" si="3"/>
        <v>25130</v>
      </c>
      <c r="O497" s="29"/>
      <c r="P497" s="29"/>
      <c r="Q497" s="29"/>
      <c r="R497" s="29"/>
      <c r="S497" s="29"/>
      <c r="T497" s="29"/>
      <c r="U497" s="29"/>
      <c r="V497" s="29"/>
    </row>
    <row r="498">
      <c r="A498" s="41">
        <v>93.0</v>
      </c>
      <c r="B498" s="9" t="s">
        <v>1475</v>
      </c>
      <c r="C498" s="25" t="s">
        <v>1476</v>
      </c>
      <c r="D498" s="26"/>
      <c r="E498" s="27"/>
      <c r="F498" s="27"/>
      <c r="G498" s="14" t="s">
        <v>29</v>
      </c>
      <c r="H498" s="15">
        <v>25129.0</v>
      </c>
      <c r="I498" s="32" t="s">
        <v>25</v>
      </c>
      <c r="J498" s="16" t="s">
        <v>19</v>
      </c>
      <c r="K498" s="17" t="s">
        <v>20</v>
      </c>
      <c r="L498" s="8" t="s">
        <v>21</v>
      </c>
      <c r="M498" s="8" t="s">
        <v>21</v>
      </c>
      <c r="N498" s="18">
        <f t="shared" si="3"/>
        <v>25130</v>
      </c>
      <c r="O498" s="29"/>
      <c r="P498" s="29"/>
      <c r="Q498" s="29"/>
      <c r="R498" s="29"/>
      <c r="S498" s="29"/>
      <c r="T498" s="29"/>
      <c r="U498" s="29"/>
      <c r="V498" s="29"/>
    </row>
    <row r="499">
      <c r="A499" s="41">
        <v>94.0</v>
      </c>
      <c r="B499" s="9" t="s">
        <v>1477</v>
      </c>
      <c r="C499" s="25" t="s">
        <v>1478</v>
      </c>
      <c r="D499" s="26" t="s">
        <v>1297</v>
      </c>
      <c r="E499" s="27"/>
      <c r="F499" s="42"/>
      <c r="G499" s="14" t="s">
        <v>29</v>
      </c>
      <c r="H499" s="15">
        <v>25130.0</v>
      </c>
      <c r="I499" s="14" t="s">
        <v>124</v>
      </c>
      <c r="J499" s="16" t="s">
        <v>19</v>
      </c>
      <c r="K499" s="17" t="s">
        <v>20</v>
      </c>
      <c r="L499" s="8" t="s">
        <v>21</v>
      </c>
      <c r="M499" s="8" t="s">
        <v>21</v>
      </c>
      <c r="N499" s="18">
        <f t="shared" si="3"/>
        <v>25131</v>
      </c>
      <c r="O499" s="29"/>
      <c r="P499" s="29"/>
      <c r="Q499" s="29"/>
      <c r="R499" s="29"/>
      <c r="S499" s="29"/>
      <c r="T499" s="29"/>
      <c r="U499" s="29"/>
      <c r="V499" s="29"/>
    </row>
    <row r="500">
      <c r="A500" s="41">
        <v>95.0</v>
      </c>
      <c r="B500" s="9" t="s">
        <v>1479</v>
      </c>
      <c r="C500" s="25" t="s">
        <v>1480</v>
      </c>
      <c r="D500" s="26" t="s">
        <v>1290</v>
      </c>
      <c r="E500" s="27"/>
      <c r="F500" s="27" t="s">
        <v>1481</v>
      </c>
      <c r="G500" s="14" t="s">
        <v>17</v>
      </c>
      <c r="H500" s="15">
        <v>25130.0</v>
      </c>
      <c r="I500" s="32" t="s">
        <v>111</v>
      </c>
      <c r="J500" s="16" t="s">
        <v>19</v>
      </c>
      <c r="K500" s="17" t="s">
        <v>20</v>
      </c>
      <c r="L500" s="8" t="s">
        <v>21</v>
      </c>
      <c r="M500" s="8" t="s">
        <v>21</v>
      </c>
      <c r="N500" s="18">
        <f t="shared" si="3"/>
        <v>25131</v>
      </c>
      <c r="O500" s="29"/>
      <c r="P500" s="29"/>
      <c r="Q500" s="29"/>
      <c r="R500" s="29"/>
      <c r="S500" s="29"/>
      <c r="T500" s="29"/>
      <c r="U500" s="29"/>
      <c r="V500" s="29"/>
    </row>
    <row r="501">
      <c r="A501" s="41">
        <v>96.0</v>
      </c>
      <c r="B501" s="9" t="s">
        <v>1482</v>
      </c>
      <c r="C501" s="25" t="s">
        <v>1483</v>
      </c>
      <c r="D501" s="26" t="s">
        <v>1290</v>
      </c>
      <c r="E501" s="27"/>
      <c r="F501" s="27"/>
      <c r="G501" s="14" t="s">
        <v>29</v>
      </c>
      <c r="H501" s="15">
        <v>25130.0</v>
      </c>
      <c r="I501" s="14" t="s">
        <v>50</v>
      </c>
      <c r="J501" s="16" t="s">
        <v>19</v>
      </c>
      <c r="K501" s="17" t="s">
        <v>20</v>
      </c>
      <c r="L501" s="8" t="s">
        <v>21</v>
      </c>
      <c r="M501" s="8" t="s">
        <v>21</v>
      </c>
      <c r="N501" s="18">
        <f t="shared" si="3"/>
        <v>25131</v>
      </c>
      <c r="O501" s="29"/>
      <c r="P501" s="29"/>
      <c r="Q501" s="29"/>
      <c r="R501" s="29"/>
      <c r="S501" s="29"/>
      <c r="T501" s="29"/>
      <c r="U501" s="29"/>
      <c r="V501" s="29"/>
    </row>
    <row r="502">
      <c r="A502" s="41">
        <v>97.0</v>
      </c>
      <c r="B502" s="9" t="s">
        <v>1484</v>
      </c>
      <c r="C502" s="25" t="s">
        <v>1485</v>
      </c>
      <c r="D502" s="26"/>
      <c r="E502" s="27"/>
      <c r="F502" s="27"/>
      <c r="G502" s="14" t="s">
        <v>17</v>
      </c>
      <c r="H502" s="15">
        <v>25130.0</v>
      </c>
      <c r="I502" s="14" t="s">
        <v>60</v>
      </c>
      <c r="J502" s="16" t="s">
        <v>19</v>
      </c>
      <c r="K502" s="17" t="s">
        <v>20</v>
      </c>
      <c r="L502" s="8" t="s">
        <v>21</v>
      </c>
      <c r="M502" s="8" t="s">
        <v>21</v>
      </c>
      <c r="N502" s="18">
        <f t="shared" si="3"/>
        <v>25131</v>
      </c>
      <c r="O502" s="29"/>
      <c r="P502" s="29"/>
      <c r="Q502" s="29"/>
      <c r="R502" s="29"/>
      <c r="S502" s="29"/>
      <c r="T502" s="29"/>
      <c r="U502" s="29"/>
      <c r="V502" s="29"/>
    </row>
    <row r="503">
      <c r="A503" s="41">
        <v>98.0</v>
      </c>
      <c r="B503" s="9" t="s">
        <v>1486</v>
      </c>
      <c r="C503" s="25" t="s">
        <v>1487</v>
      </c>
      <c r="D503" s="26"/>
      <c r="E503" s="27"/>
      <c r="F503" s="27"/>
      <c r="G503" s="14" t="s">
        <v>17</v>
      </c>
      <c r="H503" s="15">
        <v>25130.0</v>
      </c>
      <c r="I503" s="14" t="s">
        <v>80</v>
      </c>
      <c r="J503" s="16" t="s">
        <v>19</v>
      </c>
      <c r="K503" s="17" t="s">
        <v>20</v>
      </c>
      <c r="L503" s="8" t="s">
        <v>21</v>
      </c>
      <c r="M503" s="8" t="s">
        <v>21</v>
      </c>
      <c r="N503" s="18">
        <f t="shared" si="3"/>
        <v>25131</v>
      </c>
      <c r="O503" s="29"/>
      <c r="P503" s="29"/>
      <c r="Q503" s="29"/>
      <c r="R503" s="29"/>
      <c r="S503" s="29"/>
      <c r="T503" s="29"/>
      <c r="U503" s="29"/>
      <c r="V503" s="29"/>
    </row>
    <row r="504">
      <c r="A504" s="41">
        <v>99.0</v>
      </c>
      <c r="B504" s="9" t="s">
        <v>1488</v>
      </c>
      <c r="C504" s="25" t="s">
        <v>1489</v>
      </c>
      <c r="D504" s="26"/>
      <c r="E504" s="27"/>
      <c r="F504" s="27"/>
      <c r="G504" s="14" t="s">
        <v>17</v>
      </c>
      <c r="H504" s="15">
        <v>25131.0</v>
      </c>
      <c r="I504" s="14" t="s">
        <v>193</v>
      </c>
      <c r="J504" s="16" t="s">
        <v>19</v>
      </c>
      <c r="K504" s="17" t="s">
        <v>20</v>
      </c>
      <c r="L504" s="8" t="s">
        <v>21</v>
      </c>
      <c r="M504" s="8" t="s">
        <v>21</v>
      </c>
      <c r="N504" s="18">
        <f t="shared" si="3"/>
        <v>25132</v>
      </c>
      <c r="O504" s="29"/>
      <c r="P504" s="29"/>
      <c r="Q504" s="29"/>
      <c r="R504" s="29"/>
      <c r="S504" s="29"/>
      <c r="T504" s="29"/>
      <c r="U504" s="29"/>
      <c r="V504" s="29"/>
    </row>
    <row r="505">
      <c r="A505" s="41">
        <v>100.0</v>
      </c>
      <c r="B505" s="9" t="s">
        <v>1490</v>
      </c>
      <c r="C505" s="25" t="s">
        <v>1491</v>
      </c>
      <c r="D505" s="26"/>
      <c r="E505" s="27"/>
      <c r="F505" s="27" t="s">
        <v>1492</v>
      </c>
      <c r="G505" s="14" t="s">
        <v>29</v>
      </c>
      <c r="H505" s="15">
        <v>25131.0</v>
      </c>
      <c r="I505" s="14" t="s">
        <v>467</v>
      </c>
      <c r="J505" s="16" t="s">
        <v>19</v>
      </c>
      <c r="K505" s="17" t="s">
        <v>20</v>
      </c>
      <c r="L505" s="8" t="s">
        <v>21</v>
      </c>
      <c r="M505" s="8" t="s">
        <v>21</v>
      </c>
      <c r="N505" s="18">
        <f t="shared" si="3"/>
        <v>25132</v>
      </c>
      <c r="O505" s="29"/>
      <c r="P505" s="29"/>
      <c r="Q505" s="29"/>
      <c r="R505" s="29"/>
      <c r="S505" s="29"/>
      <c r="T505" s="29"/>
      <c r="U505" s="29"/>
      <c r="V505" s="29"/>
    </row>
    <row r="506">
      <c r="A506" s="41">
        <v>101.0</v>
      </c>
      <c r="B506" s="9" t="s">
        <v>1493</v>
      </c>
      <c r="C506" s="25" t="s">
        <v>1494</v>
      </c>
      <c r="D506" s="26"/>
      <c r="E506" s="27"/>
      <c r="F506" s="27" t="s">
        <v>1495</v>
      </c>
      <c r="G506" s="14" t="s">
        <v>17</v>
      </c>
      <c r="H506" s="15">
        <v>25131.0</v>
      </c>
      <c r="I506" s="14" t="s">
        <v>54</v>
      </c>
      <c r="J506" s="16" t="s">
        <v>19</v>
      </c>
      <c r="K506" s="17" t="s">
        <v>20</v>
      </c>
      <c r="L506" s="8" t="s">
        <v>21</v>
      </c>
      <c r="M506" s="8" t="s">
        <v>21</v>
      </c>
      <c r="N506" s="18">
        <f t="shared" si="3"/>
        <v>25132</v>
      </c>
      <c r="O506" s="29"/>
      <c r="P506" s="29"/>
      <c r="Q506" s="29"/>
      <c r="R506" s="29"/>
      <c r="S506" s="29"/>
      <c r="T506" s="29"/>
      <c r="U506" s="29"/>
      <c r="V506" s="29"/>
    </row>
    <row r="507">
      <c r="A507" s="41">
        <v>102.0</v>
      </c>
      <c r="B507" s="9" t="s">
        <v>1496</v>
      </c>
      <c r="C507" s="25" t="s">
        <v>1497</v>
      </c>
      <c r="D507" s="26"/>
      <c r="E507" s="27"/>
      <c r="F507" s="27" t="s">
        <v>1498</v>
      </c>
      <c r="G507" s="14" t="s">
        <v>17</v>
      </c>
      <c r="H507" s="15">
        <v>25131.0</v>
      </c>
      <c r="I507" s="14" t="s">
        <v>1434</v>
      </c>
      <c r="J507" s="16" t="s">
        <v>19</v>
      </c>
      <c r="K507" s="17" t="s">
        <v>20</v>
      </c>
      <c r="L507" s="8" t="s">
        <v>21</v>
      </c>
      <c r="M507" s="8" t="s">
        <v>21</v>
      </c>
      <c r="N507" s="18">
        <f t="shared" si="3"/>
        <v>25132</v>
      </c>
      <c r="O507" s="29"/>
      <c r="P507" s="29"/>
      <c r="Q507" s="29"/>
      <c r="R507" s="29"/>
      <c r="S507" s="29"/>
      <c r="T507" s="29"/>
      <c r="U507" s="29"/>
      <c r="V507" s="29"/>
    </row>
    <row r="508">
      <c r="A508" s="41">
        <v>103.0</v>
      </c>
      <c r="B508" s="9" t="s">
        <v>1499</v>
      </c>
      <c r="C508" s="25" t="s">
        <v>1500</v>
      </c>
      <c r="D508" s="26"/>
      <c r="E508" s="27"/>
      <c r="F508" s="27"/>
      <c r="G508" s="14" t="s">
        <v>29</v>
      </c>
      <c r="H508" s="15">
        <v>25131.0</v>
      </c>
      <c r="I508" s="14" t="s">
        <v>95</v>
      </c>
      <c r="J508" s="16" t="s">
        <v>19</v>
      </c>
      <c r="K508" s="17" t="s">
        <v>20</v>
      </c>
      <c r="L508" s="8" t="s">
        <v>21</v>
      </c>
      <c r="M508" s="8" t="s">
        <v>21</v>
      </c>
      <c r="N508" s="18">
        <f t="shared" si="3"/>
        <v>25132</v>
      </c>
      <c r="O508" s="29"/>
      <c r="P508" s="29"/>
      <c r="Q508" s="29"/>
      <c r="R508" s="29"/>
      <c r="S508" s="29"/>
      <c r="T508" s="29"/>
      <c r="U508" s="29"/>
      <c r="V508" s="29"/>
    </row>
    <row r="509">
      <c r="A509" s="41">
        <v>104.0</v>
      </c>
      <c r="B509" s="9" t="s">
        <v>1501</v>
      </c>
      <c r="C509" s="25" t="s">
        <v>1502</v>
      </c>
      <c r="D509" s="26"/>
      <c r="E509" s="27"/>
      <c r="F509" s="27" t="s">
        <v>1503</v>
      </c>
      <c r="G509" s="14" t="s">
        <v>29</v>
      </c>
      <c r="H509" s="15">
        <v>25132.0</v>
      </c>
      <c r="I509" s="14" t="s">
        <v>64</v>
      </c>
      <c r="J509" s="16" t="s">
        <v>19</v>
      </c>
      <c r="K509" s="17" t="s">
        <v>20</v>
      </c>
      <c r="L509" s="8" t="s">
        <v>21</v>
      </c>
      <c r="M509" s="8" t="s">
        <v>21</v>
      </c>
      <c r="N509" s="18">
        <f t="shared" si="3"/>
        <v>25133</v>
      </c>
      <c r="O509" s="29"/>
      <c r="P509" s="29"/>
      <c r="Q509" s="29"/>
      <c r="R509" s="29"/>
      <c r="S509" s="29"/>
      <c r="T509" s="29"/>
      <c r="U509" s="29"/>
      <c r="V509" s="29"/>
    </row>
    <row r="510">
      <c r="A510" s="41">
        <v>105.0</v>
      </c>
      <c r="B510" s="9" t="s">
        <v>1504</v>
      </c>
      <c r="C510" s="25" t="s">
        <v>1505</v>
      </c>
      <c r="D510" s="26"/>
      <c r="E510" s="27"/>
      <c r="F510" s="27"/>
      <c r="G510" s="14" t="s">
        <v>29</v>
      </c>
      <c r="H510" s="15">
        <v>25132.0</v>
      </c>
      <c r="I510" s="14" t="s">
        <v>60</v>
      </c>
      <c r="J510" s="16" t="s">
        <v>19</v>
      </c>
      <c r="K510" s="17" t="s">
        <v>20</v>
      </c>
      <c r="L510" s="8" t="s">
        <v>21</v>
      </c>
      <c r="M510" s="8" t="s">
        <v>21</v>
      </c>
      <c r="N510" s="18">
        <f t="shared" si="3"/>
        <v>25133</v>
      </c>
      <c r="O510" s="29"/>
      <c r="P510" s="29"/>
      <c r="Q510" s="29"/>
      <c r="R510" s="29"/>
      <c r="S510" s="29"/>
      <c r="T510" s="29"/>
      <c r="U510" s="29"/>
      <c r="V510" s="29"/>
    </row>
    <row r="511">
      <c r="A511" s="41">
        <v>106.0</v>
      </c>
      <c r="B511" s="9" t="s">
        <v>1506</v>
      </c>
      <c r="C511" s="25" t="s">
        <v>1507</v>
      </c>
      <c r="D511" s="26"/>
      <c r="E511" s="27"/>
      <c r="F511" s="27" t="s">
        <v>1508</v>
      </c>
      <c r="G511" s="14" t="s">
        <v>17</v>
      </c>
      <c r="H511" s="15">
        <v>25132.0</v>
      </c>
      <c r="I511" s="32" t="s">
        <v>124</v>
      </c>
      <c r="J511" s="16" t="s">
        <v>19</v>
      </c>
      <c r="K511" s="17" t="s">
        <v>20</v>
      </c>
      <c r="L511" s="8" t="s">
        <v>21</v>
      </c>
      <c r="M511" s="8" t="s">
        <v>21</v>
      </c>
      <c r="N511" s="18">
        <f t="shared" si="3"/>
        <v>25133</v>
      </c>
      <c r="O511" s="29"/>
      <c r="P511" s="29"/>
      <c r="Q511" s="29"/>
      <c r="R511" s="29"/>
      <c r="S511" s="29"/>
      <c r="T511" s="29"/>
      <c r="U511" s="29"/>
      <c r="V511" s="29"/>
    </row>
    <row r="512">
      <c r="A512" s="41">
        <v>107.0</v>
      </c>
      <c r="B512" s="9" t="s">
        <v>1509</v>
      </c>
      <c r="C512" s="25" t="s">
        <v>1510</v>
      </c>
      <c r="D512" s="26" t="s">
        <v>1290</v>
      </c>
      <c r="E512" s="27"/>
      <c r="F512" s="27" t="s">
        <v>1511</v>
      </c>
      <c r="G512" s="14" t="s">
        <v>29</v>
      </c>
      <c r="H512" s="15">
        <v>25132.0</v>
      </c>
      <c r="I512" s="32" t="s">
        <v>60</v>
      </c>
      <c r="J512" s="16" t="s">
        <v>19</v>
      </c>
      <c r="K512" s="17" t="s">
        <v>20</v>
      </c>
      <c r="L512" s="8" t="s">
        <v>21</v>
      </c>
      <c r="M512" s="8" t="s">
        <v>21</v>
      </c>
      <c r="N512" s="18">
        <f t="shared" si="3"/>
        <v>25133</v>
      </c>
      <c r="O512" s="29"/>
      <c r="P512" s="29"/>
      <c r="Q512" s="29"/>
      <c r="R512" s="29"/>
      <c r="S512" s="29"/>
      <c r="T512" s="29"/>
      <c r="U512" s="29"/>
      <c r="V512" s="29"/>
    </row>
    <row r="513">
      <c r="A513" s="41">
        <v>108.0</v>
      </c>
      <c r="B513" s="9" t="s">
        <v>1512</v>
      </c>
      <c r="C513" s="25" t="s">
        <v>1513</v>
      </c>
      <c r="D513" s="26" t="s">
        <v>1282</v>
      </c>
      <c r="E513" s="27"/>
      <c r="F513" s="27" t="s">
        <v>1514</v>
      </c>
      <c r="G513" s="14" t="s">
        <v>17</v>
      </c>
      <c r="H513" s="15">
        <v>25132.0</v>
      </c>
      <c r="I513" s="32" t="s">
        <v>80</v>
      </c>
      <c r="J513" s="16" t="s">
        <v>19</v>
      </c>
      <c r="K513" s="17" t="s">
        <v>20</v>
      </c>
      <c r="L513" s="8" t="s">
        <v>21</v>
      </c>
      <c r="M513" s="8" t="s">
        <v>21</v>
      </c>
      <c r="N513" s="18">
        <f t="shared" si="3"/>
        <v>25133</v>
      </c>
      <c r="O513" s="29"/>
      <c r="P513" s="29"/>
      <c r="Q513" s="29"/>
      <c r="R513" s="29"/>
      <c r="S513" s="29"/>
      <c r="T513" s="29"/>
      <c r="U513" s="29"/>
      <c r="V513" s="29"/>
    </row>
    <row r="514">
      <c r="A514" s="41">
        <v>109.0</v>
      </c>
      <c r="B514" s="9" t="s">
        <v>1515</v>
      </c>
      <c r="C514" s="25" t="s">
        <v>1516</v>
      </c>
      <c r="D514" s="26"/>
      <c r="E514" s="27"/>
      <c r="F514" s="27" t="s">
        <v>1517</v>
      </c>
      <c r="G514" s="14" t="s">
        <v>17</v>
      </c>
      <c r="H514" s="15">
        <v>25133.0</v>
      </c>
      <c r="I514" s="14" t="s">
        <v>689</v>
      </c>
      <c r="J514" s="16" t="s">
        <v>19</v>
      </c>
      <c r="K514" s="17" t="s">
        <v>20</v>
      </c>
      <c r="L514" s="8" t="s">
        <v>21</v>
      </c>
      <c r="M514" s="8" t="s">
        <v>21</v>
      </c>
      <c r="N514" s="18">
        <f t="shared" si="3"/>
        <v>25134</v>
      </c>
      <c r="O514" s="29"/>
      <c r="P514" s="29"/>
      <c r="Q514" s="29"/>
      <c r="R514" s="29"/>
      <c r="S514" s="29"/>
      <c r="T514" s="29"/>
      <c r="U514" s="29"/>
      <c r="V514" s="29"/>
    </row>
    <row r="515">
      <c r="A515" s="41">
        <v>110.0</v>
      </c>
      <c r="B515" s="9" t="s">
        <v>1518</v>
      </c>
      <c r="C515" s="25" t="s">
        <v>1519</v>
      </c>
      <c r="D515" s="26"/>
      <c r="E515" s="27"/>
      <c r="F515" s="27" t="s">
        <v>1520</v>
      </c>
      <c r="G515" s="14" t="s">
        <v>17</v>
      </c>
      <c r="H515" s="15">
        <v>25133.0</v>
      </c>
      <c r="I515" s="14" t="s">
        <v>46</v>
      </c>
      <c r="J515" s="16" t="s">
        <v>19</v>
      </c>
      <c r="K515" s="17" t="s">
        <v>20</v>
      </c>
      <c r="L515" s="8" t="s">
        <v>21</v>
      </c>
      <c r="M515" s="8" t="s">
        <v>21</v>
      </c>
      <c r="N515" s="18">
        <f t="shared" si="3"/>
        <v>25134</v>
      </c>
      <c r="O515" s="29"/>
      <c r="P515" s="29"/>
      <c r="Q515" s="29"/>
      <c r="R515" s="29"/>
      <c r="S515" s="29"/>
      <c r="T515" s="29"/>
      <c r="U515" s="29"/>
      <c r="V515" s="29"/>
    </row>
    <row r="516">
      <c r="A516" s="41">
        <v>111.0</v>
      </c>
      <c r="B516" s="9" t="s">
        <v>1521</v>
      </c>
      <c r="C516" s="25" t="s">
        <v>1522</v>
      </c>
      <c r="D516" s="26"/>
      <c r="E516" s="27">
        <v>7.8847820956E12</v>
      </c>
      <c r="F516" s="27" t="s">
        <v>1523</v>
      </c>
      <c r="G516" s="14" t="s">
        <v>29</v>
      </c>
      <c r="H516" s="15">
        <v>25133.0</v>
      </c>
      <c r="I516" s="14" t="s">
        <v>50</v>
      </c>
      <c r="J516" s="16" t="s">
        <v>19</v>
      </c>
      <c r="K516" s="17" t="s">
        <v>20</v>
      </c>
      <c r="L516" s="8" t="s">
        <v>21</v>
      </c>
      <c r="M516" s="8" t="s">
        <v>21</v>
      </c>
      <c r="N516" s="18">
        <f t="shared" si="3"/>
        <v>25134</v>
      </c>
      <c r="O516" s="29"/>
      <c r="P516" s="29"/>
      <c r="Q516" s="29"/>
      <c r="R516" s="29"/>
      <c r="S516" s="29"/>
      <c r="T516" s="29"/>
      <c r="U516" s="29"/>
      <c r="V516" s="29"/>
    </row>
    <row r="517">
      <c r="A517" s="41">
        <v>112.0</v>
      </c>
      <c r="B517" s="9" t="s">
        <v>1524</v>
      </c>
      <c r="C517" s="25" t="s">
        <v>1525</v>
      </c>
      <c r="D517" s="26"/>
      <c r="E517" s="27">
        <v>5.434394474136E12</v>
      </c>
      <c r="F517" s="27" t="s">
        <v>1526</v>
      </c>
      <c r="G517" s="14" t="s">
        <v>17</v>
      </c>
      <c r="H517" s="15">
        <v>25133.0</v>
      </c>
      <c r="I517" s="14" t="s">
        <v>54</v>
      </c>
      <c r="J517" s="16" t="s">
        <v>19</v>
      </c>
      <c r="K517" s="17" t="s">
        <v>20</v>
      </c>
      <c r="L517" s="8" t="s">
        <v>21</v>
      </c>
      <c r="M517" s="8" t="s">
        <v>21</v>
      </c>
      <c r="N517" s="18">
        <f t="shared" si="3"/>
        <v>25134</v>
      </c>
      <c r="O517" s="29"/>
      <c r="P517" s="29"/>
      <c r="Q517" s="29"/>
      <c r="R517" s="29"/>
      <c r="S517" s="29"/>
      <c r="T517" s="29"/>
      <c r="U517" s="29"/>
      <c r="V517" s="29"/>
    </row>
    <row r="518">
      <c r="A518" s="41">
        <v>113.0</v>
      </c>
      <c r="B518" s="9" t="s">
        <v>1527</v>
      </c>
      <c r="C518" s="25" t="s">
        <v>1528</v>
      </c>
      <c r="D518" s="26" t="s">
        <v>1297</v>
      </c>
      <c r="E518" s="27">
        <v>8.845034011056E12</v>
      </c>
      <c r="F518" s="27"/>
      <c r="G518" s="14" t="s">
        <v>17</v>
      </c>
      <c r="H518" s="15">
        <v>25133.0</v>
      </c>
      <c r="I518" s="14" t="s">
        <v>162</v>
      </c>
      <c r="J518" s="16" t="s">
        <v>19</v>
      </c>
      <c r="K518" s="17" t="s">
        <v>20</v>
      </c>
      <c r="L518" s="8" t="s">
        <v>21</v>
      </c>
      <c r="M518" s="8" t="s">
        <v>21</v>
      </c>
      <c r="N518" s="18">
        <f t="shared" si="3"/>
        <v>25134</v>
      </c>
      <c r="O518" s="29"/>
      <c r="P518" s="29"/>
      <c r="Q518" s="29"/>
      <c r="R518" s="29"/>
      <c r="S518" s="29"/>
      <c r="T518" s="29"/>
      <c r="U518" s="29"/>
      <c r="V518" s="29"/>
    </row>
    <row r="519">
      <c r="A519" s="41">
        <v>114.0</v>
      </c>
      <c r="B519" s="9" t="s">
        <v>1529</v>
      </c>
      <c r="C519" s="25" t="s">
        <v>1530</v>
      </c>
      <c r="D519" s="26"/>
      <c r="E519" s="27"/>
      <c r="F519" s="27" t="s">
        <v>1531</v>
      </c>
      <c r="G519" s="14" t="s">
        <v>29</v>
      </c>
      <c r="H519" s="15">
        <v>25134.0</v>
      </c>
      <c r="I519" s="14" t="s">
        <v>46</v>
      </c>
      <c r="J519" s="16" t="s">
        <v>19</v>
      </c>
      <c r="K519" s="17" t="s">
        <v>20</v>
      </c>
      <c r="L519" s="8" t="s">
        <v>21</v>
      </c>
      <c r="M519" s="8" t="s">
        <v>21</v>
      </c>
      <c r="N519" s="18">
        <f t="shared" si="3"/>
        <v>25135</v>
      </c>
      <c r="O519" s="29"/>
      <c r="P519" s="29"/>
      <c r="Q519" s="29"/>
      <c r="R519" s="29"/>
      <c r="S519" s="29"/>
      <c r="T519" s="29"/>
      <c r="U519" s="29"/>
      <c r="V519" s="29"/>
    </row>
    <row r="520">
      <c r="A520" s="41">
        <v>115.0</v>
      </c>
      <c r="B520" s="9" t="s">
        <v>1532</v>
      </c>
      <c r="C520" s="25" t="s">
        <v>1533</v>
      </c>
      <c r="D520" s="26"/>
      <c r="E520" s="42"/>
      <c r="F520" s="27" t="s">
        <v>1534</v>
      </c>
      <c r="G520" s="14" t="s">
        <v>29</v>
      </c>
      <c r="H520" s="15">
        <v>25134.0</v>
      </c>
      <c r="I520" s="14" t="s">
        <v>30</v>
      </c>
      <c r="J520" s="16" t="s">
        <v>19</v>
      </c>
      <c r="K520" s="17" t="s">
        <v>20</v>
      </c>
      <c r="L520" s="8" t="s">
        <v>21</v>
      </c>
      <c r="M520" s="8" t="s">
        <v>21</v>
      </c>
      <c r="N520" s="18">
        <f t="shared" si="3"/>
        <v>25135</v>
      </c>
      <c r="O520" s="29"/>
      <c r="P520" s="29"/>
      <c r="Q520" s="29"/>
      <c r="R520" s="29"/>
      <c r="S520" s="29"/>
      <c r="T520" s="29"/>
      <c r="U520" s="29"/>
      <c r="V520" s="29"/>
    </row>
    <row r="521">
      <c r="A521" s="41">
        <v>116.0</v>
      </c>
      <c r="B521" s="9" t="s">
        <v>1535</v>
      </c>
      <c r="C521" s="25" t="s">
        <v>1536</v>
      </c>
      <c r="D521" s="26"/>
      <c r="E521" s="27"/>
      <c r="F521" s="27" t="s">
        <v>1537</v>
      </c>
      <c r="G521" s="14" t="s">
        <v>29</v>
      </c>
      <c r="H521" s="15">
        <v>25134.0</v>
      </c>
      <c r="I521" s="14" t="s">
        <v>133</v>
      </c>
      <c r="J521" s="16" t="s">
        <v>19</v>
      </c>
      <c r="K521" s="17" t="s">
        <v>20</v>
      </c>
      <c r="L521" s="8" t="s">
        <v>21</v>
      </c>
      <c r="M521" s="8" t="s">
        <v>21</v>
      </c>
      <c r="N521" s="18">
        <f t="shared" si="3"/>
        <v>25135</v>
      </c>
      <c r="O521" s="29"/>
      <c r="P521" s="29"/>
      <c r="Q521" s="29"/>
      <c r="R521" s="29"/>
      <c r="S521" s="29"/>
      <c r="T521" s="29"/>
      <c r="U521" s="29"/>
      <c r="V521" s="29"/>
    </row>
    <row r="522">
      <c r="A522" s="41">
        <v>117.0</v>
      </c>
      <c r="B522" s="9" t="s">
        <v>1538</v>
      </c>
      <c r="C522" s="25" t="s">
        <v>1539</v>
      </c>
      <c r="D522" s="26"/>
      <c r="E522" s="27"/>
      <c r="F522" s="27" t="s">
        <v>1540</v>
      </c>
      <c r="G522" s="14" t="s">
        <v>17</v>
      </c>
      <c r="H522" s="15">
        <v>25134.0</v>
      </c>
      <c r="I522" s="32" t="s">
        <v>50</v>
      </c>
      <c r="J522" s="16" t="s">
        <v>19</v>
      </c>
      <c r="K522" s="17" t="s">
        <v>20</v>
      </c>
      <c r="L522" s="8" t="s">
        <v>21</v>
      </c>
      <c r="M522" s="8" t="s">
        <v>21</v>
      </c>
      <c r="N522" s="18">
        <f t="shared" si="3"/>
        <v>25135</v>
      </c>
      <c r="O522" s="29"/>
      <c r="P522" s="29"/>
      <c r="Q522" s="29"/>
      <c r="R522" s="29"/>
      <c r="S522" s="29"/>
      <c r="T522" s="29"/>
      <c r="U522" s="29"/>
      <c r="V522" s="29"/>
    </row>
    <row r="523">
      <c r="A523" s="41">
        <v>118.0</v>
      </c>
      <c r="B523" s="9" t="s">
        <v>1541</v>
      </c>
      <c r="C523" s="25" t="s">
        <v>1542</v>
      </c>
      <c r="D523" s="26"/>
      <c r="E523" s="27"/>
      <c r="F523" s="27" t="s">
        <v>1543</v>
      </c>
      <c r="G523" s="14" t="s">
        <v>29</v>
      </c>
      <c r="H523" s="15">
        <v>25134.0</v>
      </c>
      <c r="I523" s="32" t="s">
        <v>46</v>
      </c>
      <c r="J523" s="16" t="s">
        <v>19</v>
      </c>
      <c r="K523" s="17" t="s">
        <v>20</v>
      </c>
      <c r="L523" s="8" t="s">
        <v>21</v>
      </c>
      <c r="M523" s="8" t="s">
        <v>21</v>
      </c>
      <c r="N523" s="18">
        <f t="shared" si="3"/>
        <v>25135</v>
      </c>
      <c r="O523" s="29"/>
      <c r="P523" s="29"/>
      <c r="Q523" s="29"/>
      <c r="R523" s="29"/>
      <c r="S523" s="29"/>
      <c r="T523" s="29"/>
      <c r="U523" s="29"/>
      <c r="V523" s="29"/>
    </row>
    <row r="524">
      <c r="A524" s="41">
        <v>119.0</v>
      </c>
      <c r="B524" s="9" t="s">
        <v>1544</v>
      </c>
      <c r="C524" s="25" t="s">
        <v>1545</v>
      </c>
      <c r="D524" s="26" t="s">
        <v>1297</v>
      </c>
      <c r="E524" s="27">
        <v>7.894461933994E12</v>
      </c>
      <c r="F524" s="27" t="s">
        <v>1546</v>
      </c>
      <c r="G524" s="14" t="s">
        <v>17</v>
      </c>
      <c r="H524" s="15">
        <v>25135.0</v>
      </c>
      <c r="I524" s="32" t="s">
        <v>54</v>
      </c>
      <c r="J524" s="16" t="s">
        <v>19</v>
      </c>
      <c r="K524" s="17" t="s">
        <v>20</v>
      </c>
      <c r="L524" s="8" t="s">
        <v>21</v>
      </c>
      <c r="M524" s="8" t="s">
        <v>21</v>
      </c>
      <c r="N524" s="18">
        <f t="shared" si="3"/>
        <v>25136</v>
      </c>
      <c r="O524" s="29"/>
      <c r="P524" s="29"/>
      <c r="Q524" s="29"/>
      <c r="R524" s="29"/>
      <c r="S524" s="29"/>
      <c r="T524" s="29"/>
      <c r="U524" s="29"/>
      <c r="V524" s="29"/>
    </row>
    <row r="525">
      <c r="A525" s="41">
        <v>120.0</v>
      </c>
      <c r="B525" s="9" t="s">
        <v>1547</v>
      </c>
      <c r="C525" s="25" t="s">
        <v>1548</v>
      </c>
      <c r="D525" s="26"/>
      <c r="E525" s="27">
        <v>2.856314653041E12</v>
      </c>
      <c r="F525" s="27" t="s">
        <v>1549</v>
      </c>
      <c r="G525" s="14" t="s">
        <v>17</v>
      </c>
      <c r="H525" s="15">
        <v>25135.0</v>
      </c>
      <c r="I525" s="14" t="s">
        <v>54</v>
      </c>
      <c r="J525" s="16" t="s">
        <v>19</v>
      </c>
      <c r="K525" s="17" t="s">
        <v>20</v>
      </c>
      <c r="L525" s="8" t="s">
        <v>21</v>
      </c>
      <c r="M525" s="8" t="s">
        <v>21</v>
      </c>
      <c r="N525" s="18">
        <f t="shared" si="3"/>
        <v>25136</v>
      </c>
      <c r="O525" s="29"/>
      <c r="P525" s="29"/>
      <c r="Q525" s="29"/>
      <c r="R525" s="29"/>
      <c r="S525" s="29"/>
      <c r="T525" s="29"/>
      <c r="U525" s="29"/>
      <c r="V525" s="29"/>
    </row>
    <row r="526">
      <c r="A526" s="41">
        <v>121.0</v>
      </c>
      <c r="B526" s="9" t="s">
        <v>1550</v>
      </c>
      <c r="C526" s="25" t="s">
        <v>1551</v>
      </c>
      <c r="D526" s="26"/>
      <c r="E526" s="27">
        <v>9.32607050542E12</v>
      </c>
      <c r="F526" s="27"/>
      <c r="G526" s="14" t="s">
        <v>17</v>
      </c>
      <c r="H526" s="15">
        <v>25135.0</v>
      </c>
      <c r="I526" s="14" t="s">
        <v>162</v>
      </c>
      <c r="J526" s="16" t="s">
        <v>19</v>
      </c>
      <c r="K526" s="17" t="s">
        <v>20</v>
      </c>
      <c r="L526" s="8" t="s">
        <v>21</v>
      </c>
      <c r="M526" s="8" t="s">
        <v>21</v>
      </c>
      <c r="N526" s="18">
        <f t="shared" si="3"/>
        <v>25136</v>
      </c>
      <c r="O526" s="29"/>
      <c r="P526" s="29"/>
      <c r="Q526" s="29"/>
      <c r="R526" s="29"/>
      <c r="S526" s="29"/>
      <c r="T526" s="29"/>
      <c r="U526" s="29"/>
      <c r="V526" s="29"/>
    </row>
    <row r="527">
      <c r="A527" s="41">
        <v>122.0</v>
      </c>
      <c r="B527" s="9" t="s">
        <v>1552</v>
      </c>
      <c r="C527" s="25" t="s">
        <v>1553</v>
      </c>
      <c r="D527" s="26"/>
      <c r="E527" s="27">
        <v>5.4245658829E10</v>
      </c>
      <c r="F527" s="27"/>
      <c r="G527" s="14" t="s">
        <v>29</v>
      </c>
      <c r="H527" s="15">
        <v>25135.0</v>
      </c>
      <c r="I527" s="14" t="s">
        <v>88</v>
      </c>
      <c r="J527" s="16" t="s">
        <v>19</v>
      </c>
      <c r="K527" s="17" t="s">
        <v>20</v>
      </c>
      <c r="L527" s="8" t="s">
        <v>21</v>
      </c>
      <c r="M527" s="8" t="s">
        <v>21</v>
      </c>
      <c r="N527" s="18">
        <f t="shared" si="3"/>
        <v>25136</v>
      </c>
      <c r="O527" s="29"/>
      <c r="P527" s="29"/>
      <c r="Q527" s="29"/>
      <c r="R527" s="29"/>
      <c r="S527" s="29"/>
      <c r="T527" s="29"/>
      <c r="U527" s="29"/>
      <c r="V527" s="29"/>
    </row>
    <row r="528">
      <c r="A528" s="41">
        <v>123.0</v>
      </c>
      <c r="B528" s="9" t="s">
        <v>1554</v>
      </c>
      <c r="C528" s="25" t="s">
        <v>1555</v>
      </c>
      <c r="D528" s="26" t="s">
        <v>1286</v>
      </c>
      <c r="E528" s="27">
        <v>4.78484380951E11</v>
      </c>
      <c r="F528" s="27" t="s">
        <v>1556</v>
      </c>
      <c r="G528" s="14" t="s">
        <v>17</v>
      </c>
      <c r="H528" s="15">
        <v>25135.0</v>
      </c>
      <c r="I528" s="14" t="s">
        <v>54</v>
      </c>
      <c r="J528" s="16" t="s">
        <v>19</v>
      </c>
      <c r="K528" s="17" t="s">
        <v>20</v>
      </c>
      <c r="L528" s="8" t="s">
        <v>21</v>
      </c>
      <c r="M528" s="8" t="s">
        <v>21</v>
      </c>
      <c r="N528" s="18">
        <f t="shared" si="3"/>
        <v>25136</v>
      </c>
      <c r="O528" s="29"/>
      <c r="P528" s="29"/>
      <c r="Q528" s="29"/>
      <c r="R528" s="29"/>
      <c r="S528" s="29"/>
      <c r="T528" s="29"/>
      <c r="U528" s="29"/>
      <c r="V528" s="29"/>
    </row>
    <row r="529">
      <c r="A529" s="41">
        <v>124.0</v>
      </c>
      <c r="B529" s="9" t="s">
        <v>1557</v>
      </c>
      <c r="C529" s="25" t="s">
        <v>1558</v>
      </c>
      <c r="D529" s="26" t="s">
        <v>1290</v>
      </c>
      <c r="E529" s="27"/>
      <c r="F529" s="27" t="s">
        <v>1559</v>
      </c>
      <c r="G529" s="14" t="s">
        <v>17</v>
      </c>
      <c r="H529" s="15">
        <v>25136.0</v>
      </c>
      <c r="I529" s="14" t="s">
        <v>95</v>
      </c>
      <c r="J529" s="16" t="s">
        <v>19</v>
      </c>
      <c r="K529" s="17" t="s">
        <v>20</v>
      </c>
      <c r="L529" s="8" t="s">
        <v>21</v>
      </c>
      <c r="M529" s="8" t="s">
        <v>21</v>
      </c>
      <c r="N529" s="18">
        <f t="shared" si="3"/>
        <v>25137</v>
      </c>
      <c r="O529" s="29"/>
      <c r="P529" s="29"/>
      <c r="Q529" s="29"/>
      <c r="R529" s="29"/>
      <c r="S529" s="29"/>
      <c r="T529" s="29"/>
      <c r="U529" s="29"/>
      <c r="V529" s="29"/>
    </row>
    <row r="530">
      <c r="A530" s="41">
        <v>125.0</v>
      </c>
      <c r="B530" s="9" t="s">
        <v>1560</v>
      </c>
      <c r="C530" s="25" t="s">
        <v>1561</v>
      </c>
      <c r="D530" s="26" t="s">
        <v>1286</v>
      </c>
      <c r="E530" s="27"/>
      <c r="F530" s="27" t="s">
        <v>1562</v>
      </c>
      <c r="G530" s="14" t="s">
        <v>29</v>
      </c>
      <c r="H530" s="15">
        <v>25136.0</v>
      </c>
      <c r="I530" s="14" t="s">
        <v>34</v>
      </c>
      <c r="J530" s="16" t="s">
        <v>19</v>
      </c>
      <c r="K530" s="17" t="s">
        <v>20</v>
      </c>
      <c r="L530" s="8" t="s">
        <v>21</v>
      </c>
      <c r="M530" s="8" t="s">
        <v>21</v>
      </c>
      <c r="N530" s="18">
        <f t="shared" si="3"/>
        <v>25137</v>
      </c>
      <c r="O530" s="29"/>
      <c r="P530" s="29"/>
      <c r="Q530" s="29"/>
      <c r="R530" s="29"/>
      <c r="S530" s="29"/>
      <c r="T530" s="29"/>
      <c r="U530" s="29"/>
      <c r="V530" s="29"/>
    </row>
    <row r="531">
      <c r="A531" s="41">
        <v>126.0</v>
      </c>
      <c r="B531" s="9" t="s">
        <v>1563</v>
      </c>
      <c r="C531" s="25" t="s">
        <v>1564</v>
      </c>
      <c r="D531" s="26"/>
      <c r="E531" s="27"/>
      <c r="F531" s="27"/>
      <c r="G531" s="14" t="s">
        <v>29</v>
      </c>
      <c r="H531" s="15">
        <v>25136.0</v>
      </c>
      <c r="I531" s="14" t="s">
        <v>101</v>
      </c>
      <c r="J531" s="16" t="s">
        <v>19</v>
      </c>
      <c r="K531" s="17" t="s">
        <v>20</v>
      </c>
      <c r="L531" s="8" t="s">
        <v>21</v>
      </c>
      <c r="M531" s="8" t="s">
        <v>21</v>
      </c>
      <c r="N531" s="18">
        <f t="shared" si="3"/>
        <v>25137</v>
      </c>
      <c r="O531" s="29"/>
      <c r="P531" s="29"/>
      <c r="Q531" s="29"/>
      <c r="R531" s="29"/>
      <c r="S531" s="29"/>
      <c r="T531" s="29"/>
      <c r="U531" s="29"/>
      <c r="V531" s="29"/>
    </row>
    <row r="532">
      <c r="A532" s="41">
        <v>127.0</v>
      </c>
      <c r="B532" s="9" t="s">
        <v>1565</v>
      </c>
      <c r="C532" s="25" t="s">
        <v>1566</v>
      </c>
      <c r="D532" s="26"/>
      <c r="E532" s="27"/>
      <c r="F532" s="27" t="s">
        <v>1567</v>
      </c>
      <c r="G532" s="14" t="s">
        <v>29</v>
      </c>
      <c r="H532" s="15">
        <v>25136.0</v>
      </c>
      <c r="I532" s="14" t="s">
        <v>30</v>
      </c>
      <c r="J532" s="16" t="s">
        <v>19</v>
      </c>
      <c r="K532" s="17" t="s">
        <v>20</v>
      </c>
      <c r="L532" s="8" t="s">
        <v>21</v>
      </c>
      <c r="M532" s="8" t="s">
        <v>21</v>
      </c>
      <c r="N532" s="18">
        <f t="shared" si="3"/>
        <v>25137</v>
      </c>
      <c r="O532" s="29"/>
      <c r="P532" s="29"/>
      <c r="Q532" s="29"/>
      <c r="R532" s="29"/>
      <c r="S532" s="29"/>
      <c r="T532" s="29"/>
      <c r="U532" s="29"/>
      <c r="V532" s="29"/>
    </row>
    <row r="533">
      <c r="A533" s="41">
        <v>128.0</v>
      </c>
      <c r="B533" s="9" t="s">
        <v>1568</v>
      </c>
      <c r="C533" s="25" t="s">
        <v>1569</v>
      </c>
      <c r="D533" s="26"/>
      <c r="E533" s="27"/>
      <c r="F533" s="27"/>
      <c r="G533" s="14" t="s">
        <v>17</v>
      </c>
      <c r="H533" s="15">
        <v>25136.0</v>
      </c>
      <c r="I533" s="14" t="s">
        <v>38</v>
      </c>
      <c r="J533" s="16" t="s">
        <v>19</v>
      </c>
      <c r="K533" s="17" t="s">
        <v>20</v>
      </c>
      <c r="L533" s="8" t="s">
        <v>21</v>
      </c>
      <c r="M533" s="8" t="s">
        <v>21</v>
      </c>
      <c r="N533" s="18">
        <f t="shared" si="3"/>
        <v>25137</v>
      </c>
      <c r="O533" s="29"/>
      <c r="P533" s="29"/>
      <c r="Q533" s="29"/>
      <c r="R533" s="29"/>
      <c r="S533" s="29"/>
      <c r="T533" s="29"/>
      <c r="U533" s="29"/>
      <c r="V533" s="29"/>
    </row>
    <row r="534">
      <c r="A534" s="41">
        <v>129.0</v>
      </c>
      <c r="B534" s="9" t="s">
        <v>1570</v>
      </c>
      <c r="C534" s="25" t="s">
        <v>1571</v>
      </c>
      <c r="D534" s="26"/>
      <c r="E534" s="27"/>
      <c r="F534" s="42"/>
      <c r="G534" s="14" t="s">
        <v>29</v>
      </c>
      <c r="H534" s="15">
        <v>25137.0</v>
      </c>
      <c r="I534" s="14" t="s">
        <v>111</v>
      </c>
      <c r="J534" s="16" t="s">
        <v>19</v>
      </c>
      <c r="K534" s="17" t="s">
        <v>20</v>
      </c>
      <c r="L534" s="8" t="s">
        <v>21</v>
      </c>
      <c r="M534" s="8" t="s">
        <v>21</v>
      </c>
      <c r="N534" s="18">
        <f t="shared" si="3"/>
        <v>25138</v>
      </c>
      <c r="O534" s="29"/>
      <c r="P534" s="29"/>
      <c r="Q534" s="29"/>
      <c r="R534" s="29"/>
      <c r="S534" s="29"/>
      <c r="T534" s="29"/>
      <c r="U534" s="29"/>
      <c r="V534" s="29"/>
    </row>
    <row r="535">
      <c r="A535" s="41">
        <v>130.0</v>
      </c>
      <c r="B535" s="9" t="s">
        <v>1572</v>
      </c>
      <c r="C535" s="25" t="s">
        <v>1573</v>
      </c>
      <c r="D535" s="26"/>
      <c r="E535" s="27"/>
      <c r="F535" s="27"/>
      <c r="G535" s="14" t="s">
        <v>17</v>
      </c>
      <c r="H535" s="15">
        <v>25137.0</v>
      </c>
      <c r="I535" s="14" t="s">
        <v>50</v>
      </c>
      <c r="J535" s="16" t="s">
        <v>19</v>
      </c>
      <c r="K535" s="17" t="s">
        <v>20</v>
      </c>
      <c r="L535" s="8" t="s">
        <v>21</v>
      </c>
      <c r="M535" s="8" t="s">
        <v>21</v>
      </c>
      <c r="N535" s="18">
        <f t="shared" si="3"/>
        <v>25138</v>
      </c>
      <c r="O535" s="29"/>
      <c r="P535" s="29"/>
      <c r="Q535" s="29"/>
      <c r="R535" s="29"/>
      <c r="S535" s="29"/>
      <c r="T535" s="29"/>
      <c r="U535" s="29"/>
      <c r="V535" s="29"/>
    </row>
    <row r="536">
      <c r="A536" s="41">
        <v>131.0</v>
      </c>
      <c r="B536" s="9" t="s">
        <v>1574</v>
      </c>
      <c r="C536" s="25" t="s">
        <v>1575</v>
      </c>
      <c r="D536" s="26"/>
      <c r="E536" s="27"/>
      <c r="F536" s="27"/>
      <c r="G536" s="14" t="s">
        <v>17</v>
      </c>
      <c r="H536" s="15">
        <v>25137.0</v>
      </c>
      <c r="I536" s="14" t="s">
        <v>50</v>
      </c>
      <c r="J536" s="16" t="s">
        <v>19</v>
      </c>
      <c r="K536" s="17" t="s">
        <v>20</v>
      </c>
      <c r="L536" s="8" t="s">
        <v>21</v>
      </c>
      <c r="M536" s="8" t="s">
        <v>21</v>
      </c>
      <c r="N536" s="18">
        <f t="shared" si="3"/>
        <v>25138</v>
      </c>
      <c r="O536" s="29"/>
      <c r="P536" s="29"/>
      <c r="Q536" s="29"/>
      <c r="R536" s="29"/>
      <c r="S536" s="29"/>
      <c r="T536" s="29"/>
      <c r="U536" s="29"/>
      <c r="V536" s="29"/>
    </row>
    <row r="537">
      <c r="A537" s="41">
        <v>132.0</v>
      </c>
      <c r="B537" s="9" t="s">
        <v>1576</v>
      </c>
      <c r="C537" s="25" t="s">
        <v>1577</v>
      </c>
      <c r="D537" s="26"/>
      <c r="E537" s="27"/>
      <c r="F537" s="27"/>
      <c r="G537" s="14" t="s">
        <v>17</v>
      </c>
      <c r="H537" s="15">
        <v>25137.0</v>
      </c>
      <c r="I537" s="14" t="s">
        <v>54</v>
      </c>
      <c r="J537" s="16" t="s">
        <v>19</v>
      </c>
      <c r="K537" s="17" t="s">
        <v>20</v>
      </c>
      <c r="L537" s="8" t="s">
        <v>21</v>
      </c>
      <c r="M537" s="8" t="s">
        <v>21</v>
      </c>
      <c r="N537" s="18">
        <f t="shared" si="3"/>
        <v>25138</v>
      </c>
      <c r="O537" s="29"/>
      <c r="P537" s="29"/>
      <c r="Q537" s="29"/>
      <c r="R537" s="29"/>
      <c r="S537" s="29"/>
      <c r="T537" s="29"/>
      <c r="U537" s="29"/>
      <c r="V537" s="29"/>
    </row>
    <row r="538">
      <c r="A538" s="41">
        <v>133.0</v>
      </c>
      <c r="B538" s="9" t="s">
        <v>1578</v>
      </c>
      <c r="C538" s="25" t="s">
        <v>1579</v>
      </c>
      <c r="D538" s="26"/>
      <c r="E538" s="27"/>
      <c r="F538" s="27" t="s">
        <v>1580</v>
      </c>
      <c r="G538" s="14" t="s">
        <v>29</v>
      </c>
      <c r="H538" s="15">
        <v>25137.0</v>
      </c>
      <c r="I538" s="14" t="s">
        <v>124</v>
      </c>
      <c r="J538" s="16" t="s">
        <v>19</v>
      </c>
      <c r="K538" s="17" t="s">
        <v>20</v>
      </c>
      <c r="L538" s="8" t="s">
        <v>21</v>
      </c>
      <c r="M538" s="8" t="s">
        <v>21</v>
      </c>
      <c r="N538" s="18">
        <f t="shared" si="3"/>
        <v>25138</v>
      </c>
      <c r="O538" s="29"/>
      <c r="P538" s="29"/>
      <c r="Q538" s="29"/>
      <c r="R538" s="29"/>
      <c r="S538" s="29"/>
      <c r="T538" s="29"/>
      <c r="U538" s="29"/>
      <c r="V538" s="29"/>
    </row>
    <row r="539">
      <c r="A539" s="41">
        <v>134.0</v>
      </c>
      <c r="B539" s="9" t="s">
        <v>1581</v>
      </c>
      <c r="C539" s="25" t="s">
        <v>1582</v>
      </c>
      <c r="D539" s="26"/>
      <c r="E539" s="27"/>
      <c r="F539" s="27"/>
      <c r="G539" s="14" t="s">
        <v>17</v>
      </c>
      <c r="H539" s="15">
        <v>25138.0</v>
      </c>
      <c r="I539" s="14" t="s">
        <v>80</v>
      </c>
      <c r="J539" s="16" t="s">
        <v>19</v>
      </c>
      <c r="K539" s="17" t="s">
        <v>20</v>
      </c>
      <c r="L539" s="8" t="s">
        <v>21</v>
      </c>
      <c r="M539" s="8" t="s">
        <v>21</v>
      </c>
      <c r="N539" s="18">
        <f t="shared" si="3"/>
        <v>25139</v>
      </c>
      <c r="O539" s="29"/>
      <c r="P539" s="29"/>
      <c r="Q539" s="29"/>
      <c r="R539" s="29"/>
      <c r="S539" s="29"/>
      <c r="T539" s="29"/>
      <c r="U539" s="29"/>
      <c r="V539" s="29"/>
    </row>
    <row r="540">
      <c r="A540" s="41">
        <v>135.0</v>
      </c>
      <c r="B540" s="9" t="s">
        <v>1583</v>
      </c>
      <c r="C540" s="25" t="s">
        <v>1584</v>
      </c>
      <c r="D540" s="26"/>
      <c r="E540" s="27"/>
      <c r="F540" s="27" t="s">
        <v>1585</v>
      </c>
      <c r="G540" s="14" t="s">
        <v>17</v>
      </c>
      <c r="H540" s="15">
        <v>25138.0</v>
      </c>
      <c r="I540" s="14" t="s">
        <v>869</v>
      </c>
      <c r="J540" s="16" t="s">
        <v>19</v>
      </c>
      <c r="K540" s="17" t="s">
        <v>20</v>
      </c>
      <c r="L540" s="8" t="s">
        <v>21</v>
      </c>
      <c r="M540" s="8" t="s">
        <v>21</v>
      </c>
      <c r="N540" s="18">
        <f t="shared" si="3"/>
        <v>25139</v>
      </c>
      <c r="O540" s="29"/>
      <c r="P540" s="29"/>
      <c r="Q540" s="29"/>
      <c r="R540" s="29"/>
      <c r="S540" s="29"/>
      <c r="T540" s="29"/>
      <c r="U540" s="29"/>
      <c r="V540" s="29"/>
    </row>
    <row r="541">
      <c r="A541" s="41">
        <v>136.0</v>
      </c>
      <c r="B541" s="9" t="s">
        <v>1586</v>
      </c>
      <c r="C541" s="25" t="s">
        <v>1587</v>
      </c>
      <c r="D541" s="26"/>
      <c r="E541" s="27"/>
      <c r="F541" s="27" t="s">
        <v>1588</v>
      </c>
      <c r="G541" s="14" t="s">
        <v>29</v>
      </c>
      <c r="H541" s="15">
        <v>25138.0</v>
      </c>
      <c r="I541" s="14" t="s">
        <v>454</v>
      </c>
      <c r="J541" s="16" t="s">
        <v>19</v>
      </c>
      <c r="K541" s="17" t="s">
        <v>20</v>
      </c>
      <c r="L541" s="8" t="s">
        <v>21</v>
      </c>
      <c r="M541" s="8" t="s">
        <v>21</v>
      </c>
      <c r="N541" s="18">
        <f t="shared" si="3"/>
        <v>25139</v>
      </c>
      <c r="O541" s="29"/>
      <c r="P541" s="29"/>
      <c r="Q541" s="29"/>
      <c r="R541" s="29"/>
      <c r="S541" s="29"/>
      <c r="T541" s="29"/>
      <c r="U541" s="29"/>
      <c r="V541" s="29"/>
    </row>
    <row r="542">
      <c r="A542" s="41">
        <v>137.0</v>
      </c>
      <c r="B542" s="9" t="s">
        <v>1589</v>
      </c>
      <c r="C542" s="25" t="s">
        <v>1590</v>
      </c>
      <c r="D542" s="26"/>
      <c r="E542" s="27"/>
      <c r="F542" s="27" t="s">
        <v>1591</v>
      </c>
      <c r="G542" s="14" t="s">
        <v>29</v>
      </c>
      <c r="H542" s="15">
        <v>25138.0</v>
      </c>
      <c r="I542" s="14" t="s">
        <v>50</v>
      </c>
      <c r="J542" s="16" t="s">
        <v>19</v>
      </c>
      <c r="K542" s="17" t="s">
        <v>20</v>
      </c>
      <c r="L542" s="8" t="s">
        <v>21</v>
      </c>
      <c r="M542" s="8" t="s">
        <v>21</v>
      </c>
      <c r="N542" s="18">
        <f t="shared" si="3"/>
        <v>25139</v>
      </c>
      <c r="O542" s="29"/>
      <c r="P542" s="29"/>
      <c r="Q542" s="29"/>
      <c r="R542" s="29"/>
      <c r="S542" s="29"/>
      <c r="T542" s="29"/>
      <c r="U542" s="29"/>
      <c r="V542" s="29"/>
    </row>
    <row r="543">
      <c r="A543" s="41">
        <v>138.0</v>
      </c>
      <c r="B543" s="9" t="s">
        <v>1592</v>
      </c>
      <c r="C543" s="25" t="s">
        <v>1593</v>
      </c>
      <c r="D543" s="26"/>
      <c r="E543" s="27"/>
      <c r="F543" s="27" t="s">
        <v>1594</v>
      </c>
      <c r="G543" s="14" t="s">
        <v>29</v>
      </c>
      <c r="H543" s="15">
        <v>25138.0</v>
      </c>
      <c r="I543" s="14" t="s">
        <v>1434</v>
      </c>
      <c r="J543" s="16" t="s">
        <v>19</v>
      </c>
      <c r="K543" s="17" t="s">
        <v>20</v>
      </c>
      <c r="L543" s="8" t="s">
        <v>21</v>
      </c>
      <c r="M543" s="8" t="s">
        <v>21</v>
      </c>
      <c r="N543" s="18">
        <f t="shared" si="3"/>
        <v>25139</v>
      </c>
      <c r="O543" s="29"/>
      <c r="P543" s="29"/>
      <c r="Q543" s="29"/>
      <c r="R543" s="29"/>
      <c r="S543" s="29"/>
      <c r="T543" s="29"/>
      <c r="U543" s="29"/>
      <c r="V543" s="29"/>
    </row>
    <row r="544">
      <c r="A544" s="41">
        <v>139.0</v>
      </c>
      <c r="B544" s="9" t="s">
        <v>1595</v>
      </c>
      <c r="C544" s="25" t="s">
        <v>1596</v>
      </c>
      <c r="D544" s="26" t="s">
        <v>1297</v>
      </c>
      <c r="E544" s="27"/>
      <c r="F544" s="27" t="s">
        <v>1597</v>
      </c>
      <c r="G544" s="14" t="s">
        <v>17</v>
      </c>
      <c r="H544" s="15">
        <v>25139.0</v>
      </c>
      <c r="I544" s="14" t="s">
        <v>54</v>
      </c>
      <c r="J544" s="16" t="s">
        <v>19</v>
      </c>
      <c r="K544" s="17" t="s">
        <v>20</v>
      </c>
      <c r="L544" s="8" t="s">
        <v>21</v>
      </c>
      <c r="M544" s="8" t="s">
        <v>21</v>
      </c>
      <c r="N544" s="18">
        <f t="shared" si="3"/>
        <v>25140</v>
      </c>
      <c r="O544" s="29"/>
      <c r="P544" s="29"/>
      <c r="Q544" s="29"/>
      <c r="R544" s="29"/>
      <c r="S544" s="29"/>
      <c r="T544" s="29"/>
      <c r="U544" s="29"/>
      <c r="V544" s="29"/>
    </row>
    <row r="545">
      <c r="A545" s="41">
        <v>140.0</v>
      </c>
      <c r="B545" s="9" t="s">
        <v>1598</v>
      </c>
      <c r="C545" s="25" t="s">
        <v>1599</v>
      </c>
      <c r="D545" s="26" t="s">
        <v>1286</v>
      </c>
      <c r="E545" s="27"/>
      <c r="F545" s="27" t="s">
        <v>1600</v>
      </c>
      <c r="G545" s="14" t="s">
        <v>29</v>
      </c>
      <c r="H545" s="15">
        <v>25139.0</v>
      </c>
      <c r="I545" s="14" t="s">
        <v>38</v>
      </c>
      <c r="J545" s="16" t="s">
        <v>19</v>
      </c>
      <c r="K545" s="17" t="s">
        <v>20</v>
      </c>
      <c r="L545" s="8" t="s">
        <v>21</v>
      </c>
      <c r="M545" s="8" t="s">
        <v>21</v>
      </c>
      <c r="N545" s="18">
        <f t="shared" si="3"/>
        <v>25140</v>
      </c>
      <c r="O545" s="29"/>
      <c r="P545" s="29"/>
      <c r="Q545" s="29"/>
      <c r="R545" s="29"/>
      <c r="S545" s="29"/>
      <c r="T545" s="29"/>
      <c r="U545" s="29"/>
      <c r="V545" s="29"/>
    </row>
    <row r="546">
      <c r="A546" s="41">
        <v>141.0</v>
      </c>
      <c r="B546" s="9" t="s">
        <v>1601</v>
      </c>
      <c r="C546" s="25" t="s">
        <v>1602</v>
      </c>
      <c r="D546" s="26" t="s">
        <v>1282</v>
      </c>
      <c r="E546" s="27"/>
      <c r="F546" s="27" t="s">
        <v>1603</v>
      </c>
      <c r="G546" s="14" t="s">
        <v>17</v>
      </c>
      <c r="H546" s="15">
        <v>25139.0</v>
      </c>
      <c r="I546" s="14" t="s">
        <v>34</v>
      </c>
      <c r="J546" s="16" t="s">
        <v>19</v>
      </c>
      <c r="K546" s="17" t="s">
        <v>20</v>
      </c>
      <c r="L546" s="8" t="s">
        <v>21</v>
      </c>
      <c r="M546" s="8" t="s">
        <v>21</v>
      </c>
      <c r="N546" s="18">
        <f t="shared" si="3"/>
        <v>25140</v>
      </c>
      <c r="O546" s="29"/>
      <c r="P546" s="29"/>
      <c r="Q546" s="29"/>
      <c r="R546" s="29"/>
      <c r="S546" s="29"/>
      <c r="T546" s="29"/>
      <c r="U546" s="29"/>
      <c r="V546" s="29"/>
    </row>
    <row r="547">
      <c r="A547" s="41">
        <v>142.0</v>
      </c>
      <c r="B547" s="9" t="s">
        <v>1604</v>
      </c>
      <c r="C547" s="25" t="s">
        <v>1605</v>
      </c>
      <c r="D547" s="26" t="s">
        <v>1282</v>
      </c>
      <c r="E547" s="27"/>
      <c r="F547" s="27" t="s">
        <v>1606</v>
      </c>
      <c r="G547" s="14" t="s">
        <v>17</v>
      </c>
      <c r="H547" s="15">
        <v>25139.0</v>
      </c>
      <c r="I547" s="14" t="s">
        <v>38</v>
      </c>
      <c r="J547" s="16" t="s">
        <v>19</v>
      </c>
      <c r="K547" s="17" t="s">
        <v>20</v>
      </c>
      <c r="L547" s="8" t="s">
        <v>21</v>
      </c>
      <c r="M547" s="8" t="s">
        <v>21</v>
      </c>
      <c r="N547" s="18">
        <f t="shared" si="3"/>
        <v>25140</v>
      </c>
      <c r="O547" s="29"/>
      <c r="P547" s="29"/>
      <c r="Q547" s="29"/>
      <c r="R547" s="29"/>
      <c r="S547" s="29"/>
      <c r="T547" s="29"/>
      <c r="U547" s="29"/>
      <c r="V547" s="29"/>
    </row>
    <row r="548">
      <c r="A548" s="41">
        <v>143.0</v>
      </c>
      <c r="B548" s="9" t="s">
        <v>1607</v>
      </c>
      <c r="C548" s="25" t="s">
        <v>1608</v>
      </c>
      <c r="D548" s="26" t="s">
        <v>1282</v>
      </c>
      <c r="E548" s="27"/>
      <c r="F548" s="27" t="s">
        <v>1609</v>
      </c>
      <c r="G548" s="14" t="s">
        <v>17</v>
      </c>
      <c r="H548" s="15">
        <v>25139.0</v>
      </c>
      <c r="I548" s="14" t="s">
        <v>46</v>
      </c>
      <c r="J548" s="16" t="s">
        <v>19</v>
      </c>
      <c r="K548" s="17" t="s">
        <v>20</v>
      </c>
      <c r="L548" s="8" t="s">
        <v>21</v>
      </c>
      <c r="M548" s="8" t="s">
        <v>21</v>
      </c>
      <c r="N548" s="18">
        <f t="shared" si="3"/>
        <v>25140</v>
      </c>
      <c r="O548" s="29"/>
      <c r="P548" s="29"/>
      <c r="Q548" s="29"/>
      <c r="R548" s="29"/>
      <c r="S548" s="29"/>
      <c r="T548" s="29"/>
      <c r="U548" s="29"/>
      <c r="V548" s="29"/>
    </row>
    <row r="549">
      <c r="A549" s="41">
        <v>144.0</v>
      </c>
      <c r="B549" s="9" t="s">
        <v>1610</v>
      </c>
      <c r="C549" s="25" t="s">
        <v>1611</v>
      </c>
      <c r="D549" s="26" t="s">
        <v>1286</v>
      </c>
      <c r="E549" s="27"/>
      <c r="F549" s="27" t="s">
        <v>1612</v>
      </c>
      <c r="G549" s="14" t="s">
        <v>29</v>
      </c>
      <c r="H549" s="15">
        <v>25140.0</v>
      </c>
      <c r="I549" s="14" t="s">
        <v>193</v>
      </c>
      <c r="J549" s="16" t="s">
        <v>19</v>
      </c>
      <c r="K549" s="17" t="s">
        <v>20</v>
      </c>
      <c r="L549" s="8" t="s">
        <v>21</v>
      </c>
      <c r="M549" s="8" t="s">
        <v>21</v>
      </c>
      <c r="N549" s="18">
        <f t="shared" si="3"/>
        <v>25141</v>
      </c>
      <c r="O549" s="29"/>
      <c r="P549" s="29"/>
      <c r="Q549" s="29"/>
      <c r="R549" s="29"/>
      <c r="S549" s="29"/>
      <c r="T549" s="29"/>
      <c r="U549" s="29"/>
      <c r="V549" s="29"/>
    </row>
    <row r="550">
      <c r="A550" s="41">
        <v>145.0</v>
      </c>
      <c r="B550" s="9" t="s">
        <v>1613</v>
      </c>
      <c r="C550" s="25" t="s">
        <v>1614</v>
      </c>
      <c r="D550" s="26" t="s">
        <v>1304</v>
      </c>
      <c r="E550" s="27"/>
      <c r="F550" s="27" t="s">
        <v>1615</v>
      </c>
      <c r="G550" s="14" t="s">
        <v>17</v>
      </c>
      <c r="H550" s="15">
        <v>25140.0</v>
      </c>
      <c r="I550" s="14" t="s">
        <v>54</v>
      </c>
      <c r="J550" s="16" t="s">
        <v>19</v>
      </c>
      <c r="K550" s="17" t="s">
        <v>20</v>
      </c>
      <c r="L550" s="8" t="s">
        <v>21</v>
      </c>
      <c r="M550" s="8" t="s">
        <v>21</v>
      </c>
      <c r="N550" s="18">
        <f t="shared" si="3"/>
        <v>25141</v>
      </c>
      <c r="O550" s="29"/>
      <c r="P550" s="29"/>
      <c r="Q550" s="29"/>
      <c r="R550" s="29"/>
      <c r="S550" s="29"/>
      <c r="T550" s="29"/>
      <c r="U550" s="29"/>
      <c r="V550" s="29"/>
    </row>
    <row r="551">
      <c r="A551" s="41">
        <v>146.0</v>
      </c>
      <c r="B551" s="9" t="s">
        <v>1616</v>
      </c>
      <c r="C551" s="25" t="s">
        <v>1617</v>
      </c>
      <c r="D551" s="26" t="s">
        <v>1297</v>
      </c>
      <c r="E551" s="27">
        <v>5.570447311224E12</v>
      </c>
      <c r="F551" s="27"/>
      <c r="G551" s="14" t="s">
        <v>17</v>
      </c>
      <c r="H551" s="15">
        <v>25140.0</v>
      </c>
      <c r="I551" s="14" t="s">
        <v>162</v>
      </c>
      <c r="J551" s="16" t="s">
        <v>19</v>
      </c>
      <c r="K551" s="17" t="s">
        <v>20</v>
      </c>
      <c r="L551" s="8" t="s">
        <v>21</v>
      </c>
      <c r="M551" s="8" t="s">
        <v>21</v>
      </c>
      <c r="N551" s="18">
        <f t="shared" si="3"/>
        <v>25141</v>
      </c>
      <c r="O551" s="29"/>
      <c r="P551" s="29"/>
      <c r="Q551" s="29"/>
      <c r="R551" s="29"/>
      <c r="S551" s="29"/>
      <c r="T551" s="29"/>
      <c r="U551" s="29"/>
      <c r="V551" s="29"/>
    </row>
    <row r="552">
      <c r="A552" s="41">
        <v>147.0</v>
      </c>
      <c r="B552" s="9" t="s">
        <v>1618</v>
      </c>
      <c r="C552" s="25" t="s">
        <v>1619</v>
      </c>
      <c r="D552" s="26" t="s">
        <v>1282</v>
      </c>
      <c r="E552" s="27">
        <v>9.129318990573E12</v>
      </c>
      <c r="F552" s="27"/>
      <c r="G552" s="14" t="s">
        <v>29</v>
      </c>
      <c r="H552" s="15">
        <v>25140.0</v>
      </c>
      <c r="I552" s="14" t="s">
        <v>54</v>
      </c>
      <c r="J552" s="16" t="s">
        <v>19</v>
      </c>
      <c r="K552" s="17" t="s">
        <v>20</v>
      </c>
      <c r="L552" s="8" t="s">
        <v>21</v>
      </c>
      <c r="M552" s="8" t="s">
        <v>21</v>
      </c>
      <c r="N552" s="18">
        <f t="shared" si="3"/>
        <v>25141</v>
      </c>
      <c r="O552" s="29"/>
      <c r="P552" s="29"/>
      <c r="Q552" s="29"/>
      <c r="R552" s="29"/>
      <c r="S552" s="29"/>
      <c r="T552" s="29"/>
      <c r="U552" s="29"/>
      <c r="V552" s="29"/>
    </row>
    <row r="553">
      <c r="A553" s="41">
        <v>148.0</v>
      </c>
      <c r="B553" s="9" t="s">
        <v>1620</v>
      </c>
      <c r="C553" s="25" t="s">
        <v>1621</v>
      </c>
      <c r="D553" s="26" t="s">
        <v>1304</v>
      </c>
      <c r="E553" s="27">
        <v>2.687437610027E12</v>
      </c>
      <c r="F553" s="27"/>
      <c r="G553" s="14" t="s">
        <v>29</v>
      </c>
      <c r="H553" s="15">
        <v>25141.0</v>
      </c>
      <c r="I553" s="32" t="s">
        <v>95</v>
      </c>
      <c r="J553" s="16" t="s">
        <v>19</v>
      </c>
      <c r="K553" s="17" t="s">
        <v>20</v>
      </c>
      <c r="L553" s="8" t="s">
        <v>21</v>
      </c>
      <c r="M553" s="8" t="s">
        <v>21</v>
      </c>
      <c r="N553" s="18">
        <f t="shared" si="3"/>
        <v>25142</v>
      </c>
      <c r="O553" s="29"/>
      <c r="P553" s="29"/>
      <c r="Q553" s="29"/>
      <c r="R553" s="29"/>
      <c r="S553" s="29"/>
      <c r="T553" s="29"/>
      <c r="U553" s="29"/>
      <c r="V553" s="29"/>
    </row>
    <row r="554">
      <c r="A554" s="41">
        <v>149.0</v>
      </c>
      <c r="B554" s="9" t="s">
        <v>1622</v>
      </c>
      <c r="C554" s="25" t="s">
        <v>1623</v>
      </c>
      <c r="D554" s="26"/>
      <c r="E554" s="27">
        <v>5.225811414163E12</v>
      </c>
      <c r="F554" s="27" t="s">
        <v>1624</v>
      </c>
      <c r="G554" s="14" t="s">
        <v>29</v>
      </c>
      <c r="H554" s="15">
        <v>25141.0</v>
      </c>
      <c r="I554" s="32" t="s">
        <v>1471</v>
      </c>
      <c r="J554" s="16" t="s">
        <v>19</v>
      </c>
      <c r="K554" s="17" t="s">
        <v>20</v>
      </c>
      <c r="L554" s="8" t="s">
        <v>21</v>
      </c>
      <c r="M554" s="8" t="s">
        <v>21</v>
      </c>
      <c r="N554" s="18">
        <f t="shared" si="3"/>
        <v>25142</v>
      </c>
      <c r="O554" s="29"/>
      <c r="P554" s="29"/>
      <c r="Q554" s="29"/>
      <c r="R554" s="29"/>
      <c r="S554" s="29"/>
      <c r="T554" s="29"/>
      <c r="U554" s="29"/>
      <c r="V554" s="29"/>
    </row>
    <row r="555">
      <c r="A555" s="41">
        <v>150.0</v>
      </c>
      <c r="B555" s="9" t="s">
        <v>1625</v>
      </c>
      <c r="C555" s="25" t="s">
        <v>1626</v>
      </c>
      <c r="D555" s="26"/>
      <c r="E555" s="27">
        <v>1.410624623363E12</v>
      </c>
      <c r="F555" s="27"/>
      <c r="G555" s="14" t="s">
        <v>17</v>
      </c>
      <c r="H555" s="15">
        <v>25141.0</v>
      </c>
      <c r="I555" s="14" t="s">
        <v>95</v>
      </c>
      <c r="J555" s="16" t="s">
        <v>19</v>
      </c>
      <c r="K555" s="17" t="s">
        <v>20</v>
      </c>
      <c r="L555" s="8" t="s">
        <v>21</v>
      </c>
      <c r="M555" s="8" t="s">
        <v>21</v>
      </c>
      <c r="N555" s="18">
        <f t="shared" si="3"/>
        <v>25142</v>
      </c>
      <c r="O555" s="29"/>
      <c r="P555" s="29"/>
      <c r="Q555" s="29"/>
      <c r="R555" s="29"/>
      <c r="S555" s="29"/>
      <c r="T555" s="29"/>
      <c r="U555" s="29"/>
      <c r="V555" s="29"/>
    </row>
    <row r="556">
      <c r="A556" s="41">
        <v>151.0</v>
      </c>
      <c r="B556" s="9" t="s">
        <v>1627</v>
      </c>
      <c r="C556" s="25" t="s">
        <v>1628</v>
      </c>
      <c r="D556" s="26"/>
      <c r="E556" s="27">
        <v>2.284491726359E12</v>
      </c>
      <c r="F556" s="27"/>
      <c r="G556" s="14" t="s">
        <v>29</v>
      </c>
      <c r="H556" s="15">
        <v>25141.0</v>
      </c>
      <c r="I556" s="14" t="s">
        <v>30</v>
      </c>
      <c r="J556" s="16" t="s">
        <v>19</v>
      </c>
      <c r="K556" s="17" t="s">
        <v>20</v>
      </c>
      <c r="L556" s="8" t="s">
        <v>21</v>
      </c>
      <c r="M556" s="8" t="s">
        <v>21</v>
      </c>
      <c r="N556" s="18">
        <f t="shared" si="3"/>
        <v>25142</v>
      </c>
      <c r="O556" s="29"/>
      <c r="P556" s="29"/>
      <c r="Q556" s="29"/>
      <c r="R556" s="29"/>
      <c r="S556" s="29"/>
      <c r="T556" s="29"/>
      <c r="U556" s="29"/>
      <c r="V556" s="29"/>
    </row>
    <row r="557">
      <c r="A557" s="41">
        <v>152.0</v>
      </c>
      <c r="B557" s="9" t="s">
        <v>1629</v>
      </c>
      <c r="C557" s="25" t="s">
        <v>1630</v>
      </c>
      <c r="D557" s="26"/>
      <c r="E557" s="27">
        <v>8.105610006386E12</v>
      </c>
      <c r="F557" s="27"/>
      <c r="G557" s="14" t="s">
        <v>17</v>
      </c>
      <c r="H557" s="15">
        <v>25142.0</v>
      </c>
      <c r="I557" s="14" t="s">
        <v>80</v>
      </c>
      <c r="J557" s="16" t="s">
        <v>19</v>
      </c>
      <c r="K557" s="17" t="s">
        <v>20</v>
      </c>
      <c r="L557" s="8" t="s">
        <v>21</v>
      </c>
      <c r="M557" s="8" t="s">
        <v>21</v>
      </c>
      <c r="N557" s="18">
        <f t="shared" si="3"/>
        <v>25143</v>
      </c>
      <c r="O557" s="29"/>
      <c r="P557" s="29"/>
      <c r="Q557" s="29"/>
      <c r="R557" s="29"/>
      <c r="S557" s="29"/>
      <c r="T557" s="29"/>
      <c r="U557" s="29"/>
      <c r="V557" s="29"/>
    </row>
    <row r="558">
      <c r="A558" s="41">
        <v>153.0</v>
      </c>
      <c r="B558" s="9" t="s">
        <v>1631</v>
      </c>
      <c r="C558" s="25" t="s">
        <v>1632</v>
      </c>
      <c r="D558" s="26"/>
      <c r="E558" s="27">
        <v>7.940620948041E12</v>
      </c>
      <c r="F558" s="27"/>
      <c r="G558" s="14" t="s">
        <v>17</v>
      </c>
      <c r="H558" s="15">
        <v>25142.0</v>
      </c>
      <c r="I558" s="14" t="s">
        <v>54</v>
      </c>
      <c r="J558" s="16" t="s">
        <v>19</v>
      </c>
      <c r="K558" s="17" t="s">
        <v>20</v>
      </c>
      <c r="L558" s="8" t="s">
        <v>21</v>
      </c>
      <c r="M558" s="8" t="s">
        <v>21</v>
      </c>
      <c r="N558" s="18">
        <f t="shared" si="3"/>
        <v>25143</v>
      </c>
      <c r="O558" s="29"/>
      <c r="P558" s="29"/>
      <c r="Q558" s="29"/>
      <c r="R558" s="29"/>
      <c r="S558" s="29"/>
      <c r="T558" s="29"/>
      <c r="U558" s="29"/>
      <c r="V558" s="29"/>
    </row>
    <row r="559">
      <c r="A559" s="41">
        <v>154.0</v>
      </c>
      <c r="B559" s="9" t="s">
        <v>1633</v>
      </c>
      <c r="C559" s="25" t="s">
        <v>1634</v>
      </c>
      <c r="D559" s="26"/>
      <c r="E559" s="27">
        <v>1.435632882791E12</v>
      </c>
      <c r="F559" s="27"/>
      <c r="G559" s="14" t="s">
        <v>17</v>
      </c>
      <c r="H559" s="15">
        <v>25142.0</v>
      </c>
      <c r="I559" s="14" t="s">
        <v>95</v>
      </c>
      <c r="J559" s="16" t="s">
        <v>19</v>
      </c>
      <c r="K559" s="17" t="s">
        <v>20</v>
      </c>
      <c r="L559" s="8" t="s">
        <v>21</v>
      </c>
      <c r="M559" s="8" t="s">
        <v>21</v>
      </c>
      <c r="N559" s="18">
        <f t="shared" si="3"/>
        <v>25143</v>
      </c>
      <c r="O559" s="29"/>
      <c r="P559" s="29"/>
      <c r="Q559" s="29"/>
      <c r="R559" s="29"/>
      <c r="S559" s="29"/>
      <c r="T559" s="29"/>
      <c r="U559" s="29"/>
      <c r="V559" s="29"/>
    </row>
    <row r="560">
      <c r="A560" s="41">
        <v>155.0</v>
      </c>
      <c r="B560" s="9" t="s">
        <v>1635</v>
      </c>
      <c r="C560" s="25" t="s">
        <v>1636</v>
      </c>
      <c r="D560" s="26"/>
      <c r="E560" s="27">
        <v>1.957847150737E12</v>
      </c>
      <c r="F560" s="27"/>
      <c r="G560" s="14" t="s">
        <v>29</v>
      </c>
      <c r="H560" s="18">
        <v>61638.0</v>
      </c>
      <c r="I560" s="14" t="s">
        <v>34</v>
      </c>
      <c r="J560" s="16" t="s">
        <v>19</v>
      </c>
      <c r="K560" s="17" t="s">
        <v>20</v>
      </c>
      <c r="L560" s="8" t="s">
        <v>21</v>
      </c>
      <c r="M560" s="8" t="s">
        <v>21</v>
      </c>
      <c r="N560" s="18">
        <f t="shared" si="3"/>
        <v>61639</v>
      </c>
      <c r="O560" s="29"/>
      <c r="P560" s="29"/>
      <c r="Q560" s="29"/>
      <c r="R560" s="29"/>
      <c r="S560" s="29"/>
      <c r="T560" s="29"/>
      <c r="U560" s="29"/>
      <c r="V560" s="29"/>
    </row>
    <row r="561">
      <c r="A561" s="41">
        <v>156.0</v>
      </c>
      <c r="B561" s="9" t="s">
        <v>1637</v>
      </c>
      <c r="C561" s="25" t="s">
        <v>1638</v>
      </c>
      <c r="D561" s="26"/>
      <c r="E561" s="27">
        <v>7.332872555946E12</v>
      </c>
      <c r="F561" s="27"/>
      <c r="G561" s="14" t="s">
        <v>17</v>
      </c>
      <c r="H561" s="18">
        <v>61639.0</v>
      </c>
      <c r="I561" s="14" t="s">
        <v>101</v>
      </c>
      <c r="J561" s="16" t="s">
        <v>19</v>
      </c>
      <c r="K561" s="17" t="s">
        <v>20</v>
      </c>
      <c r="L561" s="8" t="s">
        <v>21</v>
      </c>
      <c r="M561" s="8" t="s">
        <v>21</v>
      </c>
      <c r="N561" s="18">
        <f t="shared" si="3"/>
        <v>61640</v>
      </c>
      <c r="O561" s="29"/>
      <c r="P561" s="29"/>
      <c r="Q561" s="29"/>
      <c r="R561" s="29"/>
      <c r="S561" s="29"/>
      <c r="T561" s="29"/>
      <c r="U561" s="29"/>
      <c r="V561" s="29"/>
    </row>
    <row r="562">
      <c r="A562" s="41">
        <v>157.0</v>
      </c>
      <c r="B562" s="9" t="s">
        <v>1639</v>
      </c>
      <c r="C562" s="25" t="s">
        <v>1640</v>
      </c>
      <c r="D562" s="26"/>
      <c r="E562" s="27">
        <v>1.185702674551E12</v>
      </c>
      <c r="F562" s="27"/>
      <c r="G562" s="14" t="s">
        <v>17</v>
      </c>
      <c r="H562" s="18">
        <v>61640.0</v>
      </c>
      <c r="I562" s="14" t="s">
        <v>30</v>
      </c>
      <c r="J562" s="16" t="s">
        <v>19</v>
      </c>
      <c r="K562" s="17" t="s">
        <v>20</v>
      </c>
      <c r="L562" s="8" t="s">
        <v>21</v>
      </c>
      <c r="M562" s="8" t="s">
        <v>21</v>
      </c>
      <c r="N562" s="18">
        <f t="shared" si="3"/>
        <v>61641</v>
      </c>
      <c r="O562" s="29"/>
      <c r="P562" s="29"/>
      <c r="Q562" s="29"/>
      <c r="R562" s="29"/>
      <c r="S562" s="29"/>
      <c r="T562" s="29"/>
      <c r="U562" s="29"/>
      <c r="V562" s="29"/>
    </row>
    <row r="563">
      <c r="A563" s="41">
        <v>158.0</v>
      </c>
      <c r="B563" s="9" t="s">
        <v>1641</v>
      </c>
      <c r="C563" s="25" t="s">
        <v>1642</v>
      </c>
      <c r="D563" s="26" t="s">
        <v>1282</v>
      </c>
      <c r="E563" s="27">
        <v>5.856506428384E12</v>
      </c>
      <c r="F563" s="27"/>
      <c r="G563" s="14" t="s">
        <v>29</v>
      </c>
      <c r="H563" s="18">
        <v>61641.0</v>
      </c>
      <c r="I563" s="14" t="s">
        <v>38</v>
      </c>
      <c r="J563" s="16" t="s">
        <v>19</v>
      </c>
      <c r="K563" s="17" t="s">
        <v>20</v>
      </c>
      <c r="L563" s="8" t="s">
        <v>21</v>
      </c>
      <c r="M563" s="8" t="s">
        <v>21</v>
      </c>
      <c r="N563" s="18">
        <f t="shared" si="3"/>
        <v>61642</v>
      </c>
      <c r="O563" s="29"/>
      <c r="P563" s="29"/>
      <c r="Q563" s="29"/>
      <c r="R563" s="29"/>
      <c r="S563" s="29"/>
      <c r="T563" s="29"/>
      <c r="U563" s="29"/>
      <c r="V563" s="29"/>
    </row>
    <row r="564">
      <c r="A564" s="41">
        <v>159.0</v>
      </c>
      <c r="B564" s="9" t="s">
        <v>1643</v>
      </c>
      <c r="C564" s="25" t="s">
        <v>1644</v>
      </c>
      <c r="D564" s="26"/>
      <c r="E564" s="27">
        <v>6.452510510408E12</v>
      </c>
      <c r="F564" s="27"/>
      <c r="G564" s="14" t="s">
        <v>29</v>
      </c>
      <c r="H564" s="18">
        <v>61642.0</v>
      </c>
      <c r="I564" s="14" t="s">
        <v>111</v>
      </c>
      <c r="J564" s="16" t="s">
        <v>19</v>
      </c>
      <c r="K564" s="17" t="s">
        <v>20</v>
      </c>
      <c r="L564" s="8" t="s">
        <v>21</v>
      </c>
      <c r="M564" s="8" t="s">
        <v>21</v>
      </c>
      <c r="N564" s="18">
        <f t="shared" si="3"/>
        <v>61643</v>
      </c>
      <c r="O564" s="29"/>
      <c r="P564" s="29"/>
      <c r="Q564" s="29"/>
      <c r="R564" s="29"/>
      <c r="S564" s="29"/>
      <c r="T564" s="29"/>
      <c r="U564" s="29"/>
      <c r="V564" s="29"/>
    </row>
    <row r="565">
      <c r="A565" s="41">
        <v>160.0</v>
      </c>
      <c r="B565" s="9" t="s">
        <v>1645</v>
      </c>
      <c r="C565" s="25" t="s">
        <v>1646</v>
      </c>
      <c r="D565" s="26" t="s">
        <v>1286</v>
      </c>
      <c r="E565" s="27">
        <v>4.274700821105E12</v>
      </c>
      <c r="F565" s="27"/>
      <c r="G565" s="14" t="s">
        <v>29</v>
      </c>
      <c r="H565" s="18">
        <v>61643.0</v>
      </c>
      <c r="I565" s="14" t="s">
        <v>50</v>
      </c>
      <c r="J565" s="16" t="s">
        <v>19</v>
      </c>
      <c r="K565" s="17" t="s">
        <v>20</v>
      </c>
      <c r="L565" s="8" t="s">
        <v>21</v>
      </c>
      <c r="M565" s="8" t="s">
        <v>21</v>
      </c>
      <c r="N565" s="18">
        <f t="shared" si="3"/>
        <v>61644</v>
      </c>
      <c r="O565" s="29"/>
      <c r="P565" s="29"/>
      <c r="Q565" s="29"/>
      <c r="R565" s="29"/>
      <c r="S565" s="29"/>
      <c r="T565" s="29"/>
      <c r="U565" s="29"/>
      <c r="V565" s="29"/>
    </row>
    <row r="566">
      <c r="A566" s="41">
        <v>161.0</v>
      </c>
      <c r="B566" s="9" t="s">
        <v>1647</v>
      </c>
      <c r="C566" s="25" t="s">
        <v>1648</v>
      </c>
      <c r="D566" s="26" t="s">
        <v>1286</v>
      </c>
      <c r="E566" s="27"/>
      <c r="F566" s="42"/>
      <c r="G566" s="14" t="s">
        <v>17</v>
      </c>
      <c r="H566" s="18">
        <v>61644.0</v>
      </c>
      <c r="I566" s="14" t="s">
        <v>50</v>
      </c>
      <c r="J566" s="16" t="s">
        <v>19</v>
      </c>
      <c r="K566" s="17" t="s">
        <v>20</v>
      </c>
      <c r="L566" s="8" t="s">
        <v>21</v>
      </c>
      <c r="M566" s="8" t="s">
        <v>21</v>
      </c>
      <c r="N566" s="18">
        <f t="shared" si="3"/>
        <v>61645</v>
      </c>
      <c r="O566" s="29"/>
      <c r="P566" s="29"/>
      <c r="Q566" s="29"/>
      <c r="R566" s="29"/>
      <c r="S566" s="29"/>
      <c r="T566" s="29"/>
      <c r="U566" s="29"/>
      <c r="V566" s="29"/>
    </row>
    <row r="567">
      <c r="A567" s="41">
        <v>162.0</v>
      </c>
      <c r="B567" s="9" t="s">
        <v>1649</v>
      </c>
      <c r="C567" s="25" t="s">
        <v>1650</v>
      </c>
      <c r="D567" s="26"/>
      <c r="E567" s="27"/>
      <c r="F567" s="27" t="s">
        <v>1651</v>
      </c>
      <c r="G567" s="14" t="s">
        <v>29</v>
      </c>
      <c r="H567" s="18">
        <v>61645.0</v>
      </c>
      <c r="I567" s="14" t="s">
        <v>54</v>
      </c>
      <c r="J567" s="16" t="s">
        <v>19</v>
      </c>
      <c r="K567" s="17" t="s">
        <v>20</v>
      </c>
      <c r="L567" s="8" t="s">
        <v>21</v>
      </c>
      <c r="M567" s="8" t="s">
        <v>21</v>
      </c>
      <c r="N567" s="18">
        <f t="shared" si="3"/>
        <v>61646</v>
      </c>
      <c r="O567" s="29"/>
      <c r="P567" s="29"/>
      <c r="Q567" s="29"/>
      <c r="R567" s="29"/>
      <c r="S567" s="29"/>
      <c r="T567" s="29"/>
      <c r="U567" s="29"/>
      <c r="V567" s="29"/>
    </row>
    <row r="568">
      <c r="A568" s="41">
        <v>163.0</v>
      </c>
      <c r="B568" s="9" t="s">
        <v>1652</v>
      </c>
      <c r="C568" s="25" t="s">
        <v>1653</v>
      </c>
      <c r="D568" s="26"/>
      <c r="E568" s="27"/>
      <c r="F568" s="27" t="s">
        <v>1654</v>
      </c>
      <c r="G568" s="14" t="s">
        <v>17</v>
      </c>
      <c r="H568" s="18">
        <v>61646.0</v>
      </c>
      <c r="I568" s="14" t="s">
        <v>54</v>
      </c>
      <c r="J568" s="16" t="s">
        <v>19</v>
      </c>
      <c r="K568" s="17" t="s">
        <v>20</v>
      </c>
      <c r="L568" s="8" t="s">
        <v>21</v>
      </c>
      <c r="M568" s="8" t="s">
        <v>21</v>
      </c>
      <c r="N568" s="18">
        <f t="shared" si="3"/>
        <v>61647</v>
      </c>
      <c r="O568" s="29"/>
      <c r="P568" s="29"/>
      <c r="Q568" s="29"/>
      <c r="R568" s="29"/>
      <c r="S568" s="29"/>
      <c r="T568" s="29"/>
      <c r="U568" s="29"/>
      <c r="V568" s="29"/>
    </row>
    <row r="569">
      <c r="A569" s="41">
        <v>164.0</v>
      </c>
      <c r="B569" s="9" t="s">
        <v>1655</v>
      </c>
      <c r="C569" s="25" t="s">
        <v>1656</v>
      </c>
      <c r="D569" s="26" t="s">
        <v>1290</v>
      </c>
      <c r="E569" s="27"/>
      <c r="F569" s="27"/>
      <c r="G569" s="14" t="s">
        <v>17</v>
      </c>
      <c r="H569" s="18">
        <v>61647.0</v>
      </c>
      <c r="I569" s="14" t="s">
        <v>95</v>
      </c>
      <c r="J569" s="16" t="s">
        <v>19</v>
      </c>
      <c r="K569" s="17" t="s">
        <v>20</v>
      </c>
      <c r="L569" s="8" t="s">
        <v>21</v>
      </c>
      <c r="M569" s="8" t="s">
        <v>21</v>
      </c>
      <c r="N569" s="18">
        <f t="shared" si="3"/>
        <v>61648</v>
      </c>
      <c r="O569" s="29"/>
      <c r="P569" s="29"/>
      <c r="Q569" s="29"/>
      <c r="R569" s="29"/>
      <c r="S569" s="29"/>
      <c r="T569" s="29"/>
      <c r="U569" s="29"/>
      <c r="V569" s="29"/>
    </row>
    <row r="570">
      <c r="A570" s="41">
        <v>165.0</v>
      </c>
      <c r="B570" s="9" t="s">
        <v>1657</v>
      </c>
      <c r="C570" s="25" t="s">
        <v>1658</v>
      </c>
      <c r="D570" s="26"/>
      <c r="E570" s="27"/>
      <c r="F570" s="27" t="s">
        <v>1659</v>
      </c>
      <c r="G570" s="14" t="s">
        <v>17</v>
      </c>
      <c r="H570" s="18">
        <v>61648.0</v>
      </c>
      <c r="I570" s="14" t="s">
        <v>34</v>
      </c>
      <c r="J570" s="16" t="s">
        <v>19</v>
      </c>
      <c r="K570" s="17" t="s">
        <v>20</v>
      </c>
      <c r="L570" s="8" t="s">
        <v>21</v>
      </c>
      <c r="M570" s="8" t="s">
        <v>21</v>
      </c>
      <c r="N570" s="18">
        <f t="shared" si="3"/>
        <v>61649</v>
      </c>
      <c r="O570" s="29"/>
      <c r="P570" s="29"/>
      <c r="Q570" s="29"/>
      <c r="R570" s="29"/>
      <c r="S570" s="29"/>
      <c r="T570" s="29"/>
      <c r="U570" s="29"/>
      <c r="V570" s="29"/>
    </row>
    <row r="571">
      <c r="A571" s="41">
        <v>166.0</v>
      </c>
      <c r="B571" s="9" t="s">
        <v>1660</v>
      </c>
      <c r="C571" s="25" t="s">
        <v>1661</v>
      </c>
      <c r="D571" s="26"/>
      <c r="E571" s="27"/>
      <c r="F571" s="27" t="s">
        <v>1662</v>
      </c>
      <c r="G571" s="14" t="s">
        <v>29</v>
      </c>
      <c r="H571" s="18">
        <v>61649.0</v>
      </c>
      <c r="I571" s="14" t="s">
        <v>101</v>
      </c>
      <c r="J571" s="16" t="s">
        <v>19</v>
      </c>
      <c r="K571" s="17" t="s">
        <v>20</v>
      </c>
      <c r="L571" s="8" t="s">
        <v>21</v>
      </c>
      <c r="M571" s="8" t="s">
        <v>21</v>
      </c>
      <c r="N571" s="18">
        <f t="shared" si="3"/>
        <v>61650</v>
      </c>
      <c r="O571" s="29"/>
      <c r="P571" s="29"/>
      <c r="Q571" s="29"/>
      <c r="R571" s="29"/>
      <c r="S571" s="29"/>
      <c r="T571" s="29"/>
      <c r="U571" s="29"/>
      <c r="V571" s="29"/>
    </row>
    <row r="572">
      <c r="A572" s="41">
        <v>167.0</v>
      </c>
      <c r="B572" s="9" t="s">
        <v>1663</v>
      </c>
      <c r="C572" s="25" t="s">
        <v>1664</v>
      </c>
      <c r="D572" s="26"/>
      <c r="E572" s="27"/>
      <c r="F572" s="27" t="s">
        <v>1665</v>
      </c>
      <c r="G572" s="14" t="s">
        <v>17</v>
      </c>
      <c r="H572" s="18">
        <v>61650.0</v>
      </c>
      <c r="I572" s="14" t="s">
        <v>30</v>
      </c>
      <c r="J572" s="16" t="s">
        <v>19</v>
      </c>
      <c r="K572" s="17" t="s">
        <v>20</v>
      </c>
      <c r="L572" s="8" t="s">
        <v>21</v>
      </c>
      <c r="M572" s="8" t="s">
        <v>21</v>
      </c>
      <c r="N572" s="18">
        <f t="shared" si="3"/>
        <v>61651</v>
      </c>
      <c r="O572" s="29"/>
      <c r="P572" s="29"/>
      <c r="Q572" s="29"/>
      <c r="R572" s="29"/>
      <c r="S572" s="29"/>
      <c r="T572" s="29"/>
      <c r="U572" s="29"/>
      <c r="V572" s="29"/>
    </row>
    <row r="573">
      <c r="A573" s="41">
        <v>168.0</v>
      </c>
      <c r="B573" s="9" t="s">
        <v>1666</v>
      </c>
      <c r="C573" s="25" t="s">
        <v>1667</v>
      </c>
      <c r="D573" s="26"/>
      <c r="E573" s="27"/>
      <c r="F573" s="27" t="s">
        <v>1668</v>
      </c>
      <c r="G573" s="14" t="s">
        <v>17</v>
      </c>
      <c r="H573" s="18">
        <v>61651.0</v>
      </c>
      <c r="I573" s="14" t="s">
        <v>38</v>
      </c>
      <c r="J573" s="16" t="s">
        <v>19</v>
      </c>
      <c r="K573" s="17" t="s">
        <v>20</v>
      </c>
      <c r="L573" s="8" t="s">
        <v>21</v>
      </c>
      <c r="M573" s="8" t="s">
        <v>21</v>
      </c>
      <c r="N573" s="18">
        <f t="shared" si="3"/>
        <v>61652</v>
      </c>
      <c r="O573" s="29"/>
      <c r="P573" s="29"/>
      <c r="Q573" s="29"/>
      <c r="R573" s="29"/>
      <c r="S573" s="29"/>
      <c r="T573" s="29"/>
      <c r="U573" s="29"/>
      <c r="V573" s="29"/>
    </row>
    <row r="574">
      <c r="A574" s="41">
        <v>169.0</v>
      </c>
      <c r="B574" s="9" t="s">
        <v>1669</v>
      </c>
      <c r="C574" s="25" t="s">
        <v>1670</v>
      </c>
      <c r="D574" s="26"/>
      <c r="E574" s="27"/>
      <c r="F574" s="27" t="s">
        <v>1671</v>
      </c>
      <c r="G574" s="14" t="s">
        <v>29</v>
      </c>
      <c r="H574" s="18">
        <v>61652.0</v>
      </c>
      <c r="I574" s="14" t="s">
        <v>111</v>
      </c>
      <c r="J574" s="16" t="s">
        <v>19</v>
      </c>
      <c r="K574" s="17" t="s">
        <v>20</v>
      </c>
      <c r="L574" s="8" t="s">
        <v>21</v>
      </c>
      <c r="M574" s="8" t="s">
        <v>21</v>
      </c>
      <c r="N574" s="18">
        <f t="shared" si="3"/>
        <v>61653</v>
      </c>
      <c r="O574" s="29"/>
      <c r="P574" s="29"/>
      <c r="Q574" s="29"/>
      <c r="R574" s="29"/>
      <c r="S574" s="29"/>
      <c r="T574" s="29"/>
      <c r="U574" s="29"/>
      <c r="V574" s="29"/>
    </row>
    <row r="575">
      <c r="A575" s="41">
        <v>170.0</v>
      </c>
      <c r="B575" s="9" t="s">
        <v>1672</v>
      </c>
      <c r="C575" s="25" t="s">
        <v>1673</v>
      </c>
      <c r="D575" s="26"/>
      <c r="E575" s="27"/>
      <c r="F575" s="27" t="s">
        <v>1674</v>
      </c>
      <c r="G575" s="14" t="s">
        <v>29</v>
      </c>
      <c r="H575" s="18">
        <v>61653.0</v>
      </c>
      <c r="I575" s="14" t="s">
        <v>50</v>
      </c>
      <c r="J575" s="16" t="s">
        <v>19</v>
      </c>
      <c r="K575" s="17" t="s">
        <v>20</v>
      </c>
      <c r="L575" s="8" t="s">
        <v>21</v>
      </c>
      <c r="M575" s="8" t="s">
        <v>21</v>
      </c>
      <c r="N575" s="18">
        <f t="shared" si="3"/>
        <v>61654</v>
      </c>
      <c r="O575" s="29"/>
      <c r="P575" s="29"/>
      <c r="Q575" s="29"/>
      <c r="R575" s="29"/>
      <c r="S575" s="29"/>
      <c r="T575" s="29"/>
      <c r="U575" s="29"/>
      <c r="V575" s="29"/>
    </row>
    <row r="576">
      <c r="A576" s="41">
        <v>171.0</v>
      </c>
      <c r="B576" s="9" t="s">
        <v>1675</v>
      </c>
      <c r="C576" s="25" t="s">
        <v>1676</v>
      </c>
      <c r="D576" s="26"/>
      <c r="E576" s="27"/>
      <c r="F576" s="27"/>
      <c r="G576" s="14" t="s">
        <v>29</v>
      </c>
      <c r="H576" s="18">
        <v>61654.0</v>
      </c>
      <c r="I576" s="14" t="s">
        <v>50</v>
      </c>
      <c r="J576" s="16" t="s">
        <v>19</v>
      </c>
      <c r="K576" s="17" t="s">
        <v>20</v>
      </c>
      <c r="L576" s="8" t="s">
        <v>21</v>
      </c>
      <c r="M576" s="8" t="s">
        <v>21</v>
      </c>
      <c r="N576" s="18">
        <f t="shared" si="3"/>
        <v>61655</v>
      </c>
      <c r="O576" s="29"/>
      <c r="P576" s="29"/>
      <c r="Q576" s="29"/>
      <c r="R576" s="29"/>
      <c r="S576" s="29"/>
      <c r="T576" s="29"/>
      <c r="U576" s="29"/>
      <c r="V576" s="29"/>
    </row>
    <row r="577">
      <c r="A577" s="41">
        <v>172.0</v>
      </c>
      <c r="B577" s="9" t="s">
        <v>1677</v>
      </c>
      <c r="C577" s="25" t="s">
        <v>1678</v>
      </c>
      <c r="D577" s="26"/>
      <c r="E577" s="27"/>
      <c r="F577" s="27"/>
      <c r="G577" s="14" t="s">
        <v>29</v>
      </c>
      <c r="H577" s="18">
        <v>61655.0</v>
      </c>
      <c r="I577" s="14" t="s">
        <v>54</v>
      </c>
      <c r="J577" s="16" t="s">
        <v>19</v>
      </c>
      <c r="K577" s="17" t="s">
        <v>20</v>
      </c>
      <c r="L577" s="8" t="s">
        <v>21</v>
      </c>
      <c r="M577" s="8" t="s">
        <v>21</v>
      </c>
      <c r="N577" s="18">
        <f t="shared" si="3"/>
        <v>61656</v>
      </c>
      <c r="O577" s="29"/>
      <c r="P577" s="29"/>
      <c r="Q577" s="29"/>
      <c r="R577" s="29"/>
      <c r="S577" s="29"/>
      <c r="T577" s="29"/>
      <c r="U577" s="29"/>
      <c r="V577" s="29"/>
    </row>
    <row r="578">
      <c r="A578" s="41">
        <v>173.0</v>
      </c>
      <c r="B578" s="9" t="s">
        <v>1679</v>
      </c>
      <c r="C578" s="25" t="s">
        <v>1680</v>
      </c>
      <c r="D578" s="26"/>
      <c r="E578" s="27"/>
      <c r="F578" s="27" t="s">
        <v>1681</v>
      </c>
      <c r="G578" s="14" t="s">
        <v>29</v>
      </c>
      <c r="H578" s="18">
        <v>61656.0</v>
      </c>
      <c r="I578" s="14" t="s">
        <v>54</v>
      </c>
      <c r="J578" s="16" t="s">
        <v>19</v>
      </c>
      <c r="K578" s="17" t="s">
        <v>20</v>
      </c>
      <c r="L578" s="8" t="s">
        <v>21</v>
      </c>
      <c r="M578" s="8" t="s">
        <v>21</v>
      </c>
      <c r="N578" s="18">
        <f t="shared" si="3"/>
        <v>61657</v>
      </c>
      <c r="O578" s="29"/>
      <c r="P578" s="29"/>
      <c r="Q578" s="29"/>
      <c r="R578" s="29"/>
      <c r="S578" s="29"/>
      <c r="T578" s="29"/>
      <c r="U578" s="29"/>
      <c r="V578" s="29"/>
    </row>
    <row r="579">
      <c r="A579" s="41">
        <v>174.0</v>
      </c>
      <c r="B579" s="9" t="s">
        <v>1682</v>
      </c>
      <c r="C579" s="25" t="s">
        <v>1683</v>
      </c>
      <c r="D579" s="26"/>
      <c r="E579" s="27"/>
      <c r="F579" s="27"/>
      <c r="G579" s="14" t="s">
        <v>29</v>
      </c>
      <c r="H579" s="18">
        <v>61657.0</v>
      </c>
      <c r="I579" s="14" t="s">
        <v>95</v>
      </c>
      <c r="J579" s="16" t="s">
        <v>19</v>
      </c>
      <c r="K579" s="17" t="s">
        <v>20</v>
      </c>
      <c r="L579" s="8" t="s">
        <v>21</v>
      </c>
      <c r="M579" s="8" t="s">
        <v>21</v>
      </c>
      <c r="N579" s="18">
        <f t="shared" si="3"/>
        <v>61658</v>
      </c>
      <c r="O579" s="29"/>
      <c r="P579" s="29"/>
      <c r="Q579" s="29"/>
      <c r="R579" s="29"/>
      <c r="S579" s="29"/>
      <c r="T579" s="29"/>
      <c r="U579" s="29"/>
      <c r="V579" s="29"/>
    </row>
    <row r="580">
      <c r="A580" s="41">
        <v>175.0</v>
      </c>
      <c r="B580" s="9" t="s">
        <v>1684</v>
      </c>
      <c r="C580" s="25" t="s">
        <v>1685</v>
      </c>
      <c r="D580" s="26"/>
      <c r="E580" s="27"/>
      <c r="F580" s="27" t="s">
        <v>1686</v>
      </c>
      <c r="G580" s="14" t="s">
        <v>29</v>
      </c>
      <c r="H580" s="18">
        <v>61658.0</v>
      </c>
      <c r="I580" s="14" t="s">
        <v>34</v>
      </c>
      <c r="J580" s="16" t="s">
        <v>19</v>
      </c>
      <c r="K580" s="17" t="s">
        <v>20</v>
      </c>
      <c r="L580" s="8" t="s">
        <v>21</v>
      </c>
      <c r="M580" s="8" t="s">
        <v>21</v>
      </c>
      <c r="N580" s="18">
        <f t="shared" si="3"/>
        <v>61659</v>
      </c>
      <c r="O580" s="29"/>
      <c r="P580" s="29"/>
      <c r="Q580" s="29"/>
      <c r="R580" s="29"/>
      <c r="S580" s="29"/>
      <c r="T580" s="29"/>
      <c r="U580" s="29"/>
      <c r="V580" s="29"/>
    </row>
    <row r="581">
      <c r="A581" s="41">
        <v>176.0</v>
      </c>
      <c r="B581" s="9" t="s">
        <v>1687</v>
      </c>
      <c r="C581" s="25" t="s">
        <v>1688</v>
      </c>
      <c r="D581" s="26"/>
      <c r="E581" s="27"/>
      <c r="F581" s="27" t="s">
        <v>1689</v>
      </c>
      <c r="G581" s="14" t="s">
        <v>29</v>
      </c>
      <c r="H581" s="18">
        <v>61659.0</v>
      </c>
      <c r="I581" s="14" t="s">
        <v>101</v>
      </c>
      <c r="J581" s="16" t="s">
        <v>19</v>
      </c>
      <c r="K581" s="17" t="s">
        <v>20</v>
      </c>
      <c r="L581" s="8" t="s">
        <v>21</v>
      </c>
      <c r="M581" s="8" t="s">
        <v>21</v>
      </c>
      <c r="N581" s="18">
        <f t="shared" si="3"/>
        <v>61660</v>
      </c>
      <c r="O581" s="29"/>
      <c r="P581" s="29"/>
      <c r="Q581" s="29"/>
      <c r="R581" s="29"/>
      <c r="S581" s="29"/>
      <c r="T581" s="29"/>
      <c r="U581" s="29"/>
      <c r="V581" s="29"/>
    </row>
    <row r="582">
      <c r="A582" s="41">
        <v>177.0</v>
      </c>
      <c r="B582" s="9" t="s">
        <v>1690</v>
      </c>
      <c r="C582" s="25" t="s">
        <v>1691</v>
      </c>
      <c r="D582" s="26"/>
      <c r="E582" s="27"/>
      <c r="F582" s="27"/>
      <c r="G582" s="14" t="s">
        <v>29</v>
      </c>
      <c r="H582" s="18">
        <v>61660.0</v>
      </c>
      <c r="I582" s="14" t="s">
        <v>30</v>
      </c>
      <c r="J582" s="16" t="s">
        <v>19</v>
      </c>
      <c r="K582" s="17" t="s">
        <v>20</v>
      </c>
      <c r="L582" s="8" t="s">
        <v>21</v>
      </c>
      <c r="M582" s="8" t="s">
        <v>21</v>
      </c>
      <c r="N582" s="18">
        <f t="shared" si="3"/>
        <v>61661</v>
      </c>
      <c r="O582" s="29"/>
      <c r="P582" s="29"/>
      <c r="Q582" s="29"/>
      <c r="R582" s="29"/>
      <c r="S582" s="29"/>
      <c r="T582" s="29"/>
      <c r="U582" s="29"/>
      <c r="V582" s="29"/>
    </row>
    <row r="583">
      <c r="A583" s="41">
        <v>178.0</v>
      </c>
      <c r="B583" s="9" t="s">
        <v>1692</v>
      </c>
      <c r="C583" s="25" t="s">
        <v>1693</v>
      </c>
      <c r="D583" s="26"/>
      <c r="E583" s="27"/>
      <c r="F583" s="27"/>
      <c r="G583" s="14" t="s">
        <v>17</v>
      </c>
      <c r="H583" s="18">
        <v>61661.0</v>
      </c>
      <c r="I583" s="14" t="s">
        <v>38</v>
      </c>
      <c r="J583" s="16" t="s">
        <v>19</v>
      </c>
      <c r="K583" s="17" t="s">
        <v>20</v>
      </c>
      <c r="L583" s="8" t="s">
        <v>21</v>
      </c>
      <c r="M583" s="8" t="s">
        <v>21</v>
      </c>
      <c r="N583" s="18">
        <f t="shared" si="3"/>
        <v>61662</v>
      </c>
      <c r="O583" s="29"/>
      <c r="P583" s="29"/>
      <c r="Q583" s="29"/>
      <c r="R583" s="29"/>
      <c r="S583" s="29"/>
      <c r="T583" s="29"/>
      <c r="U583" s="29"/>
      <c r="V583" s="29"/>
    </row>
    <row r="584">
      <c r="A584" s="41">
        <v>179.0</v>
      </c>
      <c r="B584" s="9" t="s">
        <v>1694</v>
      </c>
      <c r="C584" s="25" t="s">
        <v>1695</v>
      </c>
      <c r="D584" s="26"/>
      <c r="E584" s="27"/>
      <c r="F584" s="27"/>
      <c r="G584" s="14" t="s">
        <v>17</v>
      </c>
      <c r="H584" s="18">
        <v>61662.0</v>
      </c>
      <c r="I584" s="14" t="s">
        <v>60</v>
      </c>
      <c r="J584" s="16" t="s">
        <v>19</v>
      </c>
      <c r="K584" s="17" t="s">
        <v>20</v>
      </c>
      <c r="L584" s="8" t="s">
        <v>21</v>
      </c>
      <c r="M584" s="8" t="s">
        <v>21</v>
      </c>
      <c r="N584" s="18">
        <f t="shared" si="3"/>
        <v>61663</v>
      </c>
      <c r="O584" s="29"/>
      <c r="P584" s="29"/>
      <c r="Q584" s="29"/>
      <c r="R584" s="29"/>
      <c r="S584" s="29"/>
      <c r="T584" s="29"/>
      <c r="U584" s="29"/>
      <c r="V584" s="29"/>
    </row>
    <row r="585">
      <c r="A585" s="41">
        <v>180.0</v>
      </c>
      <c r="B585" s="9" t="s">
        <v>1696</v>
      </c>
      <c r="C585" s="25" t="s">
        <v>1697</v>
      </c>
      <c r="D585" s="26"/>
      <c r="E585" s="27"/>
      <c r="F585" s="27" t="s">
        <v>1698</v>
      </c>
      <c r="G585" s="14" t="s">
        <v>17</v>
      </c>
      <c r="H585" s="18">
        <v>61663.0</v>
      </c>
      <c r="I585" s="32" t="s">
        <v>579</v>
      </c>
      <c r="J585" s="16" t="s">
        <v>19</v>
      </c>
      <c r="K585" s="17" t="s">
        <v>20</v>
      </c>
      <c r="L585" s="8" t="s">
        <v>21</v>
      </c>
      <c r="M585" s="8" t="s">
        <v>21</v>
      </c>
      <c r="N585" s="18">
        <f t="shared" si="3"/>
        <v>61664</v>
      </c>
      <c r="O585" s="29"/>
      <c r="P585" s="29"/>
      <c r="Q585" s="29"/>
      <c r="R585" s="29"/>
      <c r="S585" s="29"/>
      <c r="T585" s="29"/>
      <c r="U585" s="29"/>
      <c r="V585" s="29"/>
    </row>
    <row r="586">
      <c r="A586" s="41">
        <v>181.0</v>
      </c>
      <c r="B586" s="9" t="s">
        <v>1699</v>
      </c>
      <c r="C586" s="25" t="s">
        <v>1700</v>
      </c>
      <c r="D586" s="26" t="s">
        <v>1297</v>
      </c>
      <c r="E586" s="27"/>
      <c r="F586" s="42"/>
      <c r="G586" s="14" t="s">
        <v>29</v>
      </c>
      <c r="H586" s="18">
        <v>61664.0</v>
      </c>
      <c r="I586" s="32" t="s">
        <v>583</v>
      </c>
      <c r="J586" s="16" t="s">
        <v>19</v>
      </c>
      <c r="K586" s="17" t="s">
        <v>20</v>
      </c>
      <c r="L586" s="8" t="s">
        <v>21</v>
      </c>
      <c r="M586" s="8" t="s">
        <v>21</v>
      </c>
      <c r="N586" s="18">
        <f t="shared" si="3"/>
        <v>61665</v>
      </c>
      <c r="O586" s="29"/>
      <c r="P586" s="29"/>
      <c r="Q586" s="29"/>
      <c r="R586" s="29"/>
      <c r="S586" s="29"/>
      <c r="T586" s="29"/>
      <c r="U586" s="29"/>
      <c r="V586" s="29"/>
    </row>
    <row r="587">
      <c r="A587" s="41">
        <v>182.0</v>
      </c>
      <c r="B587" s="9" t="s">
        <v>1701</v>
      </c>
      <c r="C587" s="25" t="s">
        <v>1702</v>
      </c>
      <c r="D587" s="26"/>
      <c r="E587" s="27">
        <v>9.563723673066E12</v>
      </c>
      <c r="F587" s="27" t="s">
        <v>1703</v>
      </c>
      <c r="G587" s="14" t="s">
        <v>17</v>
      </c>
      <c r="H587" s="18">
        <v>61665.0</v>
      </c>
      <c r="I587" s="14" t="s">
        <v>46</v>
      </c>
      <c r="J587" s="16" t="s">
        <v>19</v>
      </c>
      <c r="K587" s="17" t="s">
        <v>20</v>
      </c>
      <c r="L587" s="8" t="s">
        <v>21</v>
      </c>
      <c r="M587" s="8" t="s">
        <v>21</v>
      </c>
      <c r="N587" s="18">
        <f t="shared" si="3"/>
        <v>61666</v>
      </c>
      <c r="O587" s="29"/>
      <c r="P587" s="29"/>
      <c r="Q587" s="29"/>
      <c r="R587" s="29"/>
      <c r="S587" s="29"/>
      <c r="T587" s="29"/>
      <c r="U587" s="29"/>
      <c r="V587" s="29"/>
    </row>
    <row r="588">
      <c r="A588" s="41">
        <v>183.0</v>
      </c>
      <c r="B588" s="9" t="s">
        <v>1704</v>
      </c>
      <c r="C588" s="25" t="s">
        <v>1705</v>
      </c>
      <c r="D588" s="26"/>
      <c r="E588" s="27"/>
      <c r="F588" s="27" t="s">
        <v>1706</v>
      </c>
      <c r="G588" s="14" t="s">
        <v>17</v>
      </c>
      <c r="H588" s="18">
        <v>61666.0</v>
      </c>
      <c r="I588" s="14" t="s">
        <v>193</v>
      </c>
      <c r="J588" s="16" t="s">
        <v>19</v>
      </c>
      <c r="K588" s="17" t="s">
        <v>20</v>
      </c>
      <c r="L588" s="8" t="s">
        <v>21</v>
      </c>
      <c r="M588" s="8" t="s">
        <v>21</v>
      </c>
      <c r="N588" s="18">
        <f t="shared" si="3"/>
        <v>61667</v>
      </c>
      <c r="O588" s="29"/>
      <c r="P588" s="29"/>
      <c r="Q588" s="29"/>
      <c r="R588" s="29"/>
      <c r="S588" s="29"/>
      <c r="T588" s="29"/>
      <c r="U588" s="29"/>
      <c r="V588" s="29"/>
    </row>
    <row r="589">
      <c r="A589" s="41">
        <v>184.0</v>
      </c>
      <c r="B589" s="9" t="s">
        <v>1707</v>
      </c>
      <c r="C589" s="25" t="s">
        <v>1708</v>
      </c>
      <c r="D589" s="26"/>
      <c r="E589" s="27">
        <v>7.872001058696E12</v>
      </c>
      <c r="F589" s="27" t="s">
        <v>1709</v>
      </c>
      <c r="G589" s="14" t="s">
        <v>29</v>
      </c>
      <c r="H589" s="18">
        <v>61667.0</v>
      </c>
      <c r="I589" s="14" t="s">
        <v>54</v>
      </c>
      <c r="J589" s="16" t="s">
        <v>19</v>
      </c>
      <c r="K589" s="17" t="s">
        <v>20</v>
      </c>
      <c r="L589" s="8" t="s">
        <v>21</v>
      </c>
      <c r="M589" s="8" t="s">
        <v>21</v>
      </c>
      <c r="N589" s="18">
        <f t="shared" si="3"/>
        <v>61668</v>
      </c>
      <c r="O589" s="29"/>
      <c r="P589" s="29"/>
      <c r="Q589" s="29"/>
      <c r="R589" s="29"/>
      <c r="S589" s="29"/>
      <c r="T589" s="29"/>
      <c r="U589" s="29"/>
      <c r="V589" s="29"/>
    </row>
    <row r="590">
      <c r="A590" s="8"/>
      <c r="B590" s="43"/>
      <c r="C590" s="44"/>
      <c r="D590" s="45"/>
      <c r="E590" s="27"/>
      <c r="F590" s="43"/>
      <c r="G590" s="14"/>
      <c r="H590" s="15"/>
      <c r="I590" s="14"/>
      <c r="J590" s="16"/>
      <c r="K590" s="17"/>
      <c r="L590" s="8"/>
      <c r="M590" s="8"/>
      <c r="N590" s="18"/>
      <c r="O590" s="29"/>
      <c r="P590" s="29"/>
      <c r="Q590" s="29"/>
      <c r="R590" s="29"/>
      <c r="S590" s="29"/>
      <c r="T590" s="29"/>
      <c r="U590" s="29"/>
      <c r="V590" s="29"/>
    </row>
    <row r="591">
      <c r="A591" s="46"/>
      <c r="B591" s="43"/>
      <c r="C591" s="44"/>
      <c r="D591" s="45"/>
      <c r="E591" s="27"/>
      <c r="F591" s="43"/>
      <c r="G591" s="14"/>
      <c r="H591" s="15"/>
      <c r="I591" s="14"/>
      <c r="J591" s="16"/>
      <c r="K591" s="17"/>
      <c r="L591" s="8"/>
      <c r="M591" s="8"/>
      <c r="N591" s="18"/>
      <c r="O591" s="29"/>
      <c r="P591" s="29"/>
      <c r="Q591" s="29"/>
      <c r="R591" s="29"/>
      <c r="S591" s="29"/>
      <c r="T591" s="29"/>
      <c r="U591" s="29"/>
      <c r="V591" s="29"/>
    </row>
    <row r="592">
      <c r="A592" s="46"/>
      <c r="B592" s="43"/>
      <c r="C592" s="44"/>
      <c r="D592" s="45"/>
      <c r="E592" s="27"/>
      <c r="F592" s="43"/>
      <c r="G592" s="14"/>
      <c r="H592" s="15"/>
      <c r="I592" s="14"/>
      <c r="J592" s="16"/>
      <c r="K592" s="17"/>
      <c r="L592" s="8"/>
      <c r="M592" s="8"/>
      <c r="N592" s="18"/>
      <c r="O592" s="29"/>
      <c r="P592" s="29"/>
      <c r="Q592" s="29"/>
      <c r="R592" s="29"/>
      <c r="S592" s="29"/>
      <c r="T592" s="29"/>
      <c r="U592" s="29"/>
      <c r="V592" s="29"/>
    </row>
    <row r="593">
      <c r="A593" s="46"/>
      <c r="B593" s="43"/>
      <c r="C593" s="44"/>
      <c r="D593" s="45"/>
      <c r="E593" s="27"/>
      <c r="F593" s="43"/>
      <c r="G593" s="14"/>
      <c r="H593" s="15"/>
      <c r="I593" s="14"/>
      <c r="J593" s="16"/>
      <c r="K593" s="17"/>
      <c r="L593" s="8"/>
      <c r="M593" s="8"/>
      <c r="N593" s="18"/>
      <c r="O593" s="29"/>
      <c r="P593" s="29"/>
      <c r="Q593" s="29"/>
      <c r="R593" s="29"/>
      <c r="S593" s="29"/>
      <c r="T593" s="29"/>
      <c r="U593" s="29"/>
      <c r="V593" s="29"/>
    </row>
    <row r="594">
      <c r="A594" s="46"/>
      <c r="B594" s="43"/>
      <c r="C594" s="44"/>
      <c r="D594" s="45"/>
      <c r="E594" s="27"/>
      <c r="F594" s="43"/>
      <c r="G594" s="14"/>
      <c r="H594" s="15"/>
      <c r="I594" s="14"/>
      <c r="J594" s="16"/>
      <c r="K594" s="17"/>
      <c r="L594" s="8"/>
      <c r="M594" s="8"/>
      <c r="N594" s="18"/>
      <c r="O594" s="29"/>
      <c r="P594" s="29"/>
      <c r="Q594" s="29"/>
      <c r="R594" s="29"/>
      <c r="S594" s="29"/>
      <c r="T594" s="29"/>
      <c r="U594" s="29"/>
      <c r="V594" s="29"/>
    </row>
    <row r="595">
      <c r="A595" s="46"/>
      <c r="B595" s="43"/>
      <c r="C595" s="44"/>
      <c r="D595" s="45"/>
      <c r="E595" s="27"/>
      <c r="F595" s="43"/>
      <c r="G595" s="14"/>
      <c r="H595" s="15"/>
      <c r="I595" s="14"/>
      <c r="J595" s="16"/>
      <c r="K595" s="17"/>
      <c r="L595" s="8"/>
      <c r="M595" s="8"/>
      <c r="N595" s="18"/>
      <c r="O595" s="29"/>
      <c r="P595" s="29"/>
      <c r="Q595" s="29"/>
      <c r="R595" s="29"/>
      <c r="S595" s="29"/>
      <c r="T595" s="29"/>
      <c r="U595" s="29"/>
      <c r="V595" s="29"/>
    </row>
    <row r="596">
      <c r="A596" s="46"/>
      <c r="B596" s="43"/>
      <c r="C596" s="44"/>
      <c r="D596" s="45"/>
      <c r="E596" s="27"/>
      <c r="F596" s="43"/>
      <c r="G596" s="14"/>
      <c r="H596" s="15"/>
      <c r="I596" s="14"/>
      <c r="J596" s="16"/>
      <c r="K596" s="17"/>
      <c r="L596" s="8"/>
      <c r="M596" s="8"/>
      <c r="N596" s="18"/>
      <c r="O596" s="29"/>
      <c r="P596" s="29"/>
      <c r="Q596" s="29"/>
      <c r="R596" s="29"/>
      <c r="S596" s="29"/>
      <c r="T596" s="29"/>
      <c r="U596" s="29"/>
      <c r="V596" s="29"/>
    </row>
    <row r="597">
      <c r="A597" s="46"/>
      <c r="B597" s="43"/>
      <c r="C597" s="44"/>
      <c r="D597" s="45"/>
      <c r="E597" s="27"/>
      <c r="F597" s="43"/>
      <c r="G597" s="14"/>
      <c r="H597" s="15"/>
      <c r="I597" s="14"/>
      <c r="J597" s="16"/>
      <c r="K597" s="17"/>
      <c r="L597" s="8"/>
      <c r="M597" s="8"/>
      <c r="N597" s="18"/>
      <c r="O597" s="29"/>
      <c r="P597" s="29"/>
      <c r="Q597" s="29"/>
      <c r="R597" s="29"/>
      <c r="S597" s="29"/>
      <c r="T597" s="29"/>
      <c r="U597" s="29"/>
      <c r="V597" s="29"/>
    </row>
    <row r="598">
      <c r="A598" s="46"/>
      <c r="B598" s="43"/>
      <c r="C598" s="44"/>
      <c r="D598" s="45"/>
      <c r="E598" s="27"/>
      <c r="F598" s="43"/>
      <c r="G598" s="14"/>
      <c r="H598" s="15"/>
      <c r="I598" s="14"/>
      <c r="J598" s="16"/>
      <c r="K598" s="17"/>
      <c r="L598" s="8"/>
      <c r="M598" s="8"/>
      <c r="N598" s="18"/>
      <c r="O598" s="29"/>
      <c r="P598" s="29"/>
      <c r="Q598" s="29"/>
      <c r="R598" s="29"/>
      <c r="S598" s="29"/>
      <c r="T598" s="29"/>
      <c r="U598" s="29"/>
      <c r="V598" s="29"/>
    </row>
    <row r="599">
      <c r="A599" s="46"/>
      <c r="B599" s="43"/>
      <c r="C599" s="44"/>
      <c r="D599" s="45"/>
      <c r="E599" s="27"/>
      <c r="F599" s="43"/>
      <c r="G599" s="14"/>
      <c r="H599" s="15"/>
      <c r="I599" s="32"/>
      <c r="J599" s="16"/>
      <c r="K599" s="17"/>
      <c r="L599" s="8"/>
      <c r="M599" s="8"/>
      <c r="N599" s="18"/>
      <c r="O599" s="29"/>
      <c r="P599" s="29"/>
      <c r="Q599" s="29"/>
      <c r="R599" s="29"/>
      <c r="S599" s="29"/>
      <c r="T599" s="29"/>
      <c r="U599" s="29"/>
      <c r="V599" s="29"/>
    </row>
    <row r="600">
      <c r="A600" s="46"/>
      <c r="B600" s="43"/>
      <c r="C600" s="44"/>
      <c r="D600" s="45"/>
      <c r="E600" s="27"/>
      <c r="F600" s="43"/>
      <c r="G600" s="14"/>
      <c r="H600" s="15"/>
      <c r="I600" s="14"/>
      <c r="J600" s="16"/>
      <c r="K600" s="17"/>
      <c r="L600" s="8"/>
      <c r="M600" s="8"/>
      <c r="N600" s="18"/>
      <c r="O600" s="29"/>
      <c r="P600" s="29"/>
      <c r="Q600" s="29"/>
      <c r="R600" s="29"/>
      <c r="S600" s="29"/>
      <c r="T600" s="29"/>
      <c r="U600" s="29"/>
      <c r="V600" s="29"/>
    </row>
    <row r="601">
      <c r="A601" s="46"/>
      <c r="B601" s="43"/>
      <c r="C601" s="44"/>
      <c r="D601" s="45"/>
      <c r="E601" s="27"/>
      <c r="F601" s="43"/>
      <c r="G601" s="14"/>
      <c r="H601" s="15"/>
      <c r="I601" s="14"/>
      <c r="J601" s="16"/>
      <c r="K601" s="17"/>
      <c r="L601" s="8"/>
      <c r="M601" s="8"/>
      <c r="N601" s="18"/>
      <c r="O601" s="29"/>
      <c r="P601" s="29"/>
      <c r="Q601" s="29"/>
      <c r="R601" s="29"/>
      <c r="S601" s="29"/>
      <c r="T601" s="29"/>
      <c r="U601" s="29"/>
      <c r="V601" s="29"/>
    </row>
    <row r="602">
      <c r="A602" s="46"/>
      <c r="B602" s="43"/>
      <c r="C602" s="44"/>
      <c r="D602" s="45"/>
      <c r="E602" s="27"/>
      <c r="F602" s="43"/>
      <c r="G602" s="14"/>
      <c r="H602" s="15"/>
      <c r="I602" s="14"/>
      <c r="J602" s="16"/>
      <c r="K602" s="17"/>
      <c r="L602" s="8"/>
      <c r="M602" s="8"/>
      <c r="N602" s="18"/>
      <c r="O602" s="29"/>
      <c r="P602" s="29"/>
      <c r="Q602" s="29"/>
      <c r="R602" s="29"/>
      <c r="S602" s="29"/>
      <c r="T602" s="29"/>
      <c r="U602" s="29"/>
      <c r="V602" s="29"/>
    </row>
    <row r="603">
      <c r="A603" s="46"/>
      <c r="B603" s="43"/>
      <c r="C603" s="44"/>
      <c r="D603" s="45"/>
      <c r="E603" s="27"/>
      <c r="F603" s="43"/>
      <c r="G603" s="14"/>
      <c r="H603" s="15"/>
      <c r="I603" s="14"/>
      <c r="J603" s="16"/>
      <c r="K603" s="17"/>
      <c r="L603" s="8"/>
      <c r="M603" s="8"/>
      <c r="N603" s="18"/>
      <c r="O603" s="29"/>
      <c r="P603" s="29"/>
      <c r="Q603" s="29"/>
      <c r="R603" s="29"/>
      <c r="S603" s="29"/>
      <c r="T603" s="29"/>
      <c r="U603" s="29"/>
      <c r="V603" s="29"/>
    </row>
    <row r="604">
      <c r="A604" s="46"/>
      <c r="B604" s="43"/>
      <c r="C604" s="44"/>
      <c r="D604" s="45"/>
      <c r="E604" s="27"/>
      <c r="F604" s="43"/>
      <c r="G604" s="14"/>
      <c r="H604" s="15"/>
      <c r="I604" s="14"/>
      <c r="J604" s="16"/>
      <c r="K604" s="17"/>
      <c r="L604" s="8"/>
      <c r="M604" s="8"/>
      <c r="N604" s="18"/>
      <c r="O604" s="29"/>
      <c r="P604" s="29"/>
      <c r="Q604" s="29"/>
      <c r="R604" s="29"/>
      <c r="S604" s="29"/>
      <c r="T604" s="29"/>
      <c r="U604" s="29"/>
      <c r="V604" s="29"/>
    </row>
    <row r="605">
      <c r="A605" s="46"/>
      <c r="B605" s="43"/>
      <c r="C605" s="44"/>
      <c r="D605" s="45"/>
      <c r="E605" s="27"/>
      <c r="F605" s="43"/>
      <c r="G605" s="14"/>
      <c r="H605" s="15"/>
      <c r="I605" s="14"/>
      <c r="J605" s="16"/>
      <c r="K605" s="17"/>
      <c r="L605" s="8"/>
      <c r="M605" s="8"/>
      <c r="N605" s="18"/>
      <c r="O605" s="29"/>
      <c r="P605" s="29"/>
      <c r="Q605" s="29"/>
      <c r="R605" s="29"/>
      <c r="S605" s="29"/>
      <c r="T605" s="29"/>
      <c r="U605" s="29"/>
      <c r="V605" s="29"/>
    </row>
    <row r="606">
      <c r="A606" s="46"/>
      <c r="B606" s="43"/>
      <c r="C606" s="44"/>
      <c r="D606" s="45"/>
      <c r="E606" s="43"/>
      <c r="F606" s="43"/>
      <c r="G606" s="14"/>
      <c r="H606" s="15"/>
      <c r="I606" s="14"/>
      <c r="J606" s="16"/>
      <c r="K606" s="17"/>
      <c r="L606" s="8"/>
      <c r="M606" s="8"/>
      <c r="N606" s="18"/>
      <c r="O606" s="29"/>
      <c r="P606" s="29"/>
      <c r="Q606" s="29"/>
      <c r="R606" s="29"/>
      <c r="S606" s="29"/>
      <c r="T606" s="29"/>
      <c r="U606" s="29"/>
      <c r="V606" s="29"/>
    </row>
    <row r="607">
      <c r="A607" s="46"/>
      <c r="B607" s="43"/>
      <c r="C607" s="44"/>
      <c r="D607" s="45"/>
      <c r="E607" s="43"/>
      <c r="F607" s="43"/>
      <c r="G607" s="14"/>
      <c r="H607" s="15"/>
      <c r="I607" s="14"/>
      <c r="J607" s="16"/>
      <c r="K607" s="17"/>
      <c r="L607" s="8"/>
      <c r="M607" s="8"/>
      <c r="N607" s="18"/>
      <c r="O607" s="29"/>
      <c r="P607" s="29"/>
      <c r="Q607" s="29"/>
      <c r="R607" s="29"/>
      <c r="S607" s="29"/>
      <c r="T607" s="29"/>
      <c r="U607" s="29"/>
      <c r="V607" s="29"/>
    </row>
    <row r="608">
      <c r="A608" s="46"/>
      <c r="B608" s="43"/>
      <c r="C608" s="44"/>
      <c r="D608" s="45"/>
      <c r="E608" s="43"/>
      <c r="F608" s="43"/>
      <c r="G608" s="14"/>
      <c r="H608" s="15"/>
      <c r="I608" s="14"/>
      <c r="J608" s="16"/>
      <c r="K608" s="17"/>
      <c r="L608" s="8"/>
      <c r="M608" s="8"/>
      <c r="N608" s="18"/>
      <c r="O608" s="29"/>
      <c r="P608" s="29"/>
      <c r="Q608" s="29"/>
      <c r="R608" s="29"/>
      <c r="S608" s="29"/>
      <c r="T608" s="29"/>
      <c r="U608" s="29"/>
      <c r="V608" s="29"/>
    </row>
    <row r="609">
      <c r="A609" s="46"/>
      <c r="B609" s="43"/>
      <c r="C609" s="44"/>
      <c r="D609" s="45"/>
      <c r="E609" s="43"/>
      <c r="F609" s="43"/>
      <c r="G609" s="14"/>
      <c r="H609" s="15"/>
      <c r="I609" s="14"/>
      <c r="J609" s="16"/>
      <c r="K609" s="17"/>
      <c r="L609" s="8"/>
      <c r="M609" s="8"/>
      <c r="N609" s="18"/>
      <c r="O609" s="29"/>
      <c r="P609" s="29"/>
      <c r="Q609" s="29"/>
      <c r="R609" s="29"/>
      <c r="S609" s="29"/>
      <c r="T609" s="29"/>
      <c r="U609" s="29"/>
      <c r="V609" s="29"/>
    </row>
    <row r="610">
      <c r="A610" s="46"/>
      <c r="B610" s="43"/>
      <c r="C610" s="44"/>
      <c r="D610" s="45"/>
      <c r="E610" s="43"/>
      <c r="F610" s="43"/>
      <c r="G610" s="14"/>
      <c r="H610" s="15"/>
      <c r="I610" s="32"/>
      <c r="J610" s="16"/>
      <c r="K610" s="17"/>
      <c r="L610" s="8"/>
      <c r="M610" s="8"/>
      <c r="N610" s="18"/>
      <c r="O610" s="29"/>
      <c r="P610" s="29"/>
      <c r="Q610" s="29"/>
      <c r="R610" s="29"/>
      <c r="S610" s="29"/>
      <c r="T610" s="29"/>
      <c r="U610" s="29"/>
      <c r="V610" s="29"/>
    </row>
    <row r="611">
      <c r="A611" s="46"/>
      <c r="B611" s="43"/>
      <c r="C611" s="44"/>
      <c r="D611" s="45"/>
      <c r="E611" s="43"/>
      <c r="F611" s="43"/>
      <c r="G611" s="14"/>
      <c r="H611" s="15"/>
      <c r="I611" s="32"/>
      <c r="J611" s="16"/>
      <c r="K611" s="17"/>
      <c r="L611" s="8"/>
      <c r="M611" s="8"/>
      <c r="N611" s="18"/>
      <c r="O611" s="29"/>
      <c r="P611" s="29"/>
      <c r="Q611" s="29"/>
      <c r="R611" s="29"/>
      <c r="S611" s="29"/>
      <c r="T611" s="29"/>
      <c r="U611" s="29"/>
      <c r="V611" s="29"/>
    </row>
    <row r="612">
      <c r="A612" s="46"/>
      <c r="B612" s="43"/>
      <c r="C612" s="44"/>
      <c r="D612" s="45"/>
      <c r="E612" s="43"/>
      <c r="F612" s="43"/>
      <c r="G612" s="14"/>
      <c r="H612" s="15"/>
      <c r="I612" s="32"/>
      <c r="J612" s="16"/>
      <c r="K612" s="17"/>
      <c r="L612" s="8"/>
      <c r="M612" s="8"/>
      <c r="N612" s="18"/>
      <c r="O612" s="29"/>
      <c r="P612" s="29"/>
      <c r="Q612" s="29"/>
      <c r="R612" s="29"/>
      <c r="S612" s="29"/>
      <c r="T612" s="29"/>
      <c r="U612" s="29"/>
      <c r="V612" s="29"/>
    </row>
    <row r="613">
      <c r="A613" s="46"/>
      <c r="B613" s="43"/>
      <c r="C613" s="44"/>
      <c r="D613" s="45"/>
      <c r="E613" s="43"/>
      <c r="F613" s="43"/>
      <c r="G613" s="14"/>
      <c r="H613" s="15"/>
      <c r="I613" s="14"/>
      <c r="J613" s="16"/>
      <c r="K613" s="17"/>
      <c r="L613" s="8"/>
      <c r="M613" s="8"/>
      <c r="N613" s="18"/>
      <c r="O613" s="29"/>
      <c r="P613" s="29"/>
      <c r="Q613" s="29"/>
      <c r="R613" s="29"/>
      <c r="S613" s="29"/>
      <c r="T613" s="29"/>
      <c r="U613" s="29"/>
      <c r="V613" s="29"/>
    </row>
    <row r="614">
      <c r="A614" s="46"/>
      <c r="B614" s="43"/>
      <c r="C614" s="44"/>
      <c r="D614" s="45"/>
      <c r="E614" s="43"/>
      <c r="F614" s="43"/>
      <c r="G614" s="14"/>
      <c r="H614" s="15"/>
      <c r="I614" s="14"/>
      <c r="J614" s="16"/>
      <c r="K614" s="17"/>
      <c r="L614" s="8"/>
      <c r="M614" s="8"/>
      <c r="N614" s="18"/>
      <c r="O614" s="29"/>
      <c r="P614" s="29"/>
      <c r="Q614" s="29"/>
      <c r="R614" s="29"/>
      <c r="S614" s="29"/>
      <c r="T614" s="29"/>
      <c r="U614" s="29"/>
      <c r="V614" s="29"/>
    </row>
    <row r="615">
      <c r="A615" s="46"/>
      <c r="B615" s="43"/>
      <c r="C615" s="44"/>
      <c r="D615" s="45"/>
      <c r="E615" s="43"/>
      <c r="F615" s="43"/>
      <c r="G615" s="14"/>
      <c r="H615" s="15"/>
      <c r="I615" s="14"/>
      <c r="J615" s="16"/>
      <c r="K615" s="17"/>
      <c r="L615" s="8"/>
      <c r="M615" s="8"/>
      <c r="N615" s="18"/>
      <c r="O615" s="29"/>
      <c r="P615" s="29"/>
      <c r="Q615" s="29"/>
      <c r="R615" s="29"/>
      <c r="S615" s="29"/>
      <c r="T615" s="29"/>
      <c r="U615" s="29"/>
      <c r="V615" s="29"/>
    </row>
    <row r="616">
      <c r="A616" s="46"/>
      <c r="B616" s="43"/>
      <c r="C616" s="44"/>
      <c r="D616" s="45"/>
      <c r="E616" s="43"/>
      <c r="F616" s="43"/>
      <c r="G616" s="14"/>
      <c r="H616" s="15"/>
      <c r="I616" s="14"/>
      <c r="J616" s="16"/>
      <c r="K616" s="17"/>
      <c r="L616" s="8"/>
      <c r="M616" s="8"/>
      <c r="N616" s="18"/>
      <c r="O616" s="29"/>
      <c r="P616" s="29"/>
      <c r="Q616" s="29"/>
      <c r="R616" s="29"/>
      <c r="S616" s="29"/>
      <c r="T616" s="29"/>
      <c r="U616" s="29"/>
      <c r="V616" s="29"/>
    </row>
    <row r="617">
      <c r="A617" s="46"/>
      <c r="B617" s="43"/>
      <c r="C617" s="44"/>
      <c r="D617" s="45"/>
      <c r="E617" s="43"/>
      <c r="F617" s="43"/>
      <c r="G617" s="14"/>
      <c r="H617" s="15"/>
      <c r="I617" s="14"/>
      <c r="J617" s="16"/>
      <c r="K617" s="17"/>
      <c r="L617" s="8"/>
      <c r="M617" s="8"/>
      <c r="N617" s="18"/>
      <c r="O617" s="29"/>
      <c r="P617" s="29"/>
      <c r="Q617" s="29"/>
      <c r="R617" s="29"/>
      <c r="S617" s="29"/>
      <c r="T617" s="29"/>
      <c r="U617" s="29"/>
      <c r="V617" s="29"/>
    </row>
    <row r="618">
      <c r="A618" s="46"/>
      <c r="B618" s="43"/>
      <c r="C618" s="44"/>
      <c r="D618" s="45"/>
      <c r="E618" s="43"/>
      <c r="F618" s="43"/>
      <c r="G618" s="14"/>
      <c r="H618" s="15"/>
      <c r="I618" s="14"/>
      <c r="J618" s="16"/>
      <c r="K618" s="17"/>
      <c r="L618" s="8"/>
      <c r="M618" s="8"/>
      <c r="N618" s="18"/>
      <c r="O618" s="29"/>
      <c r="P618" s="29"/>
      <c r="Q618" s="29"/>
      <c r="R618" s="29"/>
      <c r="S618" s="29"/>
      <c r="T618" s="29"/>
      <c r="U618" s="29"/>
      <c r="V618" s="29"/>
    </row>
    <row r="619">
      <c r="A619" s="46"/>
      <c r="B619" s="43"/>
      <c r="C619" s="44"/>
      <c r="D619" s="45"/>
      <c r="E619" s="43"/>
      <c r="F619" s="43"/>
      <c r="G619" s="14"/>
      <c r="H619" s="15"/>
      <c r="I619" s="14"/>
      <c r="J619" s="16"/>
      <c r="K619" s="17"/>
      <c r="L619" s="8"/>
      <c r="M619" s="8"/>
      <c r="N619" s="18"/>
      <c r="O619" s="29"/>
      <c r="P619" s="29"/>
      <c r="Q619" s="29"/>
      <c r="R619" s="29"/>
      <c r="S619" s="29"/>
      <c r="T619" s="29"/>
      <c r="U619" s="29"/>
      <c r="V619" s="29"/>
    </row>
    <row r="620">
      <c r="A620" s="46"/>
      <c r="B620" s="43"/>
      <c r="C620" s="44"/>
      <c r="D620" s="45"/>
      <c r="E620" s="43"/>
      <c r="F620" s="43"/>
      <c r="G620" s="14"/>
      <c r="H620" s="15"/>
      <c r="I620" s="14"/>
      <c r="J620" s="16"/>
      <c r="K620" s="17"/>
      <c r="L620" s="8"/>
      <c r="M620" s="8"/>
      <c r="N620" s="18"/>
      <c r="O620" s="29"/>
      <c r="P620" s="29"/>
      <c r="Q620" s="29"/>
      <c r="R620" s="29"/>
      <c r="S620" s="29"/>
      <c r="T620" s="29"/>
      <c r="U620" s="29"/>
      <c r="V620" s="29"/>
    </row>
    <row r="621">
      <c r="A621" s="46"/>
      <c r="B621" s="43"/>
      <c r="C621" s="44"/>
      <c r="D621" s="45"/>
      <c r="E621" s="43"/>
      <c r="F621" s="43"/>
      <c r="G621" s="14"/>
      <c r="H621" s="15"/>
      <c r="I621" s="32"/>
      <c r="J621" s="16"/>
      <c r="K621" s="17"/>
      <c r="L621" s="8"/>
      <c r="M621" s="8"/>
      <c r="N621" s="18"/>
      <c r="O621" s="29"/>
      <c r="P621" s="29"/>
      <c r="Q621" s="29"/>
      <c r="R621" s="29"/>
      <c r="S621" s="29"/>
      <c r="T621" s="29"/>
      <c r="U621" s="29"/>
      <c r="V621" s="29"/>
    </row>
    <row r="622">
      <c r="A622" s="46"/>
      <c r="B622" s="43"/>
      <c r="C622" s="44"/>
      <c r="D622" s="45"/>
      <c r="E622" s="43"/>
      <c r="F622" s="43"/>
      <c r="G622" s="14"/>
      <c r="H622" s="15"/>
      <c r="I622" s="32"/>
      <c r="J622" s="16"/>
      <c r="K622" s="17"/>
      <c r="L622" s="8"/>
      <c r="M622" s="8"/>
      <c r="N622" s="18"/>
      <c r="O622" s="29"/>
      <c r="P622" s="29"/>
      <c r="Q622" s="29"/>
      <c r="R622" s="29"/>
      <c r="S622" s="29"/>
      <c r="T622" s="29"/>
      <c r="U622" s="29"/>
      <c r="V622" s="29"/>
    </row>
    <row r="623">
      <c r="A623" s="46"/>
      <c r="B623" s="43"/>
      <c r="C623" s="44"/>
      <c r="D623" s="45"/>
      <c r="E623" s="43"/>
      <c r="F623" s="43"/>
      <c r="G623" s="14"/>
      <c r="H623" s="15"/>
      <c r="I623" s="32"/>
      <c r="J623" s="16"/>
      <c r="K623" s="17"/>
      <c r="L623" s="8"/>
      <c r="M623" s="8"/>
      <c r="N623" s="18"/>
      <c r="O623" s="29"/>
      <c r="P623" s="29"/>
      <c r="Q623" s="29"/>
      <c r="R623" s="29"/>
      <c r="S623" s="29"/>
      <c r="T623" s="29"/>
      <c r="U623" s="29"/>
      <c r="V623" s="29"/>
    </row>
    <row r="624">
      <c r="A624" s="46"/>
      <c r="B624" s="43"/>
      <c r="C624" s="44"/>
      <c r="D624" s="45"/>
      <c r="E624" s="43"/>
      <c r="F624" s="43"/>
      <c r="G624" s="14"/>
      <c r="H624" s="15"/>
      <c r="I624" s="14"/>
      <c r="J624" s="16"/>
      <c r="K624" s="17"/>
      <c r="L624" s="8"/>
      <c r="M624" s="8"/>
      <c r="N624" s="18"/>
      <c r="O624" s="29"/>
      <c r="P624" s="29"/>
      <c r="Q624" s="29"/>
      <c r="R624" s="29"/>
      <c r="S624" s="29"/>
      <c r="T624" s="29"/>
      <c r="U624" s="29"/>
      <c r="V624" s="29"/>
    </row>
    <row r="625">
      <c r="A625" s="46"/>
      <c r="B625" s="43"/>
      <c r="C625" s="44"/>
      <c r="D625" s="45"/>
      <c r="E625" s="43"/>
      <c r="F625" s="43"/>
      <c r="G625" s="14"/>
      <c r="H625" s="15"/>
      <c r="I625" s="14"/>
      <c r="J625" s="16"/>
      <c r="K625" s="17"/>
      <c r="L625" s="8"/>
      <c r="M625" s="8"/>
      <c r="N625" s="18"/>
      <c r="O625" s="29"/>
      <c r="P625" s="29"/>
      <c r="Q625" s="29"/>
      <c r="R625" s="29"/>
      <c r="S625" s="29"/>
      <c r="T625" s="29"/>
      <c r="U625" s="29"/>
      <c r="V625" s="29"/>
    </row>
    <row r="626">
      <c r="A626" s="46"/>
      <c r="B626" s="43"/>
      <c r="C626" s="44"/>
      <c r="D626" s="45"/>
      <c r="E626" s="43"/>
      <c r="F626" s="43"/>
      <c r="G626" s="14"/>
      <c r="H626" s="15"/>
      <c r="I626" s="14"/>
      <c r="J626" s="16"/>
      <c r="K626" s="17"/>
      <c r="L626" s="8"/>
      <c r="M626" s="8"/>
      <c r="N626" s="18"/>
      <c r="O626" s="29"/>
      <c r="P626" s="29"/>
      <c r="Q626" s="29"/>
      <c r="R626" s="29"/>
      <c r="S626" s="29"/>
      <c r="T626" s="29"/>
      <c r="U626" s="29"/>
      <c r="V626" s="29"/>
    </row>
    <row r="627">
      <c r="A627" s="46"/>
      <c r="B627" s="43"/>
      <c r="C627" s="44"/>
      <c r="D627" s="45"/>
      <c r="E627" s="43"/>
      <c r="F627" s="43"/>
      <c r="G627" s="14"/>
      <c r="H627" s="15"/>
      <c r="I627" s="14"/>
      <c r="J627" s="16"/>
      <c r="K627" s="17"/>
      <c r="L627" s="8"/>
      <c r="M627" s="8"/>
      <c r="N627" s="18"/>
      <c r="O627" s="29"/>
      <c r="P627" s="29"/>
      <c r="Q627" s="29"/>
      <c r="R627" s="29"/>
      <c r="S627" s="29"/>
      <c r="T627" s="29"/>
      <c r="U627" s="29"/>
      <c r="V627" s="29"/>
    </row>
    <row r="628">
      <c r="A628" s="46"/>
      <c r="B628" s="43"/>
      <c r="C628" s="44"/>
      <c r="D628" s="45"/>
      <c r="E628" s="43"/>
      <c r="F628" s="43"/>
      <c r="G628" s="14"/>
      <c r="H628" s="15"/>
      <c r="I628" s="14"/>
      <c r="J628" s="16"/>
      <c r="K628" s="17"/>
      <c r="L628" s="8"/>
      <c r="M628" s="8"/>
      <c r="N628" s="18"/>
      <c r="O628" s="29"/>
      <c r="P628" s="29"/>
      <c r="Q628" s="29"/>
      <c r="R628" s="29"/>
      <c r="S628" s="29"/>
      <c r="T628" s="29"/>
      <c r="U628" s="29"/>
      <c r="V628" s="29"/>
    </row>
    <row r="629">
      <c r="A629" s="46"/>
      <c r="B629" s="43"/>
      <c r="C629" s="44"/>
      <c r="D629" s="45"/>
      <c r="E629" s="43"/>
      <c r="F629" s="43"/>
      <c r="G629" s="14"/>
      <c r="H629" s="15"/>
      <c r="I629" s="14"/>
      <c r="J629" s="16"/>
      <c r="K629" s="17"/>
      <c r="L629" s="8"/>
      <c r="M629" s="8"/>
      <c r="N629" s="18"/>
      <c r="O629" s="29"/>
      <c r="P629" s="29"/>
      <c r="Q629" s="29"/>
      <c r="R629" s="29"/>
      <c r="S629" s="29"/>
      <c r="T629" s="29"/>
      <c r="U629" s="29"/>
      <c r="V629" s="29"/>
    </row>
    <row r="630">
      <c r="A630" s="46"/>
      <c r="B630" s="43"/>
      <c r="C630" s="44"/>
      <c r="D630" s="45"/>
      <c r="E630" s="43"/>
      <c r="F630" s="43"/>
      <c r="G630" s="14"/>
      <c r="H630" s="15"/>
      <c r="I630" s="14"/>
      <c r="J630" s="16"/>
      <c r="K630" s="17"/>
      <c r="L630" s="8"/>
      <c r="M630" s="8"/>
      <c r="N630" s="18"/>
      <c r="O630" s="29"/>
      <c r="P630" s="29"/>
      <c r="Q630" s="29"/>
      <c r="R630" s="29"/>
      <c r="S630" s="29"/>
      <c r="T630" s="29"/>
      <c r="U630" s="29"/>
      <c r="V630" s="29"/>
    </row>
    <row r="631">
      <c r="A631" s="46"/>
      <c r="B631" s="43"/>
      <c r="C631" s="44"/>
      <c r="D631" s="45"/>
      <c r="E631" s="43"/>
      <c r="F631" s="43"/>
      <c r="G631" s="14"/>
      <c r="H631" s="15"/>
      <c r="I631" s="14"/>
      <c r="J631" s="16"/>
      <c r="K631" s="17"/>
      <c r="L631" s="8"/>
      <c r="M631" s="8"/>
      <c r="N631" s="18"/>
      <c r="O631" s="29"/>
      <c r="P631" s="29"/>
      <c r="Q631" s="29"/>
      <c r="R631" s="29"/>
      <c r="S631" s="29"/>
      <c r="T631" s="29"/>
      <c r="U631" s="29"/>
      <c r="V631" s="29"/>
    </row>
    <row r="632">
      <c r="A632" s="46"/>
      <c r="B632" s="43"/>
      <c r="C632" s="44"/>
      <c r="D632" s="45"/>
      <c r="E632" s="43"/>
      <c r="F632" s="43"/>
      <c r="G632" s="14"/>
      <c r="H632" s="15"/>
      <c r="I632" s="14"/>
      <c r="J632" s="16"/>
      <c r="K632" s="17"/>
      <c r="L632" s="8"/>
      <c r="M632" s="8"/>
      <c r="N632" s="18"/>
      <c r="O632" s="29"/>
      <c r="P632" s="29"/>
      <c r="Q632" s="29"/>
      <c r="R632" s="29"/>
      <c r="S632" s="29"/>
      <c r="T632" s="29"/>
      <c r="U632" s="29"/>
      <c r="V632" s="29"/>
    </row>
    <row r="633">
      <c r="A633" s="46"/>
      <c r="B633" s="43"/>
      <c r="C633" s="44"/>
      <c r="D633" s="45"/>
      <c r="E633" s="43"/>
      <c r="F633" s="43"/>
      <c r="G633" s="14"/>
      <c r="H633" s="15"/>
      <c r="I633" s="14"/>
      <c r="J633" s="16"/>
      <c r="K633" s="17"/>
      <c r="L633" s="8"/>
      <c r="M633" s="8"/>
      <c r="N633" s="18"/>
      <c r="O633" s="29"/>
      <c r="P633" s="29"/>
      <c r="Q633" s="29"/>
      <c r="R633" s="29"/>
      <c r="S633" s="29"/>
      <c r="T633" s="29"/>
      <c r="U633" s="29"/>
      <c r="V633" s="29"/>
    </row>
    <row r="634">
      <c r="A634" s="46"/>
      <c r="B634" s="43"/>
      <c r="C634" s="44"/>
      <c r="D634" s="45"/>
      <c r="E634" s="43"/>
      <c r="F634" s="43"/>
      <c r="G634" s="14"/>
      <c r="H634" s="15"/>
      <c r="I634" s="14"/>
      <c r="J634" s="16"/>
      <c r="K634" s="17"/>
      <c r="L634" s="8"/>
      <c r="M634" s="8"/>
      <c r="N634" s="18"/>
      <c r="O634" s="29"/>
      <c r="P634" s="29"/>
      <c r="Q634" s="29"/>
      <c r="R634" s="29"/>
      <c r="S634" s="29"/>
      <c r="T634" s="29"/>
      <c r="U634" s="29"/>
      <c r="V634" s="29"/>
    </row>
    <row r="635">
      <c r="A635" s="46"/>
      <c r="B635" s="43"/>
      <c r="C635" s="44"/>
      <c r="D635" s="45"/>
      <c r="E635" s="43"/>
      <c r="F635" s="43"/>
      <c r="G635" s="14"/>
      <c r="H635" s="15"/>
      <c r="I635" s="14"/>
      <c r="J635" s="16"/>
      <c r="K635" s="17"/>
      <c r="L635" s="8"/>
      <c r="M635" s="8"/>
      <c r="N635" s="18"/>
      <c r="O635" s="29"/>
      <c r="P635" s="29"/>
      <c r="Q635" s="29"/>
      <c r="R635" s="29"/>
      <c r="S635" s="29"/>
      <c r="T635" s="29"/>
      <c r="U635" s="29"/>
      <c r="V635" s="29"/>
    </row>
    <row r="636">
      <c r="A636" s="46"/>
      <c r="B636" s="43"/>
      <c r="C636" s="44"/>
      <c r="D636" s="45"/>
      <c r="E636" s="43"/>
      <c r="F636" s="43"/>
      <c r="G636" s="14"/>
      <c r="H636" s="15"/>
      <c r="I636" s="14"/>
      <c r="J636" s="16"/>
      <c r="K636" s="17"/>
      <c r="L636" s="8"/>
      <c r="M636" s="8"/>
      <c r="N636" s="18"/>
      <c r="O636" s="29"/>
      <c r="P636" s="29"/>
      <c r="Q636" s="29"/>
      <c r="R636" s="29"/>
      <c r="S636" s="29"/>
      <c r="T636" s="29"/>
      <c r="U636" s="29"/>
      <c r="V636" s="29"/>
    </row>
    <row r="637">
      <c r="A637" s="46"/>
      <c r="B637" s="43"/>
      <c r="C637" s="44"/>
      <c r="D637" s="45"/>
      <c r="E637" s="43"/>
      <c r="F637" s="43"/>
      <c r="G637" s="14"/>
      <c r="H637" s="15"/>
      <c r="I637" s="14"/>
      <c r="J637" s="16"/>
      <c r="K637" s="17"/>
      <c r="L637" s="8"/>
      <c r="M637" s="8"/>
      <c r="N637" s="18"/>
      <c r="O637" s="29"/>
      <c r="P637" s="29"/>
      <c r="Q637" s="29"/>
      <c r="R637" s="29"/>
      <c r="S637" s="29"/>
      <c r="T637" s="29"/>
      <c r="U637" s="29"/>
      <c r="V637" s="29"/>
    </row>
    <row r="638">
      <c r="A638" s="46"/>
      <c r="B638" s="43"/>
      <c r="C638" s="44"/>
      <c r="D638" s="45"/>
      <c r="E638" s="43"/>
      <c r="F638" s="43"/>
      <c r="G638" s="14"/>
      <c r="H638" s="15"/>
      <c r="I638" s="14"/>
      <c r="J638" s="16"/>
      <c r="K638" s="17"/>
      <c r="L638" s="8"/>
      <c r="M638" s="8"/>
      <c r="N638" s="18"/>
      <c r="O638" s="29"/>
      <c r="P638" s="29"/>
      <c r="Q638" s="29"/>
      <c r="R638" s="29"/>
      <c r="S638" s="29"/>
      <c r="T638" s="29"/>
      <c r="U638" s="29"/>
      <c r="V638" s="29"/>
    </row>
    <row r="639">
      <c r="A639" s="46"/>
      <c r="B639" s="43"/>
      <c r="C639" s="44"/>
      <c r="D639" s="45"/>
      <c r="E639" s="43"/>
      <c r="F639" s="43"/>
      <c r="G639" s="14"/>
      <c r="H639" s="15"/>
      <c r="I639" s="14"/>
      <c r="J639" s="16"/>
      <c r="K639" s="17"/>
      <c r="L639" s="8"/>
      <c r="M639" s="8"/>
      <c r="N639" s="18"/>
      <c r="O639" s="29"/>
      <c r="P639" s="29"/>
      <c r="Q639" s="29"/>
      <c r="R639" s="29"/>
      <c r="S639" s="29"/>
      <c r="T639" s="29"/>
      <c r="U639" s="29"/>
      <c r="V639" s="29"/>
    </row>
    <row r="640">
      <c r="A640" s="46"/>
      <c r="B640" s="43"/>
      <c r="C640" s="44"/>
      <c r="D640" s="45"/>
      <c r="E640" s="43"/>
      <c r="F640" s="43"/>
      <c r="G640" s="14"/>
      <c r="H640" s="15"/>
      <c r="I640" s="14"/>
      <c r="J640" s="16"/>
      <c r="K640" s="17"/>
      <c r="L640" s="8"/>
      <c r="M640" s="8"/>
      <c r="N640" s="18"/>
      <c r="O640" s="29"/>
      <c r="P640" s="29"/>
      <c r="Q640" s="29"/>
      <c r="R640" s="29"/>
      <c r="S640" s="29"/>
      <c r="T640" s="29"/>
      <c r="U640" s="29"/>
      <c r="V640" s="29"/>
    </row>
    <row r="641">
      <c r="A641" s="46"/>
      <c r="B641" s="43"/>
      <c r="C641" s="44"/>
      <c r="D641" s="45"/>
      <c r="E641" s="43"/>
      <c r="F641" s="43"/>
      <c r="G641" s="14"/>
      <c r="H641" s="15"/>
      <c r="I641" s="14"/>
      <c r="J641" s="16"/>
      <c r="K641" s="17"/>
      <c r="L641" s="8"/>
      <c r="M641" s="8"/>
      <c r="N641" s="18"/>
      <c r="O641" s="29"/>
      <c r="P641" s="29"/>
      <c r="Q641" s="29"/>
      <c r="R641" s="29"/>
      <c r="S641" s="29"/>
      <c r="T641" s="29"/>
      <c r="U641" s="29"/>
      <c r="V641" s="29"/>
    </row>
    <row r="642">
      <c r="A642" s="46"/>
      <c r="B642" s="43"/>
      <c r="C642" s="44"/>
      <c r="D642" s="45"/>
      <c r="E642" s="43"/>
      <c r="F642" s="43"/>
      <c r="G642" s="14"/>
      <c r="H642" s="15"/>
      <c r="I642" s="14"/>
      <c r="J642" s="16"/>
      <c r="K642" s="17"/>
      <c r="L642" s="8"/>
      <c r="M642" s="8"/>
      <c r="N642" s="18"/>
      <c r="O642" s="29"/>
      <c r="P642" s="29"/>
      <c r="Q642" s="29"/>
      <c r="R642" s="29"/>
      <c r="S642" s="29"/>
      <c r="T642" s="29"/>
      <c r="U642" s="29"/>
      <c r="V642" s="29"/>
    </row>
    <row r="643">
      <c r="A643" s="46"/>
      <c r="B643" s="43"/>
      <c r="C643" s="44"/>
      <c r="D643" s="45"/>
      <c r="E643" s="43"/>
      <c r="F643" s="43"/>
      <c r="G643" s="14"/>
      <c r="H643" s="15"/>
      <c r="I643" s="14"/>
      <c r="J643" s="16"/>
      <c r="K643" s="17"/>
      <c r="L643" s="8"/>
      <c r="M643" s="8"/>
      <c r="N643" s="18"/>
      <c r="O643" s="29"/>
      <c r="P643" s="29"/>
      <c r="Q643" s="29"/>
      <c r="R643" s="29"/>
      <c r="S643" s="29"/>
      <c r="T643" s="29"/>
      <c r="U643" s="29"/>
      <c r="V643" s="29"/>
    </row>
    <row r="644">
      <c r="A644" s="46"/>
      <c r="B644" s="43"/>
      <c r="C644" s="44"/>
      <c r="D644" s="45"/>
      <c r="E644" s="43"/>
      <c r="F644" s="43"/>
      <c r="G644" s="14"/>
      <c r="H644" s="15"/>
      <c r="I644" s="14"/>
      <c r="J644" s="16"/>
      <c r="K644" s="17"/>
      <c r="L644" s="8"/>
      <c r="M644" s="8"/>
      <c r="N644" s="18"/>
      <c r="O644" s="29"/>
      <c r="P644" s="29"/>
      <c r="Q644" s="29"/>
      <c r="R644" s="29"/>
      <c r="S644" s="29"/>
      <c r="T644" s="29"/>
      <c r="U644" s="29"/>
      <c r="V644" s="29"/>
    </row>
    <row r="645">
      <c r="A645" s="46"/>
      <c r="B645" s="43"/>
      <c r="C645" s="44"/>
      <c r="D645" s="45"/>
      <c r="E645" s="43"/>
      <c r="F645" s="43"/>
      <c r="G645" s="14"/>
      <c r="H645" s="15"/>
      <c r="I645" s="14"/>
      <c r="J645" s="16"/>
      <c r="K645" s="17"/>
      <c r="L645" s="8"/>
      <c r="M645" s="8"/>
      <c r="N645" s="18"/>
      <c r="O645" s="29"/>
      <c r="P645" s="29"/>
      <c r="Q645" s="29"/>
      <c r="R645" s="29"/>
      <c r="S645" s="29"/>
      <c r="T645" s="29"/>
      <c r="U645" s="29"/>
      <c r="V645" s="29"/>
    </row>
    <row r="646">
      <c r="A646" s="46"/>
      <c r="B646" s="43"/>
      <c r="C646" s="44"/>
      <c r="D646" s="45"/>
      <c r="E646" s="43"/>
      <c r="F646" s="43"/>
      <c r="G646" s="14"/>
      <c r="H646" s="15"/>
      <c r="I646" s="14"/>
      <c r="J646" s="16"/>
      <c r="K646" s="17"/>
      <c r="L646" s="8"/>
      <c r="M646" s="8"/>
      <c r="N646" s="18"/>
      <c r="O646" s="29"/>
      <c r="P646" s="29"/>
      <c r="Q646" s="29"/>
      <c r="R646" s="29"/>
      <c r="S646" s="29"/>
      <c r="T646" s="29"/>
      <c r="U646" s="29"/>
      <c r="V646" s="29"/>
    </row>
    <row r="647">
      <c r="A647" s="46"/>
      <c r="B647" s="43"/>
      <c r="C647" s="44"/>
      <c r="D647" s="45"/>
      <c r="E647" s="43"/>
      <c r="F647" s="43"/>
      <c r="G647" s="14"/>
      <c r="H647" s="15"/>
      <c r="I647" s="14"/>
      <c r="J647" s="16"/>
      <c r="K647" s="17"/>
      <c r="L647" s="8"/>
      <c r="M647" s="8"/>
      <c r="N647" s="18"/>
      <c r="O647" s="29"/>
      <c r="P647" s="29"/>
      <c r="Q647" s="29"/>
      <c r="R647" s="29"/>
      <c r="S647" s="29"/>
      <c r="T647" s="29"/>
      <c r="U647" s="29"/>
      <c r="V647" s="29"/>
    </row>
    <row r="648">
      <c r="A648" s="46"/>
      <c r="B648" s="43"/>
      <c r="C648" s="44"/>
      <c r="D648" s="45"/>
      <c r="E648" s="43"/>
      <c r="F648" s="43"/>
      <c r="G648" s="14"/>
      <c r="H648" s="15"/>
      <c r="I648" s="14"/>
      <c r="J648" s="16"/>
      <c r="K648" s="17"/>
      <c r="L648" s="8"/>
      <c r="M648" s="8"/>
      <c r="N648" s="18"/>
      <c r="O648" s="29"/>
      <c r="P648" s="29"/>
      <c r="Q648" s="29"/>
      <c r="R648" s="29"/>
      <c r="S648" s="29"/>
      <c r="T648" s="29"/>
      <c r="U648" s="29"/>
      <c r="V648" s="29"/>
    </row>
    <row r="649">
      <c r="A649" s="46"/>
      <c r="B649" s="43"/>
      <c r="C649" s="44"/>
      <c r="D649" s="45"/>
      <c r="E649" s="43"/>
      <c r="F649" s="43"/>
      <c r="G649" s="14"/>
      <c r="H649" s="15"/>
      <c r="I649" s="14"/>
      <c r="J649" s="16"/>
      <c r="K649" s="17"/>
      <c r="L649" s="8"/>
      <c r="M649" s="8"/>
      <c r="N649" s="18"/>
      <c r="O649" s="29"/>
      <c r="P649" s="29"/>
      <c r="Q649" s="29"/>
      <c r="R649" s="29"/>
      <c r="S649" s="29"/>
      <c r="T649" s="29"/>
      <c r="U649" s="29"/>
      <c r="V649" s="29"/>
    </row>
    <row r="650">
      <c r="A650" s="46"/>
      <c r="B650" s="43"/>
      <c r="C650" s="44"/>
      <c r="D650" s="45"/>
      <c r="E650" s="43"/>
      <c r="F650" s="43"/>
      <c r="G650" s="14"/>
      <c r="H650" s="15"/>
      <c r="I650" s="14"/>
      <c r="J650" s="16"/>
      <c r="K650" s="17"/>
      <c r="L650" s="8"/>
      <c r="M650" s="8"/>
      <c r="N650" s="18"/>
      <c r="O650" s="29"/>
      <c r="P650" s="29"/>
      <c r="Q650" s="29"/>
      <c r="R650" s="29"/>
      <c r="S650" s="29"/>
      <c r="T650" s="29"/>
      <c r="U650" s="29"/>
      <c r="V650" s="29"/>
    </row>
    <row r="651">
      <c r="A651" s="46"/>
      <c r="B651" s="43"/>
      <c r="C651" s="44"/>
      <c r="D651" s="45"/>
      <c r="E651" s="43"/>
      <c r="F651" s="43"/>
      <c r="G651" s="14"/>
      <c r="H651" s="15"/>
      <c r="I651" s="14"/>
      <c r="J651" s="16"/>
      <c r="K651" s="17"/>
      <c r="L651" s="8"/>
      <c r="M651" s="8"/>
      <c r="N651" s="18"/>
      <c r="O651" s="29"/>
      <c r="P651" s="29"/>
      <c r="Q651" s="29"/>
      <c r="R651" s="29"/>
      <c r="S651" s="29"/>
      <c r="T651" s="29"/>
      <c r="U651" s="29"/>
      <c r="V651" s="29"/>
    </row>
    <row r="652">
      <c r="A652" s="46"/>
      <c r="B652" s="43"/>
      <c r="C652" s="44"/>
      <c r="D652" s="45"/>
      <c r="E652" s="43"/>
      <c r="F652" s="43"/>
      <c r="G652" s="14"/>
      <c r="H652" s="15"/>
      <c r="I652" s="32"/>
      <c r="J652" s="16"/>
      <c r="K652" s="17"/>
      <c r="L652" s="8"/>
      <c r="M652" s="8"/>
      <c r="N652" s="18"/>
      <c r="O652" s="29"/>
      <c r="P652" s="29"/>
      <c r="Q652" s="29"/>
      <c r="R652" s="29"/>
      <c r="S652" s="29"/>
      <c r="T652" s="29"/>
      <c r="U652" s="29"/>
      <c r="V652" s="29"/>
    </row>
    <row r="653">
      <c r="A653" s="46"/>
      <c r="B653" s="43"/>
      <c r="C653" s="44"/>
      <c r="D653" s="45"/>
      <c r="E653" s="43"/>
      <c r="F653" s="43"/>
      <c r="G653" s="14"/>
      <c r="H653" s="15"/>
      <c r="I653" s="32"/>
      <c r="J653" s="16"/>
      <c r="K653" s="17"/>
      <c r="L653" s="8"/>
      <c r="M653" s="8"/>
      <c r="N653" s="18"/>
      <c r="O653" s="29"/>
      <c r="P653" s="29"/>
      <c r="Q653" s="29"/>
      <c r="R653" s="29"/>
      <c r="S653" s="29"/>
      <c r="T653" s="29"/>
      <c r="U653" s="29"/>
      <c r="V653" s="29"/>
    </row>
    <row r="654">
      <c r="A654" s="46"/>
      <c r="B654" s="43"/>
      <c r="C654" s="44"/>
      <c r="D654" s="45"/>
      <c r="E654" s="43"/>
      <c r="F654" s="43"/>
      <c r="G654" s="14"/>
      <c r="H654" s="15"/>
      <c r="I654" s="14"/>
      <c r="J654" s="16"/>
      <c r="K654" s="17"/>
      <c r="L654" s="8"/>
      <c r="M654" s="8"/>
      <c r="N654" s="18"/>
      <c r="O654" s="29"/>
      <c r="P654" s="29"/>
      <c r="Q654" s="29"/>
      <c r="R654" s="29"/>
      <c r="S654" s="29"/>
      <c r="T654" s="29"/>
      <c r="U654" s="29"/>
      <c r="V654" s="29"/>
    </row>
    <row r="655">
      <c r="A655" s="46"/>
      <c r="B655" s="43"/>
      <c r="C655" s="44"/>
      <c r="D655" s="45"/>
      <c r="E655" s="43"/>
      <c r="F655" s="43"/>
      <c r="G655" s="14"/>
      <c r="H655" s="15"/>
      <c r="I655" s="14"/>
      <c r="J655" s="16"/>
      <c r="K655" s="17"/>
      <c r="L655" s="8"/>
      <c r="M655" s="8"/>
      <c r="N655" s="18"/>
      <c r="O655" s="29"/>
      <c r="P655" s="29"/>
      <c r="Q655" s="29"/>
      <c r="R655" s="29"/>
      <c r="S655" s="29"/>
      <c r="T655" s="29"/>
      <c r="U655" s="29"/>
      <c r="V655" s="29"/>
    </row>
    <row r="656">
      <c r="A656" s="46"/>
      <c r="B656" s="43"/>
      <c r="C656" s="44"/>
      <c r="D656" s="45"/>
      <c r="E656" s="43"/>
      <c r="F656" s="43"/>
      <c r="G656" s="14"/>
      <c r="H656" s="15"/>
      <c r="I656" s="14"/>
      <c r="J656" s="16"/>
      <c r="K656" s="17"/>
      <c r="L656" s="8"/>
      <c r="M656" s="8"/>
      <c r="N656" s="18"/>
      <c r="O656" s="29"/>
      <c r="P656" s="29"/>
      <c r="Q656" s="29"/>
      <c r="R656" s="29"/>
      <c r="S656" s="29"/>
      <c r="T656" s="29"/>
      <c r="U656" s="29"/>
      <c r="V656" s="29"/>
    </row>
    <row r="657">
      <c r="A657" s="46"/>
      <c r="B657" s="43"/>
      <c r="C657" s="44"/>
      <c r="D657" s="45"/>
      <c r="E657" s="43"/>
      <c r="F657" s="43"/>
      <c r="G657" s="14"/>
      <c r="H657" s="15"/>
      <c r="I657" s="32"/>
      <c r="J657" s="16"/>
      <c r="K657" s="17"/>
      <c r="L657" s="8"/>
      <c r="M657" s="8"/>
      <c r="N657" s="18"/>
      <c r="O657" s="29"/>
      <c r="P657" s="29"/>
      <c r="Q657" s="29"/>
      <c r="R657" s="29"/>
      <c r="S657" s="29"/>
      <c r="T657" s="29"/>
      <c r="U657" s="29"/>
      <c r="V657" s="29"/>
    </row>
    <row r="658">
      <c r="A658" s="46"/>
      <c r="B658" s="43"/>
      <c r="C658" s="44"/>
      <c r="D658" s="45"/>
      <c r="E658" s="43"/>
      <c r="F658" s="43"/>
      <c r="G658" s="14"/>
      <c r="H658" s="15"/>
      <c r="I658" s="32"/>
      <c r="J658" s="16"/>
      <c r="K658" s="17"/>
      <c r="L658" s="8"/>
      <c r="M658" s="8"/>
      <c r="N658" s="18"/>
      <c r="O658" s="29"/>
      <c r="P658" s="29"/>
      <c r="Q658" s="29"/>
      <c r="R658" s="29"/>
      <c r="S658" s="29"/>
      <c r="T658" s="29"/>
      <c r="U658" s="29"/>
      <c r="V658" s="29"/>
    </row>
    <row r="659">
      <c r="A659" s="46"/>
      <c r="B659" s="43"/>
      <c r="C659" s="44"/>
      <c r="D659" s="45"/>
      <c r="E659" s="43"/>
      <c r="F659" s="43"/>
      <c r="G659" s="14"/>
      <c r="H659" s="15"/>
      <c r="I659" s="14"/>
      <c r="J659" s="16"/>
      <c r="K659" s="17"/>
      <c r="L659" s="8"/>
      <c r="M659" s="8"/>
      <c r="N659" s="18"/>
      <c r="O659" s="29"/>
      <c r="P659" s="29"/>
      <c r="Q659" s="29"/>
      <c r="R659" s="29"/>
      <c r="S659" s="29"/>
      <c r="T659" s="29"/>
      <c r="U659" s="29"/>
      <c r="V659" s="29"/>
    </row>
    <row r="660">
      <c r="A660" s="46"/>
      <c r="B660" s="43"/>
      <c r="C660" s="44"/>
      <c r="D660" s="45"/>
      <c r="E660" s="43"/>
      <c r="F660" s="43"/>
      <c r="G660" s="14"/>
      <c r="H660" s="15"/>
      <c r="I660" s="14"/>
      <c r="J660" s="16"/>
      <c r="K660" s="17"/>
      <c r="L660" s="8"/>
      <c r="M660" s="8"/>
      <c r="N660" s="18"/>
      <c r="O660" s="29"/>
      <c r="P660" s="29"/>
      <c r="Q660" s="29"/>
      <c r="R660" s="29"/>
      <c r="S660" s="29"/>
      <c r="T660" s="29"/>
      <c r="U660" s="29"/>
      <c r="V660" s="29"/>
    </row>
    <row r="661">
      <c r="A661" s="46"/>
      <c r="B661" s="43"/>
      <c r="C661" s="44"/>
      <c r="D661" s="45"/>
      <c r="E661" s="43"/>
      <c r="F661" s="43"/>
      <c r="G661" s="14"/>
      <c r="H661" s="15"/>
      <c r="I661" s="14"/>
      <c r="J661" s="16"/>
      <c r="K661" s="17"/>
      <c r="L661" s="8"/>
      <c r="M661" s="8"/>
      <c r="N661" s="18"/>
      <c r="O661" s="29"/>
      <c r="P661" s="29"/>
      <c r="Q661" s="29"/>
      <c r="R661" s="29"/>
      <c r="S661" s="29"/>
      <c r="T661" s="29"/>
      <c r="U661" s="29"/>
      <c r="V661" s="29"/>
    </row>
    <row r="662">
      <c r="A662" s="46"/>
      <c r="B662" s="43"/>
      <c r="C662" s="44"/>
      <c r="D662" s="45"/>
      <c r="E662" s="43"/>
      <c r="F662" s="43"/>
      <c r="G662" s="14"/>
      <c r="H662" s="15"/>
      <c r="I662" s="14"/>
      <c r="J662" s="16"/>
      <c r="K662" s="17"/>
      <c r="L662" s="8"/>
      <c r="M662" s="8"/>
      <c r="N662" s="18"/>
      <c r="O662" s="29"/>
      <c r="P662" s="29"/>
      <c r="Q662" s="29"/>
      <c r="R662" s="29"/>
      <c r="S662" s="29"/>
      <c r="T662" s="29"/>
      <c r="U662" s="29"/>
      <c r="V662" s="29"/>
    </row>
    <row r="663">
      <c r="A663" s="46"/>
      <c r="B663" s="43"/>
      <c r="C663" s="44"/>
      <c r="D663" s="45"/>
      <c r="E663" s="43"/>
      <c r="F663" s="43"/>
      <c r="G663" s="14"/>
      <c r="H663" s="15"/>
      <c r="I663" s="14"/>
      <c r="J663" s="16"/>
      <c r="K663" s="17"/>
      <c r="L663" s="8"/>
      <c r="M663" s="8"/>
      <c r="N663" s="18"/>
      <c r="O663" s="29"/>
      <c r="P663" s="29"/>
      <c r="Q663" s="29"/>
      <c r="R663" s="29"/>
      <c r="S663" s="29"/>
      <c r="T663" s="29"/>
      <c r="U663" s="29"/>
      <c r="V663" s="29"/>
    </row>
    <row r="664">
      <c r="A664" s="46"/>
      <c r="B664" s="43"/>
      <c r="C664" s="44"/>
      <c r="D664" s="45"/>
      <c r="E664" s="43"/>
      <c r="F664" s="43"/>
      <c r="G664" s="14"/>
      <c r="H664" s="15"/>
      <c r="I664" s="14"/>
      <c r="J664" s="16"/>
      <c r="K664" s="17"/>
      <c r="L664" s="8"/>
      <c r="M664" s="8"/>
      <c r="N664" s="18"/>
      <c r="O664" s="29"/>
      <c r="P664" s="29"/>
      <c r="Q664" s="29"/>
      <c r="R664" s="29"/>
      <c r="S664" s="29"/>
      <c r="T664" s="29"/>
      <c r="U664" s="29"/>
      <c r="V664" s="29"/>
    </row>
    <row r="665">
      <c r="A665" s="46"/>
      <c r="B665" s="43"/>
      <c r="C665" s="44"/>
      <c r="D665" s="45"/>
      <c r="E665" s="43"/>
      <c r="F665" s="43"/>
      <c r="G665" s="14"/>
      <c r="H665" s="15"/>
      <c r="I665" s="14"/>
      <c r="J665" s="16"/>
      <c r="K665" s="17"/>
      <c r="L665" s="8"/>
      <c r="M665" s="8"/>
      <c r="N665" s="18"/>
      <c r="O665" s="29"/>
      <c r="P665" s="29"/>
      <c r="Q665" s="29"/>
      <c r="R665" s="29"/>
      <c r="S665" s="29"/>
      <c r="T665" s="29"/>
      <c r="U665" s="29"/>
      <c r="V665" s="29"/>
    </row>
    <row r="666">
      <c r="A666" s="46"/>
      <c r="B666" s="43"/>
      <c r="C666" s="44"/>
      <c r="D666" s="45"/>
      <c r="E666" s="43"/>
      <c r="F666" s="43"/>
      <c r="G666" s="14"/>
      <c r="H666" s="15"/>
      <c r="I666" s="32"/>
      <c r="J666" s="16"/>
      <c r="K666" s="17"/>
      <c r="L666" s="8"/>
      <c r="M666" s="8"/>
      <c r="N666" s="18"/>
      <c r="O666" s="29"/>
      <c r="P666" s="29"/>
      <c r="Q666" s="29"/>
      <c r="R666" s="29"/>
      <c r="S666" s="29"/>
      <c r="T666" s="29"/>
      <c r="U666" s="29"/>
      <c r="V666" s="29"/>
    </row>
    <row r="667">
      <c r="A667" s="46"/>
      <c r="B667" s="43"/>
      <c r="C667" s="44"/>
      <c r="D667" s="45"/>
      <c r="E667" s="43"/>
      <c r="F667" s="43"/>
      <c r="G667" s="14"/>
      <c r="H667" s="15"/>
      <c r="I667" s="14"/>
      <c r="J667" s="16"/>
      <c r="K667" s="17"/>
      <c r="L667" s="8"/>
      <c r="M667" s="8"/>
      <c r="N667" s="18"/>
      <c r="O667" s="29"/>
      <c r="P667" s="29"/>
      <c r="Q667" s="29"/>
      <c r="R667" s="29"/>
      <c r="S667" s="29"/>
      <c r="T667" s="29"/>
      <c r="U667" s="29"/>
      <c r="V667" s="29"/>
    </row>
    <row r="668">
      <c r="A668" s="46"/>
      <c r="B668" s="43"/>
      <c r="C668" s="44"/>
      <c r="D668" s="45"/>
      <c r="E668" s="43"/>
      <c r="F668" s="43"/>
      <c r="G668" s="14"/>
      <c r="H668" s="15"/>
      <c r="I668" s="14"/>
      <c r="J668" s="16"/>
      <c r="K668" s="17"/>
      <c r="L668" s="8"/>
      <c r="M668" s="8"/>
      <c r="N668" s="18"/>
      <c r="O668" s="29"/>
      <c r="P668" s="29"/>
      <c r="Q668" s="29"/>
      <c r="R668" s="29"/>
      <c r="S668" s="29"/>
      <c r="T668" s="29"/>
      <c r="U668" s="29"/>
      <c r="V668" s="29"/>
    </row>
    <row r="669">
      <c r="A669" s="46"/>
      <c r="B669" s="43"/>
      <c r="C669" s="44"/>
      <c r="D669" s="45"/>
      <c r="E669" s="43"/>
      <c r="F669" s="43"/>
      <c r="G669" s="14"/>
      <c r="H669" s="15"/>
      <c r="I669" s="14"/>
      <c r="J669" s="16"/>
      <c r="K669" s="17"/>
      <c r="L669" s="8"/>
      <c r="M669" s="8"/>
      <c r="N669" s="18"/>
      <c r="O669" s="29"/>
      <c r="P669" s="29"/>
      <c r="Q669" s="29"/>
      <c r="R669" s="29"/>
      <c r="S669" s="29"/>
      <c r="T669" s="29"/>
      <c r="U669" s="29"/>
      <c r="V669" s="29"/>
    </row>
    <row r="670">
      <c r="A670" s="46"/>
      <c r="B670" s="43"/>
      <c r="C670" s="44"/>
      <c r="D670" s="45"/>
      <c r="E670" s="43"/>
      <c r="F670" s="43"/>
      <c r="G670" s="14"/>
      <c r="H670" s="15"/>
      <c r="I670" s="14"/>
      <c r="J670" s="16"/>
      <c r="K670" s="17"/>
      <c r="L670" s="8"/>
      <c r="M670" s="8"/>
      <c r="N670" s="18"/>
      <c r="O670" s="29"/>
      <c r="P670" s="29"/>
      <c r="Q670" s="29"/>
      <c r="R670" s="29"/>
      <c r="S670" s="29"/>
      <c r="T670" s="29"/>
      <c r="U670" s="29"/>
      <c r="V670" s="29"/>
    </row>
    <row r="671">
      <c r="A671" s="46"/>
      <c r="B671" s="43"/>
      <c r="C671" s="44"/>
      <c r="D671" s="45"/>
      <c r="E671" s="43"/>
      <c r="F671" s="43"/>
      <c r="G671" s="14"/>
      <c r="H671" s="15"/>
      <c r="I671" s="32"/>
      <c r="J671" s="16"/>
      <c r="K671" s="17"/>
      <c r="L671" s="8"/>
      <c r="M671" s="8"/>
      <c r="N671" s="18"/>
      <c r="O671" s="29"/>
      <c r="P671" s="29"/>
      <c r="Q671" s="29"/>
      <c r="R671" s="29"/>
      <c r="S671" s="29"/>
      <c r="T671" s="29"/>
      <c r="U671" s="29"/>
      <c r="V671" s="29"/>
    </row>
    <row r="672">
      <c r="A672" s="46"/>
      <c r="B672" s="43"/>
      <c r="C672" s="44"/>
      <c r="D672" s="45"/>
      <c r="E672" s="43"/>
      <c r="F672" s="43"/>
      <c r="G672" s="14"/>
      <c r="H672" s="15"/>
      <c r="I672" s="14"/>
      <c r="J672" s="16"/>
      <c r="K672" s="17"/>
      <c r="L672" s="8"/>
      <c r="M672" s="8"/>
      <c r="N672" s="18"/>
      <c r="O672" s="29"/>
      <c r="P672" s="29"/>
      <c r="Q672" s="29"/>
      <c r="R672" s="29"/>
      <c r="S672" s="29"/>
      <c r="T672" s="29"/>
      <c r="U672" s="29"/>
      <c r="V672" s="29"/>
    </row>
    <row r="673">
      <c r="A673" s="46"/>
      <c r="B673" s="43"/>
      <c r="C673" s="44"/>
      <c r="D673" s="45"/>
      <c r="E673" s="43"/>
      <c r="F673" s="43"/>
      <c r="G673" s="14"/>
      <c r="H673" s="15"/>
      <c r="I673" s="14"/>
      <c r="J673" s="16"/>
      <c r="K673" s="17"/>
      <c r="L673" s="8"/>
      <c r="M673" s="8"/>
      <c r="N673" s="18"/>
      <c r="O673" s="29"/>
      <c r="P673" s="29"/>
      <c r="Q673" s="29"/>
      <c r="R673" s="29"/>
      <c r="S673" s="29"/>
      <c r="T673" s="29"/>
      <c r="U673" s="29"/>
      <c r="V673" s="29"/>
    </row>
    <row r="674">
      <c r="A674" s="46"/>
      <c r="B674" s="43"/>
      <c r="C674" s="44"/>
      <c r="D674" s="45"/>
      <c r="E674" s="43"/>
      <c r="F674" s="43"/>
      <c r="G674" s="14"/>
      <c r="H674" s="15"/>
      <c r="I674" s="14"/>
      <c r="J674" s="16"/>
      <c r="K674" s="17"/>
      <c r="L674" s="8"/>
      <c r="M674" s="8"/>
      <c r="N674" s="18"/>
      <c r="O674" s="29"/>
      <c r="P674" s="29"/>
      <c r="Q674" s="29"/>
      <c r="R674" s="29"/>
      <c r="S674" s="29"/>
      <c r="T674" s="29"/>
      <c r="U674" s="29"/>
      <c r="V674" s="29"/>
    </row>
    <row r="675">
      <c r="A675" s="46"/>
      <c r="B675" s="43"/>
      <c r="C675" s="44"/>
      <c r="D675" s="45"/>
      <c r="E675" s="43"/>
      <c r="F675" s="43"/>
      <c r="G675" s="14"/>
      <c r="H675" s="15"/>
      <c r="I675" s="32"/>
      <c r="J675" s="16"/>
      <c r="K675" s="17"/>
      <c r="L675" s="8"/>
      <c r="M675" s="8"/>
      <c r="N675" s="18"/>
      <c r="O675" s="29"/>
      <c r="P675" s="29"/>
      <c r="Q675" s="29"/>
      <c r="R675" s="29"/>
      <c r="S675" s="29"/>
      <c r="T675" s="29"/>
      <c r="U675" s="29"/>
      <c r="V675" s="29"/>
    </row>
    <row r="676">
      <c r="A676" s="46"/>
      <c r="B676" s="43"/>
      <c r="C676" s="44"/>
      <c r="D676" s="45"/>
      <c r="E676" s="43"/>
      <c r="F676" s="43"/>
      <c r="G676" s="14"/>
      <c r="H676" s="15"/>
      <c r="I676" s="32"/>
      <c r="J676" s="16"/>
      <c r="K676" s="17"/>
      <c r="L676" s="8"/>
      <c r="M676" s="8"/>
      <c r="N676" s="18"/>
      <c r="O676" s="29"/>
      <c r="P676" s="29"/>
      <c r="Q676" s="29"/>
      <c r="R676" s="29"/>
      <c r="S676" s="29"/>
      <c r="T676" s="29"/>
      <c r="U676" s="29"/>
      <c r="V676" s="29"/>
    </row>
    <row r="677">
      <c r="A677" s="46"/>
      <c r="B677" s="43"/>
      <c r="C677" s="44"/>
      <c r="D677" s="45"/>
      <c r="E677" s="43"/>
      <c r="F677" s="43"/>
      <c r="G677" s="14"/>
      <c r="H677" s="15"/>
      <c r="I677" s="14"/>
      <c r="J677" s="16"/>
      <c r="K677" s="17"/>
      <c r="L677" s="8"/>
      <c r="M677" s="8"/>
      <c r="N677" s="18"/>
      <c r="O677" s="29"/>
      <c r="P677" s="29"/>
      <c r="Q677" s="29"/>
      <c r="R677" s="29"/>
      <c r="S677" s="29"/>
      <c r="T677" s="29"/>
      <c r="U677" s="29"/>
      <c r="V677" s="29"/>
    </row>
    <row r="678">
      <c r="A678" s="46"/>
      <c r="B678" s="43"/>
      <c r="C678" s="44"/>
      <c r="D678" s="45"/>
      <c r="E678" s="43"/>
      <c r="F678" s="43"/>
      <c r="G678" s="14"/>
      <c r="H678" s="15"/>
      <c r="I678" s="14"/>
      <c r="J678" s="16"/>
      <c r="K678" s="17"/>
      <c r="L678" s="8"/>
      <c r="M678" s="8"/>
      <c r="N678" s="18"/>
      <c r="O678" s="29"/>
      <c r="P678" s="29"/>
      <c r="Q678" s="29"/>
      <c r="R678" s="29"/>
      <c r="S678" s="29"/>
      <c r="T678" s="29"/>
      <c r="U678" s="29"/>
      <c r="V678" s="29"/>
    </row>
    <row r="679">
      <c r="A679" s="46"/>
      <c r="B679" s="43"/>
      <c r="C679" s="44"/>
      <c r="D679" s="45"/>
      <c r="E679" s="43"/>
      <c r="F679" s="43"/>
      <c r="G679" s="14"/>
      <c r="H679" s="15"/>
      <c r="I679" s="14"/>
      <c r="J679" s="16"/>
      <c r="K679" s="17"/>
      <c r="L679" s="8"/>
      <c r="M679" s="8"/>
      <c r="N679" s="18"/>
      <c r="O679" s="29"/>
      <c r="P679" s="29"/>
      <c r="Q679" s="29"/>
      <c r="R679" s="29"/>
      <c r="S679" s="29"/>
      <c r="T679" s="29"/>
      <c r="U679" s="29"/>
      <c r="V679" s="29"/>
    </row>
    <row r="680">
      <c r="A680" s="46"/>
      <c r="B680" s="43"/>
      <c r="C680" s="44"/>
      <c r="D680" s="45"/>
      <c r="E680" s="43"/>
      <c r="F680" s="43"/>
      <c r="G680" s="14"/>
      <c r="H680" s="15"/>
      <c r="I680" s="14"/>
      <c r="J680" s="16"/>
      <c r="K680" s="17"/>
      <c r="L680" s="8"/>
      <c r="M680" s="8"/>
      <c r="N680" s="18"/>
      <c r="O680" s="29"/>
      <c r="P680" s="29"/>
      <c r="Q680" s="29"/>
      <c r="R680" s="29"/>
      <c r="S680" s="29"/>
      <c r="T680" s="29"/>
      <c r="U680" s="29"/>
      <c r="V680" s="29"/>
    </row>
    <row r="681">
      <c r="A681" s="46"/>
      <c r="B681" s="43"/>
      <c r="C681" s="44"/>
      <c r="D681" s="45"/>
      <c r="E681" s="43"/>
      <c r="F681" s="43"/>
      <c r="G681" s="14"/>
      <c r="H681" s="15"/>
      <c r="I681" s="14"/>
      <c r="J681" s="16"/>
      <c r="K681" s="17"/>
      <c r="L681" s="8"/>
      <c r="M681" s="8"/>
      <c r="N681" s="18"/>
      <c r="O681" s="29"/>
      <c r="P681" s="29"/>
      <c r="Q681" s="29"/>
      <c r="R681" s="29"/>
      <c r="S681" s="29"/>
      <c r="T681" s="29"/>
      <c r="U681" s="29"/>
      <c r="V681" s="29"/>
    </row>
    <row r="682">
      <c r="A682" s="46"/>
      <c r="B682" s="43"/>
      <c r="C682" s="44"/>
      <c r="D682" s="45"/>
      <c r="E682" s="43"/>
      <c r="F682" s="43"/>
      <c r="G682" s="14"/>
      <c r="H682" s="15"/>
      <c r="I682" s="14"/>
      <c r="J682" s="16"/>
      <c r="K682" s="17"/>
      <c r="L682" s="8"/>
      <c r="M682" s="8"/>
      <c r="N682" s="18"/>
      <c r="O682" s="29"/>
      <c r="P682" s="29"/>
      <c r="Q682" s="29"/>
      <c r="R682" s="29"/>
      <c r="S682" s="29"/>
      <c r="T682" s="29"/>
      <c r="U682" s="29"/>
      <c r="V682" s="29"/>
    </row>
    <row r="683">
      <c r="A683" s="46"/>
      <c r="B683" s="43"/>
      <c r="C683" s="44"/>
      <c r="D683" s="45"/>
      <c r="E683" s="43"/>
      <c r="F683" s="43"/>
      <c r="G683" s="14"/>
      <c r="H683" s="15"/>
      <c r="I683" s="14"/>
      <c r="J683" s="16"/>
      <c r="K683" s="17"/>
      <c r="L683" s="8"/>
      <c r="M683" s="8"/>
      <c r="N683" s="18"/>
      <c r="O683" s="29"/>
      <c r="P683" s="29"/>
      <c r="Q683" s="29"/>
      <c r="R683" s="29"/>
      <c r="S683" s="29"/>
      <c r="T683" s="29"/>
      <c r="U683" s="29"/>
      <c r="V683" s="29"/>
    </row>
    <row r="684">
      <c r="A684" s="46"/>
      <c r="B684" s="43"/>
      <c r="C684" s="44"/>
      <c r="D684" s="45"/>
      <c r="E684" s="43"/>
      <c r="F684" s="43"/>
      <c r="G684" s="14"/>
      <c r="H684" s="15"/>
      <c r="I684" s="14"/>
      <c r="J684" s="16"/>
      <c r="K684" s="17"/>
      <c r="L684" s="8"/>
      <c r="M684" s="8"/>
      <c r="N684" s="18"/>
      <c r="O684" s="29"/>
      <c r="P684" s="29"/>
      <c r="Q684" s="29"/>
      <c r="R684" s="29"/>
      <c r="S684" s="29"/>
      <c r="T684" s="29"/>
      <c r="U684" s="29"/>
      <c r="V684" s="29"/>
    </row>
    <row r="685">
      <c r="A685" s="46"/>
      <c r="B685" s="43"/>
      <c r="C685" s="44"/>
      <c r="D685" s="45"/>
      <c r="E685" s="43"/>
      <c r="F685" s="43"/>
      <c r="G685" s="14"/>
      <c r="H685" s="15"/>
      <c r="I685" s="14"/>
      <c r="J685" s="16"/>
      <c r="K685" s="17"/>
      <c r="L685" s="8"/>
      <c r="M685" s="8"/>
      <c r="N685" s="18"/>
      <c r="O685" s="29"/>
      <c r="P685" s="29"/>
      <c r="Q685" s="29"/>
      <c r="R685" s="29"/>
      <c r="S685" s="29"/>
      <c r="T685" s="29"/>
      <c r="U685" s="29"/>
      <c r="V685" s="29"/>
    </row>
    <row r="686">
      <c r="A686" s="46"/>
      <c r="B686" s="43"/>
      <c r="C686" s="44"/>
      <c r="D686" s="45"/>
      <c r="E686" s="43"/>
      <c r="F686" s="43"/>
      <c r="G686" s="14"/>
      <c r="H686" s="15"/>
      <c r="I686" s="14"/>
      <c r="J686" s="16"/>
      <c r="K686" s="17"/>
      <c r="L686" s="8"/>
      <c r="M686" s="8"/>
      <c r="N686" s="18"/>
      <c r="O686" s="29"/>
      <c r="P686" s="29"/>
      <c r="Q686" s="29"/>
      <c r="R686" s="29"/>
      <c r="S686" s="29"/>
      <c r="T686" s="29"/>
      <c r="U686" s="29"/>
      <c r="V686" s="29"/>
    </row>
    <row r="687">
      <c r="A687" s="46"/>
      <c r="B687" s="43"/>
      <c r="C687" s="44"/>
      <c r="D687" s="45"/>
      <c r="E687" s="43"/>
      <c r="F687" s="43"/>
      <c r="G687" s="14"/>
      <c r="H687" s="15"/>
      <c r="I687" s="14"/>
      <c r="J687" s="16"/>
      <c r="K687" s="17"/>
      <c r="L687" s="8"/>
      <c r="M687" s="8"/>
      <c r="N687" s="18"/>
      <c r="O687" s="29"/>
      <c r="P687" s="29"/>
      <c r="Q687" s="29"/>
      <c r="R687" s="29"/>
      <c r="S687" s="29"/>
      <c r="T687" s="29"/>
      <c r="U687" s="29"/>
      <c r="V687" s="29"/>
    </row>
    <row r="688">
      <c r="A688" s="46"/>
      <c r="B688" s="43"/>
      <c r="C688" s="44"/>
      <c r="D688" s="45"/>
      <c r="E688" s="43"/>
      <c r="F688" s="43"/>
      <c r="G688" s="14"/>
      <c r="H688" s="15"/>
      <c r="I688" s="32"/>
      <c r="J688" s="16"/>
      <c r="K688" s="17"/>
      <c r="L688" s="8"/>
      <c r="M688" s="8"/>
      <c r="N688" s="18"/>
      <c r="O688" s="29"/>
      <c r="P688" s="29"/>
      <c r="Q688" s="29"/>
      <c r="R688" s="29"/>
      <c r="S688" s="29"/>
      <c r="T688" s="29"/>
      <c r="U688" s="29"/>
      <c r="V688" s="29"/>
    </row>
    <row r="689">
      <c r="A689" s="46"/>
      <c r="B689" s="43"/>
      <c r="C689" s="44"/>
      <c r="D689" s="45"/>
      <c r="E689" s="43"/>
      <c r="F689" s="43"/>
      <c r="G689" s="14"/>
      <c r="H689" s="15"/>
      <c r="I689" s="14"/>
      <c r="J689" s="16"/>
      <c r="K689" s="17"/>
      <c r="L689" s="8"/>
      <c r="M689" s="8"/>
      <c r="N689" s="18"/>
      <c r="O689" s="29"/>
      <c r="P689" s="29"/>
      <c r="Q689" s="29"/>
      <c r="R689" s="29"/>
      <c r="S689" s="29"/>
      <c r="T689" s="29"/>
      <c r="U689" s="29"/>
      <c r="V689" s="29"/>
    </row>
    <row r="690">
      <c r="A690" s="46"/>
      <c r="B690" s="43"/>
      <c r="C690" s="44"/>
      <c r="D690" s="45"/>
      <c r="E690" s="43"/>
      <c r="F690" s="43"/>
      <c r="G690" s="14"/>
      <c r="H690" s="15"/>
      <c r="I690" s="14"/>
      <c r="J690" s="16"/>
      <c r="K690" s="17"/>
      <c r="L690" s="8"/>
      <c r="M690" s="8"/>
      <c r="N690" s="18"/>
      <c r="O690" s="29"/>
      <c r="P690" s="29"/>
      <c r="Q690" s="29"/>
      <c r="R690" s="29"/>
      <c r="S690" s="29"/>
      <c r="T690" s="29"/>
      <c r="U690" s="29"/>
      <c r="V690" s="29"/>
    </row>
    <row r="691">
      <c r="A691" s="46"/>
      <c r="B691" s="43"/>
      <c r="C691" s="44"/>
      <c r="D691" s="45"/>
      <c r="E691" s="43"/>
      <c r="F691" s="43"/>
      <c r="G691" s="14"/>
      <c r="H691" s="15"/>
      <c r="I691" s="14"/>
      <c r="J691" s="16"/>
      <c r="K691" s="17"/>
      <c r="L691" s="8"/>
      <c r="M691" s="8"/>
      <c r="N691" s="18"/>
      <c r="O691" s="29"/>
      <c r="P691" s="29"/>
      <c r="Q691" s="29"/>
      <c r="R691" s="29"/>
      <c r="S691" s="29"/>
      <c r="T691" s="29"/>
      <c r="U691" s="29"/>
      <c r="V691" s="29"/>
    </row>
    <row r="692">
      <c r="A692" s="46"/>
      <c r="B692" s="43"/>
      <c r="C692" s="44"/>
      <c r="D692" s="45"/>
      <c r="E692" s="43"/>
      <c r="F692" s="43"/>
      <c r="G692" s="14"/>
      <c r="H692" s="15"/>
      <c r="I692" s="14"/>
      <c r="J692" s="16"/>
      <c r="K692" s="17"/>
      <c r="L692" s="8"/>
      <c r="M692" s="8"/>
      <c r="N692" s="18"/>
      <c r="O692" s="29"/>
      <c r="P692" s="29"/>
      <c r="Q692" s="29"/>
      <c r="R692" s="29"/>
      <c r="S692" s="29"/>
      <c r="T692" s="29"/>
      <c r="U692" s="29"/>
      <c r="V692" s="29"/>
    </row>
    <row r="693">
      <c r="A693" s="46"/>
      <c r="B693" s="43"/>
      <c r="C693" s="44"/>
      <c r="D693" s="45"/>
      <c r="E693" s="43"/>
      <c r="F693" s="43"/>
      <c r="G693" s="14"/>
      <c r="H693" s="15"/>
      <c r="I693" s="14"/>
      <c r="J693" s="16"/>
      <c r="K693" s="17"/>
      <c r="L693" s="8"/>
      <c r="M693" s="8"/>
      <c r="N693" s="18"/>
      <c r="O693" s="29"/>
      <c r="P693" s="29"/>
      <c r="Q693" s="29"/>
      <c r="R693" s="29"/>
      <c r="S693" s="29"/>
      <c r="T693" s="29"/>
      <c r="U693" s="29"/>
      <c r="V693" s="29"/>
    </row>
    <row r="694">
      <c r="A694" s="46"/>
      <c r="B694" s="43"/>
      <c r="C694" s="44"/>
      <c r="D694" s="45"/>
      <c r="E694" s="43"/>
      <c r="F694" s="43"/>
      <c r="G694" s="14"/>
      <c r="H694" s="15"/>
      <c r="I694" s="14"/>
      <c r="J694" s="16"/>
      <c r="K694" s="17"/>
      <c r="L694" s="8"/>
      <c r="M694" s="8"/>
      <c r="N694" s="18"/>
      <c r="O694" s="29"/>
      <c r="P694" s="29"/>
      <c r="Q694" s="29"/>
      <c r="R694" s="29"/>
      <c r="S694" s="29"/>
      <c r="T694" s="29"/>
      <c r="U694" s="29"/>
      <c r="V694" s="29"/>
    </row>
    <row r="695">
      <c r="A695" s="46"/>
      <c r="B695" s="43"/>
      <c r="C695" s="44"/>
      <c r="D695" s="45"/>
      <c r="E695" s="43"/>
      <c r="F695" s="43"/>
      <c r="G695" s="14"/>
      <c r="H695" s="15"/>
      <c r="I695" s="14"/>
      <c r="J695" s="16"/>
      <c r="K695" s="17"/>
      <c r="L695" s="8"/>
      <c r="M695" s="8"/>
      <c r="N695" s="18"/>
      <c r="O695" s="29"/>
      <c r="P695" s="29"/>
      <c r="Q695" s="29"/>
      <c r="R695" s="29"/>
      <c r="S695" s="29"/>
      <c r="T695" s="29"/>
      <c r="U695" s="29"/>
      <c r="V695" s="29"/>
    </row>
    <row r="696">
      <c r="A696" s="46"/>
      <c r="B696" s="43"/>
      <c r="C696" s="44"/>
      <c r="D696" s="45"/>
      <c r="E696" s="43"/>
      <c r="F696" s="43"/>
      <c r="G696" s="14"/>
      <c r="H696" s="15"/>
      <c r="I696" s="14"/>
      <c r="J696" s="16"/>
      <c r="K696" s="17"/>
      <c r="L696" s="8"/>
      <c r="M696" s="8"/>
      <c r="N696" s="18"/>
      <c r="O696" s="29"/>
      <c r="P696" s="29"/>
      <c r="Q696" s="29"/>
      <c r="R696" s="29"/>
      <c r="S696" s="29"/>
      <c r="T696" s="29"/>
      <c r="U696" s="29"/>
      <c r="V696" s="29"/>
    </row>
    <row r="697">
      <c r="A697" s="46"/>
      <c r="B697" s="43"/>
      <c r="C697" s="44"/>
      <c r="D697" s="45"/>
      <c r="E697" s="43"/>
      <c r="F697" s="43"/>
      <c r="G697" s="14"/>
      <c r="H697" s="15"/>
      <c r="I697" s="14"/>
      <c r="J697" s="16"/>
      <c r="K697" s="17"/>
      <c r="L697" s="8"/>
      <c r="M697" s="8"/>
      <c r="N697" s="18"/>
      <c r="O697" s="29"/>
      <c r="P697" s="29"/>
      <c r="Q697" s="29"/>
      <c r="R697" s="29"/>
      <c r="S697" s="29"/>
      <c r="T697" s="29"/>
      <c r="U697" s="29"/>
      <c r="V697" s="29"/>
    </row>
    <row r="698">
      <c r="A698" s="46"/>
      <c r="B698" s="43"/>
      <c r="C698" s="44"/>
      <c r="D698" s="45"/>
      <c r="E698" s="43"/>
      <c r="F698" s="43"/>
      <c r="G698" s="14"/>
      <c r="H698" s="15"/>
      <c r="I698" s="14"/>
      <c r="J698" s="16"/>
      <c r="K698" s="17"/>
      <c r="L698" s="8"/>
      <c r="M698" s="8"/>
      <c r="N698" s="18"/>
      <c r="O698" s="29"/>
      <c r="P698" s="29"/>
      <c r="Q698" s="29"/>
      <c r="R698" s="29"/>
      <c r="S698" s="29"/>
      <c r="T698" s="29"/>
      <c r="U698" s="29"/>
      <c r="V698" s="29"/>
    </row>
    <row r="699">
      <c r="A699" s="46"/>
      <c r="B699" s="43"/>
      <c r="C699" s="44"/>
      <c r="D699" s="45"/>
      <c r="E699" s="43"/>
      <c r="F699" s="43"/>
      <c r="G699" s="14"/>
      <c r="H699" s="15"/>
      <c r="I699" s="14"/>
      <c r="J699" s="16"/>
      <c r="K699" s="17"/>
      <c r="L699" s="8"/>
      <c r="M699" s="8"/>
      <c r="N699" s="18"/>
      <c r="O699" s="29"/>
      <c r="P699" s="29"/>
      <c r="Q699" s="29"/>
      <c r="R699" s="29"/>
      <c r="S699" s="29"/>
      <c r="T699" s="29"/>
      <c r="U699" s="29"/>
      <c r="V699" s="29"/>
    </row>
    <row r="700">
      <c r="A700" s="46"/>
      <c r="B700" s="43"/>
      <c r="C700" s="44"/>
      <c r="D700" s="45"/>
      <c r="E700" s="43"/>
      <c r="F700" s="43"/>
      <c r="G700" s="14"/>
      <c r="H700" s="15"/>
      <c r="I700" s="14"/>
      <c r="J700" s="16"/>
      <c r="K700" s="17"/>
      <c r="L700" s="8"/>
      <c r="M700" s="8"/>
      <c r="N700" s="18"/>
      <c r="O700" s="29"/>
      <c r="P700" s="29"/>
      <c r="Q700" s="29"/>
      <c r="R700" s="29"/>
      <c r="S700" s="29"/>
      <c r="T700" s="29"/>
      <c r="U700" s="29"/>
      <c r="V700" s="29"/>
    </row>
    <row r="701">
      <c r="A701" s="46"/>
      <c r="B701" s="43"/>
      <c r="C701" s="44"/>
      <c r="D701" s="45"/>
      <c r="E701" s="43"/>
      <c r="F701" s="43"/>
      <c r="G701" s="14"/>
      <c r="H701" s="15"/>
      <c r="I701" s="14"/>
      <c r="J701" s="16"/>
      <c r="K701" s="17"/>
      <c r="L701" s="8"/>
      <c r="M701" s="8"/>
      <c r="N701" s="18"/>
      <c r="O701" s="29"/>
      <c r="P701" s="29"/>
      <c r="Q701" s="29"/>
      <c r="R701" s="29"/>
      <c r="S701" s="29"/>
      <c r="T701" s="29"/>
      <c r="U701" s="29"/>
      <c r="V701" s="29"/>
    </row>
    <row r="702">
      <c r="A702" s="46"/>
      <c r="B702" s="43"/>
      <c r="C702" s="44"/>
      <c r="D702" s="45"/>
      <c r="E702" s="43"/>
      <c r="F702" s="43"/>
      <c r="G702" s="14"/>
      <c r="H702" s="15"/>
      <c r="I702" s="14"/>
      <c r="J702" s="16"/>
      <c r="K702" s="17"/>
      <c r="L702" s="8"/>
      <c r="M702" s="8"/>
      <c r="N702" s="18"/>
      <c r="O702" s="29"/>
      <c r="P702" s="29"/>
      <c r="Q702" s="29"/>
      <c r="R702" s="29"/>
      <c r="S702" s="29"/>
      <c r="T702" s="29"/>
      <c r="U702" s="29"/>
      <c r="V702" s="29"/>
    </row>
    <row r="703">
      <c r="A703" s="46"/>
      <c r="B703" s="43"/>
      <c r="C703" s="44"/>
      <c r="D703" s="45"/>
      <c r="E703" s="43"/>
      <c r="F703" s="43"/>
      <c r="G703" s="14"/>
      <c r="H703" s="15"/>
      <c r="I703" s="14"/>
      <c r="J703" s="16"/>
      <c r="K703" s="17"/>
      <c r="L703" s="8"/>
      <c r="M703" s="8"/>
      <c r="N703" s="18"/>
      <c r="O703" s="29"/>
      <c r="P703" s="29"/>
      <c r="Q703" s="29"/>
      <c r="R703" s="29"/>
      <c r="S703" s="29"/>
      <c r="T703" s="29"/>
      <c r="U703" s="29"/>
      <c r="V703" s="29"/>
    </row>
    <row r="704">
      <c r="A704" s="46"/>
      <c r="B704" s="43"/>
      <c r="C704" s="44"/>
      <c r="D704" s="45"/>
      <c r="E704" s="43"/>
      <c r="F704" s="43"/>
      <c r="G704" s="14"/>
      <c r="H704" s="15"/>
      <c r="I704" s="14"/>
      <c r="J704" s="16"/>
      <c r="K704" s="17"/>
      <c r="L704" s="8"/>
      <c r="M704" s="8"/>
      <c r="N704" s="18"/>
      <c r="O704" s="29"/>
      <c r="P704" s="29"/>
      <c r="Q704" s="29"/>
      <c r="R704" s="29"/>
      <c r="S704" s="29"/>
      <c r="T704" s="29"/>
      <c r="U704" s="29"/>
      <c r="V704" s="29"/>
    </row>
    <row r="705">
      <c r="A705" s="46"/>
      <c r="B705" s="43"/>
      <c r="C705" s="44"/>
      <c r="D705" s="45"/>
      <c r="E705" s="43"/>
      <c r="F705" s="43"/>
      <c r="G705" s="14"/>
      <c r="H705" s="15"/>
      <c r="I705" s="14"/>
      <c r="J705" s="16"/>
      <c r="K705" s="17"/>
      <c r="L705" s="8"/>
      <c r="M705" s="8"/>
      <c r="N705" s="18"/>
      <c r="O705" s="29"/>
      <c r="P705" s="29"/>
      <c r="Q705" s="29"/>
      <c r="R705" s="29"/>
      <c r="S705" s="29"/>
      <c r="T705" s="29"/>
      <c r="U705" s="29"/>
      <c r="V705" s="29"/>
    </row>
    <row r="706">
      <c r="A706" s="46"/>
      <c r="B706" s="43"/>
      <c r="C706" s="44"/>
      <c r="D706" s="45"/>
      <c r="E706" s="43"/>
      <c r="F706" s="43"/>
      <c r="G706" s="14"/>
      <c r="H706" s="15"/>
      <c r="I706" s="14"/>
      <c r="J706" s="16"/>
      <c r="K706" s="17"/>
      <c r="L706" s="8"/>
      <c r="M706" s="8"/>
      <c r="N706" s="18"/>
      <c r="O706" s="29"/>
      <c r="P706" s="29"/>
      <c r="Q706" s="29"/>
      <c r="R706" s="29"/>
      <c r="S706" s="29"/>
      <c r="T706" s="29"/>
      <c r="U706" s="29"/>
      <c r="V706" s="29"/>
    </row>
    <row r="707">
      <c r="A707" s="46"/>
      <c r="B707" s="43"/>
      <c r="C707" s="44"/>
      <c r="D707" s="45"/>
      <c r="E707" s="43"/>
      <c r="F707" s="43"/>
      <c r="G707" s="14"/>
      <c r="H707" s="15"/>
      <c r="I707" s="14"/>
      <c r="J707" s="16"/>
      <c r="K707" s="17"/>
      <c r="L707" s="8"/>
      <c r="M707" s="8"/>
      <c r="N707" s="18"/>
      <c r="O707" s="29"/>
      <c r="P707" s="29"/>
      <c r="Q707" s="29"/>
      <c r="R707" s="29"/>
      <c r="S707" s="29"/>
      <c r="T707" s="29"/>
      <c r="U707" s="29"/>
      <c r="V707" s="29"/>
    </row>
    <row r="708">
      <c r="A708" s="46"/>
      <c r="B708" s="43"/>
      <c r="C708" s="44"/>
      <c r="D708" s="45"/>
      <c r="E708" s="43"/>
      <c r="F708" s="43"/>
      <c r="G708" s="14"/>
      <c r="H708" s="15"/>
      <c r="I708" s="14"/>
      <c r="J708" s="16"/>
      <c r="K708" s="17"/>
      <c r="L708" s="8"/>
      <c r="M708" s="8"/>
      <c r="N708" s="18"/>
      <c r="O708" s="29"/>
      <c r="P708" s="29"/>
      <c r="Q708" s="29"/>
      <c r="R708" s="29"/>
      <c r="S708" s="29"/>
      <c r="T708" s="29"/>
      <c r="U708" s="29"/>
      <c r="V708" s="29"/>
    </row>
    <row r="709">
      <c r="A709" s="46"/>
      <c r="B709" s="43"/>
      <c r="C709" s="44"/>
      <c r="D709" s="45"/>
      <c r="E709" s="43"/>
      <c r="F709" s="43"/>
      <c r="G709" s="14"/>
      <c r="H709" s="15"/>
      <c r="I709" s="14"/>
      <c r="J709" s="16"/>
      <c r="K709" s="17"/>
      <c r="L709" s="8"/>
      <c r="M709" s="8"/>
      <c r="N709" s="18"/>
      <c r="O709" s="29"/>
      <c r="P709" s="29"/>
      <c r="Q709" s="29"/>
      <c r="R709" s="29"/>
      <c r="S709" s="29"/>
      <c r="T709" s="29"/>
      <c r="U709" s="29"/>
      <c r="V709" s="29"/>
    </row>
    <row r="710">
      <c r="A710" s="46"/>
      <c r="B710" s="43"/>
      <c r="C710" s="44"/>
      <c r="D710" s="45"/>
      <c r="E710" s="43"/>
      <c r="F710" s="43"/>
      <c r="G710" s="14"/>
      <c r="H710" s="15"/>
      <c r="I710" s="14"/>
      <c r="J710" s="16"/>
      <c r="K710" s="17"/>
      <c r="L710" s="8"/>
      <c r="M710" s="8"/>
      <c r="N710" s="18"/>
      <c r="O710" s="29"/>
      <c r="P710" s="29"/>
      <c r="Q710" s="29"/>
      <c r="R710" s="29"/>
      <c r="S710" s="29"/>
      <c r="T710" s="29"/>
      <c r="U710" s="29"/>
      <c r="V710" s="29"/>
    </row>
    <row r="711">
      <c r="A711" s="46"/>
      <c r="B711" s="43"/>
      <c r="C711" s="44"/>
      <c r="D711" s="45"/>
      <c r="E711" s="43"/>
      <c r="F711" s="43"/>
      <c r="G711" s="14"/>
      <c r="H711" s="15"/>
      <c r="I711" s="14"/>
      <c r="J711" s="16"/>
      <c r="K711" s="17"/>
      <c r="L711" s="8"/>
      <c r="M711" s="8"/>
      <c r="N711" s="18"/>
      <c r="O711" s="29"/>
      <c r="P711" s="29"/>
      <c r="Q711" s="29"/>
      <c r="R711" s="29"/>
      <c r="S711" s="29"/>
      <c r="T711" s="29"/>
      <c r="U711" s="29"/>
      <c r="V711" s="29"/>
    </row>
    <row r="712">
      <c r="A712" s="46"/>
      <c r="B712" s="43"/>
      <c r="C712" s="44"/>
      <c r="D712" s="45"/>
      <c r="E712" s="43"/>
      <c r="F712" s="43"/>
      <c r="G712" s="14"/>
      <c r="H712" s="15"/>
      <c r="I712" s="14"/>
      <c r="J712" s="16"/>
      <c r="K712" s="17"/>
      <c r="L712" s="8"/>
      <c r="M712" s="8"/>
      <c r="N712" s="18"/>
      <c r="O712" s="29"/>
      <c r="P712" s="29"/>
      <c r="Q712" s="29"/>
      <c r="R712" s="29"/>
      <c r="S712" s="29"/>
      <c r="T712" s="29"/>
      <c r="U712" s="29"/>
      <c r="V712" s="29"/>
    </row>
    <row r="713">
      <c r="A713" s="46"/>
      <c r="B713" s="43"/>
      <c r="C713" s="44"/>
      <c r="D713" s="45"/>
      <c r="E713" s="43"/>
      <c r="F713" s="43"/>
      <c r="G713" s="14"/>
      <c r="H713" s="15"/>
      <c r="I713" s="14"/>
      <c r="J713" s="16"/>
      <c r="K713" s="17"/>
      <c r="L713" s="8"/>
      <c r="M713" s="8"/>
      <c r="N713" s="18"/>
      <c r="O713" s="29"/>
      <c r="P713" s="29"/>
      <c r="Q713" s="29"/>
      <c r="R713" s="29"/>
      <c r="S713" s="29"/>
      <c r="T713" s="29"/>
      <c r="U713" s="29"/>
      <c r="V713" s="29"/>
    </row>
    <row r="714">
      <c r="A714" s="46"/>
      <c r="B714" s="43"/>
      <c r="C714" s="44"/>
      <c r="D714" s="45"/>
      <c r="E714" s="43"/>
      <c r="F714" s="43"/>
      <c r="G714" s="14"/>
      <c r="H714" s="15"/>
      <c r="I714" s="14"/>
      <c r="J714" s="16"/>
      <c r="K714" s="17"/>
      <c r="L714" s="8"/>
      <c r="M714" s="8"/>
      <c r="N714" s="18"/>
      <c r="O714" s="29"/>
      <c r="P714" s="29"/>
      <c r="Q714" s="29"/>
      <c r="R714" s="29"/>
      <c r="S714" s="29"/>
      <c r="T714" s="29"/>
      <c r="U714" s="29"/>
      <c r="V714" s="29"/>
    </row>
    <row r="715">
      <c r="A715" s="46"/>
      <c r="B715" s="43"/>
      <c r="C715" s="44"/>
      <c r="D715" s="45"/>
      <c r="E715" s="43"/>
      <c r="F715" s="43"/>
      <c r="G715" s="14"/>
      <c r="H715" s="15"/>
      <c r="I715" s="14"/>
      <c r="J715" s="16"/>
      <c r="K715" s="17"/>
      <c r="L715" s="8"/>
      <c r="M715" s="8"/>
      <c r="N715" s="18"/>
      <c r="O715" s="29"/>
      <c r="P715" s="29"/>
      <c r="Q715" s="29"/>
      <c r="R715" s="29"/>
      <c r="S715" s="29"/>
      <c r="T715" s="29"/>
      <c r="U715" s="29"/>
      <c r="V715" s="29"/>
    </row>
    <row r="716">
      <c r="A716" s="46"/>
      <c r="B716" s="43"/>
      <c r="C716" s="44"/>
      <c r="D716" s="45"/>
      <c r="E716" s="43"/>
      <c r="F716" s="43"/>
      <c r="G716" s="14"/>
      <c r="H716" s="15"/>
      <c r="I716" s="14"/>
      <c r="J716" s="16"/>
      <c r="K716" s="17"/>
      <c r="L716" s="8"/>
      <c r="M716" s="8"/>
      <c r="N716" s="18"/>
      <c r="O716" s="29"/>
      <c r="P716" s="29"/>
      <c r="Q716" s="29"/>
      <c r="R716" s="29"/>
      <c r="S716" s="29"/>
      <c r="T716" s="29"/>
      <c r="U716" s="29"/>
      <c r="V716" s="29"/>
    </row>
    <row r="717">
      <c r="A717" s="46"/>
      <c r="B717" s="43"/>
      <c r="C717" s="44"/>
      <c r="D717" s="45"/>
      <c r="E717" s="43"/>
      <c r="F717" s="43"/>
      <c r="G717" s="14"/>
      <c r="H717" s="15"/>
      <c r="I717" s="14"/>
      <c r="J717" s="16"/>
      <c r="K717" s="17"/>
      <c r="L717" s="8"/>
      <c r="M717" s="8"/>
      <c r="N717" s="18"/>
      <c r="O717" s="29"/>
      <c r="P717" s="29"/>
      <c r="Q717" s="29"/>
      <c r="R717" s="29"/>
      <c r="S717" s="29"/>
      <c r="T717" s="29"/>
      <c r="U717" s="29"/>
      <c r="V717" s="29"/>
    </row>
    <row r="718">
      <c r="A718" s="46"/>
      <c r="B718" s="43"/>
      <c r="C718" s="44"/>
      <c r="D718" s="45"/>
      <c r="E718" s="43"/>
      <c r="F718" s="43"/>
      <c r="G718" s="14"/>
      <c r="H718" s="15"/>
      <c r="I718" s="14"/>
      <c r="J718" s="16"/>
      <c r="K718" s="17"/>
      <c r="L718" s="8"/>
      <c r="M718" s="8"/>
      <c r="N718" s="18"/>
      <c r="O718" s="29"/>
      <c r="P718" s="29"/>
      <c r="Q718" s="29"/>
      <c r="R718" s="29"/>
      <c r="S718" s="29"/>
      <c r="T718" s="29"/>
      <c r="U718" s="29"/>
      <c r="V718" s="29"/>
    </row>
    <row r="719">
      <c r="A719" s="46"/>
      <c r="B719" s="43"/>
      <c r="C719" s="44"/>
      <c r="D719" s="45"/>
      <c r="E719" s="43"/>
      <c r="F719" s="43"/>
      <c r="G719" s="14"/>
      <c r="H719" s="15"/>
      <c r="I719" s="14"/>
      <c r="J719" s="16"/>
      <c r="K719" s="17"/>
      <c r="L719" s="8"/>
      <c r="M719" s="8"/>
      <c r="N719" s="18"/>
      <c r="O719" s="29"/>
      <c r="P719" s="29"/>
      <c r="Q719" s="29"/>
      <c r="R719" s="29"/>
      <c r="S719" s="29"/>
      <c r="T719" s="29"/>
      <c r="U719" s="29"/>
      <c r="V719" s="29"/>
    </row>
    <row r="720">
      <c r="A720" s="46"/>
      <c r="B720" s="43"/>
      <c r="C720" s="44"/>
      <c r="D720" s="45"/>
      <c r="E720" s="43"/>
      <c r="F720" s="43"/>
      <c r="G720" s="14"/>
      <c r="H720" s="15"/>
      <c r="I720" s="14"/>
      <c r="J720" s="16"/>
      <c r="K720" s="17"/>
      <c r="L720" s="8"/>
      <c r="M720" s="8"/>
      <c r="N720" s="18"/>
      <c r="O720" s="29"/>
      <c r="P720" s="29"/>
      <c r="Q720" s="29"/>
      <c r="R720" s="29"/>
      <c r="S720" s="29"/>
      <c r="T720" s="29"/>
      <c r="U720" s="29"/>
      <c r="V720" s="29"/>
    </row>
    <row r="721">
      <c r="A721" s="46"/>
      <c r="B721" s="43"/>
      <c r="C721" s="44"/>
      <c r="D721" s="45"/>
      <c r="E721" s="43"/>
      <c r="F721" s="43"/>
      <c r="G721" s="14"/>
      <c r="H721" s="15"/>
      <c r="I721" s="14"/>
      <c r="J721" s="16"/>
      <c r="K721" s="17"/>
      <c r="L721" s="8"/>
      <c r="M721" s="8"/>
      <c r="N721" s="18"/>
      <c r="O721" s="29"/>
      <c r="P721" s="29"/>
      <c r="Q721" s="29"/>
      <c r="R721" s="29"/>
      <c r="S721" s="29"/>
      <c r="T721" s="29"/>
      <c r="U721" s="29"/>
      <c r="V721" s="29"/>
    </row>
    <row r="722">
      <c r="A722" s="46"/>
      <c r="B722" s="43"/>
      <c r="C722" s="44"/>
      <c r="D722" s="45"/>
      <c r="E722" s="43"/>
      <c r="F722" s="43"/>
      <c r="G722" s="14"/>
      <c r="H722" s="15"/>
      <c r="I722" s="14"/>
      <c r="J722" s="16"/>
      <c r="K722" s="17"/>
      <c r="L722" s="8"/>
      <c r="M722" s="8"/>
      <c r="N722" s="18"/>
      <c r="O722" s="29"/>
      <c r="P722" s="29"/>
      <c r="Q722" s="29"/>
      <c r="R722" s="29"/>
      <c r="S722" s="29"/>
      <c r="T722" s="29"/>
      <c r="U722" s="29"/>
      <c r="V722" s="29"/>
    </row>
    <row r="723">
      <c r="A723" s="46"/>
      <c r="B723" s="43"/>
      <c r="C723" s="44"/>
      <c r="D723" s="45"/>
      <c r="E723" s="43"/>
      <c r="F723" s="43"/>
      <c r="G723" s="14"/>
      <c r="H723" s="15"/>
      <c r="I723" s="14"/>
      <c r="J723" s="16"/>
      <c r="K723" s="17"/>
      <c r="L723" s="8"/>
      <c r="M723" s="8"/>
      <c r="N723" s="18"/>
      <c r="O723" s="29"/>
      <c r="P723" s="29"/>
      <c r="Q723" s="29"/>
      <c r="R723" s="29"/>
      <c r="S723" s="29"/>
      <c r="T723" s="29"/>
      <c r="U723" s="29"/>
      <c r="V723" s="29"/>
    </row>
    <row r="724">
      <c r="A724" s="46"/>
      <c r="B724" s="43"/>
      <c r="C724" s="44"/>
      <c r="D724" s="45"/>
      <c r="E724" s="43"/>
      <c r="F724" s="43"/>
      <c r="G724" s="14"/>
      <c r="H724" s="15"/>
      <c r="I724" s="14"/>
      <c r="J724" s="16"/>
      <c r="K724" s="17"/>
      <c r="L724" s="8"/>
      <c r="M724" s="8"/>
      <c r="N724" s="18"/>
      <c r="O724" s="29"/>
      <c r="P724" s="29"/>
      <c r="Q724" s="29"/>
      <c r="R724" s="29"/>
      <c r="S724" s="29"/>
      <c r="T724" s="29"/>
      <c r="U724" s="29"/>
      <c r="V724" s="29"/>
    </row>
    <row r="725">
      <c r="A725" s="46"/>
      <c r="B725" s="43"/>
      <c r="C725" s="44"/>
      <c r="D725" s="45"/>
      <c r="E725" s="43"/>
      <c r="F725" s="43"/>
      <c r="G725" s="14"/>
      <c r="H725" s="15"/>
      <c r="I725" s="14"/>
      <c r="J725" s="16"/>
      <c r="K725" s="17"/>
      <c r="L725" s="8"/>
      <c r="M725" s="8"/>
      <c r="N725" s="18"/>
      <c r="O725" s="29"/>
      <c r="P725" s="29"/>
      <c r="Q725" s="29"/>
      <c r="R725" s="29"/>
      <c r="S725" s="29"/>
      <c r="T725" s="29"/>
      <c r="U725" s="29"/>
      <c r="V725" s="29"/>
    </row>
    <row r="726">
      <c r="A726" s="46"/>
      <c r="B726" s="43"/>
      <c r="C726" s="44"/>
      <c r="D726" s="45"/>
      <c r="E726" s="43"/>
      <c r="F726" s="43"/>
      <c r="G726" s="14"/>
      <c r="H726" s="15"/>
      <c r="I726" s="14"/>
      <c r="J726" s="16"/>
      <c r="K726" s="17"/>
      <c r="L726" s="8"/>
      <c r="M726" s="8"/>
      <c r="N726" s="18"/>
      <c r="O726" s="29"/>
      <c r="P726" s="29"/>
      <c r="Q726" s="29"/>
      <c r="R726" s="29"/>
      <c r="S726" s="29"/>
      <c r="T726" s="29"/>
      <c r="U726" s="29"/>
      <c r="V726" s="29"/>
    </row>
    <row r="727">
      <c r="A727" s="46"/>
      <c r="B727" s="43"/>
      <c r="C727" s="44"/>
      <c r="D727" s="45"/>
      <c r="E727" s="43"/>
      <c r="F727" s="43"/>
      <c r="G727" s="14"/>
      <c r="H727" s="15"/>
      <c r="I727" s="14"/>
      <c r="J727" s="16"/>
      <c r="K727" s="17"/>
      <c r="L727" s="8"/>
      <c r="M727" s="8"/>
      <c r="N727" s="18"/>
      <c r="O727" s="29"/>
      <c r="P727" s="29"/>
      <c r="Q727" s="29"/>
      <c r="R727" s="29"/>
      <c r="S727" s="29"/>
      <c r="T727" s="29"/>
      <c r="U727" s="29"/>
      <c r="V727" s="29"/>
    </row>
    <row r="728">
      <c r="A728" s="46"/>
      <c r="B728" s="43"/>
      <c r="C728" s="44"/>
      <c r="D728" s="45"/>
      <c r="E728" s="43"/>
      <c r="F728" s="43"/>
      <c r="G728" s="14"/>
      <c r="H728" s="15"/>
      <c r="I728" s="14"/>
      <c r="J728" s="16"/>
      <c r="K728" s="17"/>
      <c r="L728" s="8"/>
      <c r="M728" s="8"/>
      <c r="N728" s="18"/>
      <c r="O728" s="29"/>
      <c r="P728" s="29"/>
      <c r="Q728" s="29"/>
      <c r="R728" s="29"/>
      <c r="S728" s="29"/>
      <c r="T728" s="29"/>
      <c r="U728" s="29"/>
      <c r="V728" s="29"/>
    </row>
    <row r="729">
      <c r="A729" s="46"/>
      <c r="B729" s="43"/>
      <c r="C729" s="44"/>
      <c r="D729" s="45"/>
      <c r="E729" s="43"/>
      <c r="F729" s="43"/>
      <c r="G729" s="14"/>
      <c r="H729" s="15"/>
      <c r="I729" s="14"/>
      <c r="J729" s="16"/>
      <c r="K729" s="17"/>
      <c r="L729" s="8"/>
      <c r="M729" s="8"/>
      <c r="N729" s="18"/>
      <c r="O729" s="29"/>
      <c r="P729" s="29"/>
      <c r="Q729" s="29"/>
      <c r="R729" s="29"/>
      <c r="S729" s="29"/>
      <c r="T729" s="29"/>
      <c r="U729" s="29"/>
      <c r="V729" s="29"/>
    </row>
    <row r="730">
      <c r="A730" s="46"/>
      <c r="B730" s="43"/>
      <c r="C730" s="44"/>
      <c r="D730" s="45"/>
      <c r="E730" s="43"/>
      <c r="F730" s="43"/>
      <c r="G730" s="14"/>
      <c r="H730" s="15"/>
      <c r="I730" s="14"/>
      <c r="J730" s="16"/>
      <c r="K730" s="17"/>
      <c r="L730" s="8"/>
      <c r="M730" s="8"/>
      <c r="N730" s="18"/>
      <c r="O730" s="29"/>
      <c r="P730" s="29"/>
      <c r="Q730" s="29"/>
      <c r="R730" s="29"/>
      <c r="S730" s="29"/>
      <c r="T730" s="29"/>
      <c r="U730" s="29"/>
      <c r="V730" s="29"/>
    </row>
    <row r="731">
      <c r="A731" s="46"/>
      <c r="B731" s="43"/>
      <c r="C731" s="44"/>
      <c r="D731" s="45"/>
      <c r="E731" s="43"/>
      <c r="F731" s="43"/>
      <c r="G731" s="14"/>
      <c r="H731" s="15"/>
      <c r="I731" s="14"/>
      <c r="J731" s="16"/>
      <c r="K731" s="17"/>
      <c r="L731" s="8"/>
      <c r="M731" s="8"/>
      <c r="N731" s="18"/>
      <c r="O731" s="29"/>
      <c r="P731" s="29"/>
      <c r="Q731" s="29"/>
      <c r="R731" s="29"/>
      <c r="S731" s="29"/>
      <c r="T731" s="29"/>
      <c r="U731" s="29"/>
      <c r="V731" s="29"/>
    </row>
    <row r="732">
      <c r="A732" s="46"/>
      <c r="B732" s="43"/>
      <c r="C732" s="44"/>
      <c r="D732" s="45"/>
      <c r="E732" s="43"/>
      <c r="F732" s="43"/>
      <c r="G732" s="14"/>
      <c r="H732" s="15"/>
      <c r="I732" s="14"/>
      <c r="J732" s="16"/>
      <c r="K732" s="17"/>
      <c r="L732" s="8"/>
      <c r="M732" s="8"/>
      <c r="N732" s="18"/>
      <c r="O732" s="29"/>
      <c r="P732" s="29"/>
      <c r="Q732" s="29"/>
      <c r="R732" s="29"/>
      <c r="S732" s="29"/>
      <c r="T732" s="29"/>
      <c r="U732" s="29"/>
      <c r="V732" s="29"/>
    </row>
    <row r="733">
      <c r="A733" s="46"/>
      <c r="B733" s="43"/>
      <c r="C733" s="44"/>
      <c r="D733" s="45"/>
      <c r="E733" s="43"/>
      <c r="F733" s="43"/>
      <c r="G733" s="14"/>
      <c r="H733" s="15"/>
      <c r="I733" s="14"/>
      <c r="J733" s="16"/>
      <c r="K733" s="17"/>
      <c r="L733" s="8"/>
      <c r="M733" s="8"/>
      <c r="N733" s="18"/>
      <c r="O733" s="29"/>
      <c r="P733" s="29"/>
      <c r="Q733" s="29"/>
      <c r="R733" s="29"/>
      <c r="S733" s="29"/>
      <c r="T733" s="29"/>
      <c r="U733" s="29"/>
      <c r="V733" s="29"/>
    </row>
    <row r="734">
      <c r="A734" s="46"/>
      <c r="B734" s="43"/>
      <c r="C734" s="44"/>
      <c r="D734" s="45"/>
      <c r="E734" s="43"/>
      <c r="F734" s="43"/>
      <c r="G734" s="14"/>
      <c r="H734" s="15"/>
      <c r="I734" s="14"/>
      <c r="J734" s="16"/>
      <c r="K734" s="17"/>
      <c r="L734" s="8"/>
      <c r="M734" s="8"/>
      <c r="N734" s="18"/>
      <c r="O734" s="29"/>
      <c r="P734" s="29"/>
      <c r="Q734" s="29"/>
      <c r="R734" s="29"/>
      <c r="S734" s="29"/>
      <c r="T734" s="29"/>
      <c r="U734" s="29"/>
      <c r="V734" s="29"/>
    </row>
    <row r="735">
      <c r="A735" s="46"/>
      <c r="B735" s="43"/>
      <c r="C735" s="44"/>
      <c r="D735" s="45"/>
      <c r="E735" s="43"/>
      <c r="F735" s="43"/>
      <c r="G735" s="14"/>
      <c r="H735" s="15"/>
      <c r="I735" s="14"/>
      <c r="J735" s="16"/>
      <c r="K735" s="17"/>
      <c r="L735" s="8"/>
      <c r="M735" s="8"/>
      <c r="N735" s="18"/>
      <c r="O735" s="29"/>
      <c r="P735" s="29"/>
      <c r="Q735" s="29"/>
      <c r="R735" s="29"/>
      <c r="S735" s="29"/>
      <c r="T735" s="29"/>
      <c r="U735" s="29"/>
      <c r="V735" s="29"/>
    </row>
    <row r="736">
      <c r="A736" s="46"/>
      <c r="B736" s="43"/>
      <c r="C736" s="44"/>
      <c r="D736" s="45"/>
      <c r="E736" s="43"/>
      <c r="F736" s="43"/>
      <c r="G736" s="14"/>
      <c r="H736" s="15"/>
      <c r="I736" s="14"/>
      <c r="J736" s="16"/>
      <c r="K736" s="17"/>
      <c r="L736" s="8"/>
      <c r="M736" s="8"/>
      <c r="N736" s="18"/>
      <c r="O736" s="29"/>
      <c r="P736" s="29"/>
      <c r="Q736" s="29"/>
      <c r="R736" s="29"/>
      <c r="S736" s="29"/>
      <c r="T736" s="29"/>
      <c r="U736" s="29"/>
      <c r="V736" s="29"/>
    </row>
    <row r="737">
      <c r="A737" s="46"/>
      <c r="B737" s="43"/>
      <c r="C737" s="44"/>
      <c r="D737" s="45"/>
      <c r="E737" s="43"/>
      <c r="F737" s="43"/>
      <c r="G737" s="14"/>
      <c r="H737" s="15"/>
      <c r="I737" s="14"/>
      <c r="J737" s="16"/>
      <c r="K737" s="17"/>
      <c r="L737" s="8"/>
      <c r="M737" s="8"/>
      <c r="N737" s="18"/>
      <c r="O737" s="29"/>
      <c r="P737" s="29"/>
      <c r="Q737" s="29"/>
      <c r="R737" s="29"/>
      <c r="S737" s="29"/>
      <c r="T737" s="29"/>
      <c r="U737" s="29"/>
      <c r="V737" s="29"/>
    </row>
    <row r="738">
      <c r="A738" s="46"/>
      <c r="B738" s="43"/>
      <c r="C738" s="44"/>
      <c r="D738" s="45"/>
      <c r="E738" s="43"/>
      <c r="F738" s="43"/>
      <c r="G738" s="14"/>
      <c r="H738" s="15"/>
      <c r="I738" s="14"/>
      <c r="J738" s="16"/>
      <c r="K738" s="17"/>
      <c r="L738" s="8"/>
      <c r="M738" s="8"/>
      <c r="N738" s="18"/>
      <c r="O738" s="29"/>
      <c r="P738" s="29"/>
      <c r="Q738" s="29"/>
      <c r="R738" s="29"/>
      <c r="S738" s="29"/>
      <c r="T738" s="29"/>
      <c r="U738" s="29"/>
      <c r="V738" s="29"/>
    </row>
    <row r="739">
      <c r="A739" s="46"/>
      <c r="B739" s="43"/>
      <c r="C739" s="44"/>
      <c r="D739" s="45"/>
      <c r="E739" s="43"/>
      <c r="F739" s="43"/>
      <c r="G739" s="14"/>
      <c r="H739" s="15"/>
      <c r="I739" s="14"/>
      <c r="J739" s="16"/>
      <c r="K739" s="17"/>
      <c r="L739" s="8"/>
      <c r="M739" s="8"/>
      <c r="N739" s="18"/>
      <c r="O739" s="29"/>
      <c r="P739" s="29"/>
      <c r="Q739" s="29"/>
      <c r="R739" s="29"/>
      <c r="S739" s="29"/>
      <c r="T739" s="29"/>
      <c r="U739" s="29"/>
      <c r="V739" s="29"/>
    </row>
    <row r="740">
      <c r="A740" s="46"/>
      <c r="B740" s="43"/>
      <c r="C740" s="44"/>
      <c r="D740" s="45"/>
      <c r="E740" s="43"/>
      <c r="F740" s="43"/>
      <c r="G740" s="14"/>
      <c r="H740" s="15"/>
      <c r="I740" s="14"/>
      <c r="J740" s="16"/>
      <c r="K740" s="17"/>
      <c r="L740" s="8"/>
      <c r="M740" s="8"/>
      <c r="N740" s="18"/>
      <c r="O740" s="29"/>
      <c r="P740" s="29"/>
      <c r="Q740" s="29"/>
      <c r="R740" s="29"/>
      <c r="S740" s="29"/>
      <c r="T740" s="29"/>
      <c r="U740" s="29"/>
      <c r="V740" s="29"/>
    </row>
    <row r="741">
      <c r="A741" s="46"/>
      <c r="B741" s="43"/>
      <c r="C741" s="44"/>
      <c r="D741" s="45"/>
      <c r="E741" s="43"/>
      <c r="F741" s="43"/>
      <c r="G741" s="14"/>
      <c r="H741" s="15"/>
      <c r="I741" s="14"/>
      <c r="J741" s="16"/>
      <c r="K741" s="17"/>
      <c r="L741" s="8"/>
      <c r="M741" s="8"/>
      <c r="N741" s="18"/>
      <c r="O741" s="29"/>
      <c r="P741" s="29"/>
      <c r="Q741" s="29"/>
      <c r="R741" s="29"/>
      <c r="S741" s="29"/>
      <c r="T741" s="29"/>
      <c r="U741" s="29"/>
      <c r="V741" s="29"/>
    </row>
    <row r="742">
      <c r="A742" s="46"/>
      <c r="B742" s="43"/>
      <c r="C742" s="44"/>
      <c r="D742" s="45"/>
      <c r="E742" s="43"/>
      <c r="F742" s="43"/>
      <c r="G742" s="14"/>
      <c r="H742" s="15"/>
      <c r="I742" s="14"/>
      <c r="J742" s="16"/>
      <c r="K742" s="17"/>
      <c r="L742" s="8"/>
      <c r="M742" s="8"/>
      <c r="N742" s="18"/>
      <c r="O742" s="29"/>
      <c r="P742" s="29"/>
      <c r="Q742" s="29"/>
      <c r="R742" s="29"/>
      <c r="S742" s="29"/>
      <c r="T742" s="29"/>
      <c r="U742" s="29"/>
      <c r="V742" s="29"/>
    </row>
    <row r="743">
      <c r="A743" s="46"/>
      <c r="B743" s="43"/>
      <c r="C743" s="44"/>
      <c r="D743" s="45"/>
      <c r="E743" s="43"/>
      <c r="F743" s="43"/>
      <c r="G743" s="14"/>
      <c r="H743" s="15"/>
      <c r="I743" s="14"/>
      <c r="J743" s="16"/>
      <c r="K743" s="17"/>
      <c r="L743" s="8"/>
      <c r="M743" s="8"/>
      <c r="N743" s="18"/>
      <c r="O743" s="29"/>
      <c r="P743" s="29"/>
      <c r="Q743" s="29"/>
      <c r="R743" s="29"/>
      <c r="S743" s="29"/>
      <c r="T743" s="29"/>
      <c r="U743" s="29"/>
      <c r="V743" s="29"/>
    </row>
    <row r="744">
      <c r="A744" s="46"/>
      <c r="B744" s="43"/>
      <c r="C744" s="44"/>
      <c r="D744" s="45"/>
      <c r="E744" s="43"/>
      <c r="F744" s="43"/>
      <c r="G744" s="14"/>
      <c r="H744" s="15"/>
      <c r="I744" s="14"/>
      <c r="J744" s="16"/>
      <c r="K744" s="17"/>
      <c r="L744" s="8"/>
      <c r="M744" s="8"/>
      <c r="N744" s="18"/>
      <c r="O744" s="29"/>
      <c r="P744" s="29"/>
      <c r="Q744" s="29"/>
      <c r="R744" s="29"/>
      <c r="S744" s="29"/>
      <c r="T744" s="29"/>
      <c r="U744" s="29"/>
      <c r="V744" s="29"/>
    </row>
    <row r="745">
      <c r="A745" s="46"/>
      <c r="B745" s="43"/>
      <c r="C745" s="44"/>
      <c r="D745" s="45"/>
      <c r="E745" s="43"/>
      <c r="F745" s="43"/>
      <c r="G745" s="14"/>
      <c r="H745" s="15"/>
      <c r="I745" s="14"/>
      <c r="J745" s="16"/>
      <c r="K745" s="17"/>
      <c r="L745" s="8"/>
      <c r="M745" s="8"/>
      <c r="N745" s="18"/>
      <c r="O745" s="29"/>
      <c r="P745" s="29"/>
      <c r="Q745" s="29"/>
      <c r="R745" s="29"/>
      <c r="S745" s="29"/>
      <c r="T745" s="29"/>
      <c r="U745" s="29"/>
      <c r="V745" s="29"/>
    </row>
    <row r="746">
      <c r="A746" s="46"/>
      <c r="B746" s="43"/>
      <c r="C746" s="44"/>
      <c r="D746" s="45"/>
      <c r="E746" s="43"/>
      <c r="F746" s="43"/>
      <c r="G746" s="14"/>
      <c r="H746" s="15"/>
      <c r="I746" s="14"/>
      <c r="J746" s="16"/>
      <c r="K746" s="17"/>
      <c r="L746" s="8"/>
      <c r="M746" s="8"/>
      <c r="N746" s="18"/>
      <c r="O746" s="29"/>
      <c r="P746" s="29"/>
      <c r="Q746" s="29"/>
      <c r="R746" s="29"/>
      <c r="S746" s="29"/>
      <c r="T746" s="29"/>
      <c r="U746" s="29"/>
      <c r="V746" s="29"/>
    </row>
    <row r="747">
      <c r="A747" s="46"/>
      <c r="B747" s="43"/>
      <c r="C747" s="44"/>
      <c r="D747" s="45"/>
      <c r="E747" s="43"/>
      <c r="F747" s="43"/>
      <c r="G747" s="14"/>
      <c r="H747" s="15"/>
      <c r="I747" s="14"/>
      <c r="J747" s="16"/>
      <c r="K747" s="17"/>
      <c r="L747" s="8"/>
      <c r="M747" s="8"/>
      <c r="N747" s="18"/>
      <c r="O747" s="29"/>
      <c r="P747" s="29"/>
      <c r="Q747" s="29"/>
      <c r="R747" s="29"/>
      <c r="S747" s="29"/>
      <c r="T747" s="29"/>
      <c r="U747" s="29"/>
      <c r="V747" s="29"/>
    </row>
    <row r="748">
      <c r="A748" s="46"/>
      <c r="B748" s="43"/>
      <c r="C748" s="44"/>
      <c r="D748" s="45"/>
      <c r="E748" s="43"/>
      <c r="F748" s="43"/>
      <c r="G748" s="14"/>
      <c r="H748" s="15"/>
      <c r="I748" s="14"/>
      <c r="J748" s="16"/>
      <c r="K748" s="17"/>
      <c r="L748" s="8"/>
      <c r="M748" s="8"/>
      <c r="N748" s="18"/>
      <c r="O748" s="29"/>
      <c r="P748" s="29"/>
      <c r="Q748" s="29"/>
      <c r="R748" s="29"/>
      <c r="S748" s="29"/>
      <c r="T748" s="29"/>
      <c r="U748" s="29"/>
      <c r="V748" s="29"/>
    </row>
    <row r="749">
      <c r="A749" s="46"/>
      <c r="B749" s="43"/>
      <c r="C749" s="44"/>
      <c r="D749" s="45"/>
      <c r="E749" s="43"/>
      <c r="F749" s="43"/>
      <c r="G749" s="14"/>
      <c r="H749" s="15"/>
      <c r="I749" s="14"/>
      <c r="J749" s="16"/>
      <c r="K749" s="17"/>
      <c r="L749" s="8"/>
      <c r="M749" s="8"/>
      <c r="N749" s="18"/>
      <c r="O749" s="29"/>
      <c r="P749" s="29"/>
      <c r="Q749" s="29"/>
      <c r="R749" s="29"/>
      <c r="S749" s="29"/>
      <c r="T749" s="29"/>
      <c r="U749" s="29"/>
      <c r="V749" s="29"/>
    </row>
    <row r="750">
      <c r="A750" s="46"/>
      <c r="B750" s="43"/>
      <c r="C750" s="44"/>
      <c r="D750" s="45"/>
      <c r="E750" s="43"/>
      <c r="F750" s="43"/>
      <c r="G750" s="14"/>
      <c r="H750" s="15"/>
      <c r="I750" s="14"/>
      <c r="J750" s="16"/>
      <c r="K750" s="17"/>
      <c r="L750" s="8"/>
      <c r="M750" s="8"/>
      <c r="N750" s="18"/>
      <c r="O750" s="29"/>
      <c r="P750" s="29"/>
      <c r="Q750" s="29"/>
      <c r="R750" s="29"/>
      <c r="S750" s="29"/>
      <c r="T750" s="29"/>
      <c r="U750" s="29"/>
      <c r="V750" s="29"/>
    </row>
    <row r="751">
      <c r="A751" s="46"/>
      <c r="B751" s="43"/>
      <c r="C751" s="44"/>
      <c r="D751" s="45"/>
      <c r="E751" s="43"/>
      <c r="F751" s="43"/>
      <c r="G751" s="14"/>
      <c r="H751" s="15"/>
      <c r="I751" s="14"/>
      <c r="J751" s="16"/>
      <c r="K751" s="17"/>
      <c r="L751" s="8"/>
      <c r="M751" s="8"/>
      <c r="N751" s="18"/>
      <c r="O751" s="29"/>
      <c r="P751" s="29"/>
      <c r="Q751" s="29"/>
      <c r="R751" s="29"/>
      <c r="S751" s="29"/>
      <c r="T751" s="29"/>
      <c r="U751" s="29"/>
      <c r="V751" s="29"/>
    </row>
    <row r="752">
      <c r="A752" s="46"/>
      <c r="B752" s="43"/>
      <c r="C752" s="44"/>
      <c r="D752" s="45"/>
      <c r="E752" s="43"/>
      <c r="F752" s="43"/>
      <c r="G752" s="14"/>
      <c r="H752" s="15"/>
      <c r="I752" s="14"/>
      <c r="J752" s="16"/>
      <c r="K752" s="17"/>
      <c r="L752" s="8"/>
      <c r="M752" s="8"/>
      <c r="N752" s="18"/>
      <c r="O752" s="29"/>
      <c r="P752" s="29"/>
      <c r="Q752" s="29"/>
      <c r="R752" s="29"/>
      <c r="S752" s="29"/>
      <c r="T752" s="29"/>
      <c r="U752" s="29"/>
      <c r="V752" s="29"/>
    </row>
    <row r="753">
      <c r="A753" s="46"/>
      <c r="B753" s="43"/>
      <c r="C753" s="44"/>
      <c r="D753" s="45"/>
      <c r="E753" s="43"/>
      <c r="F753" s="43"/>
      <c r="G753" s="14"/>
      <c r="H753" s="15"/>
      <c r="I753" s="14"/>
      <c r="J753" s="16"/>
      <c r="K753" s="17"/>
      <c r="L753" s="8"/>
      <c r="M753" s="8"/>
      <c r="N753" s="18"/>
      <c r="O753" s="29"/>
      <c r="P753" s="29"/>
      <c r="Q753" s="29"/>
      <c r="R753" s="29"/>
      <c r="S753" s="29"/>
      <c r="T753" s="29"/>
      <c r="U753" s="29"/>
      <c r="V753" s="29"/>
    </row>
    <row r="754">
      <c r="A754" s="46"/>
      <c r="B754" s="43"/>
      <c r="C754" s="44"/>
      <c r="D754" s="45"/>
      <c r="E754" s="43"/>
      <c r="F754" s="43"/>
      <c r="G754" s="14"/>
      <c r="H754" s="15"/>
      <c r="I754" s="14"/>
      <c r="J754" s="16"/>
      <c r="K754" s="17"/>
      <c r="L754" s="8"/>
      <c r="M754" s="8"/>
      <c r="N754" s="18"/>
      <c r="O754" s="29"/>
      <c r="P754" s="29"/>
      <c r="Q754" s="29"/>
      <c r="R754" s="29"/>
      <c r="S754" s="29"/>
      <c r="T754" s="29"/>
      <c r="U754" s="29"/>
      <c r="V754" s="29"/>
    </row>
    <row r="755">
      <c r="A755" s="46"/>
      <c r="B755" s="43"/>
      <c r="C755" s="44"/>
      <c r="D755" s="45"/>
      <c r="E755" s="43"/>
      <c r="F755" s="43"/>
      <c r="G755" s="14"/>
      <c r="H755" s="15"/>
      <c r="I755" s="14"/>
      <c r="J755" s="16"/>
      <c r="K755" s="17"/>
      <c r="L755" s="8"/>
      <c r="M755" s="8"/>
      <c r="N755" s="18"/>
      <c r="O755" s="29"/>
      <c r="P755" s="29"/>
      <c r="Q755" s="29"/>
      <c r="R755" s="29"/>
      <c r="S755" s="29"/>
      <c r="T755" s="29"/>
      <c r="U755" s="29"/>
      <c r="V755" s="29"/>
    </row>
    <row r="756">
      <c r="A756" s="46"/>
      <c r="B756" s="43"/>
      <c r="C756" s="44"/>
      <c r="D756" s="45"/>
      <c r="E756" s="43"/>
      <c r="F756" s="43"/>
      <c r="G756" s="14"/>
      <c r="H756" s="15"/>
      <c r="I756" s="14"/>
      <c r="J756" s="16"/>
      <c r="K756" s="17"/>
      <c r="L756" s="8"/>
      <c r="M756" s="8"/>
      <c r="N756" s="18"/>
      <c r="O756" s="29"/>
      <c r="P756" s="29"/>
      <c r="Q756" s="29"/>
      <c r="R756" s="29"/>
      <c r="S756" s="29"/>
      <c r="T756" s="29"/>
      <c r="U756" s="29"/>
      <c r="V756" s="29"/>
    </row>
    <row r="757">
      <c r="A757" s="46"/>
      <c r="B757" s="43"/>
      <c r="C757" s="44"/>
      <c r="D757" s="45"/>
      <c r="E757" s="43"/>
      <c r="F757" s="43"/>
      <c r="G757" s="14"/>
      <c r="H757" s="15"/>
      <c r="I757" s="14"/>
      <c r="J757" s="16"/>
      <c r="K757" s="17"/>
      <c r="L757" s="8"/>
      <c r="M757" s="8"/>
      <c r="N757" s="18"/>
      <c r="O757" s="29"/>
      <c r="P757" s="29"/>
      <c r="Q757" s="29"/>
      <c r="R757" s="29"/>
      <c r="S757" s="29"/>
      <c r="T757" s="29"/>
      <c r="U757" s="29"/>
      <c r="V757" s="29"/>
    </row>
    <row r="758">
      <c r="A758" s="46"/>
      <c r="B758" s="43"/>
      <c r="C758" s="44"/>
      <c r="D758" s="45"/>
      <c r="E758" s="43"/>
      <c r="F758" s="43"/>
      <c r="G758" s="14"/>
      <c r="H758" s="15"/>
      <c r="I758" s="14"/>
      <c r="J758" s="16"/>
      <c r="K758" s="17"/>
      <c r="L758" s="8"/>
      <c r="M758" s="8"/>
      <c r="N758" s="18"/>
      <c r="O758" s="29"/>
      <c r="P758" s="29"/>
      <c r="Q758" s="29"/>
      <c r="R758" s="29"/>
      <c r="S758" s="29"/>
      <c r="T758" s="29"/>
      <c r="U758" s="29"/>
      <c r="V758" s="29"/>
    </row>
    <row r="759">
      <c r="A759" s="46"/>
      <c r="B759" s="43"/>
      <c r="C759" s="44"/>
      <c r="D759" s="45"/>
      <c r="E759" s="43"/>
      <c r="F759" s="43"/>
      <c r="G759" s="14"/>
      <c r="H759" s="15"/>
      <c r="I759" s="14"/>
      <c r="J759" s="16"/>
      <c r="K759" s="17"/>
      <c r="L759" s="8"/>
      <c r="M759" s="8"/>
      <c r="N759" s="18"/>
      <c r="O759" s="29"/>
      <c r="P759" s="29"/>
      <c r="Q759" s="29"/>
      <c r="R759" s="29"/>
      <c r="S759" s="29"/>
      <c r="T759" s="29"/>
      <c r="U759" s="29"/>
      <c r="V759" s="29"/>
    </row>
    <row r="760">
      <c r="A760" s="46"/>
      <c r="B760" s="43"/>
      <c r="C760" s="44"/>
      <c r="D760" s="45"/>
      <c r="E760" s="43"/>
      <c r="F760" s="43"/>
      <c r="G760" s="14"/>
      <c r="H760" s="15"/>
      <c r="I760" s="14"/>
      <c r="J760" s="16"/>
      <c r="K760" s="17"/>
      <c r="L760" s="8"/>
      <c r="M760" s="8"/>
      <c r="N760" s="18"/>
      <c r="O760" s="29"/>
      <c r="P760" s="29"/>
      <c r="Q760" s="29"/>
      <c r="R760" s="29"/>
      <c r="S760" s="29"/>
      <c r="T760" s="29"/>
      <c r="U760" s="29"/>
      <c r="V760" s="29"/>
    </row>
    <row r="761">
      <c r="A761" s="46"/>
      <c r="B761" s="43"/>
      <c r="C761" s="44"/>
      <c r="D761" s="45"/>
      <c r="E761" s="43"/>
      <c r="F761" s="43"/>
      <c r="G761" s="14"/>
      <c r="H761" s="15"/>
      <c r="I761" s="14"/>
      <c r="J761" s="16"/>
      <c r="K761" s="17"/>
      <c r="L761" s="8"/>
      <c r="M761" s="8"/>
      <c r="N761" s="18"/>
      <c r="O761" s="29"/>
      <c r="P761" s="29"/>
      <c r="Q761" s="29"/>
      <c r="R761" s="29"/>
      <c r="S761" s="29"/>
      <c r="T761" s="29"/>
      <c r="U761" s="29"/>
      <c r="V761" s="29"/>
    </row>
    <row r="762">
      <c r="A762" s="46"/>
      <c r="B762" s="43"/>
      <c r="C762" s="44"/>
      <c r="D762" s="45"/>
      <c r="E762" s="43"/>
      <c r="F762" s="43"/>
      <c r="G762" s="14"/>
      <c r="H762" s="15"/>
      <c r="I762" s="14"/>
      <c r="J762" s="16"/>
      <c r="K762" s="17"/>
      <c r="L762" s="8"/>
      <c r="M762" s="8"/>
      <c r="N762" s="18"/>
      <c r="O762" s="29"/>
      <c r="P762" s="29"/>
      <c r="Q762" s="29"/>
      <c r="R762" s="29"/>
      <c r="S762" s="29"/>
      <c r="T762" s="29"/>
      <c r="U762" s="29"/>
      <c r="V762" s="29"/>
    </row>
    <row r="763">
      <c r="A763" s="46"/>
      <c r="B763" s="43"/>
      <c r="C763" s="44"/>
      <c r="D763" s="45"/>
      <c r="E763" s="43"/>
      <c r="F763" s="43"/>
      <c r="G763" s="14"/>
      <c r="H763" s="15"/>
      <c r="I763" s="14"/>
      <c r="J763" s="16"/>
      <c r="K763" s="17"/>
      <c r="L763" s="8"/>
      <c r="M763" s="8"/>
      <c r="N763" s="18"/>
      <c r="O763" s="29"/>
      <c r="P763" s="29"/>
      <c r="Q763" s="29"/>
      <c r="R763" s="29"/>
      <c r="S763" s="29"/>
      <c r="T763" s="29"/>
      <c r="U763" s="29"/>
      <c r="V763" s="29"/>
    </row>
    <row r="764">
      <c r="A764" s="46"/>
      <c r="B764" s="43"/>
      <c r="C764" s="44"/>
      <c r="D764" s="45"/>
      <c r="E764" s="43"/>
      <c r="F764" s="43"/>
      <c r="G764" s="14"/>
      <c r="H764" s="15"/>
      <c r="I764" s="14"/>
      <c r="J764" s="16"/>
      <c r="K764" s="17"/>
      <c r="L764" s="8"/>
      <c r="M764" s="8"/>
      <c r="N764" s="18"/>
      <c r="O764" s="29"/>
      <c r="P764" s="29"/>
      <c r="Q764" s="29"/>
      <c r="R764" s="29"/>
      <c r="S764" s="29"/>
      <c r="T764" s="29"/>
      <c r="U764" s="29"/>
      <c r="V764" s="29"/>
    </row>
    <row r="765">
      <c r="A765" s="46"/>
      <c r="B765" s="43"/>
      <c r="C765" s="44"/>
      <c r="D765" s="45"/>
      <c r="E765" s="43"/>
      <c r="F765" s="43"/>
      <c r="G765" s="14"/>
      <c r="H765" s="15"/>
      <c r="I765" s="14"/>
      <c r="J765" s="16"/>
      <c r="K765" s="17"/>
      <c r="L765" s="8"/>
      <c r="M765" s="8"/>
      <c r="N765" s="18"/>
      <c r="O765" s="29"/>
      <c r="P765" s="29"/>
      <c r="Q765" s="29"/>
      <c r="R765" s="29"/>
      <c r="S765" s="29"/>
      <c r="T765" s="29"/>
      <c r="U765" s="29"/>
      <c r="V765" s="29"/>
    </row>
    <row r="766">
      <c r="A766" s="46"/>
      <c r="B766" s="43"/>
      <c r="C766" s="44"/>
      <c r="D766" s="45"/>
      <c r="E766" s="43"/>
      <c r="F766" s="43"/>
      <c r="G766" s="14"/>
      <c r="H766" s="15"/>
      <c r="I766" s="14"/>
      <c r="J766" s="16"/>
      <c r="K766" s="17"/>
      <c r="L766" s="8"/>
      <c r="M766" s="8"/>
      <c r="N766" s="18"/>
      <c r="O766" s="29"/>
      <c r="P766" s="29"/>
      <c r="Q766" s="29"/>
      <c r="R766" s="29"/>
      <c r="S766" s="29"/>
      <c r="T766" s="29"/>
      <c r="U766" s="29"/>
      <c r="V766" s="29"/>
    </row>
    <row r="767">
      <c r="A767" s="46"/>
      <c r="B767" s="43"/>
      <c r="C767" s="47"/>
      <c r="D767" s="45"/>
      <c r="E767" s="43"/>
      <c r="F767" s="43"/>
      <c r="G767" s="14"/>
      <c r="H767" s="15"/>
      <c r="I767" s="14"/>
      <c r="J767" s="16"/>
      <c r="K767" s="17"/>
      <c r="L767" s="8"/>
      <c r="M767" s="8"/>
      <c r="N767" s="18"/>
      <c r="O767" s="29"/>
      <c r="P767" s="29"/>
      <c r="Q767" s="29"/>
      <c r="R767" s="29"/>
      <c r="S767" s="29"/>
      <c r="T767" s="29"/>
      <c r="U767" s="29"/>
      <c r="V767" s="29"/>
    </row>
    <row r="768">
      <c r="A768" s="46"/>
      <c r="B768" s="43"/>
      <c r="C768" s="47"/>
      <c r="D768" s="45"/>
      <c r="E768" s="43"/>
      <c r="F768" s="43"/>
      <c r="G768" s="14"/>
      <c r="H768" s="15"/>
      <c r="I768" s="14"/>
      <c r="J768" s="16"/>
      <c r="K768" s="17"/>
      <c r="L768" s="8"/>
      <c r="M768" s="8"/>
      <c r="N768" s="18"/>
      <c r="O768" s="29"/>
      <c r="P768" s="29"/>
      <c r="Q768" s="29"/>
      <c r="R768" s="29"/>
      <c r="S768" s="29"/>
      <c r="T768" s="29"/>
      <c r="U768" s="29"/>
      <c r="V768" s="29"/>
    </row>
    <row r="769">
      <c r="A769" s="46"/>
      <c r="B769" s="43"/>
      <c r="C769" s="47"/>
      <c r="D769" s="45"/>
      <c r="E769" s="43"/>
      <c r="F769" s="43"/>
      <c r="G769" s="14"/>
      <c r="H769" s="15"/>
      <c r="I769" s="14"/>
      <c r="J769" s="16"/>
      <c r="K769" s="17"/>
      <c r="L769" s="8"/>
      <c r="M769" s="8"/>
      <c r="N769" s="18"/>
      <c r="O769" s="29"/>
      <c r="P769" s="29"/>
      <c r="Q769" s="29"/>
      <c r="R769" s="29"/>
      <c r="S769" s="29"/>
      <c r="T769" s="29"/>
      <c r="U769" s="29"/>
      <c r="V769" s="29"/>
    </row>
    <row r="770">
      <c r="A770" s="46"/>
      <c r="B770" s="43"/>
      <c r="C770" s="47"/>
      <c r="D770" s="45"/>
      <c r="E770" s="43"/>
      <c r="F770" s="43"/>
      <c r="G770" s="14"/>
      <c r="H770" s="15"/>
      <c r="I770" s="14"/>
      <c r="J770" s="16"/>
      <c r="K770" s="17"/>
      <c r="L770" s="8"/>
      <c r="M770" s="8"/>
      <c r="N770" s="18"/>
      <c r="O770" s="29"/>
      <c r="P770" s="29"/>
      <c r="Q770" s="29"/>
      <c r="R770" s="29"/>
      <c r="S770" s="29"/>
      <c r="T770" s="29"/>
      <c r="U770" s="29"/>
      <c r="V770" s="29"/>
    </row>
    <row r="771">
      <c r="A771" s="46"/>
      <c r="B771" s="43"/>
      <c r="C771" s="47"/>
      <c r="D771" s="45"/>
      <c r="E771" s="43"/>
      <c r="F771" s="43"/>
      <c r="G771" s="14"/>
      <c r="H771" s="15"/>
      <c r="I771" s="14"/>
      <c r="J771" s="16"/>
      <c r="K771" s="17"/>
      <c r="L771" s="8"/>
      <c r="M771" s="8"/>
      <c r="N771" s="18"/>
      <c r="O771" s="29"/>
      <c r="P771" s="29"/>
      <c r="Q771" s="29"/>
      <c r="R771" s="29"/>
      <c r="S771" s="29"/>
      <c r="T771" s="29"/>
      <c r="U771" s="29"/>
      <c r="V771" s="29"/>
    </row>
    <row r="772">
      <c r="A772" s="46"/>
      <c r="B772" s="43"/>
      <c r="C772" s="47"/>
      <c r="D772" s="45"/>
      <c r="E772" s="43"/>
      <c r="F772" s="43"/>
      <c r="G772" s="14"/>
      <c r="H772" s="15"/>
      <c r="I772" s="14"/>
      <c r="J772" s="16"/>
      <c r="K772" s="17"/>
      <c r="L772" s="8"/>
      <c r="M772" s="8"/>
      <c r="N772" s="18"/>
      <c r="O772" s="29"/>
      <c r="P772" s="29"/>
      <c r="Q772" s="29"/>
      <c r="R772" s="29"/>
      <c r="S772" s="29"/>
      <c r="T772" s="29"/>
      <c r="U772" s="29"/>
      <c r="V772" s="29"/>
    </row>
    <row r="773">
      <c r="A773" s="46"/>
      <c r="B773" s="43"/>
      <c r="C773" s="47"/>
      <c r="D773" s="45"/>
      <c r="E773" s="43"/>
      <c r="F773" s="43"/>
      <c r="G773" s="14"/>
      <c r="H773" s="15"/>
      <c r="I773" s="14"/>
      <c r="J773" s="16"/>
      <c r="K773" s="17"/>
      <c r="L773" s="8"/>
      <c r="M773" s="8"/>
      <c r="N773" s="18"/>
      <c r="O773" s="29"/>
      <c r="P773" s="29"/>
      <c r="Q773" s="29"/>
      <c r="R773" s="29"/>
      <c r="S773" s="29"/>
      <c r="T773" s="29"/>
      <c r="U773" s="29"/>
      <c r="V773" s="29"/>
    </row>
    <row r="774">
      <c r="A774" s="46"/>
      <c r="B774" s="43"/>
      <c r="C774" s="47"/>
      <c r="D774" s="45"/>
      <c r="E774" s="43"/>
      <c r="F774" s="43"/>
      <c r="G774" s="14"/>
      <c r="H774" s="15"/>
      <c r="I774" s="14"/>
      <c r="J774" s="16"/>
      <c r="K774" s="17"/>
      <c r="L774" s="8"/>
      <c r="M774" s="8"/>
      <c r="N774" s="18"/>
      <c r="O774" s="29"/>
      <c r="P774" s="29"/>
      <c r="Q774" s="29"/>
      <c r="R774" s="29"/>
      <c r="S774" s="29"/>
      <c r="T774" s="29"/>
      <c r="U774" s="29"/>
      <c r="V774" s="29"/>
    </row>
    <row r="775">
      <c r="A775" s="46"/>
      <c r="B775" s="43"/>
      <c r="C775" s="47"/>
      <c r="D775" s="45"/>
      <c r="E775" s="43"/>
      <c r="F775" s="43"/>
      <c r="G775" s="14"/>
      <c r="H775" s="15"/>
      <c r="I775" s="14"/>
      <c r="J775" s="16"/>
      <c r="K775" s="17"/>
      <c r="L775" s="8"/>
      <c r="M775" s="8"/>
      <c r="N775" s="18"/>
      <c r="O775" s="29"/>
      <c r="P775" s="29"/>
      <c r="Q775" s="29"/>
      <c r="R775" s="29"/>
      <c r="S775" s="29"/>
      <c r="T775" s="29"/>
      <c r="U775" s="29"/>
      <c r="V775" s="29"/>
    </row>
    <row r="776">
      <c r="A776" s="46"/>
      <c r="B776" s="43"/>
      <c r="C776" s="47"/>
      <c r="D776" s="45"/>
      <c r="E776" s="43"/>
      <c r="F776" s="43"/>
      <c r="G776" s="14"/>
      <c r="H776" s="15"/>
      <c r="I776" s="14"/>
      <c r="J776" s="16"/>
      <c r="K776" s="17"/>
      <c r="L776" s="8"/>
      <c r="M776" s="8"/>
      <c r="N776" s="18"/>
      <c r="O776" s="29"/>
      <c r="P776" s="29"/>
      <c r="Q776" s="29"/>
      <c r="R776" s="29"/>
      <c r="S776" s="29"/>
      <c r="T776" s="29"/>
      <c r="U776" s="29"/>
      <c r="V776" s="29"/>
    </row>
    <row r="777">
      <c r="A777" s="46"/>
      <c r="B777" s="43"/>
      <c r="C777" s="47"/>
      <c r="D777" s="45"/>
      <c r="E777" s="43"/>
      <c r="F777" s="43"/>
      <c r="G777" s="14"/>
      <c r="H777" s="15"/>
      <c r="I777" s="14"/>
      <c r="J777" s="16"/>
      <c r="K777" s="17"/>
      <c r="L777" s="8"/>
      <c r="M777" s="8"/>
      <c r="N777" s="18"/>
      <c r="O777" s="29"/>
      <c r="P777" s="29"/>
      <c r="Q777" s="29"/>
      <c r="R777" s="29"/>
      <c r="S777" s="29"/>
      <c r="T777" s="29"/>
      <c r="U777" s="29"/>
      <c r="V777" s="29"/>
    </row>
    <row r="778">
      <c r="A778" s="46"/>
      <c r="B778" s="43"/>
      <c r="C778" s="47"/>
      <c r="D778" s="45"/>
      <c r="E778" s="43"/>
      <c r="F778" s="43"/>
      <c r="G778" s="14"/>
      <c r="H778" s="15"/>
      <c r="I778" s="14"/>
      <c r="J778" s="16"/>
      <c r="K778" s="17"/>
      <c r="L778" s="8"/>
      <c r="M778" s="8"/>
      <c r="N778" s="18"/>
      <c r="O778" s="29"/>
      <c r="P778" s="29"/>
      <c r="Q778" s="29"/>
      <c r="R778" s="29"/>
      <c r="S778" s="29"/>
      <c r="T778" s="29"/>
      <c r="U778" s="29"/>
      <c r="V778" s="29"/>
    </row>
    <row r="779">
      <c r="A779" s="46"/>
      <c r="B779" s="43"/>
      <c r="C779" s="47"/>
      <c r="D779" s="45"/>
      <c r="E779" s="43"/>
      <c r="F779" s="43"/>
      <c r="G779" s="14"/>
      <c r="H779" s="15"/>
      <c r="I779" s="14"/>
      <c r="J779" s="16"/>
      <c r="K779" s="17"/>
      <c r="L779" s="8"/>
      <c r="M779" s="8"/>
      <c r="N779" s="18"/>
      <c r="O779" s="29"/>
      <c r="P779" s="29"/>
      <c r="Q779" s="29"/>
      <c r="R779" s="29"/>
      <c r="S779" s="29"/>
      <c r="T779" s="29"/>
      <c r="U779" s="29"/>
      <c r="V779" s="29"/>
    </row>
    <row r="780">
      <c r="A780" s="46"/>
      <c r="B780" s="43"/>
      <c r="C780" s="47"/>
      <c r="D780" s="45"/>
      <c r="E780" s="43"/>
      <c r="F780" s="43"/>
      <c r="G780" s="14"/>
      <c r="H780" s="15"/>
      <c r="I780" s="14"/>
      <c r="J780" s="16"/>
      <c r="K780" s="17"/>
      <c r="L780" s="8"/>
      <c r="M780" s="8"/>
      <c r="N780" s="18"/>
      <c r="O780" s="29"/>
      <c r="P780" s="29"/>
      <c r="Q780" s="29"/>
      <c r="R780" s="29"/>
      <c r="S780" s="29"/>
      <c r="T780" s="29"/>
      <c r="U780" s="29"/>
      <c r="V780" s="29"/>
    </row>
    <row r="781">
      <c r="A781" s="46"/>
      <c r="B781" s="43"/>
      <c r="C781" s="47"/>
      <c r="D781" s="45"/>
      <c r="E781" s="43"/>
      <c r="F781" s="43"/>
      <c r="G781" s="14"/>
      <c r="H781" s="15"/>
      <c r="I781" s="14"/>
      <c r="J781" s="16"/>
      <c r="K781" s="17"/>
      <c r="L781" s="8"/>
      <c r="M781" s="8"/>
      <c r="N781" s="18"/>
      <c r="O781" s="29"/>
      <c r="P781" s="29"/>
      <c r="Q781" s="29"/>
      <c r="R781" s="29"/>
      <c r="S781" s="29"/>
      <c r="T781" s="29"/>
      <c r="U781" s="29"/>
      <c r="V781" s="29"/>
    </row>
    <row r="782">
      <c r="A782" s="46"/>
      <c r="B782" s="43"/>
      <c r="C782" s="47"/>
      <c r="D782" s="45"/>
      <c r="E782" s="43"/>
      <c r="F782" s="43"/>
      <c r="G782" s="14"/>
      <c r="H782" s="15"/>
      <c r="I782" s="14"/>
      <c r="J782" s="16"/>
      <c r="K782" s="17"/>
      <c r="L782" s="8"/>
      <c r="M782" s="8"/>
      <c r="N782" s="18"/>
      <c r="O782" s="29"/>
      <c r="P782" s="29"/>
      <c r="Q782" s="29"/>
      <c r="R782" s="29"/>
      <c r="S782" s="29"/>
      <c r="T782" s="29"/>
      <c r="U782" s="29"/>
      <c r="V782" s="29"/>
    </row>
    <row r="783">
      <c r="A783" s="46"/>
      <c r="B783" s="43"/>
      <c r="C783" s="47"/>
      <c r="D783" s="45"/>
      <c r="E783" s="43"/>
      <c r="F783" s="43"/>
      <c r="G783" s="14"/>
      <c r="H783" s="15"/>
      <c r="I783" s="14"/>
      <c r="J783" s="16"/>
      <c r="K783" s="17"/>
      <c r="L783" s="8"/>
      <c r="M783" s="8"/>
      <c r="N783" s="18"/>
      <c r="O783" s="29"/>
      <c r="P783" s="29"/>
      <c r="Q783" s="29"/>
      <c r="R783" s="29"/>
      <c r="S783" s="29"/>
      <c r="T783" s="29"/>
      <c r="U783" s="29"/>
      <c r="V783" s="29"/>
    </row>
    <row r="784">
      <c r="A784" s="46"/>
      <c r="B784" s="43"/>
      <c r="C784" s="47"/>
      <c r="D784" s="45"/>
      <c r="E784" s="43"/>
      <c r="F784" s="43"/>
      <c r="G784" s="14"/>
      <c r="H784" s="15"/>
      <c r="I784" s="14"/>
      <c r="J784" s="16"/>
      <c r="K784" s="17"/>
      <c r="L784" s="8"/>
      <c r="M784" s="8"/>
      <c r="N784" s="18"/>
      <c r="O784" s="29"/>
      <c r="P784" s="29"/>
      <c r="Q784" s="29"/>
      <c r="R784" s="29"/>
      <c r="S784" s="29"/>
      <c r="T784" s="29"/>
      <c r="U784" s="29"/>
      <c r="V784" s="29"/>
    </row>
    <row r="785">
      <c r="A785" s="46"/>
      <c r="B785" s="43"/>
      <c r="C785" s="47"/>
      <c r="D785" s="45"/>
      <c r="E785" s="43"/>
      <c r="F785" s="43"/>
      <c r="G785" s="14"/>
      <c r="H785" s="15"/>
      <c r="I785" s="14"/>
      <c r="J785" s="16"/>
      <c r="K785" s="17"/>
      <c r="L785" s="8"/>
      <c r="M785" s="8"/>
      <c r="N785" s="18"/>
      <c r="O785" s="29"/>
      <c r="P785" s="29"/>
      <c r="Q785" s="29"/>
      <c r="R785" s="29"/>
      <c r="S785" s="29"/>
      <c r="T785" s="29"/>
      <c r="U785" s="29"/>
      <c r="V785" s="29"/>
    </row>
    <row r="786">
      <c r="A786" s="46"/>
      <c r="B786" s="43"/>
      <c r="C786" s="47"/>
      <c r="D786" s="45"/>
      <c r="E786" s="43"/>
      <c r="F786" s="43"/>
      <c r="G786" s="14"/>
      <c r="H786" s="15"/>
      <c r="I786" s="14"/>
      <c r="J786" s="16"/>
      <c r="K786" s="17"/>
      <c r="L786" s="8"/>
      <c r="M786" s="8"/>
      <c r="N786" s="18"/>
      <c r="O786" s="29"/>
      <c r="P786" s="29"/>
      <c r="Q786" s="29"/>
      <c r="R786" s="29"/>
      <c r="S786" s="29"/>
      <c r="T786" s="29"/>
      <c r="U786" s="29"/>
      <c r="V786" s="29"/>
    </row>
    <row r="787">
      <c r="A787" s="46"/>
      <c r="B787" s="43"/>
      <c r="C787" s="47"/>
      <c r="D787" s="45"/>
      <c r="E787" s="43"/>
      <c r="F787" s="43"/>
      <c r="G787" s="14"/>
      <c r="H787" s="15"/>
      <c r="I787" s="14"/>
      <c r="J787" s="16"/>
      <c r="K787" s="17"/>
      <c r="L787" s="8"/>
      <c r="M787" s="8"/>
      <c r="N787" s="18"/>
      <c r="O787" s="29"/>
      <c r="P787" s="29"/>
      <c r="Q787" s="29"/>
      <c r="R787" s="29"/>
      <c r="S787" s="29"/>
      <c r="T787" s="29"/>
      <c r="U787" s="29"/>
      <c r="V787" s="29"/>
    </row>
    <row r="788">
      <c r="A788" s="46"/>
      <c r="B788" s="43"/>
      <c r="C788" s="47"/>
      <c r="D788" s="45"/>
      <c r="E788" s="43"/>
      <c r="F788" s="43"/>
      <c r="G788" s="14"/>
      <c r="H788" s="29"/>
      <c r="I788" s="14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>
      <c r="A789" s="29"/>
      <c r="B789" s="43"/>
      <c r="C789" s="47"/>
      <c r="D789" s="48"/>
      <c r="E789" s="43"/>
      <c r="F789" s="43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>
      <c r="A790" s="29"/>
      <c r="B790" s="43"/>
      <c r="C790" s="47"/>
      <c r="D790" s="48"/>
      <c r="E790" s="43"/>
      <c r="F790" s="43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>
      <c r="A791" s="29"/>
      <c r="B791" s="43"/>
      <c r="C791" s="47"/>
      <c r="D791" s="48"/>
      <c r="E791" s="43"/>
      <c r="F791" s="43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>
      <c r="A792" s="29"/>
      <c r="B792" s="43"/>
      <c r="C792" s="47"/>
      <c r="D792" s="48"/>
      <c r="E792" s="43"/>
      <c r="F792" s="43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>
      <c r="A793" s="29"/>
      <c r="B793" s="43"/>
      <c r="C793" s="47"/>
      <c r="D793" s="48"/>
      <c r="E793" s="43"/>
      <c r="F793" s="43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>
      <c r="A794" s="29"/>
      <c r="B794" s="43"/>
      <c r="C794" s="47"/>
      <c r="D794" s="48"/>
      <c r="E794" s="43"/>
      <c r="F794" s="43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>
      <c r="A795" s="29"/>
      <c r="B795" s="43"/>
      <c r="C795" s="47"/>
      <c r="D795" s="48"/>
      <c r="E795" s="43"/>
      <c r="F795" s="43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>
      <c r="A796" s="29"/>
      <c r="B796" s="43"/>
      <c r="C796" s="47"/>
      <c r="D796" s="48"/>
      <c r="E796" s="43"/>
      <c r="F796" s="43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>
      <c r="A797" s="29"/>
      <c r="B797" s="43"/>
      <c r="C797" s="47"/>
      <c r="D797" s="48"/>
      <c r="E797" s="43"/>
      <c r="F797" s="43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>
      <c r="A798" s="29"/>
      <c r="B798" s="43"/>
      <c r="C798" s="47"/>
      <c r="D798" s="48"/>
      <c r="E798" s="43"/>
      <c r="F798" s="43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>
      <c r="A799" s="29"/>
      <c r="B799" s="43"/>
      <c r="C799" s="47"/>
      <c r="D799" s="48"/>
      <c r="E799" s="43"/>
      <c r="F799" s="43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>
      <c r="A800" s="29"/>
      <c r="B800" s="43"/>
      <c r="C800" s="47"/>
      <c r="D800" s="48"/>
      <c r="E800" s="43"/>
      <c r="F800" s="43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>
      <c r="A801" s="29"/>
      <c r="B801" s="43"/>
      <c r="C801" s="47"/>
      <c r="D801" s="48"/>
      <c r="E801" s="43"/>
      <c r="F801" s="43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>
      <c r="A802" s="29"/>
      <c r="B802" s="43"/>
      <c r="C802" s="47"/>
      <c r="D802" s="48"/>
      <c r="E802" s="43"/>
      <c r="F802" s="43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>
      <c r="A803" s="29"/>
      <c r="B803" s="43"/>
      <c r="C803" s="47"/>
      <c r="D803" s="48"/>
      <c r="E803" s="43"/>
      <c r="F803" s="43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>
      <c r="A804" s="29"/>
      <c r="B804" s="43"/>
      <c r="C804" s="47"/>
      <c r="D804" s="48"/>
      <c r="E804" s="43"/>
      <c r="F804" s="43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>
      <c r="A805" s="29"/>
      <c r="B805" s="43"/>
      <c r="C805" s="47"/>
      <c r="D805" s="48"/>
      <c r="E805" s="43"/>
      <c r="F805" s="43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>
      <c r="A806" s="29"/>
      <c r="B806" s="43"/>
      <c r="C806" s="47"/>
      <c r="D806" s="48"/>
      <c r="E806" s="43"/>
      <c r="F806" s="43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>
      <c r="A807" s="29"/>
      <c r="B807" s="43"/>
      <c r="C807" s="47"/>
      <c r="D807" s="48"/>
      <c r="E807" s="43"/>
      <c r="F807" s="43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>
      <c r="A808" s="29"/>
      <c r="B808" s="43"/>
      <c r="C808" s="47"/>
      <c r="D808" s="48"/>
      <c r="E808" s="43"/>
      <c r="F808" s="43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>
      <c r="A809" s="29"/>
      <c r="B809" s="43"/>
      <c r="C809" s="47"/>
      <c r="D809" s="48"/>
      <c r="E809" s="43"/>
      <c r="F809" s="43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>
      <c r="A810" s="29"/>
      <c r="B810" s="43"/>
      <c r="C810" s="47"/>
      <c r="D810" s="48"/>
      <c r="E810" s="43"/>
      <c r="F810" s="43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>
      <c r="A811" s="29"/>
      <c r="B811" s="43"/>
      <c r="C811" s="47"/>
      <c r="D811" s="48"/>
      <c r="E811" s="43"/>
      <c r="F811" s="43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>
      <c r="A812" s="29"/>
      <c r="B812" s="43"/>
      <c r="C812" s="47"/>
      <c r="D812" s="48"/>
      <c r="E812" s="43"/>
      <c r="F812" s="43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>
      <c r="A813" s="29"/>
      <c r="B813" s="43"/>
      <c r="C813" s="47"/>
      <c r="D813" s="48"/>
      <c r="E813" s="43"/>
      <c r="F813" s="43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>
      <c r="A814" s="29"/>
      <c r="B814" s="43"/>
      <c r="C814" s="47"/>
      <c r="D814" s="48"/>
      <c r="E814" s="43"/>
      <c r="F814" s="43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>
      <c r="A815" s="29"/>
      <c r="B815" s="43"/>
      <c r="C815" s="47"/>
      <c r="D815" s="48"/>
      <c r="E815" s="43"/>
      <c r="F815" s="43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>
      <c r="A816" s="29"/>
      <c r="B816" s="43"/>
      <c r="C816" s="47"/>
      <c r="D816" s="48"/>
      <c r="E816" s="43"/>
      <c r="F816" s="43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>
      <c r="A817" s="29"/>
      <c r="B817" s="43"/>
      <c r="C817" s="47"/>
      <c r="D817" s="48"/>
      <c r="E817" s="43"/>
      <c r="F817" s="43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>
      <c r="A818" s="29"/>
      <c r="B818" s="43"/>
      <c r="C818" s="47"/>
      <c r="D818" s="48"/>
      <c r="E818" s="43"/>
      <c r="F818" s="43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>
      <c r="A819" s="29"/>
      <c r="B819" s="43"/>
      <c r="C819" s="47"/>
      <c r="D819" s="48"/>
      <c r="E819" s="43"/>
      <c r="F819" s="43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>
      <c r="A820" s="29"/>
      <c r="B820" s="43"/>
      <c r="C820" s="47"/>
      <c r="D820" s="48"/>
      <c r="E820" s="43"/>
      <c r="F820" s="43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>
      <c r="A821" s="29"/>
      <c r="B821" s="43"/>
      <c r="C821" s="47"/>
      <c r="D821" s="48"/>
      <c r="E821" s="43"/>
      <c r="F821" s="43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>
      <c r="A822" s="29"/>
      <c r="B822" s="43"/>
      <c r="C822" s="47"/>
      <c r="D822" s="48"/>
      <c r="E822" s="43"/>
      <c r="F822" s="43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>
      <c r="A823" s="29"/>
      <c r="B823" s="43"/>
      <c r="C823" s="47"/>
      <c r="D823" s="48"/>
      <c r="E823" s="43"/>
      <c r="F823" s="43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>
      <c r="A824" s="29"/>
      <c r="B824" s="43"/>
      <c r="C824" s="47"/>
      <c r="D824" s="48"/>
      <c r="E824" s="43"/>
      <c r="F824" s="43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>
      <c r="A825" s="29"/>
      <c r="B825" s="43"/>
      <c r="C825" s="47"/>
      <c r="D825" s="48"/>
      <c r="E825" s="43"/>
      <c r="F825" s="43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>
      <c r="A826" s="29"/>
      <c r="B826" s="43"/>
      <c r="C826" s="47"/>
      <c r="D826" s="48"/>
      <c r="E826" s="43"/>
      <c r="F826" s="43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>
      <c r="A827" s="29"/>
      <c r="B827" s="43"/>
      <c r="C827" s="47"/>
      <c r="D827" s="48"/>
      <c r="E827" s="43"/>
      <c r="F827" s="43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>
      <c r="A828" s="29"/>
      <c r="B828" s="43"/>
      <c r="C828" s="47"/>
      <c r="D828" s="48"/>
      <c r="E828" s="43"/>
      <c r="F828" s="43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>
      <c r="A829" s="29"/>
      <c r="B829" s="43"/>
      <c r="C829" s="47"/>
      <c r="D829" s="48"/>
      <c r="E829" s="43"/>
      <c r="F829" s="43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>
      <c r="A830" s="29"/>
      <c r="B830" s="43"/>
      <c r="C830" s="47"/>
      <c r="D830" s="48"/>
      <c r="E830" s="43"/>
      <c r="F830" s="43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>
      <c r="A831" s="29"/>
      <c r="B831" s="43"/>
      <c r="C831" s="47"/>
      <c r="D831" s="48"/>
      <c r="E831" s="43"/>
      <c r="F831" s="43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>
      <c r="A832" s="29"/>
      <c r="B832" s="43"/>
      <c r="C832" s="47"/>
      <c r="D832" s="48"/>
      <c r="E832" s="43"/>
      <c r="F832" s="43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>
      <c r="A833" s="29"/>
      <c r="B833" s="43"/>
      <c r="C833" s="47"/>
      <c r="D833" s="48"/>
      <c r="E833" s="43"/>
      <c r="F833" s="43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>
      <c r="A834" s="29"/>
      <c r="B834" s="43"/>
      <c r="C834" s="47"/>
      <c r="D834" s="48"/>
      <c r="E834" s="43"/>
      <c r="F834" s="43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>
      <c r="A835" s="29"/>
      <c r="B835" s="43"/>
      <c r="C835" s="47"/>
      <c r="D835" s="48"/>
      <c r="E835" s="43"/>
      <c r="F835" s="43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>
      <c r="A836" s="29"/>
      <c r="B836" s="43"/>
      <c r="C836" s="47"/>
      <c r="D836" s="48"/>
      <c r="E836" s="43"/>
      <c r="F836" s="43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>
      <c r="A837" s="29"/>
      <c r="B837" s="43"/>
      <c r="C837" s="47"/>
      <c r="D837" s="48"/>
      <c r="E837" s="43"/>
      <c r="F837" s="43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>
      <c r="A838" s="29"/>
      <c r="B838" s="43"/>
      <c r="C838" s="47"/>
      <c r="D838" s="48"/>
      <c r="E838" s="43"/>
      <c r="F838" s="43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>
      <c r="A839" s="29"/>
      <c r="B839" s="43"/>
      <c r="C839" s="47"/>
      <c r="D839" s="48"/>
      <c r="E839" s="43"/>
      <c r="F839" s="43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>
      <c r="A840" s="29"/>
      <c r="B840" s="43"/>
      <c r="C840" s="47"/>
      <c r="D840" s="48"/>
      <c r="E840" s="43"/>
      <c r="F840" s="43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>
      <c r="A841" s="29"/>
      <c r="B841" s="43"/>
      <c r="C841" s="47"/>
      <c r="D841" s="48"/>
      <c r="E841" s="43"/>
      <c r="F841" s="43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>
      <c r="A842" s="29"/>
      <c r="B842" s="43"/>
      <c r="C842" s="47"/>
      <c r="D842" s="48"/>
      <c r="E842" s="43"/>
      <c r="F842" s="43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>
      <c r="A843" s="29"/>
      <c r="B843" s="43"/>
      <c r="C843" s="47"/>
      <c r="D843" s="48"/>
      <c r="E843" s="43"/>
      <c r="F843" s="43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>
      <c r="A844" s="29"/>
      <c r="B844" s="43"/>
      <c r="C844" s="47"/>
      <c r="D844" s="48"/>
      <c r="E844" s="43"/>
      <c r="F844" s="43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>
      <c r="A845" s="29"/>
      <c r="B845" s="43"/>
      <c r="C845" s="47"/>
      <c r="D845" s="48"/>
      <c r="E845" s="43"/>
      <c r="F845" s="43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>
      <c r="A846" s="29"/>
      <c r="B846" s="43"/>
      <c r="C846" s="47"/>
      <c r="D846" s="48"/>
      <c r="E846" s="43"/>
      <c r="F846" s="43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>
      <c r="A847" s="29"/>
      <c r="B847" s="43"/>
      <c r="C847" s="47"/>
      <c r="D847" s="48"/>
      <c r="E847" s="43"/>
      <c r="F847" s="43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>
      <c r="A848" s="29"/>
      <c r="B848" s="43"/>
      <c r="C848" s="47"/>
      <c r="D848" s="48"/>
      <c r="E848" s="43"/>
      <c r="F848" s="43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>
      <c r="A849" s="29"/>
      <c r="B849" s="43"/>
      <c r="C849" s="47"/>
      <c r="D849" s="48"/>
      <c r="E849" s="43"/>
      <c r="F849" s="43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>
      <c r="A850" s="29"/>
      <c r="B850" s="43"/>
      <c r="C850" s="47"/>
      <c r="D850" s="48"/>
      <c r="E850" s="43"/>
      <c r="F850" s="43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>
      <c r="A851" s="29"/>
      <c r="B851" s="43"/>
      <c r="C851" s="47"/>
      <c r="D851" s="48"/>
      <c r="E851" s="43"/>
      <c r="F851" s="43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>
      <c r="A852" s="29"/>
      <c r="B852" s="43"/>
      <c r="C852" s="47"/>
      <c r="D852" s="48"/>
      <c r="E852" s="43"/>
      <c r="F852" s="43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>
      <c r="A853" s="29"/>
      <c r="B853" s="43"/>
      <c r="C853" s="47"/>
      <c r="D853" s="48"/>
      <c r="E853" s="43"/>
      <c r="F853" s="43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>
      <c r="A854" s="29"/>
      <c r="B854" s="43"/>
      <c r="C854" s="47"/>
      <c r="D854" s="48"/>
      <c r="E854" s="43"/>
      <c r="F854" s="43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>
      <c r="A855" s="29"/>
      <c r="B855" s="43"/>
      <c r="C855" s="47"/>
      <c r="D855" s="48"/>
      <c r="E855" s="43"/>
      <c r="F855" s="43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>
      <c r="A856" s="29"/>
      <c r="B856" s="43"/>
      <c r="C856" s="47"/>
      <c r="D856" s="48"/>
      <c r="E856" s="43"/>
      <c r="F856" s="43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>
      <c r="A857" s="29"/>
      <c r="B857" s="43"/>
      <c r="C857" s="47"/>
      <c r="D857" s="48"/>
      <c r="E857" s="43"/>
      <c r="F857" s="43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>
      <c r="A858" s="29"/>
      <c r="B858" s="43"/>
      <c r="C858" s="47"/>
      <c r="D858" s="48"/>
      <c r="E858" s="43"/>
      <c r="F858" s="43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>
      <c r="A859" s="29"/>
      <c r="B859" s="43"/>
      <c r="C859" s="47"/>
      <c r="D859" s="48"/>
      <c r="E859" s="43"/>
      <c r="F859" s="43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>
      <c r="A860" s="29"/>
      <c r="B860" s="43"/>
      <c r="C860" s="47"/>
      <c r="D860" s="48"/>
      <c r="E860" s="43"/>
      <c r="F860" s="43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>
      <c r="A861" s="29"/>
      <c r="B861" s="43"/>
      <c r="C861" s="47"/>
      <c r="D861" s="48"/>
      <c r="E861" s="43"/>
      <c r="F861" s="43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>
      <c r="A862" s="29"/>
      <c r="B862" s="43"/>
      <c r="C862" s="47"/>
      <c r="D862" s="48"/>
      <c r="E862" s="43"/>
      <c r="F862" s="43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>
      <c r="A863" s="29"/>
      <c r="B863" s="43"/>
      <c r="C863" s="47"/>
      <c r="D863" s="48"/>
      <c r="E863" s="43"/>
      <c r="F863" s="43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>
      <c r="A864" s="29"/>
      <c r="B864" s="43"/>
      <c r="C864" s="47"/>
      <c r="D864" s="48"/>
      <c r="E864" s="43"/>
      <c r="F864" s="43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>
      <c r="A865" s="29"/>
      <c r="B865" s="43"/>
      <c r="C865" s="47"/>
      <c r="D865" s="48"/>
      <c r="E865" s="43"/>
      <c r="F865" s="43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>
      <c r="A866" s="29"/>
      <c r="B866" s="43"/>
      <c r="C866" s="47"/>
      <c r="D866" s="48"/>
      <c r="E866" s="43"/>
      <c r="F866" s="43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>
      <c r="A867" s="29"/>
      <c r="B867" s="43"/>
      <c r="C867" s="47"/>
      <c r="D867" s="48"/>
      <c r="E867" s="43"/>
      <c r="F867" s="43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>
      <c r="A868" s="29"/>
      <c r="B868" s="43"/>
      <c r="C868" s="47"/>
      <c r="D868" s="48"/>
      <c r="E868" s="43"/>
      <c r="F868" s="43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>
      <c r="A869" s="29"/>
      <c r="B869" s="43"/>
      <c r="C869" s="47"/>
      <c r="D869" s="48"/>
      <c r="E869" s="43"/>
      <c r="F869" s="43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>
      <c r="A870" s="29"/>
      <c r="B870" s="43"/>
      <c r="C870" s="47"/>
      <c r="D870" s="48"/>
      <c r="E870" s="43"/>
      <c r="F870" s="43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>
      <c r="A871" s="29"/>
      <c r="B871" s="43"/>
      <c r="C871" s="47"/>
      <c r="D871" s="48"/>
      <c r="E871" s="43"/>
      <c r="F871" s="43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>
      <c r="A872" s="29"/>
      <c r="B872" s="43"/>
      <c r="C872" s="47"/>
      <c r="D872" s="48"/>
      <c r="E872" s="43"/>
      <c r="F872" s="43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>
      <c r="A873" s="29"/>
      <c r="B873" s="43"/>
      <c r="C873" s="47"/>
      <c r="D873" s="48"/>
      <c r="E873" s="43"/>
      <c r="F873" s="43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>
      <c r="A874" s="29"/>
      <c r="B874" s="43"/>
      <c r="C874" s="47"/>
      <c r="D874" s="48"/>
      <c r="E874" s="43"/>
      <c r="F874" s="43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>
      <c r="A875" s="29"/>
      <c r="B875" s="43"/>
      <c r="C875" s="47"/>
      <c r="D875" s="48"/>
      <c r="E875" s="43"/>
      <c r="F875" s="43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>
      <c r="A876" s="29"/>
      <c r="B876" s="43"/>
      <c r="C876" s="47"/>
      <c r="D876" s="48"/>
      <c r="E876" s="43"/>
      <c r="F876" s="43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>
      <c r="A877" s="29"/>
      <c r="B877" s="43"/>
      <c r="C877" s="47"/>
      <c r="D877" s="48"/>
      <c r="E877" s="43"/>
      <c r="F877" s="43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>
      <c r="A878" s="29"/>
      <c r="B878" s="43"/>
      <c r="C878" s="47"/>
      <c r="D878" s="48"/>
      <c r="E878" s="43"/>
      <c r="F878" s="43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>
      <c r="A879" s="29"/>
      <c r="B879" s="43"/>
      <c r="C879" s="47"/>
      <c r="D879" s="48"/>
      <c r="E879" s="43"/>
      <c r="F879" s="43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>
      <c r="A880" s="29"/>
      <c r="B880" s="43"/>
      <c r="C880" s="47"/>
      <c r="D880" s="48"/>
      <c r="E880" s="43"/>
      <c r="F880" s="43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>
      <c r="A881" s="29"/>
      <c r="B881" s="43"/>
      <c r="C881" s="47"/>
      <c r="D881" s="48"/>
      <c r="E881" s="43"/>
      <c r="F881" s="43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>
      <c r="A882" s="29"/>
      <c r="B882" s="43"/>
      <c r="C882" s="47"/>
      <c r="D882" s="48"/>
      <c r="E882" s="43"/>
      <c r="F882" s="43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>
      <c r="A883" s="29"/>
      <c r="B883" s="43"/>
      <c r="C883" s="47"/>
      <c r="D883" s="48"/>
      <c r="E883" s="43"/>
      <c r="F883" s="43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>
      <c r="A884" s="29"/>
      <c r="B884" s="43"/>
      <c r="C884" s="47"/>
      <c r="D884" s="48"/>
      <c r="E884" s="43"/>
      <c r="F884" s="43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>
      <c r="A885" s="29"/>
      <c r="B885" s="43"/>
      <c r="C885" s="47"/>
      <c r="D885" s="48"/>
      <c r="E885" s="43"/>
      <c r="F885" s="43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>
      <c r="A886" s="29"/>
      <c r="B886" s="43"/>
      <c r="C886" s="47"/>
      <c r="D886" s="48"/>
      <c r="E886" s="43"/>
      <c r="F886" s="43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>
      <c r="A887" s="29"/>
      <c r="B887" s="43"/>
      <c r="C887" s="47"/>
      <c r="D887" s="48"/>
      <c r="E887" s="43"/>
      <c r="F887" s="43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>
      <c r="A888" s="29"/>
      <c r="B888" s="43"/>
      <c r="C888" s="47"/>
      <c r="D888" s="48"/>
      <c r="E888" s="43"/>
      <c r="F888" s="43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>
      <c r="A889" s="29"/>
      <c r="B889" s="43"/>
      <c r="C889" s="47"/>
      <c r="D889" s="48"/>
      <c r="E889" s="43"/>
      <c r="F889" s="43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>
      <c r="A890" s="29"/>
      <c r="B890" s="43"/>
      <c r="C890" s="47"/>
      <c r="D890" s="48"/>
      <c r="E890" s="43"/>
      <c r="F890" s="43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>
      <c r="A891" s="29"/>
      <c r="B891" s="43"/>
      <c r="C891" s="47"/>
      <c r="D891" s="48"/>
      <c r="E891" s="43"/>
      <c r="F891" s="43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>
      <c r="A892" s="29"/>
      <c r="B892" s="43"/>
      <c r="C892" s="47"/>
      <c r="D892" s="48"/>
      <c r="E892" s="43"/>
      <c r="F892" s="43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>
      <c r="A893" s="29"/>
      <c r="B893" s="43"/>
      <c r="C893" s="47"/>
      <c r="D893" s="48"/>
      <c r="E893" s="43"/>
      <c r="F893" s="43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>
      <c r="A894" s="29"/>
      <c r="B894" s="43"/>
      <c r="C894" s="47"/>
      <c r="D894" s="48"/>
      <c r="E894" s="43"/>
      <c r="F894" s="43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>
      <c r="A895" s="29"/>
      <c r="B895" s="43"/>
      <c r="C895" s="47"/>
      <c r="D895" s="48"/>
      <c r="E895" s="43"/>
      <c r="F895" s="43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>
      <c r="A896" s="29"/>
      <c r="B896" s="43"/>
      <c r="C896" s="47"/>
      <c r="D896" s="48"/>
      <c r="E896" s="43"/>
      <c r="F896" s="43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>
      <c r="A897" s="29"/>
      <c r="B897" s="43"/>
      <c r="C897" s="47"/>
      <c r="D897" s="48"/>
      <c r="E897" s="43"/>
      <c r="F897" s="43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>
      <c r="A898" s="29"/>
      <c r="B898" s="43"/>
      <c r="C898" s="47"/>
      <c r="D898" s="48"/>
      <c r="E898" s="43"/>
      <c r="F898" s="43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>
      <c r="A899" s="29"/>
      <c r="B899" s="43"/>
      <c r="C899" s="47"/>
      <c r="D899" s="48"/>
      <c r="E899" s="43"/>
      <c r="F899" s="43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>
      <c r="A900" s="29"/>
      <c r="B900" s="43"/>
      <c r="C900" s="47"/>
      <c r="D900" s="48"/>
      <c r="E900" s="43"/>
      <c r="F900" s="43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>
      <c r="A901" s="29"/>
      <c r="B901" s="43"/>
      <c r="C901" s="47"/>
      <c r="D901" s="48"/>
      <c r="E901" s="43"/>
      <c r="F901" s="43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>
      <c r="A902" s="29"/>
      <c r="B902" s="43"/>
      <c r="C902" s="47"/>
      <c r="D902" s="48"/>
      <c r="E902" s="43"/>
      <c r="F902" s="43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  <row r="903">
      <c r="A903" s="29"/>
      <c r="B903" s="43"/>
      <c r="C903" s="47"/>
      <c r="D903" s="48"/>
      <c r="E903" s="43"/>
      <c r="F903" s="43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</row>
    <row r="904">
      <c r="A904" s="29"/>
      <c r="B904" s="43"/>
      <c r="C904" s="47"/>
      <c r="D904" s="48"/>
      <c r="E904" s="43"/>
      <c r="F904" s="43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</row>
    <row r="905">
      <c r="A905" s="29"/>
      <c r="B905" s="43"/>
      <c r="C905" s="47"/>
      <c r="D905" s="48"/>
      <c r="E905" s="43"/>
      <c r="F905" s="43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</row>
    <row r="906">
      <c r="A906" s="29"/>
      <c r="B906" s="43"/>
      <c r="C906" s="47"/>
      <c r="D906" s="48"/>
      <c r="E906" s="43"/>
      <c r="F906" s="43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</row>
    <row r="907">
      <c r="A907" s="29"/>
      <c r="B907" s="43"/>
      <c r="C907" s="47"/>
      <c r="D907" s="48"/>
      <c r="E907" s="43"/>
      <c r="F907" s="43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</row>
    <row r="908">
      <c r="A908" s="29"/>
      <c r="B908" s="43"/>
      <c r="C908" s="47"/>
      <c r="D908" s="48"/>
      <c r="E908" s="43"/>
      <c r="F908" s="43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</row>
    <row r="909">
      <c r="A909" s="29"/>
      <c r="B909" s="43"/>
      <c r="C909" s="47"/>
      <c r="D909" s="48"/>
      <c r="E909" s="43"/>
      <c r="F909" s="43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</row>
    <row r="910">
      <c r="A910" s="29"/>
      <c r="B910" s="43"/>
      <c r="C910" s="47"/>
      <c r="D910" s="48"/>
      <c r="E910" s="43"/>
      <c r="F910" s="43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</row>
    <row r="911">
      <c r="A911" s="29"/>
      <c r="B911" s="43"/>
      <c r="C911" s="47"/>
      <c r="D911" s="48"/>
      <c r="E911" s="43"/>
      <c r="F911" s="43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</row>
    <row r="912">
      <c r="A912" s="29"/>
      <c r="B912" s="43"/>
      <c r="C912" s="47"/>
      <c r="D912" s="48"/>
      <c r="E912" s="43"/>
      <c r="F912" s="43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</row>
    <row r="913">
      <c r="A913" s="29"/>
      <c r="B913" s="43"/>
      <c r="C913" s="47"/>
      <c r="D913" s="48"/>
      <c r="E913" s="43"/>
      <c r="F913" s="43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</row>
    <row r="914">
      <c r="A914" s="29"/>
      <c r="B914" s="43"/>
      <c r="C914" s="47"/>
      <c r="D914" s="48"/>
      <c r="E914" s="43"/>
      <c r="F914" s="43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</row>
    <row r="915">
      <c r="A915" s="29"/>
      <c r="B915" s="43"/>
      <c r="C915" s="47"/>
      <c r="D915" s="48"/>
      <c r="E915" s="43"/>
      <c r="F915" s="43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</row>
    <row r="916">
      <c r="A916" s="29"/>
      <c r="B916" s="43"/>
      <c r="C916" s="47"/>
      <c r="D916" s="48"/>
      <c r="E916" s="43"/>
      <c r="F916" s="43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</row>
    <row r="917">
      <c r="A917" s="29"/>
      <c r="B917" s="43"/>
      <c r="C917" s="47"/>
      <c r="D917" s="48"/>
      <c r="E917" s="43"/>
      <c r="F917" s="43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</row>
    <row r="918">
      <c r="A918" s="29"/>
      <c r="B918" s="43"/>
      <c r="C918" s="47"/>
      <c r="D918" s="48"/>
      <c r="E918" s="43"/>
      <c r="F918" s="43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</row>
    <row r="919">
      <c r="A919" s="29"/>
      <c r="B919" s="43"/>
      <c r="C919" s="47"/>
      <c r="D919" s="48"/>
      <c r="E919" s="43"/>
      <c r="F919" s="43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</row>
    <row r="920">
      <c r="A920" s="29"/>
      <c r="B920" s="43"/>
      <c r="C920" s="47"/>
      <c r="D920" s="48"/>
      <c r="E920" s="43"/>
      <c r="F920" s="43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</row>
    <row r="921">
      <c r="A921" s="29"/>
      <c r="B921" s="43"/>
      <c r="C921" s="47"/>
      <c r="D921" s="48"/>
      <c r="E921" s="43"/>
      <c r="F921" s="43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</row>
    <row r="922">
      <c r="A922" s="29"/>
      <c r="B922" s="43"/>
      <c r="C922" s="47"/>
      <c r="D922" s="48"/>
      <c r="E922" s="43"/>
      <c r="F922" s="43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</row>
    <row r="923">
      <c r="A923" s="29"/>
      <c r="B923" s="43"/>
      <c r="C923" s="47"/>
      <c r="D923" s="48"/>
      <c r="E923" s="43"/>
      <c r="F923" s="43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</row>
    <row r="924">
      <c r="A924" s="29"/>
      <c r="B924" s="43"/>
      <c r="C924" s="47"/>
      <c r="D924" s="48"/>
      <c r="E924" s="43"/>
      <c r="F924" s="43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</row>
    <row r="925">
      <c r="A925" s="29"/>
      <c r="B925" s="43"/>
      <c r="C925" s="47"/>
      <c r="D925" s="48"/>
      <c r="E925" s="43"/>
      <c r="F925" s="43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</row>
    <row r="926">
      <c r="A926" s="29"/>
      <c r="B926" s="43"/>
      <c r="C926" s="47"/>
      <c r="D926" s="48"/>
      <c r="E926" s="43"/>
      <c r="F926" s="43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</row>
    <row r="927">
      <c r="A927" s="29"/>
      <c r="B927" s="43"/>
      <c r="C927" s="47"/>
      <c r="D927" s="48"/>
      <c r="E927" s="43"/>
      <c r="F927" s="43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</row>
    <row r="928">
      <c r="A928" s="29"/>
      <c r="B928" s="43"/>
      <c r="C928" s="47"/>
      <c r="D928" s="48"/>
      <c r="E928" s="43"/>
      <c r="F928" s="43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</row>
    <row r="929">
      <c r="A929" s="29"/>
      <c r="B929" s="43"/>
      <c r="C929" s="47"/>
      <c r="D929" s="48"/>
      <c r="E929" s="43"/>
      <c r="F929" s="43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</row>
    <row r="930">
      <c r="A930" s="29"/>
      <c r="B930" s="43"/>
      <c r="C930" s="47"/>
      <c r="D930" s="48"/>
      <c r="E930" s="43"/>
      <c r="F930" s="43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</row>
    <row r="931">
      <c r="A931" s="29"/>
      <c r="B931" s="43"/>
      <c r="C931" s="47"/>
      <c r="D931" s="48"/>
      <c r="E931" s="43"/>
      <c r="F931" s="43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</row>
    <row r="932">
      <c r="A932" s="29"/>
      <c r="B932" s="43"/>
      <c r="C932" s="47"/>
      <c r="D932" s="48"/>
      <c r="E932" s="43"/>
      <c r="F932" s="43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</row>
    <row r="933">
      <c r="A933" s="29"/>
      <c r="B933" s="43"/>
      <c r="C933" s="47"/>
      <c r="D933" s="48"/>
      <c r="E933" s="43"/>
      <c r="F933" s="43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</row>
    <row r="934">
      <c r="A934" s="29"/>
      <c r="B934" s="43"/>
      <c r="C934" s="47"/>
      <c r="D934" s="48"/>
      <c r="E934" s="43"/>
      <c r="F934" s="43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</row>
    <row r="935">
      <c r="A935" s="29"/>
      <c r="B935" s="43"/>
      <c r="C935" s="47"/>
      <c r="D935" s="48"/>
      <c r="E935" s="43"/>
      <c r="F935" s="43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</row>
    <row r="936">
      <c r="A936" s="29"/>
      <c r="B936" s="43"/>
      <c r="C936" s="47"/>
      <c r="D936" s="48"/>
      <c r="E936" s="43"/>
      <c r="F936" s="43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</row>
    <row r="937">
      <c r="A937" s="29"/>
      <c r="B937" s="43"/>
      <c r="C937" s="47"/>
      <c r="D937" s="48"/>
      <c r="E937" s="43"/>
      <c r="F937" s="43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</row>
    <row r="938">
      <c r="A938" s="29"/>
      <c r="B938" s="43"/>
      <c r="C938" s="47"/>
      <c r="D938" s="48"/>
      <c r="E938" s="43"/>
      <c r="F938" s="43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</row>
    <row r="939">
      <c r="A939" s="29"/>
      <c r="B939" s="43"/>
      <c r="C939" s="47"/>
      <c r="D939" s="48"/>
      <c r="E939" s="43"/>
      <c r="F939" s="43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</row>
    <row r="940">
      <c r="A940" s="29"/>
      <c r="B940" s="43"/>
      <c r="C940" s="47"/>
      <c r="D940" s="48"/>
      <c r="E940" s="43"/>
      <c r="F940" s="43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</row>
    <row r="941">
      <c r="A941" s="29"/>
      <c r="B941" s="43"/>
      <c r="C941" s="47"/>
      <c r="D941" s="48"/>
      <c r="E941" s="43"/>
      <c r="F941" s="43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</row>
    <row r="942">
      <c r="A942" s="29"/>
      <c r="B942" s="43"/>
      <c r="C942" s="47"/>
      <c r="D942" s="48"/>
      <c r="E942" s="43"/>
      <c r="F942" s="43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</row>
    <row r="943">
      <c r="A943" s="29"/>
      <c r="B943" s="43"/>
      <c r="C943" s="47"/>
      <c r="D943" s="48"/>
      <c r="E943" s="43"/>
      <c r="F943" s="43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</row>
    <row r="944">
      <c r="A944" s="29"/>
      <c r="B944" s="43"/>
      <c r="C944" s="47"/>
      <c r="D944" s="48"/>
      <c r="E944" s="43"/>
      <c r="F944" s="43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</row>
    <row r="945">
      <c r="A945" s="29"/>
      <c r="B945" s="43"/>
      <c r="C945" s="47"/>
      <c r="D945" s="48"/>
      <c r="E945" s="43"/>
      <c r="F945" s="43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</row>
    <row r="946">
      <c r="A946" s="29"/>
      <c r="B946" s="43"/>
      <c r="C946" s="47"/>
      <c r="D946" s="48"/>
      <c r="E946" s="43"/>
      <c r="F946" s="43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</row>
    <row r="947">
      <c r="A947" s="29"/>
      <c r="B947" s="43"/>
      <c r="C947" s="47"/>
      <c r="D947" s="48"/>
      <c r="E947" s="43"/>
      <c r="F947" s="43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</row>
    <row r="948">
      <c r="A948" s="29"/>
      <c r="B948" s="43"/>
      <c r="C948" s="47"/>
      <c r="D948" s="48"/>
      <c r="E948" s="43"/>
      <c r="F948" s="43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</row>
    <row r="949">
      <c r="A949" s="29"/>
      <c r="B949" s="43"/>
      <c r="C949" s="47"/>
      <c r="D949" s="48"/>
      <c r="E949" s="43"/>
      <c r="F949" s="43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</row>
    <row r="950">
      <c r="A950" s="29"/>
      <c r="B950" s="43"/>
      <c r="C950" s="47"/>
      <c r="D950" s="48"/>
      <c r="E950" s="43"/>
      <c r="F950" s="43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</row>
    <row r="951">
      <c r="A951" s="29"/>
      <c r="B951" s="43"/>
      <c r="C951" s="47"/>
      <c r="D951" s="48"/>
      <c r="E951" s="43"/>
      <c r="F951" s="43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</row>
    <row r="952">
      <c r="A952" s="29"/>
      <c r="B952" s="43"/>
      <c r="C952" s="47"/>
      <c r="D952" s="48"/>
      <c r="E952" s="43"/>
      <c r="F952" s="43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</row>
    <row r="953">
      <c r="A953" s="29"/>
      <c r="B953" s="43"/>
      <c r="C953" s="47"/>
      <c r="D953" s="48"/>
      <c r="E953" s="43"/>
      <c r="F953" s="43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</row>
    <row r="954">
      <c r="A954" s="29"/>
      <c r="B954" s="43"/>
      <c r="C954" s="47"/>
      <c r="D954" s="48"/>
      <c r="E954" s="43"/>
      <c r="F954" s="43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</row>
    <row r="955">
      <c r="A955" s="29"/>
      <c r="B955" s="43"/>
      <c r="C955" s="47"/>
      <c r="D955" s="48"/>
      <c r="E955" s="43"/>
      <c r="F955" s="43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</row>
    <row r="956">
      <c r="A956" s="29"/>
      <c r="B956" s="43"/>
      <c r="C956" s="47"/>
      <c r="D956" s="48"/>
      <c r="E956" s="43"/>
      <c r="F956" s="43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</row>
    <row r="957">
      <c r="A957" s="29"/>
      <c r="B957" s="43"/>
      <c r="C957" s="47"/>
      <c r="D957" s="48"/>
      <c r="E957" s="43"/>
      <c r="F957" s="43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</row>
    <row r="958">
      <c r="A958" s="29"/>
      <c r="B958" s="43"/>
      <c r="C958" s="47"/>
      <c r="D958" s="48"/>
      <c r="E958" s="43"/>
      <c r="F958" s="43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</row>
    <row r="959">
      <c r="A959" s="29"/>
      <c r="B959" s="43"/>
      <c r="C959" s="47"/>
      <c r="D959" s="48"/>
      <c r="E959" s="43"/>
      <c r="F959" s="43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</row>
    <row r="960">
      <c r="A960" s="29"/>
      <c r="B960" s="43"/>
      <c r="C960" s="47"/>
      <c r="D960" s="48"/>
      <c r="E960" s="43"/>
      <c r="F960" s="43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</row>
    <row r="961">
      <c r="A961" s="29"/>
      <c r="B961" s="43"/>
      <c r="C961" s="47"/>
      <c r="D961" s="48"/>
      <c r="E961" s="43"/>
      <c r="F961" s="43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</row>
    <row r="962">
      <c r="A962" s="29"/>
      <c r="B962" s="43"/>
      <c r="C962" s="47"/>
      <c r="D962" s="48"/>
      <c r="E962" s="43"/>
      <c r="F962" s="43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</row>
    <row r="963">
      <c r="A963" s="29"/>
      <c r="B963" s="43"/>
      <c r="C963" s="47"/>
      <c r="D963" s="48"/>
      <c r="E963" s="43"/>
      <c r="F963" s="43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</row>
    <row r="964">
      <c r="A964" s="29"/>
      <c r="B964" s="43"/>
      <c r="C964" s="47"/>
      <c r="D964" s="48"/>
      <c r="E964" s="43"/>
      <c r="F964" s="43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</row>
    <row r="965">
      <c r="A965" s="29"/>
      <c r="B965" s="43"/>
      <c r="C965" s="47"/>
      <c r="D965" s="48"/>
      <c r="E965" s="43"/>
      <c r="F965" s="43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</row>
    <row r="966">
      <c r="A966" s="29"/>
      <c r="B966" s="43"/>
      <c r="C966" s="47"/>
      <c r="D966" s="48"/>
      <c r="E966" s="43"/>
      <c r="F966" s="43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</row>
    <row r="967">
      <c r="A967" s="29"/>
      <c r="B967" s="43"/>
      <c r="C967" s="47"/>
      <c r="D967" s="48"/>
      <c r="E967" s="43"/>
      <c r="F967" s="43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</row>
    <row r="968">
      <c r="A968" s="29"/>
      <c r="B968" s="43"/>
      <c r="C968" s="47"/>
      <c r="D968" s="48"/>
      <c r="E968" s="43"/>
      <c r="F968" s="43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</row>
    <row r="969">
      <c r="A969" s="29"/>
      <c r="B969" s="43"/>
      <c r="C969" s="47"/>
      <c r="D969" s="48"/>
      <c r="E969" s="43"/>
      <c r="F969" s="43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</row>
    <row r="970">
      <c r="A970" s="29"/>
      <c r="B970" s="43"/>
      <c r="C970" s="47"/>
      <c r="D970" s="48"/>
      <c r="E970" s="43"/>
      <c r="F970" s="43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</row>
    <row r="971">
      <c r="A971" s="29"/>
      <c r="B971" s="43"/>
      <c r="C971" s="47"/>
      <c r="D971" s="48"/>
      <c r="E971" s="43"/>
      <c r="F971" s="43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</row>
    <row r="972">
      <c r="A972" s="29"/>
      <c r="B972" s="43"/>
      <c r="C972" s="47"/>
      <c r="D972" s="48"/>
      <c r="E972" s="43"/>
      <c r="F972" s="43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</row>
    <row r="973">
      <c r="A973" s="29"/>
      <c r="B973" s="43"/>
      <c r="C973" s="47"/>
      <c r="D973" s="48"/>
      <c r="E973" s="43"/>
      <c r="F973" s="43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</row>
    <row r="974">
      <c r="A974" s="29"/>
      <c r="B974" s="43"/>
      <c r="C974" s="47"/>
      <c r="D974" s="48"/>
      <c r="E974" s="43"/>
      <c r="F974" s="43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</row>
    <row r="975">
      <c r="A975" s="29"/>
      <c r="B975" s="43"/>
      <c r="C975" s="47"/>
      <c r="D975" s="48"/>
      <c r="E975" s="43"/>
      <c r="F975" s="43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</row>
    <row r="976">
      <c r="A976" s="29"/>
      <c r="B976" s="43"/>
      <c r="C976" s="47"/>
      <c r="D976" s="48"/>
      <c r="E976" s="43"/>
      <c r="F976" s="43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</row>
    <row r="977">
      <c r="A977" s="29"/>
      <c r="B977" s="43"/>
      <c r="C977" s="47"/>
      <c r="D977" s="48"/>
      <c r="E977" s="43"/>
      <c r="F977" s="43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</row>
    <row r="978">
      <c r="A978" s="29"/>
      <c r="B978" s="43"/>
      <c r="C978" s="47"/>
      <c r="D978" s="48"/>
      <c r="E978" s="43"/>
      <c r="F978" s="43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</row>
    <row r="979">
      <c r="A979" s="29"/>
      <c r="B979" s="43"/>
      <c r="C979" s="47"/>
      <c r="D979" s="48"/>
      <c r="E979" s="43"/>
      <c r="F979" s="43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</row>
    <row r="980">
      <c r="A980" s="29"/>
      <c r="B980" s="43"/>
      <c r="C980" s="47"/>
      <c r="D980" s="48"/>
      <c r="E980" s="43"/>
      <c r="F980" s="43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</row>
    <row r="981">
      <c r="A981" s="29"/>
      <c r="B981" s="43"/>
      <c r="C981" s="47"/>
      <c r="D981" s="48"/>
      <c r="E981" s="43"/>
      <c r="F981" s="43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</row>
    <row r="982">
      <c r="A982" s="29"/>
      <c r="B982" s="43"/>
      <c r="C982" s="47"/>
      <c r="D982" s="48"/>
      <c r="E982" s="43"/>
      <c r="F982" s="43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</row>
    <row r="983">
      <c r="A983" s="29"/>
      <c r="B983" s="43"/>
      <c r="C983" s="47"/>
      <c r="D983" s="48"/>
      <c r="E983" s="43"/>
      <c r="F983" s="43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</row>
    <row r="984">
      <c r="A984" s="29"/>
      <c r="B984" s="43"/>
      <c r="C984" s="47"/>
      <c r="D984" s="48"/>
      <c r="E984" s="43"/>
      <c r="F984" s="43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</row>
    <row r="985">
      <c r="A985" s="29"/>
      <c r="B985" s="43"/>
      <c r="C985" s="47"/>
      <c r="D985" s="48"/>
      <c r="E985" s="43"/>
      <c r="F985" s="43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</row>
    <row r="986">
      <c r="A986" s="29"/>
      <c r="B986" s="43"/>
      <c r="C986" s="47"/>
      <c r="D986" s="48"/>
      <c r="E986" s="43"/>
      <c r="F986" s="43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</row>
    <row r="987">
      <c r="A987" s="29"/>
      <c r="B987" s="43"/>
      <c r="C987" s="47"/>
      <c r="D987" s="48"/>
      <c r="E987" s="43"/>
      <c r="F987" s="43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</row>
    <row r="988">
      <c r="A988" s="29"/>
      <c r="B988" s="43"/>
      <c r="C988" s="47"/>
      <c r="D988" s="48"/>
      <c r="E988" s="43"/>
      <c r="F988" s="43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</row>
    <row r="989">
      <c r="A989" s="29"/>
      <c r="B989" s="43"/>
      <c r="C989" s="47"/>
      <c r="D989" s="48"/>
      <c r="E989" s="43"/>
      <c r="F989" s="43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</row>
    <row r="990">
      <c r="A990" s="29"/>
      <c r="B990" s="43"/>
      <c r="C990" s="47"/>
      <c r="D990" s="48"/>
      <c r="E990" s="43"/>
      <c r="F990" s="43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</row>
    <row r="991">
      <c r="A991" s="29"/>
      <c r="B991" s="43"/>
      <c r="C991" s="47"/>
      <c r="D991" s="48"/>
      <c r="E991" s="43"/>
      <c r="F991" s="43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</row>
    <row r="992">
      <c r="A992" s="29"/>
      <c r="B992" s="43"/>
      <c r="C992" s="47"/>
      <c r="D992" s="48"/>
      <c r="E992" s="43"/>
      <c r="F992" s="43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</row>
    <row r="993">
      <c r="A993" s="29"/>
      <c r="B993" s="43"/>
      <c r="C993" s="47"/>
      <c r="D993" s="48"/>
      <c r="E993" s="43"/>
      <c r="F993" s="43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</row>
    <row r="994">
      <c r="A994" s="29"/>
      <c r="B994" s="43"/>
      <c r="C994" s="47"/>
      <c r="D994" s="48"/>
      <c r="E994" s="43"/>
      <c r="F994" s="43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</row>
    <row r="995">
      <c r="A995" s="29"/>
      <c r="B995" s="43"/>
      <c r="C995" s="47"/>
      <c r="D995" s="48"/>
      <c r="E995" s="43"/>
      <c r="F995" s="43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</row>
    <row r="996">
      <c r="A996" s="29"/>
      <c r="B996" s="43"/>
      <c r="C996" s="47"/>
      <c r="D996" s="48"/>
      <c r="E996" s="43"/>
      <c r="F996" s="43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  <row r="997">
      <c r="A997" s="29"/>
      <c r="B997" s="43"/>
      <c r="C997" s="47"/>
      <c r="D997" s="48"/>
      <c r="E997" s="43"/>
      <c r="F997" s="43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</row>
    <row r="998">
      <c r="A998" s="29"/>
      <c r="B998" s="43"/>
      <c r="C998" s="47"/>
      <c r="D998" s="48"/>
      <c r="E998" s="43"/>
      <c r="F998" s="43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</row>
    <row r="999">
      <c r="A999" s="29"/>
      <c r="B999" s="43"/>
      <c r="C999" s="47"/>
      <c r="D999" s="48"/>
      <c r="E999" s="43"/>
      <c r="F999" s="43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</row>
  </sheetData>
  <autoFilter ref="$A$1:$N$589"/>
  <dataValidations>
    <dataValidation type="list" allowBlank="1" showErrorMessage="1" sqref="G2:G788">
      <formula1>'⚙️ Config'!$E$2:$E$3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1710</v>
      </c>
    </row>
    <row r="2">
      <c r="A2" s="49" t="s">
        <v>1711</v>
      </c>
    </row>
    <row r="3">
      <c r="A3" s="49" t="s">
        <v>1712</v>
      </c>
    </row>
    <row r="4">
      <c r="A4" s="49" t="s">
        <v>1713</v>
      </c>
    </row>
    <row r="5">
      <c r="A5" s="49" t="s">
        <v>1714</v>
      </c>
    </row>
    <row r="6">
      <c r="A6" s="49" t="s">
        <v>1715</v>
      </c>
    </row>
    <row r="7">
      <c r="A7" s="49" t="s">
        <v>1716</v>
      </c>
    </row>
    <row r="8">
      <c r="A8" s="49" t="s">
        <v>1717</v>
      </c>
    </row>
    <row r="9">
      <c r="A9" s="49" t="s">
        <v>1718</v>
      </c>
    </row>
    <row r="10">
      <c r="A10" s="49" t="s">
        <v>1719</v>
      </c>
    </row>
    <row r="11">
      <c r="A11" s="49" t="s">
        <v>1720</v>
      </c>
    </row>
    <row r="12">
      <c r="A12" s="49" t="s">
        <v>1721</v>
      </c>
    </row>
    <row r="13">
      <c r="A13" s="49" t="s">
        <v>1722</v>
      </c>
    </row>
    <row r="14">
      <c r="A14" s="49" t="s">
        <v>1723</v>
      </c>
    </row>
    <row r="15">
      <c r="A15" s="49" t="s">
        <v>1724</v>
      </c>
    </row>
    <row r="16">
      <c r="A16" s="49" t="s">
        <v>1725</v>
      </c>
    </row>
    <row r="17">
      <c r="A17" s="49" t="s">
        <v>1726</v>
      </c>
    </row>
    <row r="18">
      <c r="A18" s="49" t="s">
        <v>1727</v>
      </c>
    </row>
    <row r="19">
      <c r="A19" s="49" t="s">
        <v>1728</v>
      </c>
    </row>
    <row r="20">
      <c r="A20" s="49" t="s">
        <v>1729</v>
      </c>
    </row>
    <row r="21">
      <c r="A21" s="49" t="s">
        <v>1730</v>
      </c>
    </row>
    <row r="22">
      <c r="A22" s="49" t="s">
        <v>1731</v>
      </c>
    </row>
    <row r="23">
      <c r="A23" s="49" t="s">
        <v>1732</v>
      </c>
    </row>
    <row r="24">
      <c r="A24" s="49" t="s">
        <v>1733</v>
      </c>
    </row>
    <row r="25">
      <c r="A25" s="49" t="s">
        <v>1734</v>
      </c>
    </row>
    <row r="26">
      <c r="A26" s="49" t="s">
        <v>1735</v>
      </c>
    </row>
    <row r="27">
      <c r="A27" s="49" t="s">
        <v>1736</v>
      </c>
    </row>
    <row r="28">
      <c r="A28" s="49" t="s">
        <v>1737</v>
      </c>
    </row>
    <row r="29">
      <c r="A29" s="49" t="s">
        <v>1738</v>
      </c>
    </row>
    <row r="30">
      <c r="A30" s="49" t="s">
        <v>1739</v>
      </c>
    </row>
    <row r="31">
      <c r="A31" s="49" t="s">
        <v>1740</v>
      </c>
    </row>
    <row r="32">
      <c r="A32" s="49" t="s">
        <v>1741</v>
      </c>
    </row>
    <row r="33">
      <c r="A33" s="49" t="s">
        <v>1742</v>
      </c>
    </row>
    <row r="34">
      <c r="A34" s="49" t="s">
        <v>1743</v>
      </c>
    </row>
    <row r="35">
      <c r="A35" s="49" t="s">
        <v>1744</v>
      </c>
    </row>
    <row r="36">
      <c r="A36" s="49" t="s">
        <v>1745</v>
      </c>
    </row>
    <row r="37">
      <c r="A37" s="49" t="s">
        <v>1746</v>
      </c>
    </row>
    <row r="38">
      <c r="A38" s="49" t="s">
        <v>1747</v>
      </c>
    </row>
    <row r="39">
      <c r="A39" s="49" t="s">
        <v>1748</v>
      </c>
    </row>
    <row r="40">
      <c r="A40" s="49" t="s">
        <v>1749</v>
      </c>
    </row>
    <row r="41">
      <c r="A41" s="49" t="s">
        <v>1750</v>
      </c>
    </row>
    <row r="42">
      <c r="A42" s="49" t="s">
        <v>1751</v>
      </c>
    </row>
    <row r="43">
      <c r="A43" s="49" t="s">
        <v>1752</v>
      </c>
    </row>
    <row r="44">
      <c r="A44" s="49" t="s">
        <v>1753</v>
      </c>
    </row>
    <row r="45">
      <c r="A45" s="49" t="s">
        <v>1754</v>
      </c>
    </row>
    <row r="46">
      <c r="A46" s="49" t="s">
        <v>1755</v>
      </c>
    </row>
    <row r="47">
      <c r="A47" s="49" t="s">
        <v>1756</v>
      </c>
    </row>
    <row r="48">
      <c r="A48" s="49" t="s">
        <v>1757</v>
      </c>
    </row>
    <row r="49">
      <c r="A49" s="49" t="s">
        <v>1758</v>
      </c>
    </row>
    <row r="50">
      <c r="A50" s="49" t="s">
        <v>1759</v>
      </c>
    </row>
    <row r="51">
      <c r="A51" s="49" t="s">
        <v>1760</v>
      </c>
    </row>
    <row r="52">
      <c r="A52" s="49" t="s">
        <v>1761</v>
      </c>
    </row>
    <row r="53">
      <c r="A53" s="49" t="s">
        <v>1762</v>
      </c>
    </row>
    <row r="54">
      <c r="A54" s="49" t="s">
        <v>1763</v>
      </c>
    </row>
    <row r="55">
      <c r="A55" s="49" t="s">
        <v>1764</v>
      </c>
    </row>
    <row r="56">
      <c r="A56" s="49" t="s">
        <v>1765</v>
      </c>
    </row>
    <row r="57">
      <c r="A57" s="49" t="s">
        <v>1766</v>
      </c>
    </row>
    <row r="58">
      <c r="A58" s="49" t="s">
        <v>1767</v>
      </c>
    </row>
    <row r="59">
      <c r="A59" s="49" t="s">
        <v>1768</v>
      </c>
    </row>
    <row r="60">
      <c r="A60" s="49" t="s">
        <v>1769</v>
      </c>
    </row>
    <row r="61">
      <c r="A61" s="49" t="s">
        <v>1770</v>
      </c>
    </row>
    <row r="62">
      <c r="A62" s="49" t="s">
        <v>1771</v>
      </c>
    </row>
    <row r="63">
      <c r="A63" s="49" t="s">
        <v>1772</v>
      </c>
    </row>
    <row r="64">
      <c r="A64" s="49" t="s">
        <v>1773</v>
      </c>
    </row>
    <row r="65">
      <c r="A65" s="49" t="s">
        <v>1774</v>
      </c>
    </row>
    <row r="66">
      <c r="A66" s="49" t="s">
        <v>1775</v>
      </c>
    </row>
    <row r="67">
      <c r="A67" s="49" t="s">
        <v>1776</v>
      </c>
    </row>
    <row r="68">
      <c r="A68" s="49" t="s">
        <v>1777</v>
      </c>
    </row>
    <row r="69">
      <c r="A69" s="49" t="s">
        <v>1778</v>
      </c>
    </row>
    <row r="70">
      <c r="A70" s="49" t="s">
        <v>1779</v>
      </c>
    </row>
    <row r="71">
      <c r="A71" s="49" t="s">
        <v>1780</v>
      </c>
    </row>
    <row r="72">
      <c r="A72" s="49" t="s">
        <v>1781</v>
      </c>
    </row>
    <row r="73">
      <c r="A73" s="49" t="s">
        <v>1782</v>
      </c>
    </row>
    <row r="74">
      <c r="A74" s="49" t="s">
        <v>1783</v>
      </c>
    </row>
    <row r="75">
      <c r="A75" s="49" t="s">
        <v>1784</v>
      </c>
    </row>
    <row r="76">
      <c r="A76" s="49" t="s">
        <v>1785</v>
      </c>
    </row>
    <row r="77">
      <c r="A77" s="49" t="s">
        <v>1786</v>
      </c>
    </row>
    <row r="78">
      <c r="A78" s="49" t="s">
        <v>1787</v>
      </c>
    </row>
    <row r="79">
      <c r="A79" s="49" t="s">
        <v>1788</v>
      </c>
    </row>
    <row r="80">
      <c r="A80" s="49" t="s">
        <v>1789</v>
      </c>
    </row>
    <row r="81">
      <c r="A81" s="49" t="s">
        <v>1790</v>
      </c>
    </row>
    <row r="82">
      <c r="A82" s="49" t="s">
        <v>1791</v>
      </c>
    </row>
    <row r="83">
      <c r="A83" s="49" t="s">
        <v>1792</v>
      </c>
    </row>
    <row r="84">
      <c r="A84" s="49" t="s">
        <v>1793</v>
      </c>
    </row>
    <row r="85">
      <c r="A85" s="49" t="s">
        <v>1794</v>
      </c>
    </row>
    <row r="86">
      <c r="A86" s="49" t="s">
        <v>1795</v>
      </c>
    </row>
    <row r="87">
      <c r="A87" s="49" t="s">
        <v>1796</v>
      </c>
    </row>
    <row r="88">
      <c r="A88" s="49" t="s">
        <v>1797</v>
      </c>
    </row>
    <row r="89">
      <c r="A89" s="49" t="s">
        <v>1798</v>
      </c>
    </row>
    <row r="90">
      <c r="A90" s="49" t="s">
        <v>1799</v>
      </c>
    </row>
    <row r="91">
      <c r="A91" s="49" t="s">
        <v>1800</v>
      </c>
    </row>
    <row r="92">
      <c r="A92" s="49" t="s">
        <v>1801</v>
      </c>
    </row>
    <row r="93">
      <c r="A93" s="49" t="s">
        <v>1802</v>
      </c>
    </row>
    <row r="94">
      <c r="A94" s="49" t="s">
        <v>1803</v>
      </c>
    </row>
    <row r="95">
      <c r="A95" s="49" t="s">
        <v>1804</v>
      </c>
    </row>
    <row r="96">
      <c r="A96" s="49" t="s">
        <v>1805</v>
      </c>
    </row>
    <row r="97">
      <c r="A97" s="49" t="s">
        <v>1806</v>
      </c>
    </row>
    <row r="98">
      <c r="A98" s="49" t="s">
        <v>1807</v>
      </c>
    </row>
    <row r="99">
      <c r="A99" s="49" t="s">
        <v>1808</v>
      </c>
    </row>
    <row r="100">
      <c r="A100" s="49" t="s">
        <v>1809</v>
      </c>
    </row>
    <row r="101">
      <c r="A101" s="49" t="s">
        <v>1810</v>
      </c>
    </row>
    <row r="102">
      <c r="A102" s="49" t="s">
        <v>1811</v>
      </c>
    </row>
    <row r="103">
      <c r="A103" s="49" t="s">
        <v>1812</v>
      </c>
    </row>
    <row r="104">
      <c r="A104" s="49" t="s">
        <v>1813</v>
      </c>
    </row>
    <row r="105">
      <c r="A105" s="49" t="s">
        <v>1814</v>
      </c>
    </row>
    <row r="106">
      <c r="A106" s="49" t="s">
        <v>1815</v>
      </c>
    </row>
    <row r="107">
      <c r="A107" s="49" t="s">
        <v>1816</v>
      </c>
    </row>
    <row r="108">
      <c r="A108" s="49" t="s">
        <v>1817</v>
      </c>
    </row>
    <row r="109">
      <c r="A109" s="49" t="s">
        <v>1818</v>
      </c>
    </row>
    <row r="110">
      <c r="A110" s="49" t="s">
        <v>1819</v>
      </c>
    </row>
    <row r="111">
      <c r="A111" s="49" t="s">
        <v>1820</v>
      </c>
    </row>
    <row r="112">
      <c r="A112" s="49" t="s">
        <v>1821</v>
      </c>
    </row>
    <row r="113">
      <c r="A113" s="49" t="s">
        <v>1822</v>
      </c>
    </row>
    <row r="114">
      <c r="A114" s="49" t="s">
        <v>1823</v>
      </c>
    </row>
    <row r="115">
      <c r="A115" s="49" t="s">
        <v>1824</v>
      </c>
    </row>
    <row r="116">
      <c r="A116" s="49" t="s">
        <v>1825</v>
      </c>
    </row>
    <row r="117">
      <c r="A117" s="49" t="s">
        <v>1826</v>
      </c>
    </row>
    <row r="118">
      <c r="A118" s="49" t="s">
        <v>1827</v>
      </c>
    </row>
    <row r="119">
      <c r="A119" s="49" t="s">
        <v>1828</v>
      </c>
    </row>
    <row r="120">
      <c r="A120" s="49" t="s">
        <v>1829</v>
      </c>
    </row>
    <row r="121">
      <c r="A121" s="49" t="s">
        <v>1830</v>
      </c>
    </row>
    <row r="122">
      <c r="A122" s="49" t="s">
        <v>1831</v>
      </c>
    </row>
    <row r="123">
      <c r="A123" s="49" t="s">
        <v>1832</v>
      </c>
    </row>
    <row r="124">
      <c r="A124" s="49" t="s">
        <v>1833</v>
      </c>
    </row>
    <row r="125">
      <c r="A125" s="49" t="s">
        <v>1834</v>
      </c>
    </row>
    <row r="126">
      <c r="A126" s="49" t="s">
        <v>1835</v>
      </c>
    </row>
    <row r="127">
      <c r="A127" s="49" t="s">
        <v>1836</v>
      </c>
    </row>
    <row r="128">
      <c r="A128" s="49" t="s">
        <v>1837</v>
      </c>
    </row>
    <row r="129">
      <c r="A129" s="49" t="s">
        <v>1838</v>
      </c>
    </row>
    <row r="130">
      <c r="A130" s="49" t="s">
        <v>1839</v>
      </c>
    </row>
    <row r="131">
      <c r="A131" s="49" t="s">
        <v>1840</v>
      </c>
    </row>
    <row r="132">
      <c r="A132" s="49" t="s">
        <v>1841</v>
      </c>
    </row>
    <row r="133">
      <c r="A133" s="49" t="s">
        <v>1842</v>
      </c>
    </row>
    <row r="134">
      <c r="A134" s="49" t="s">
        <v>1843</v>
      </c>
    </row>
    <row r="135">
      <c r="A135" s="49" t="s">
        <v>1844</v>
      </c>
    </row>
    <row r="136">
      <c r="A136" s="49" t="s">
        <v>1845</v>
      </c>
    </row>
    <row r="137">
      <c r="A137" s="49" t="s">
        <v>1846</v>
      </c>
    </row>
    <row r="138">
      <c r="A138" s="49" t="s">
        <v>1847</v>
      </c>
    </row>
    <row r="139">
      <c r="A139" s="49" t="s">
        <v>1848</v>
      </c>
    </row>
    <row r="140">
      <c r="A140" s="49" t="s">
        <v>1849</v>
      </c>
    </row>
    <row r="141">
      <c r="A141" s="49" t="s">
        <v>1850</v>
      </c>
    </row>
    <row r="142">
      <c r="A142" s="49" t="s">
        <v>1851</v>
      </c>
    </row>
    <row r="143">
      <c r="A143" s="49" t="s">
        <v>1852</v>
      </c>
    </row>
    <row r="144">
      <c r="A144" s="49" t="s">
        <v>1853</v>
      </c>
    </row>
    <row r="145">
      <c r="A145" s="49" t="s">
        <v>1854</v>
      </c>
    </row>
    <row r="146">
      <c r="A146" s="49" t="s">
        <v>1855</v>
      </c>
    </row>
    <row r="147">
      <c r="A147" s="49" t="s">
        <v>1856</v>
      </c>
    </row>
    <row r="148">
      <c r="A148" s="49" t="s">
        <v>1857</v>
      </c>
    </row>
    <row r="149">
      <c r="A149" s="49" t="s">
        <v>1858</v>
      </c>
    </row>
    <row r="150">
      <c r="A150" s="49" t="s">
        <v>1859</v>
      </c>
    </row>
    <row r="151">
      <c r="A151" s="49" t="s">
        <v>1860</v>
      </c>
    </row>
    <row r="152">
      <c r="A152" s="49" t="s">
        <v>1861</v>
      </c>
    </row>
    <row r="153">
      <c r="A153" s="49" t="s">
        <v>1862</v>
      </c>
    </row>
    <row r="154">
      <c r="A154" s="49" t="s">
        <v>1863</v>
      </c>
    </row>
    <row r="155">
      <c r="A155" s="49" t="s">
        <v>1864</v>
      </c>
    </row>
    <row r="156">
      <c r="A156" s="49" t="s">
        <v>1865</v>
      </c>
    </row>
    <row r="157">
      <c r="A157" s="49" t="s">
        <v>1866</v>
      </c>
    </row>
    <row r="158">
      <c r="A158" s="49" t="s">
        <v>1867</v>
      </c>
    </row>
    <row r="159">
      <c r="A159" s="49" t="s">
        <v>1868</v>
      </c>
    </row>
    <row r="160">
      <c r="A160" s="49" t="s">
        <v>1869</v>
      </c>
    </row>
    <row r="161">
      <c r="A161" s="49" t="s">
        <v>1870</v>
      </c>
    </row>
    <row r="162">
      <c r="A162" s="49" t="s">
        <v>1871</v>
      </c>
    </row>
    <row r="163">
      <c r="A163" s="49" t="s">
        <v>1872</v>
      </c>
    </row>
    <row r="164">
      <c r="A164" s="49" t="s">
        <v>1873</v>
      </c>
    </row>
    <row r="165">
      <c r="A165" s="49" t="s">
        <v>1874</v>
      </c>
    </row>
    <row r="166">
      <c r="A166" s="49" t="s">
        <v>1875</v>
      </c>
    </row>
    <row r="167">
      <c r="A167" s="49" t="s">
        <v>1876</v>
      </c>
    </row>
    <row r="168">
      <c r="A168" s="49" t="s">
        <v>1877</v>
      </c>
    </row>
    <row r="169">
      <c r="A169" s="49" t="s">
        <v>1878</v>
      </c>
    </row>
    <row r="170">
      <c r="A170" s="49" t="s">
        <v>1879</v>
      </c>
    </row>
    <row r="171">
      <c r="A171" s="49" t="s">
        <v>1880</v>
      </c>
    </row>
    <row r="172">
      <c r="A172" s="49" t="s">
        <v>1881</v>
      </c>
    </row>
    <row r="173">
      <c r="A173" s="49" t="s">
        <v>1882</v>
      </c>
    </row>
    <row r="174">
      <c r="A174" s="49" t="s">
        <v>1883</v>
      </c>
    </row>
    <row r="175">
      <c r="A175" s="49" t="s">
        <v>1884</v>
      </c>
    </row>
    <row r="176">
      <c r="A176" s="49" t="s">
        <v>1885</v>
      </c>
    </row>
    <row r="177">
      <c r="A177" s="49" t="s">
        <v>1886</v>
      </c>
    </row>
    <row r="178">
      <c r="A178" s="49" t="s">
        <v>1887</v>
      </c>
    </row>
    <row r="179">
      <c r="A179" s="49" t="s">
        <v>1888</v>
      </c>
    </row>
    <row r="180">
      <c r="A180" s="49" t="s">
        <v>1889</v>
      </c>
    </row>
    <row r="181">
      <c r="A181" s="49" t="s">
        <v>1890</v>
      </c>
    </row>
    <row r="182">
      <c r="A182" s="49" t="s">
        <v>1891</v>
      </c>
    </row>
    <row r="183">
      <c r="A183" s="49" t="s">
        <v>1892</v>
      </c>
    </row>
    <row r="184">
      <c r="A184" s="49" t="s">
        <v>1893</v>
      </c>
    </row>
    <row r="185">
      <c r="A185" s="49" t="s">
        <v>1894</v>
      </c>
    </row>
    <row r="186">
      <c r="A186" s="49" t="s">
        <v>1895</v>
      </c>
    </row>
    <row r="187">
      <c r="A187" s="49" t="s">
        <v>1896</v>
      </c>
    </row>
    <row r="188">
      <c r="A188" s="49" t="s">
        <v>1897</v>
      </c>
    </row>
    <row r="189">
      <c r="A189" s="49" t="s">
        <v>1898</v>
      </c>
    </row>
    <row r="190">
      <c r="A190" s="49" t="s">
        <v>1899</v>
      </c>
    </row>
    <row r="191">
      <c r="A191" s="49" t="s">
        <v>1900</v>
      </c>
    </row>
    <row r="192">
      <c r="A192" s="49" t="s">
        <v>1901</v>
      </c>
    </row>
    <row r="193">
      <c r="A193" s="49" t="s">
        <v>1902</v>
      </c>
    </row>
    <row r="194">
      <c r="A194" s="49" t="s">
        <v>1903</v>
      </c>
    </row>
    <row r="195">
      <c r="A195" s="49" t="s">
        <v>1904</v>
      </c>
    </row>
    <row r="196">
      <c r="A196" s="49" t="s">
        <v>1905</v>
      </c>
    </row>
    <row r="197">
      <c r="A197" s="49" t="s">
        <v>1906</v>
      </c>
    </row>
    <row r="198">
      <c r="A198" s="49" t="s">
        <v>1907</v>
      </c>
    </row>
    <row r="199">
      <c r="A199" s="49" t="s">
        <v>1908</v>
      </c>
    </row>
    <row r="200">
      <c r="A200" s="49" t="s">
        <v>1909</v>
      </c>
    </row>
    <row r="201">
      <c r="A201" s="49" t="s">
        <v>1910</v>
      </c>
    </row>
    <row r="202">
      <c r="A202" s="49" t="s">
        <v>1911</v>
      </c>
    </row>
    <row r="203">
      <c r="A203" s="49" t="s">
        <v>1912</v>
      </c>
    </row>
    <row r="204">
      <c r="A204" s="49" t="s">
        <v>1913</v>
      </c>
    </row>
    <row r="205">
      <c r="A205" s="49" t="s">
        <v>1914</v>
      </c>
    </row>
    <row r="206">
      <c r="A206" s="49" t="s">
        <v>1915</v>
      </c>
    </row>
    <row r="207">
      <c r="A207" s="49" t="s">
        <v>1916</v>
      </c>
    </row>
    <row r="208">
      <c r="A208" s="49" t="s">
        <v>1917</v>
      </c>
    </row>
    <row r="209">
      <c r="A209" s="49" t="s">
        <v>1918</v>
      </c>
    </row>
    <row r="210">
      <c r="A210" s="49" t="s">
        <v>1919</v>
      </c>
    </row>
    <row r="211">
      <c r="A211" s="49" t="s">
        <v>1920</v>
      </c>
    </row>
    <row r="212">
      <c r="A212" s="49" t="s">
        <v>1921</v>
      </c>
    </row>
    <row r="213">
      <c r="A213" s="49" t="s">
        <v>1922</v>
      </c>
    </row>
    <row r="214">
      <c r="A214" s="49" t="s">
        <v>1923</v>
      </c>
    </row>
    <row r="215">
      <c r="A215" s="49" t="s">
        <v>1924</v>
      </c>
    </row>
    <row r="216">
      <c r="A216" s="49" t="s">
        <v>1925</v>
      </c>
    </row>
    <row r="217">
      <c r="A217" s="49" t="s">
        <v>1926</v>
      </c>
    </row>
    <row r="218">
      <c r="A218" s="49" t="s">
        <v>1927</v>
      </c>
    </row>
    <row r="219">
      <c r="A219" s="49" t="s">
        <v>1928</v>
      </c>
    </row>
    <row r="220">
      <c r="A220" s="49" t="s">
        <v>1929</v>
      </c>
    </row>
    <row r="221">
      <c r="A221" s="49" t="s">
        <v>1930</v>
      </c>
    </row>
    <row r="222">
      <c r="A222" s="49" t="s">
        <v>1931</v>
      </c>
    </row>
    <row r="223">
      <c r="A223" s="49" t="s">
        <v>1932</v>
      </c>
    </row>
    <row r="224">
      <c r="A224" s="49" t="s">
        <v>1933</v>
      </c>
    </row>
    <row r="225">
      <c r="A225" s="49" t="s">
        <v>1934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63"/>
    <col customWidth="1" min="3" max="3" width="8.0"/>
    <col customWidth="1" min="4" max="4" width="9.38"/>
  </cols>
  <sheetData>
    <row r="1">
      <c r="A1" s="50" t="s">
        <v>1935</v>
      </c>
      <c r="B1" s="51" t="s">
        <v>1936</v>
      </c>
      <c r="C1" s="51" t="s">
        <v>1937</v>
      </c>
      <c r="D1" s="52" t="s">
        <v>1938</v>
      </c>
    </row>
    <row r="2">
      <c r="A2" s="53" t="s">
        <v>18</v>
      </c>
      <c r="B2" s="54" t="s">
        <v>1939</v>
      </c>
      <c r="C2" s="53">
        <v>400.0</v>
      </c>
      <c r="D2" s="55" t="s">
        <v>1940</v>
      </c>
    </row>
    <row r="3">
      <c r="A3" s="53" t="s">
        <v>232</v>
      </c>
      <c r="B3" s="54" t="s">
        <v>1939</v>
      </c>
      <c r="C3" s="53">
        <v>400.0</v>
      </c>
      <c r="D3" s="55" t="s">
        <v>1940</v>
      </c>
    </row>
    <row r="4">
      <c r="A4" s="53" t="s">
        <v>64</v>
      </c>
      <c r="B4" s="54" t="s">
        <v>1939</v>
      </c>
      <c r="C4" s="53">
        <v>400.0</v>
      </c>
      <c r="D4" s="55" t="s">
        <v>1940</v>
      </c>
    </row>
    <row r="5">
      <c r="A5" s="53" t="s">
        <v>38</v>
      </c>
      <c r="B5" s="54" t="s">
        <v>1939</v>
      </c>
      <c r="C5" s="53">
        <v>400.0</v>
      </c>
      <c r="D5" s="55" t="s">
        <v>1940</v>
      </c>
    </row>
    <row r="6">
      <c r="A6" s="53" t="s">
        <v>34</v>
      </c>
      <c r="B6" s="54" t="s">
        <v>1939</v>
      </c>
      <c r="C6" s="53">
        <v>400.0</v>
      </c>
      <c r="D6" s="55" t="s">
        <v>1940</v>
      </c>
    </row>
    <row r="7">
      <c r="A7" s="53" t="s">
        <v>30</v>
      </c>
      <c r="B7" s="54" t="s">
        <v>1941</v>
      </c>
      <c r="C7" s="53">
        <v>500.0</v>
      </c>
      <c r="D7" s="55" t="s">
        <v>1940</v>
      </c>
    </row>
    <row r="8">
      <c r="A8" s="53" t="s">
        <v>101</v>
      </c>
      <c r="B8" s="54" t="s">
        <v>1941</v>
      </c>
      <c r="C8" s="53">
        <v>500.0</v>
      </c>
      <c r="D8" s="55" t="s">
        <v>1940</v>
      </c>
    </row>
    <row r="9">
      <c r="A9" s="53" t="s">
        <v>162</v>
      </c>
      <c r="B9" s="54" t="s">
        <v>1941</v>
      </c>
      <c r="C9" s="53">
        <v>500.0</v>
      </c>
      <c r="D9" s="55" t="s">
        <v>1940</v>
      </c>
    </row>
    <row r="10">
      <c r="A10" s="53" t="s">
        <v>454</v>
      </c>
      <c r="B10" s="54" t="s">
        <v>1941</v>
      </c>
      <c r="C10" s="53">
        <v>500.0</v>
      </c>
      <c r="D10" s="55" t="s">
        <v>1940</v>
      </c>
    </row>
    <row r="11">
      <c r="A11" s="53" t="s">
        <v>467</v>
      </c>
      <c r="B11" s="54" t="s">
        <v>1941</v>
      </c>
      <c r="C11" s="53">
        <v>500.0</v>
      </c>
      <c r="D11" s="55" t="s">
        <v>1940</v>
      </c>
    </row>
    <row r="12">
      <c r="A12" s="53" t="s">
        <v>193</v>
      </c>
      <c r="B12" s="54" t="s">
        <v>1939</v>
      </c>
      <c r="C12" s="53">
        <v>400.0</v>
      </c>
      <c r="D12" s="55" t="s">
        <v>1940</v>
      </c>
    </row>
    <row r="13">
      <c r="A13" s="53" t="s">
        <v>1223</v>
      </c>
      <c r="B13" s="54" t="s">
        <v>1939</v>
      </c>
      <c r="C13" s="53">
        <v>400.0</v>
      </c>
      <c r="D13" s="55" t="s">
        <v>1940</v>
      </c>
    </row>
    <row r="14">
      <c r="A14" s="53" t="s">
        <v>1249</v>
      </c>
      <c r="B14" s="54" t="s">
        <v>1939</v>
      </c>
      <c r="C14" s="53">
        <v>400.0</v>
      </c>
      <c r="D14" s="55" t="s">
        <v>1940</v>
      </c>
    </row>
    <row r="15">
      <c r="A15" s="53" t="s">
        <v>1252</v>
      </c>
      <c r="B15" s="54" t="s">
        <v>1939</v>
      </c>
      <c r="C15" s="53">
        <v>400.0</v>
      </c>
      <c r="D15" s="55" t="s">
        <v>1940</v>
      </c>
    </row>
    <row r="16">
      <c r="A16" s="53" t="s">
        <v>1256</v>
      </c>
      <c r="B16" s="54" t="s">
        <v>1939</v>
      </c>
      <c r="C16" s="53">
        <v>400.0</v>
      </c>
      <c r="D16" s="55" t="s">
        <v>1940</v>
      </c>
    </row>
    <row r="17">
      <c r="A17" s="53" t="s">
        <v>1343</v>
      </c>
      <c r="B17" s="54" t="s">
        <v>1939</v>
      </c>
      <c r="C17" s="53">
        <v>400.0</v>
      </c>
      <c r="D17" s="55" t="s">
        <v>1940</v>
      </c>
    </row>
    <row r="18">
      <c r="A18" s="53" t="s">
        <v>1347</v>
      </c>
      <c r="B18" s="54" t="s">
        <v>1939</v>
      </c>
      <c r="C18" s="53">
        <v>400.0</v>
      </c>
      <c r="D18" s="55" t="s">
        <v>1940</v>
      </c>
    </row>
    <row r="19">
      <c r="A19" s="53" t="s">
        <v>1359</v>
      </c>
      <c r="B19" s="54" t="s">
        <v>1939</v>
      </c>
      <c r="C19" s="53">
        <v>400.0</v>
      </c>
      <c r="D19" s="55" t="s">
        <v>1940</v>
      </c>
    </row>
    <row r="20">
      <c r="A20" s="53" t="s">
        <v>1362</v>
      </c>
      <c r="B20" s="54" t="s">
        <v>1939</v>
      </c>
      <c r="C20" s="53">
        <v>400.0</v>
      </c>
      <c r="D20" s="55" t="s">
        <v>1940</v>
      </c>
    </row>
    <row r="21">
      <c r="A21" s="53" t="s">
        <v>1387</v>
      </c>
      <c r="B21" s="54" t="s">
        <v>1939</v>
      </c>
      <c r="C21" s="53">
        <v>400.0</v>
      </c>
      <c r="D21" s="55" t="s">
        <v>1940</v>
      </c>
    </row>
    <row r="22">
      <c r="A22" s="53" t="s">
        <v>1391</v>
      </c>
      <c r="B22" s="54" t="s">
        <v>1939</v>
      </c>
      <c r="C22" s="53">
        <v>400.0</v>
      </c>
      <c r="D22" s="55" t="s">
        <v>1940</v>
      </c>
    </row>
    <row r="23">
      <c r="A23" s="53" t="s">
        <v>1450</v>
      </c>
      <c r="B23" s="54" t="s">
        <v>1939</v>
      </c>
      <c r="C23" s="53">
        <v>400.0</v>
      </c>
      <c r="D23" s="55" t="s">
        <v>1940</v>
      </c>
    </row>
    <row r="24">
      <c r="A24" s="53" t="s">
        <v>88</v>
      </c>
      <c r="B24" s="54" t="s">
        <v>1939</v>
      </c>
      <c r="C24" s="53">
        <v>400.0</v>
      </c>
      <c r="D24" s="55" t="s">
        <v>1940</v>
      </c>
    </row>
    <row r="25">
      <c r="A25" s="53" t="s">
        <v>25</v>
      </c>
      <c r="B25" s="54" t="s">
        <v>1939</v>
      </c>
      <c r="C25" s="53">
        <v>400.0</v>
      </c>
      <c r="D25" s="55" t="s">
        <v>1940</v>
      </c>
    </row>
    <row r="26">
      <c r="A26" s="53" t="s">
        <v>111</v>
      </c>
      <c r="B26" s="54" t="s">
        <v>1939</v>
      </c>
      <c r="C26" s="53">
        <v>400.0</v>
      </c>
      <c r="D26" s="55" t="s">
        <v>1940</v>
      </c>
    </row>
    <row r="27">
      <c r="A27" s="53" t="s">
        <v>124</v>
      </c>
      <c r="B27" s="54" t="s">
        <v>1939</v>
      </c>
      <c r="C27" s="53">
        <v>400.0</v>
      </c>
      <c r="D27" s="55" t="s">
        <v>1940</v>
      </c>
    </row>
    <row r="28">
      <c r="A28" s="53" t="s">
        <v>60</v>
      </c>
      <c r="B28" s="54" t="s">
        <v>1939</v>
      </c>
      <c r="C28" s="53">
        <v>400.0</v>
      </c>
      <c r="D28" s="55" t="s">
        <v>1940</v>
      </c>
    </row>
    <row r="29">
      <c r="A29" s="53" t="s">
        <v>80</v>
      </c>
      <c r="B29" s="54" t="s">
        <v>1939</v>
      </c>
      <c r="C29" s="53">
        <v>400.0</v>
      </c>
      <c r="D29" s="55" t="s">
        <v>1940</v>
      </c>
    </row>
    <row r="30">
      <c r="A30" s="53" t="s">
        <v>50</v>
      </c>
      <c r="B30" s="54" t="s">
        <v>1939</v>
      </c>
      <c r="C30" s="53">
        <v>400.0</v>
      </c>
      <c r="D30" s="55" t="s">
        <v>1940</v>
      </c>
    </row>
    <row r="31">
      <c r="A31" s="53" t="s">
        <v>46</v>
      </c>
      <c r="B31" s="54" t="s">
        <v>1939</v>
      </c>
      <c r="C31" s="53">
        <v>400.0</v>
      </c>
      <c r="D31" s="55" t="s">
        <v>1940</v>
      </c>
    </row>
    <row r="32">
      <c r="A32" s="53" t="s">
        <v>54</v>
      </c>
      <c r="B32" s="54" t="s">
        <v>1939</v>
      </c>
      <c r="C32" s="53">
        <v>400.0</v>
      </c>
      <c r="D32" s="55" t="s">
        <v>1940</v>
      </c>
    </row>
    <row r="33">
      <c r="A33" s="53" t="s">
        <v>95</v>
      </c>
      <c r="B33" s="54" t="s">
        <v>1939</v>
      </c>
      <c r="C33" s="53">
        <v>400.0</v>
      </c>
      <c r="D33" s="55" t="s">
        <v>1940</v>
      </c>
    </row>
    <row r="34">
      <c r="A34" s="53" t="s">
        <v>1471</v>
      </c>
      <c r="B34" s="54" t="s">
        <v>1941</v>
      </c>
      <c r="C34" s="53">
        <v>500.0</v>
      </c>
      <c r="D34" s="55" t="s">
        <v>1940</v>
      </c>
    </row>
    <row r="35">
      <c r="A35" s="53" t="s">
        <v>579</v>
      </c>
      <c r="B35" s="54" t="s">
        <v>1939</v>
      </c>
      <c r="C35" s="53">
        <v>400.0</v>
      </c>
      <c r="D35" s="55" t="s">
        <v>1940</v>
      </c>
    </row>
    <row r="36">
      <c r="A36" s="53" t="s">
        <v>583</v>
      </c>
      <c r="B36" s="54" t="s">
        <v>1939</v>
      </c>
      <c r="C36" s="53">
        <v>400.0</v>
      </c>
      <c r="D36" s="55" t="s">
        <v>1940</v>
      </c>
    </row>
    <row r="37">
      <c r="A37" s="53" t="s">
        <v>588</v>
      </c>
      <c r="B37" s="54" t="s">
        <v>1939</v>
      </c>
      <c r="C37" s="53">
        <v>400.0</v>
      </c>
      <c r="D37" s="55" t="s">
        <v>1940</v>
      </c>
    </row>
    <row r="38">
      <c r="A38" s="53" t="s">
        <v>592</v>
      </c>
      <c r="B38" s="54" t="s">
        <v>1939</v>
      </c>
      <c r="C38" s="53">
        <v>400.0</v>
      </c>
      <c r="D38" s="55" t="s">
        <v>1940</v>
      </c>
    </row>
    <row r="39">
      <c r="A39" s="53" t="s">
        <v>596</v>
      </c>
      <c r="B39" s="54" t="s">
        <v>1939</v>
      </c>
      <c r="C39" s="53">
        <v>400.0</v>
      </c>
      <c r="D39" s="55" t="s">
        <v>1940</v>
      </c>
    </row>
    <row r="40">
      <c r="A40" s="53" t="s">
        <v>600</v>
      </c>
      <c r="B40" s="54" t="s">
        <v>1939</v>
      </c>
      <c r="C40" s="53">
        <v>400.0</v>
      </c>
      <c r="D40" s="55" t="s">
        <v>1940</v>
      </c>
    </row>
    <row r="41">
      <c r="A41" s="53" t="s">
        <v>603</v>
      </c>
      <c r="B41" s="54" t="s">
        <v>1939</v>
      </c>
      <c r="C41" s="53">
        <v>400.0</v>
      </c>
      <c r="D41" s="55" t="s">
        <v>1940</v>
      </c>
    </row>
    <row r="42">
      <c r="A42" s="53" t="s">
        <v>1942</v>
      </c>
      <c r="B42" s="54" t="s">
        <v>1939</v>
      </c>
      <c r="C42" s="53">
        <v>400.0</v>
      </c>
      <c r="D42" s="55" t="s">
        <v>1940</v>
      </c>
    </row>
    <row r="43">
      <c r="A43" s="53" t="s">
        <v>1943</v>
      </c>
      <c r="B43" s="54" t="s">
        <v>1939</v>
      </c>
      <c r="C43" s="53">
        <v>400.0</v>
      </c>
      <c r="D43" s="55" t="s">
        <v>1940</v>
      </c>
    </row>
    <row r="44">
      <c r="A44" s="53" t="s">
        <v>1944</v>
      </c>
      <c r="B44" s="54" t="s">
        <v>1939</v>
      </c>
      <c r="C44" s="53">
        <v>400.0</v>
      </c>
      <c r="D44" s="55" t="s">
        <v>1940</v>
      </c>
    </row>
    <row r="45">
      <c r="A45" s="53" t="s">
        <v>1945</v>
      </c>
      <c r="B45" s="54" t="s">
        <v>1939</v>
      </c>
      <c r="C45" s="53">
        <v>400.0</v>
      </c>
      <c r="D45" s="55" t="s">
        <v>1940</v>
      </c>
    </row>
    <row r="46">
      <c r="A46" s="53" t="s">
        <v>689</v>
      </c>
      <c r="B46" s="54" t="s">
        <v>1941</v>
      </c>
      <c r="C46" s="53">
        <v>600.0</v>
      </c>
      <c r="D46" s="55" t="s">
        <v>1940</v>
      </c>
    </row>
    <row r="47">
      <c r="A47" s="53" t="s">
        <v>133</v>
      </c>
      <c r="B47" s="54" t="s">
        <v>1939</v>
      </c>
      <c r="C47" s="53">
        <v>500.0</v>
      </c>
      <c r="D47" s="55" t="s">
        <v>1940</v>
      </c>
    </row>
    <row r="48">
      <c r="A48" s="53" t="s">
        <v>144</v>
      </c>
      <c r="B48" s="54" t="s">
        <v>1939</v>
      </c>
      <c r="C48" s="53">
        <v>500.0</v>
      </c>
      <c r="D48" s="55" t="s">
        <v>1940</v>
      </c>
    </row>
    <row r="49">
      <c r="A49" s="53" t="s">
        <v>335</v>
      </c>
      <c r="B49" s="54" t="s">
        <v>1941</v>
      </c>
      <c r="C49" s="53">
        <v>600.0</v>
      </c>
      <c r="D49" s="55" t="s">
        <v>1940</v>
      </c>
    </row>
    <row r="50">
      <c r="A50" s="53" t="s">
        <v>869</v>
      </c>
      <c r="B50" s="54" t="s">
        <v>1941</v>
      </c>
      <c r="C50" s="53">
        <v>600.0</v>
      </c>
      <c r="D50" s="55" t="s">
        <v>1940</v>
      </c>
    </row>
    <row r="51">
      <c r="A51" s="53" t="s">
        <v>1434</v>
      </c>
      <c r="B51" s="54" t="s">
        <v>1941</v>
      </c>
      <c r="C51" s="53">
        <v>600.0</v>
      </c>
      <c r="D51" s="55" t="s">
        <v>1940</v>
      </c>
    </row>
    <row r="52">
      <c r="A52" s="53" t="s">
        <v>42</v>
      </c>
      <c r="B52" s="54" t="s">
        <v>1939</v>
      </c>
      <c r="C52" s="53">
        <v>500.0</v>
      </c>
      <c r="D52" s="55" t="s">
        <v>1940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2.0"/>
    <col customWidth="1" min="3" max="3" width="16.5"/>
    <col customWidth="1" min="4" max="4" width="11.63"/>
    <col customWidth="1" min="5" max="5" width="17.13"/>
    <col customWidth="1" min="6" max="6" width="10.63"/>
    <col customWidth="1" min="7" max="7" width="11.63"/>
    <col customWidth="1" min="8" max="8" width="51.5"/>
    <col customWidth="1" min="9" max="9" width="13.5"/>
    <col customWidth="1" min="10" max="10" width="30.0"/>
    <col customWidth="1" min="11" max="11" width="62.63"/>
    <col customWidth="1" min="12" max="12" width="20.63"/>
    <col customWidth="1" min="13" max="13" width="5.13"/>
    <col customWidth="1" min="14" max="14" width="10.63"/>
    <col customWidth="1" min="15" max="15" width="7.5"/>
    <col customWidth="1" min="16" max="16" width="4.25"/>
    <col customWidth="1" min="17" max="26" width="8.63"/>
  </cols>
  <sheetData>
    <row r="1">
      <c r="A1" s="56" t="s">
        <v>1946</v>
      </c>
      <c r="B1" s="57" t="s">
        <v>1947</v>
      </c>
      <c r="C1" s="57" t="s">
        <v>1948</v>
      </c>
      <c r="D1" s="57" t="s">
        <v>1949</v>
      </c>
      <c r="E1" s="57" t="s">
        <v>6</v>
      </c>
      <c r="F1" s="57"/>
      <c r="G1" s="58" t="s">
        <v>1950</v>
      </c>
      <c r="H1" s="59"/>
      <c r="I1" s="57" t="s">
        <v>1951</v>
      </c>
      <c r="J1" s="60"/>
      <c r="K1" s="60" t="s">
        <v>1952</v>
      </c>
      <c r="L1" s="60"/>
      <c r="M1" s="57" t="s">
        <v>1953</v>
      </c>
      <c r="N1" s="57" t="s">
        <v>1954</v>
      </c>
      <c r="O1" s="57" t="s">
        <v>1955</v>
      </c>
      <c r="P1" s="61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3" t="s">
        <v>1956</v>
      </c>
      <c r="B2" s="63" t="s">
        <v>1957</v>
      </c>
      <c r="C2" s="63" t="s">
        <v>1958</v>
      </c>
      <c r="D2" s="64"/>
      <c r="E2" s="65" t="s">
        <v>29</v>
      </c>
      <c r="F2" s="66"/>
      <c r="G2" s="66" t="s">
        <v>1959</v>
      </c>
      <c r="H2" s="67" t="s">
        <v>1960</v>
      </c>
      <c r="I2" s="68">
        <v>0.01</v>
      </c>
      <c r="J2" s="69" t="s">
        <v>1961</v>
      </c>
      <c r="K2" s="70" t="s">
        <v>1347</v>
      </c>
      <c r="L2" s="70" t="s">
        <v>1347</v>
      </c>
      <c r="M2" s="71">
        <v>1.0</v>
      </c>
      <c r="N2" s="67" t="s">
        <v>1962</v>
      </c>
      <c r="O2" s="67" t="s">
        <v>1963</v>
      </c>
      <c r="P2" s="67"/>
    </row>
    <row r="3">
      <c r="A3" s="63" t="s">
        <v>1964</v>
      </c>
      <c r="B3" s="63" t="s">
        <v>1965</v>
      </c>
      <c r="C3" s="63" t="s">
        <v>1966</v>
      </c>
      <c r="D3" s="64"/>
      <c r="E3" s="72" t="s">
        <v>17</v>
      </c>
      <c r="F3" s="66"/>
      <c r="G3" s="66" t="s">
        <v>1967</v>
      </c>
      <c r="H3" s="73" t="s">
        <v>1968</v>
      </c>
      <c r="I3" s="63"/>
      <c r="J3" s="69" t="s">
        <v>1969</v>
      </c>
      <c r="K3" s="70" t="s">
        <v>1970</v>
      </c>
      <c r="L3" s="70" t="s">
        <v>1362</v>
      </c>
      <c r="M3" s="71">
        <v>2.0</v>
      </c>
      <c r="N3" s="67" t="s">
        <v>1971</v>
      </c>
      <c r="O3" s="67" t="s">
        <v>1972</v>
      </c>
      <c r="P3" s="67"/>
    </row>
    <row r="4">
      <c r="A4" s="63" t="s">
        <v>1973</v>
      </c>
      <c r="B4" s="63" t="s">
        <v>1974</v>
      </c>
      <c r="C4" s="74" t="s">
        <v>1975</v>
      </c>
      <c r="D4" s="64"/>
      <c r="E4" s="63"/>
      <c r="F4" s="66"/>
      <c r="G4" s="66" t="s">
        <v>1976</v>
      </c>
      <c r="H4" s="67" t="s">
        <v>1977</v>
      </c>
      <c r="I4" s="63"/>
      <c r="J4" s="69" t="s">
        <v>1978</v>
      </c>
      <c r="K4" s="70" t="s">
        <v>1979</v>
      </c>
      <c r="L4" s="70" t="s">
        <v>1343</v>
      </c>
      <c r="M4" s="71">
        <v>3.0</v>
      </c>
      <c r="N4" s="67" t="s">
        <v>1980</v>
      </c>
      <c r="O4" s="67" t="s">
        <v>1981</v>
      </c>
      <c r="P4" s="67"/>
    </row>
    <row r="5">
      <c r="A5" s="63" t="s">
        <v>1982</v>
      </c>
      <c r="B5" s="63" t="s">
        <v>1983</v>
      </c>
      <c r="C5" s="63"/>
      <c r="D5" s="64"/>
      <c r="E5" s="63"/>
      <c r="F5" s="66"/>
      <c r="G5" s="66" t="s">
        <v>1984</v>
      </c>
      <c r="H5" s="75" t="s">
        <v>1985</v>
      </c>
      <c r="I5" s="63"/>
      <c r="J5" s="69" t="s">
        <v>1986</v>
      </c>
      <c r="K5" s="76">
        <v>233922.0</v>
      </c>
      <c r="L5" s="70" t="s">
        <v>1256</v>
      </c>
      <c r="M5" s="71">
        <v>4.0</v>
      </c>
      <c r="N5" s="67" t="s">
        <v>1987</v>
      </c>
      <c r="O5" s="67" t="s">
        <v>1988</v>
      </c>
      <c r="P5" s="67"/>
    </row>
    <row r="6">
      <c r="A6" s="63"/>
      <c r="B6" s="63" t="s">
        <v>1989</v>
      </c>
      <c r="C6" s="63"/>
      <c r="D6" s="64"/>
      <c r="E6" s="63"/>
      <c r="F6" s="66"/>
      <c r="G6" s="66" t="s">
        <v>1990</v>
      </c>
      <c r="H6" s="67" t="s">
        <v>1991</v>
      </c>
      <c r="I6" s="63"/>
      <c r="J6" s="69" t="s">
        <v>1992</v>
      </c>
      <c r="K6" s="70" t="s">
        <v>1993</v>
      </c>
      <c r="L6" s="70" t="s">
        <v>1994</v>
      </c>
      <c r="M6" s="71">
        <v>5.0</v>
      </c>
      <c r="N6" s="67" t="s">
        <v>1995</v>
      </c>
      <c r="O6" s="67" t="s">
        <v>1996</v>
      </c>
      <c r="P6" s="67"/>
    </row>
    <row r="7">
      <c r="A7" s="63"/>
      <c r="B7" s="63" t="s">
        <v>1997</v>
      </c>
      <c r="C7" s="63"/>
      <c r="D7" s="63"/>
      <c r="E7" s="63"/>
      <c r="F7" s="66"/>
      <c r="G7" s="66" t="s">
        <v>1998</v>
      </c>
      <c r="H7" s="67"/>
      <c r="I7" s="63"/>
      <c r="J7" s="69" t="s">
        <v>1999</v>
      </c>
      <c r="K7" s="76"/>
      <c r="L7" s="70" t="s">
        <v>2000</v>
      </c>
      <c r="M7" s="71">
        <v>6.0</v>
      </c>
      <c r="N7" s="67" t="s">
        <v>2001</v>
      </c>
      <c r="O7" s="67" t="s">
        <v>2002</v>
      </c>
      <c r="P7" s="67"/>
    </row>
    <row r="8">
      <c r="A8" s="63"/>
      <c r="B8" s="67"/>
      <c r="C8" s="63"/>
      <c r="D8" s="63"/>
      <c r="E8" s="63"/>
      <c r="F8" s="67"/>
      <c r="G8" s="67"/>
      <c r="H8" s="77" t="s">
        <v>2003</v>
      </c>
      <c r="I8" s="63"/>
      <c r="J8" s="69"/>
      <c r="K8" s="76"/>
      <c r="L8" s="60"/>
      <c r="M8" s="71">
        <v>7.0</v>
      </c>
      <c r="N8" s="67" t="s">
        <v>2004</v>
      </c>
      <c r="O8" s="67" t="s">
        <v>2005</v>
      </c>
      <c r="P8" s="67"/>
    </row>
    <row r="9">
      <c r="A9" s="63"/>
      <c r="B9" s="67"/>
      <c r="C9" s="63"/>
      <c r="D9" s="63"/>
      <c r="E9" s="63"/>
      <c r="F9" s="67"/>
      <c r="G9" s="67"/>
      <c r="H9" s="67"/>
      <c r="I9" s="63"/>
      <c r="J9" s="69" t="s">
        <v>1961</v>
      </c>
      <c r="K9" s="70" t="s">
        <v>1362</v>
      </c>
      <c r="L9" s="60"/>
      <c r="M9" s="71">
        <v>8.0</v>
      </c>
      <c r="N9" s="67" t="s">
        <v>2006</v>
      </c>
      <c r="O9" s="67" t="s">
        <v>2007</v>
      </c>
      <c r="P9" s="67"/>
    </row>
    <row r="10">
      <c r="A10" s="63"/>
      <c r="B10" s="67"/>
      <c r="C10" s="63"/>
      <c r="D10" s="63"/>
      <c r="E10" s="63"/>
      <c r="F10" s="67"/>
      <c r="G10" s="67"/>
      <c r="H10" s="67"/>
      <c r="I10" s="63"/>
      <c r="J10" s="69" t="s">
        <v>1969</v>
      </c>
      <c r="K10" s="70" t="s">
        <v>2008</v>
      </c>
      <c r="L10" s="60"/>
      <c r="M10" s="71">
        <v>9.0</v>
      </c>
      <c r="N10" s="67" t="s">
        <v>2009</v>
      </c>
      <c r="O10" s="67" t="s">
        <v>2010</v>
      </c>
      <c r="P10" s="67"/>
    </row>
    <row r="11">
      <c r="A11" s="63"/>
      <c r="B11" s="67"/>
      <c r="C11" s="63"/>
      <c r="D11" s="63"/>
      <c r="E11" s="63"/>
      <c r="F11" s="67"/>
      <c r="G11" s="67"/>
      <c r="H11" s="67"/>
      <c r="I11" s="63"/>
      <c r="J11" s="69" t="s">
        <v>1978</v>
      </c>
      <c r="K11" s="78" t="s">
        <v>2011</v>
      </c>
      <c r="L11" s="67"/>
      <c r="M11" s="71">
        <v>10.0</v>
      </c>
      <c r="N11" s="67" t="s">
        <v>2012</v>
      </c>
      <c r="O11" s="67" t="s">
        <v>2013</v>
      </c>
      <c r="P11" s="67"/>
    </row>
    <row r="12">
      <c r="A12" s="63"/>
      <c r="B12" s="67"/>
      <c r="C12" s="63"/>
      <c r="D12" s="63"/>
      <c r="E12" s="63"/>
      <c r="F12" s="67"/>
      <c r="G12" s="67"/>
      <c r="H12" s="67"/>
      <c r="I12" s="63"/>
      <c r="J12" s="69" t="s">
        <v>1986</v>
      </c>
      <c r="K12" s="79">
        <v>225795.0</v>
      </c>
      <c r="L12" s="67"/>
      <c r="M12" s="71">
        <v>11.0</v>
      </c>
      <c r="N12" s="67" t="s">
        <v>2014</v>
      </c>
      <c r="O12" s="67" t="s">
        <v>2015</v>
      </c>
      <c r="P12" s="67"/>
    </row>
    <row r="13">
      <c r="A13" s="63"/>
      <c r="B13" s="67"/>
      <c r="C13" s="63"/>
      <c r="D13" s="63"/>
      <c r="E13" s="63"/>
      <c r="F13" s="67"/>
      <c r="G13" s="67"/>
      <c r="H13" s="67"/>
      <c r="I13" s="63"/>
      <c r="J13" s="69" t="s">
        <v>1992</v>
      </c>
      <c r="K13" s="70" t="s">
        <v>2016</v>
      </c>
      <c r="L13" s="67"/>
      <c r="M13" s="71">
        <v>12.0</v>
      </c>
      <c r="N13" s="67" t="s">
        <v>2017</v>
      </c>
      <c r="O13" s="67" t="s">
        <v>2018</v>
      </c>
      <c r="P13" s="67"/>
    </row>
    <row r="14">
      <c r="A14" s="63"/>
      <c r="B14" s="67"/>
      <c r="C14" s="63"/>
      <c r="D14" s="63"/>
      <c r="E14" s="63"/>
      <c r="F14" s="67"/>
      <c r="G14" s="67"/>
      <c r="H14" s="67"/>
      <c r="I14" s="63"/>
      <c r="J14" s="69" t="s">
        <v>1999</v>
      </c>
      <c r="K14" s="80"/>
      <c r="L14" s="67"/>
      <c r="M14" s="67"/>
      <c r="N14" s="67"/>
      <c r="O14" s="67"/>
      <c r="P14" s="67"/>
    </row>
    <row r="15">
      <c r="A15" s="63"/>
      <c r="B15" s="67"/>
      <c r="C15" s="63"/>
      <c r="D15" s="63"/>
      <c r="E15" s="63"/>
      <c r="F15" s="67"/>
      <c r="G15" s="67"/>
      <c r="H15" s="67"/>
      <c r="I15" s="63"/>
      <c r="J15" s="69"/>
      <c r="K15" s="80"/>
      <c r="L15" s="67"/>
      <c r="M15" s="67"/>
      <c r="N15" s="67"/>
      <c r="O15" s="67"/>
      <c r="P15" s="67"/>
    </row>
    <row r="16">
      <c r="A16" s="63"/>
      <c r="B16" s="67"/>
      <c r="C16" s="63"/>
      <c r="D16" s="63"/>
      <c r="E16" s="63"/>
      <c r="F16" s="67"/>
      <c r="G16" s="67"/>
      <c r="H16" s="67"/>
      <c r="I16" s="63"/>
      <c r="J16" s="69" t="s">
        <v>1961</v>
      </c>
      <c r="K16" s="70" t="s">
        <v>1343</v>
      </c>
      <c r="L16" s="67"/>
      <c r="M16" s="67"/>
      <c r="N16" s="67"/>
      <c r="O16" s="67"/>
      <c r="P16" s="67"/>
    </row>
    <row r="17">
      <c r="A17" s="63"/>
      <c r="B17" s="67"/>
      <c r="C17" s="63"/>
      <c r="D17" s="63"/>
      <c r="E17" s="63"/>
      <c r="F17" s="67"/>
      <c r="G17" s="67"/>
      <c r="H17" s="67"/>
      <c r="I17" s="63"/>
      <c r="J17" s="69" t="s">
        <v>1969</v>
      </c>
      <c r="K17" s="70" t="s">
        <v>2019</v>
      </c>
      <c r="L17" s="67"/>
      <c r="M17" s="67"/>
      <c r="N17" s="67"/>
      <c r="O17" s="67"/>
      <c r="P17" s="67"/>
    </row>
    <row r="18">
      <c r="A18" s="63"/>
      <c r="B18" s="67"/>
      <c r="C18" s="63"/>
      <c r="D18" s="63"/>
      <c r="E18" s="63"/>
      <c r="F18" s="67"/>
      <c r="G18" s="67"/>
      <c r="H18" s="67"/>
      <c r="I18" s="63"/>
      <c r="J18" s="69" t="s">
        <v>1978</v>
      </c>
      <c r="K18" s="80"/>
      <c r="L18" s="67"/>
      <c r="M18" s="67"/>
      <c r="N18" s="67"/>
      <c r="O18" s="67"/>
      <c r="P18" s="67"/>
    </row>
    <row r="19">
      <c r="A19" s="63"/>
      <c r="B19" s="67"/>
      <c r="C19" s="63"/>
      <c r="D19" s="63"/>
      <c r="E19" s="63"/>
      <c r="F19" s="67"/>
      <c r="G19" s="67"/>
      <c r="H19" s="67"/>
      <c r="I19" s="63"/>
      <c r="J19" s="69" t="s">
        <v>1986</v>
      </c>
      <c r="K19" s="80"/>
      <c r="L19" s="67"/>
      <c r="M19" s="67"/>
      <c r="N19" s="67"/>
      <c r="O19" s="67"/>
      <c r="P19" s="67"/>
    </row>
    <row r="20">
      <c r="A20" s="63"/>
      <c r="B20" s="67"/>
      <c r="C20" s="63"/>
      <c r="D20" s="63"/>
      <c r="E20" s="63"/>
      <c r="F20" s="67"/>
      <c r="G20" s="67"/>
      <c r="H20" s="67"/>
      <c r="I20" s="63"/>
      <c r="J20" s="69" t="s">
        <v>1992</v>
      </c>
      <c r="K20" s="80"/>
      <c r="L20" s="67"/>
      <c r="M20" s="67"/>
      <c r="N20" s="67"/>
      <c r="O20" s="67"/>
      <c r="P20" s="67"/>
    </row>
    <row r="21">
      <c r="A21" s="63"/>
      <c r="B21" s="67"/>
      <c r="C21" s="63"/>
      <c r="D21" s="63"/>
      <c r="E21" s="63"/>
      <c r="F21" s="67"/>
      <c r="G21" s="67"/>
      <c r="H21" s="67"/>
      <c r="I21" s="63"/>
      <c r="J21" s="69" t="s">
        <v>1999</v>
      </c>
      <c r="K21" s="80"/>
      <c r="L21" s="67"/>
      <c r="M21" s="67"/>
      <c r="N21" s="67"/>
      <c r="O21" s="67"/>
      <c r="P21" s="67"/>
    </row>
    <row r="22">
      <c r="A22" s="63"/>
      <c r="B22" s="67"/>
      <c r="C22" s="63"/>
      <c r="D22" s="63"/>
      <c r="E22" s="63"/>
      <c r="F22" s="67"/>
      <c r="G22" s="67"/>
      <c r="H22" s="67"/>
      <c r="I22" s="63"/>
      <c r="J22" s="69"/>
      <c r="K22" s="80"/>
      <c r="L22" s="67"/>
      <c r="M22" s="67"/>
      <c r="N22" s="67"/>
      <c r="O22" s="67"/>
      <c r="P22" s="67"/>
    </row>
    <row r="23">
      <c r="A23" s="63"/>
      <c r="B23" s="67"/>
      <c r="C23" s="63"/>
      <c r="D23" s="63"/>
      <c r="E23" s="63"/>
      <c r="F23" s="67"/>
      <c r="G23" s="67"/>
      <c r="H23" s="67"/>
      <c r="I23" s="63"/>
      <c r="J23" s="69" t="s">
        <v>1961</v>
      </c>
      <c r="K23" s="70" t="s">
        <v>1256</v>
      </c>
      <c r="L23" s="67"/>
      <c r="M23" s="67"/>
      <c r="N23" s="67"/>
      <c r="O23" s="67"/>
      <c r="P23" s="67"/>
    </row>
    <row r="24">
      <c r="A24" s="63"/>
      <c r="B24" s="67"/>
      <c r="C24" s="63"/>
      <c r="D24" s="63"/>
      <c r="E24" s="63"/>
      <c r="F24" s="67"/>
      <c r="G24" s="67"/>
      <c r="H24" s="67"/>
      <c r="I24" s="63"/>
      <c r="J24" s="69" t="s">
        <v>1969</v>
      </c>
      <c r="K24" s="70" t="s">
        <v>2020</v>
      </c>
      <c r="L24" s="67"/>
      <c r="M24" s="67"/>
      <c r="N24" s="67"/>
      <c r="O24" s="67"/>
      <c r="P24" s="67"/>
    </row>
    <row r="25">
      <c r="A25" s="63"/>
      <c r="B25" s="67"/>
      <c r="C25" s="63"/>
      <c r="D25" s="63"/>
      <c r="E25" s="63"/>
      <c r="F25" s="67"/>
      <c r="G25" s="67"/>
      <c r="H25" s="67"/>
      <c r="I25" s="63"/>
      <c r="J25" s="69" t="s">
        <v>1978</v>
      </c>
      <c r="K25" s="80"/>
      <c r="L25" s="67"/>
      <c r="M25" s="67"/>
      <c r="N25" s="67"/>
      <c r="O25" s="67"/>
      <c r="P25" s="67"/>
    </row>
    <row r="26">
      <c r="A26" s="63"/>
      <c r="B26" s="67"/>
      <c r="C26" s="63"/>
      <c r="D26" s="63"/>
      <c r="E26" s="63"/>
      <c r="F26" s="67"/>
      <c r="G26" s="67"/>
      <c r="H26" s="67"/>
      <c r="I26" s="63"/>
      <c r="J26" s="69" t="s">
        <v>1986</v>
      </c>
      <c r="K26" s="81"/>
      <c r="L26" s="67"/>
      <c r="M26" s="67"/>
      <c r="N26" s="67"/>
      <c r="O26" s="67"/>
      <c r="P26" s="67"/>
    </row>
    <row r="27">
      <c r="A27" s="63"/>
      <c r="B27" s="67"/>
      <c r="C27" s="63"/>
      <c r="D27" s="63"/>
      <c r="E27" s="63"/>
      <c r="F27" s="67"/>
      <c r="G27" s="67"/>
      <c r="H27" s="67"/>
      <c r="I27" s="63"/>
      <c r="J27" s="69" t="s">
        <v>1992</v>
      </c>
      <c r="K27" s="80"/>
      <c r="L27" s="67"/>
      <c r="M27" s="67"/>
      <c r="N27" s="67"/>
      <c r="O27" s="67"/>
      <c r="P27" s="67"/>
    </row>
    <row r="28">
      <c r="A28" s="63"/>
      <c r="B28" s="67"/>
      <c r="C28" s="63"/>
      <c r="D28" s="63"/>
      <c r="E28" s="63"/>
      <c r="F28" s="67"/>
      <c r="G28" s="67"/>
      <c r="H28" s="67"/>
      <c r="I28" s="63"/>
      <c r="J28" s="69" t="s">
        <v>1999</v>
      </c>
      <c r="K28" s="80"/>
      <c r="L28" s="67"/>
      <c r="M28" s="67"/>
      <c r="N28" s="67"/>
      <c r="O28" s="67"/>
      <c r="P28" s="67"/>
    </row>
    <row r="29">
      <c r="J29" s="69" t="s">
        <v>1961</v>
      </c>
      <c r="K29" s="70" t="s">
        <v>1994</v>
      </c>
    </row>
    <row r="30">
      <c r="J30" s="69" t="s">
        <v>1969</v>
      </c>
      <c r="K30" s="70" t="s">
        <v>2021</v>
      </c>
    </row>
    <row r="31">
      <c r="J31" s="69" t="s">
        <v>1978</v>
      </c>
      <c r="K31" s="70" t="s">
        <v>15</v>
      </c>
    </row>
    <row r="32">
      <c r="J32" s="69" t="s">
        <v>1986</v>
      </c>
      <c r="K32" s="70" t="s">
        <v>15</v>
      </c>
    </row>
    <row r="33">
      <c r="J33" s="69" t="s">
        <v>1992</v>
      </c>
      <c r="K33" s="70" t="s">
        <v>15</v>
      </c>
    </row>
    <row r="34">
      <c r="J34" s="69" t="s">
        <v>1999</v>
      </c>
      <c r="K34" s="82">
        <v>25134.0</v>
      </c>
    </row>
    <row r="35">
      <c r="J35" s="69" t="s">
        <v>1961</v>
      </c>
      <c r="K35" s="70" t="s">
        <v>2000</v>
      </c>
    </row>
    <row r="36">
      <c r="J36" s="69" t="s">
        <v>1969</v>
      </c>
      <c r="K36" s="70" t="s">
        <v>2021</v>
      </c>
    </row>
    <row r="37">
      <c r="J37" s="69" t="s">
        <v>1978</v>
      </c>
      <c r="K37" s="70" t="s">
        <v>15</v>
      </c>
    </row>
    <row r="38">
      <c r="J38" s="69" t="s">
        <v>1986</v>
      </c>
      <c r="K38" s="83" t="s">
        <v>15</v>
      </c>
    </row>
    <row r="39">
      <c r="J39" s="69" t="s">
        <v>1992</v>
      </c>
      <c r="K39" s="70" t="s">
        <v>15</v>
      </c>
    </row>
    <row r="40">
      <c r="J40" s="69" t="s">
        <v>1999</v>
      </c>
      <c r="K40" s="82">
        <v>25143.0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G1:H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2.63" defaultRowHeight="15.75" outlineLevelRow="1"/>
  <cols>
    <col customWidth="1" hidden="1" min="1" max="1" width="16.25"/>
    <col customWidth="1" min="2" max="2" width="22.0"/>
    <col customWidth="1" hidden="1" min="3" max="3" width="22.0"/>
    <col customWidth="1" min="4" max="4" width="23.63"/>
    <col customWidth="1" min="5" max="5" width="15.25"/>
    <col customWidth="1" min="6" max="6" width="37.38"/>
    <col customWidth="1" min="7" max="7" width="19.63"/>
    <col customWidth="1" min="8" max="8" width="57.13"/>
    <col customWidth="1" min="9" max="9" width="62.13"/>
    <col customWidth="1" min="10" max="10" width="17.38"/>
    <col customWidth="1" min="11" max="11" width="24.13"/>
    <col customWidth="1" min="12" max="12" width="25.88"/>
    <col customWidth="1" min="13" max="13" width="18.13"/>
  </cols>
  <sheetData>
    <row r="1" ht="58.5" customHeight="1">
      <c r="A1" s="84"/>
      <c r="B1" s="85" t="s">
        <v>2022</v>
      </c>
      <c r="H1" s="86" t="s">
        <v>2014</v>
      </c>
      <c r="I1" s="87">
        <v>244016.0</v>
      </c>
      <c r="J1" s="87"/>
      <c r="K1" s="87"/>
      <c r="L1" s="87"/>
      <c r="M1" s="87"/>
    </row>
    <row r="2" ht="135.0" customHeight="1">
      <c r="A2" s="88" t="s">
        <v>1</v>
      </c>
      <c r="B2" s="89" t="s">
        <v>0</v>
      </c>
      <c r="C2" s="89" t="s">
        <v>6</v>
      </c>
      <c r="D2" s="90" t="s">
        <v>7</v>
      </c>
      <c r="E2" s="89" t="s">
        <v>8</v>
      </c>
      <c r="F2" s="89" t="s">
        <v>2023</v>
      </c>
      <c r="G2" s="89" t="s">
        <v>9</v>
      </c>
      <c r="H2" s="91" t="s">
        <v>2024</v>
      </c>
      <c r="I2" s="91" t="s">
        <v>2025</v>
      </c>
      <c r="J2" s="89" t="s">
        <v>10</v>
      </c>
      <c r="K2" s="89" t="s">
        <v>11</v>
      </c>
      <c r="L2" s="89" t="s">
        <v>12</v>
      </c>
      <c r="M2" s="92" t="s">
        <v>13</v>
      </c>
    </row>
    <row r="3" hidden="1" outlineLevel="1">
      <c r="A3" s="93" t="s">
        <v>631</v>
      </c>
      <c r="B3" s="93">
        <v>210.0</v>
      </c>
      <c r="C3" s="94" t="s">
        <v>29</v>
      </c>
      <c r="D3" s="95">
        <v>25052.0</v>
      </c>
      <c r="E3" s="94" t="s">
        <v>193</v>
      </c>
      <c r="G3" s="96" t="s">
        <v>19</v>
      </c>
      <c r="H3" s="97" t="str">
        <f>IFERROR(VLOOKUP(F4, 'ฐานข้อมูลประวัติการเข้าพัก'!B:E, 5, FALSE), "")</f>
        <v/>
      </c>
      <c r="I3" s="97" t="str">
        <f>IFERROR(VLOOKUP(F4, 'ฐานข้อมูลประวัติการเข้าพัก'!B:D, 4, FALSE), "")</f>
        <v/>
      </c>
      <c r="J3" s="98" t="s">
        <v>20</v>
      </c>
      <c r="K3" s="99" t="s">
        <v>21</v>
      </c>
      <c r="L3" s="99" t="s">
        <v>21</v>
      </c>
      <c r="M3" s="100">
        <f t="shared" ref="M3:M193" si="1">D3+1</f>
        <v>25053</v>
      </c>
    </row>
    <row r="4" hidden="1" outlineLevel="1">
      <c r="A4" s="93" t="s">
        <v>633</v>
      </c>
      <c r="B4" s="99">
        <v>2.0</v>
      </c>
      <c r="C4" s="94" t="s">
        <v>17</v>
      </c>
      <c r="D4" s="95">
        <v>244198.0</v>
      </c>
      <c r="E4" s="94" t="s">
        <v>50</v>
      </c>
      <c r="F4" s="100" t="str">
        <f>IFERROR(VLOOKUP(A3,'ฐานข้อมูลประวัติการเข้าพัก'!A:E,2,FALSE),"")</f>
        <v>เซาวลิต</v>
      </c>
      <c r="G4" s="96" t="s">
        <v>19</v>
      </c>
      <c r="H4" s="97" t="str">
        <f>IFERROR(VLOOKUP(F5, 'ฐานข้อมูลประวัติการเข้าพัก'!B:E, 5, FALSE), "")</f>
        <v/>
      </c>
      <c r="I4" s="97" t="str">
        <f>IFERROR(VLOOKUP(F5, 'ฐานข้อมูลประวัติการเข้าพัก'!B:D, 4, FALSE), "")</f>
        <v/>
      </c>
      <c r="J4" s="98" t="s">
        <v>20</v>
      </c>
      <c r="K4" s="99" t="s">
        <v>21</v>
      </c>
      <c r="L4" s="99" t="s">
        <v>21</v>
      </c>
      <c r="M4" s="100">
        <f t="shared" si="1"/>
        <v>244199</v>
      </c>
    </row>
    <row r="5" hidden="1" outlineLevel="1">
      <c r="A5" s="93" t="s">
        <v>636</v>
      </c>
      <c r="B5" s="99">
        <v>3.0</v>
      </c>
      <c r="C5" s="94" t="s">
        <v>17</v>
      </c>
      <c r="D5" s="95">
        <v>244198.0</v>
      </c>
      <c r="E5" s="94" t="s">
        <v>60</v>
      </c>
      <c r="F5" s="100" t="str">
        <f>IFERROR(VLOOKUP(A4,'ฐานข้อมูลประวัติการเข้าพัก'!A:E,2,FALSE),"")</f>
        <v>เหนือฟ้า</v>
      </c>
      <c r="G5" s="96" t="s">
        <v>19</v>
      </c>
      <c r="H5" s="97" t="str">
        <f>IFERROR(VLOOKUP(F6, 'ฐานข้อมูลประวัติการเข้าพัก'!B:E, 5, FALSE), "")</f>
        <v/>
      </c>
      <c r="I5" s="97" t="str">
        <f>IFERROR(VLOOKUP(F6, 'ฐานข้อมูลประวัติการเข้าพัก'!B:D, 4, FALSE), "")</f>
        <v/>
      </c>
      <c r="J5" s="98" t="s">
        <v>20</v>
      </c>
      <c r="K5" s="99" t="s">
        <v>21</v>
      </c>
      <c r="L5" s="99" t="s">
        <v>21</v>
      </c>
      <c r="M5" s="100">
        <f t="shared" si="1"/>
        <v>244199</v>
      </c>
    </row>
    <row r="6" hidden="1" outlineLevel="1">
      <c r="A6" s="93" t="s">
        <v>639</v>
      </c>
      <c r="B6" s="99">
        <v>4.0</v>
      </c>
      <c r="C6" s="94" t="s">
        <v>29</v>
      </c>
      <c r="D6" s="95">
        <v>244199.0</v>
      </c>
      <c r="E6" s="94" t="s">
        <v>80</v>
      </c>
      <c r="F6" s="100" t="str">
        <f>IFERROR(VLOOKUP(A5,'ฐานข้อมูลประวัติการเข้าพัก'!A:E,2,FALSE),"")</f>
        <v>ทวีศักดิ์</v>
      </c>
      <c r="G6" s="96" t="s">
        <v>19</v>
      </c>
      <c r="H6" s="97" t="str">
        <f>IFERROR(VLOOKUP(F7, 'ฐานข้อมูลประวัติการเข้าพัก'!B:E, 5, FALSE), "")</f>
        <v/>
      </c>
      <c r="I6" s="97" t="str">
        <f>IFERROR(VLOOKUP(F7, 'ฐานข้อมูลประวัติการเข้าพัก'!B:D, 4, FALSE), "")</f>
        <v/>
      </c>
      <c r="J6" s="98" t="s">
        <v>20</v>
      </c>
      <c r="K6" s="99" t="s">
        <v>21</v>
      </c>
      <c r="L6" s="99" t="s">
        <v>21</v>
      </c>
      <c r="M6" s="100">
        <f t="shared" si="1"/>
        <v>244200</v>
      </c>
    </row>
    <row r="7" hidden="1" outlineLevel="1">
      <c r="A7" s="93" t="s">
        <v>642</v>
      </c>
      <c r="B7" s="99">
        <v>5.0</v>
      </c>
      <c r="C7" s="94" t="s">
        <v>29</v>
      </c>
      <c r="D7" s="95">
        <v>244199.0</v>
      </c>
      <c r="E7" s="94" t="s">
        <v>34</v>
      </c>
      <c r="F7" s="100" t="str">
        <f>IFERROR(VLOOKUP(A6,'ฐานข้อมูลประวัติการเข้าพัก'!A:E,2,FALSE),"")</f>
        <v>สุริยันห์  ยิ่งลาท</v>
      </c>
      <c r="G7" s="96" t="s">
        <v>19</v>
      </c>
      <c r="H7" s="97" t="str">
        <f>IFERROR(VLOOKUP(F8, 'ฐานข้อมูลประวัติการเข้าพัก'!B:E, 5, FALSE), "")</f>
        <v/>
      </c>
      <c r="I7" s="97" t="str">
        <f>IFERROR(VLOOKUP(F8, 'ฐานข้อมูลประวัติการเข้าพัก'!B:D, 4, FALSE), "")</f>
        <v/>
      </c>
      <c r="J7" s="98" t="s">
        <v>20</v>
      </c>
      <c r="K7" s="99" t="s">
        <v>21</v>
      </c>
      <c r="L7" s="99" t="s">
        <v>21</v>
      </c>
      <c r="M7" s="100">
        <f t="shared" si="1"/>
        <v>244200</v>
      </c>
    </row>
    <row r="8" hidden="1" outlineLevel="1">
      <c r="A8" s="93" t="s">
        <v>645</v>
      </c>
      <c r="B8" s="99">
        <v>6.0</v>
      </c>
      <c r="C8" s="94" t="s">
        <v>29</v>
      </c>
      <c r="D8" s="95">
        <v>244199.0</v>
      </c>
      <c r="E8" s="94" t="s">
        <v>30</v>
      </c>
      <c r="F8" s="100" t="str">
        <f>IFERROR(VLOOKUP(A7,'ฐานข้อมูลประวัติการเข้าพัก'!A:E,2,FALSE),"")</f>
        <v>วีระยุทธ  วีระกร</v>
      </c>
      <c r="G8" s="96" t="s">
        <v>19</v>
      </c>
      <c r="H8" s="97" t="str">
        <f>IFERROR(VLOOKUP(F9, 'ฐานข้อมูลประวัติการเข้าพัก'!B:E, 5, FALSE), "")</f>
        <v/>
      </c>
      <c r="I8" s="97" t="str">
        <f>IFERROR(VLOOKUP(F9, 'ฐานข้อมูลประวัติการเข้าพัก'!B:D, 4, FALSE), "")</f>
        <v/>
      </c>
      <c r="J8" s="98" t="s">
        <v>20</v>
      </c>
      <c r="K8" s="99" t="s">
        <v>21</v>
      </c>
      <c r="L8" s="99" t="s">
        <v>21</v>
      </c>
      <c r="M8" s="100">
        <f t="shared" si="1"/>
        <v>244200</v>
      </c>
    </row>
    <row r="9" hidden="1" outlineLevel="1">
      <c r="A9" s="93" t="s">
        <v>648</v>
      </c>
      <c r="B9" s="99">
        <v>7.0</v>
      </c>
      <c r="C9" s="94" t="s">
        <v>17</v>
      </c>
      <c r="D9" s="95">
        <v>244199.0</v>
      </c>
      <c r="E9" s="94" t="s">
        <v>80</v>
      </c>
      <c r="F9" s="100" t="str">
        <f>IFERROR(VLOOKUP(A8,'ฐานข้อมูลประวัติการเข้าพัก'!A:E,2,FALSE),"")</f>
        <v>ดวงฤดี ธนพรรัชต์</v>
      </c>
      <c r="G9" s="96" t="s">
        <v>19</v>
      </c>
      <c r="H9" s="97" t="str">
        <f>IFERROR(VLOOKUP(F10, 'ฐานข้อมูลประวัติการเข้าพัก'!B:E, 5, FALSE), "")</f>
        <v/>
      </c>
      <c r="I9" s="97" t="str">
        <f>IFERROR(VLOOKUP(F10, 'ฐานข้อมูลประวัติการเข้าพัก'!B:D, 4, FALSE), "")</f>
        <v/>
      </c>
      <c r="J9" s="98" t="s">
        <v>20</v>
      </c>
      <c r="K9" s="99" t="s">
        <v>21</v>
      </c>
      <c r="L9" s="99" t="s">
        <v>21</v>
      </c>
      <c r="M9" s="100">
        <f t="shared" si="1"/>
        <v>244200</v>
      </c>
    </row>
    <row r="10" hidden="1" outlineLevel="1">
      <c r="A10" s="93" t="s">
        <v>651</v>
      </c>
      <c r="B10" s="99">
        <v>8.0</v>
      </c>
      <c r="C10" s="94" t="s">
        <v>29</v>
      </c>
      <c r="D10" s="95">
        <v>244199.0</v>
      </c>
      <c r="E10" s="94" t="s">
        <v>144</v>
      </c>
      <c r="F10" s="100" t="str">
        <f>IFERROR(VLOOKUP(A9,'ฐานข้อมูลประวัติการเข้าพัก'!A:E,2,FALSE),"")</f>
        <v>ณัฐวุฒิ โพธิ์สว่าง</v>
      </c>
      <c r="G10" s="96" t="s">
        <v>19</v>
      </c>
      <c r="H10" s="97" t="str">
        <f>IFERROR(VLOOKUP(F11, 'ฐานข้อมูลประวัติการเข้าพัก'!B:E, 5, FALSE), "")</f>
        <v/>
      </c>
      <c r="I10" s="97" t="str">
        <f>IFERROR(VLOOKUP(F11, 'ฐานข้อมูลประวัติการเข้าพัก'!B:D, 4, FALSE), "")</f>
        <v/>
      </c>
      <c r="J10" s="98" t="s">
        <v>20</v>
      </c>
      <c r="K10" s="99" t="s">
        <v>21</v>
      </c>
      <c r="L10" s="99" t="s">
        <v>21</v>
      </c>
      <c r="M10" s="100">
        <f t="shared" si="1"/>
        <v>244200</v>
      </c>
    </row>
    <row r="11" hidden="1" outlineLevel="1">
      <c r="A11" s="93" t="s">
        <v>654</v>
      </c>
      <c r="B11" s="99">
        <v>9.0</v>
      </c>
      <c r="C11" s="94" t="s">
        <v>17</v>
      </c>
      <c r="D11" s="95">
        <v>244200.0</v>
      </c>
      <c r="E11" s="94" t="s">
        <v>50</v>
      </c>
      <c r="F11" s="100" t="str">
        <f>IFERROR(VLOOKUP(A10,'ฐานข้อมูลประวัติการเข้าพัก'!A:E,2,FALSE),"")</f>
        <v>อภิชาติ</v>
      </c>
      <c r="G11" s="96" t="s">
        <v>19</v>
      </c>
      <c r="H11" s="97" t="str">
        <f>IFERROR(VLOOKUP(F12, 'ฐานข้อมูลประวัติการเข้าพัก'!B:E, 5, FALSE), "")</f>
        <v/>
      </c>
      <c r="I11" s="97" t="str">
        <f>IFERROR(VLOOKUP(F12, 'ฐานข้อมูลประวัติการเข้าพัก'!B:D, 4, FALSE), "")</f>
        <v/>
      </c>
      <c r="J11" s="98" t="s">
        <v>20</v>
      </c>
      <c r="K11" s="99" t="s">
        <v>21</v>
      </c>
      <c r="L11" s="99" t="s">
        <v>21</v>
      </c>
      <c r="M11" s="100">
        <f t="shared" si="1"/>
        <v>244201</v>
      </c>
    </row>
    <row r="12" hidden="1" outlineLevel="1">
      <c r="A12" s="93" t="s">
        <v>2026</v>
      </c>
      <c r="B12" s="99">
        <v>10.0</v>
      </c>
      <c r="C12" s="94" t="s">
        <v>17</v>
      </c>
      <c r="D12" s="95">
        <v>244200.0</v>
      </c>
      <c r="E12" s="94" t="s">
        <v>18</v>
      </c>
      <c r="F12" s="100" t="str">
        <f>IFERROR(VLOOKUP(A11,'ฐานข้อมูลประวัติการเข้าพัก'!A:E,2,FALSE),"")</f>
        <v>วุฒิชัย เศษรักษา</v>
      </c>
      <c r="G12" s="96" t="s">
        <v>19</v>
      </c>
      <c r="H12" s="97" t="str">
        <f>IFERROR(VLOOKUP(F13, 'ฐานข้อมูลประวัติการเข้าพัก'!B:E, 5, FALSE), "")</f>
        <v/>
      </c>
      <c r="I12" s="97" t="str">
        <f>IFERROR(VLOOKUP(F13, 'ฐานข้อมูลประวัติการเข้าพัก'!B:D, 4, FALSE), "")</f>
        <v/>
      </c>
      <c r="J12" s="98" t="s">
        <v>20</v>
      </c>
      <c r="K12" s="99" t="s">
        <v>21</v>
      </c>
      <c r="L12" s="99" t="s">
        <v>21</v>
      </c>
      <c r="M12" s="100">
        <f t="shared" si="1"/>
        <v>244201</v>
      </c>
    </row>
    <row r="13" hidden="1" outlineLevel="1">
      <c r="A13" s="93" t="s">
        <v>22</v>
      </c>
      <c r="B13" s="99">
        <v>11.0</v>
      </c>
      <c r="C13" s="94" t="s">
        <v>17</v>
      </c>
      <c r="D13" s="95">
        <v>244200.0</v>
      </c>
      <c r="E13" s="94" t="s">
        <v>25</v>
      </c>
      <c r="F13" s="100" t="str">
        <f>IFERROR(VLOOKUP(A12,'ฐานข้อมูลประวัติการเข้าพัก'!A:E,2,FALSE),"")</f>
        <v>ชัชพล หลวงชา</v>
      </c>
      <c r="G13" s="96" t="s">
        <v>19</v>
      </c>
      <c r="H13" s="97" t="str">
        <f>IFERROR(VLOOKUP(F14, 'ฐานข้อมูลประวัติการเข้าพัก'!B:E, 5, FALSE), "")</f>
        <v/>
      </c>
      <c r="I13" s="97" t="str">
        <f>IFERROR(VLOOKUP(F14, 'ฐานข้อมูลประวัติการเข้าพัก'!B:D, 4, FALSE), "")</f>
        <v/>
      </c>
      <c r="J13" s="98" t="s">
        <v>20</v>
      </c>
      <c r="K13" s="99" t="s">
        <v>21</v>
      </c>
      <c r="L13" s="99" t="s">
        <v>21</v>
      </c>
      <c r="M13" s="100">
        <f t="shared" si="1"/>
        <v>244201</v>
      </c>
    </row>
    <row r="14" hidden="1" outlineLevel="1">
      <c r="A14" s="93" t="s">
        <v>26</v>
      </c>
      <c r="B14" s="99">
        <v>12.0</v>
      </c>
      <c r="C14" s="94" t="s">
        <v>29</v>
      </c>
      <c r="D14" s="95">
        <v>244200.0</v>
      </c>
      <c r="E14" s="94" t="s">
        <v>30</v>
      </c>
      <c r="F14" s="100" t="str">
        <f>IFERROR(VLOOKUP(A13,'ฐานข้อมูลประวัติการเข้าพัก'!A:E,2,FALSE),"")</f>
        <v>คุณปอนด์</v>
      </c>
      <c r="G14" s="96" t="s">
        <v>19</v>
      </c>
      <c r="H14" s="97" t="str">
        <f>IFERROR(VLOOKUP(F15, 'ฐานข้อมูลประวัติการเข้าพัก'!B:E, 5, FALSE), "")</f>
        <v/>
      </c>
      <c r="I14" s="97" t="str">
        <f>IFERROR(VLOOKUP(F15, 'ฐานข้อมูลประวัติการเข้าพัก'!B:D, 4, FALSE), "")</f>
        <v/>
      </c>
      <c r="J14" s="98" t="s">
        <v>20</v>
      </c>
      <c r="K14" s="99" t="s">
        <v>21</v>
      </c>
      <c r="L14" s="99" t="s">
        <v>21</v>
      </c>
      <c r="M14" s="100">
        <f t="shared" si="1"/>
        <v>244201</v>
      </c>
    </row>
    <row r="15" hidden="1" outlineLevel="1">
      <c r="A15" s="93" t="s">
        <v>31</v>
      </c>
      <c r="B15" s="99">
        <v>13.0</v>
      </c>
      <c r="C15" s="94" t="s">
        <v>17</v>
      </c>
      <c r="D15" s="95">
        <v>244200.0</v>
      </c>
      <c r="E15" s="94" t="s">
        <v>34</v>
      </c>
      <c r="F15" s="100" t="str">
        <f>IFERROR(VLOOKUP(A14,'ฐานข้อมูลประวัติการเข้าพัก'!A:E,2,FALSE),"")</f>
        <v>เพลง</v>
      </c>
      <c r="G15" s="96" t="s">
        <v>19</v>
      </c>
      <c r="H15" s="97" t="str">
        <f>IFERROR(VLOOKUP(F16, 'ฐานข้อมูลประวัติการเข้าพัก'!B:E, 5, FALSE), "")</f>
        <v/>
      </c>
      <c r="I15" s="97" t="str">
        <f>IFERROR(VLOOKUP(F16, 'ฐานข้อมูลประวัติการเข้าพัก'!B:D, 4, FALSE), "")</f>
        <v/>
      </c>
      <c r="J15" s="98" t="s">
        <v>20</v>
      </c>
      <c r="K15" s="99" t="s">
        <v>21</v>
      </c>
      <c r="L15" s="99" t="s">
        <v>21</v>
      </c>
      <c r="M15" s="100">
        <f t="shared" si="1"/>
        <v>244201</v>
      </c>
    </row>
    <row r="16" hidden="1" outlineLevel="1">
      <c r="A16" s="93" t="s">
        <v>35</v>
      </c>
      <c r="B16" s="99">
        <v>14.0</v>
      </c>
      <c r="C16" s="94" t="s">
        <v>17</v>
      </c>
      <c r="D16" s="95">
        <v>244200.0</v>
      </c>
      <c r="E16" s="94" t="s">
        <v>38</v>
      </c>
      <c r="F16" s="100" t="str">
        <f>IFERROR(VLOOKUP(A15,'ฐานข้อมูลประวัติการเข้าพัก'!A:E,2,FALSE),"")</f>
        <v>โสภณ</v>
      </c>
      <c r="G16" s="96" t="s">
        <v>19</v>
      </c>
      <c r="H16" s="97" t="str">
        <f>IFERROR(VLOOKUP(F17, 'ฐานข้อมูลประวัติการเข้าพัก'!B:E, 5, FALSE), "")</f>
        <v/>
      </c>
      <c r="I16" s="97" t="str">
        <f>IFERROR(VLOOKUP(F17, 'ฐานข้อมูลประวัติการเข้าพัก'!B:D, 4, FALSE), "")</f>
        <v/>
      </c>
      <c r="J16" s="98" t="s">
        <v>20</v>
      </c>
      <c r="K16" s="99" t="s">
        <v>21</v>
      </c>
      <c r="L16" s="99" t="s">
        <v>21</v>
      </c>
      <c r="M16" s="100">
        <f t="shared" si="1"/>
        <v>244201</v>
      </c>
    </row>
    <row r="17" hidden="1" outlineLevel="1">
      <c r="A17" s="93" t="s">
        <v>39</v>
      </c>
      <c r="B17" s="99">
        <v>15.0</v>
      </c>
      <c r="C17" s="94" t="s">
        <v>29</v>
      </c>
      <c r="D17" s="95">
        <v>244200.0</v>
      </c>
      <c r="E17" s="94" t="s">
        <v>42</v>
      </c>
      <c r="F17" s="100" t="str">
        <f>IFERROR(VLOOKUP(A16,'ฐานข้อมูลประวัติการเข้าพัก'!A:E,2,FALSE),"")</f>
        <v>บริษัท โชวี่</v>
      </c>
      <c r="G17" s="96" t="s">
        <v>19</v>
      </c>
      <c r="H17" s="97" t="str">
        <f>IFERROR(VLOOKUP(F18, 'ฐานข้อมูลประวัติการเข้าพัก'!B:E, 5, FALSE), "")</f>
        <v/>
      </c>
      <c r="I17" s="97" t="str">
        <f>IFERROR(VLOOKUP(F18, 'ฐานข้อมูลประวัติการเข้าพัก'!B:D, 4, FALSE), "")</f>
        <v/>
      </c>
      <c r="J17" s="98" t="s">
        <v>20</v>
      </c>
      <c r="K17" s="99" t="s">
        <v>21</v>
      </c>
      <c r="L17" s="99" t="s">
        <v>21</v>
      </c>
      <c r="M17" s="100">
        <f t="shared" si="1"/>
        <v>244201</v>
      </c>
    </row>
    <row r="18" hidden="1" outlineLevel="1">
      <c r="A18" s="93" t="s">
        <v>43</v>
      </c>
      <c r="B18" s="99">
        <v>16.0</v>
      </c>
      <c r="C18" s="94" t="s">
        <v>29</v>
      </c>
      <c r="D18" s="95">
        <v>244200.0</v>
      </c>
      <c r="E18" s="94" t="s">
        <v>46</v>
      </c>
      <c r="F18" s="100" t="str">
        <f>IFERROR(VLOOKUP(A17,'ฐานข้อมูลประวัติการเข้าพัก'!A:E,2,FALSE),"")</f>
        <v>คุณส้ม</v>
      </c>
      <c r="G18" s="96" t="s">
        <v>19</v>
      </c>
      <c r="H18" s="97" t="str">
        <f>IFERROR(VLOOKUP(F19, 'ฐานข้อมูลประวัติการเข้าพัก'!B:E, 5, FALSE), "")</f>
        <v/>
      </c>
      <c r="I18" s="97" t="str">
        <f>IFERROR(VLOOKUP(F19, 'ฐานข้อมูลประวัติการเข้าพัก'!B:D, 4, FALSE), "")</f>
        <v/>
      </c>
      <c r="J18" s="98" t="s">
        <v>20</v>
      </c>
      <c r="K18" s="99" t="s">
        <v>21</v>
      </c>
      <c r="L18" s="99" t="s">
        <v>21</v>
      </c>
      <c r="M18" s="100">
        <f t="shared" si="1"/>
        <v>244201</v>
      </c>
    </row>
    <row r="19" hidden="1" outlineLevel="1">
      <c r="A19" s="93" t="s">
        <v>47</v>
      </c>
      <c r="B19" s="99">
        <v>17.0</v>
      </c>
      <c r="C19" s="94" t="s">
        <v>29</v>
      </c>
      <c r="D19" s="95">
        <v>244201.0</v>
      </c>
      <c r="E19" s="94" t="s">
        <v>50</v>
      </c>
      <c r="F19" s="100" t="str">
        <f>IFERROR(VLOOKUP(A18,'ฐานข้อมูลประวัติการเข้าพัก'!A:E,2,FALSE),"")</f>
        <v>เต้</v>
      </c>
      <c r="G19" s="96" t="s">
        <v>19</v>
      </c>
      <c r="H19" s="97" t="str">
        <f>IFERROR(VLOOKUP(F20, 'ฐานข้อมูลประวัติการเข้าพัก'!B:E, 5, FALSE), "")</f>
        <v/>
      </c>
      <c r="I19" s="97" t="str">
        <f>IFERROR(VLOOKUP(F20, 'ฐานข้อมูลประวัติการเข้าพัก'!B:D, 4, FALSE), "")</f>
        <v/>
      </c>
      <c r="J19" s="98" t="s">
        <v>20</v>
      </c>
      <c r="K19" s="99" t="s">
        <v>21</v>
      </c>
      <c r="L19" s="99" t="s">
        <v>21</v>
      </c>
      <c r="M19" s="100">
        <f t="shared" si="1"/>
        <v>244202</v>
      </c>
    </row>
    <row r="20" hidden="1" outlineLevel="1">
      <c r="A20" s="93" t="s">
        <v>51</v>
      </c>
      <c r="B20" s="99">
        <v>18.0</v>
      </c>
      <c r="C20" s="94" t="s">
        <v>17</v>
      </c>
      <c r="D20" s="95">
        <v>244201.0</v>
      </c>
      <c r="E20" s="94" t="s">
        <v>54</v>
      </c>
      <c r="F20" s="100" t="str">
        <f>IFERROR(VLOOKUP(A19,'ฐานข้อมูลประวัติการเข้าพัก'!A:E,2,FALSE),"")</f>
        <v>อธิวัฒน์ ยาทองไชย</v>
      </c>
      <c r="G20" s="96" t="s">
        <v>19</v>
      </c>
      <c r="H20" s="97" t="str">
        <f>IFERROR(VLOOKUP(F21, 'ฐานข้อมูลประวัติการเข้าพัก'!B:E, 5, FALSE), "")</f>
        <v/>
      </c>
      <c r="I20" s="97" t="str">
        <f>IFERROR(VLOOKUP(F21, 'ฐานข้อมูลประวัติการเข้าพัก'!B:D, 4, FALSE), "")</f>
        <v/>
      </c>
      <c r="J20" s="98" t="s">
        <v>20</v>
      </c>
      <c r="K20" s="99" t="s">
        <v>21</v>
      </c>
      <c r="L20" s="99" t="s">
        <v>21</v>
      </c>
      <c r="M20" s="100">
        <f t="shared" si="1"/>
        <v>244202</v>
      </c>
    </row>
    <row r="21" hidden="1" outlineLevel="1">
      <c r="A21" s="93" t="s">
        <v>55</v>
      </c>
      <c r="B21" s="99">
        <v>19.0</v>
      </c>
      <c r="C21" s="94" t="s">
        <v>29</v>
      </c>
      <c r="D21" s="95">
        <v>244201.0</v>
      </c>
      <c r="E21" s="94" t="s">
        <v>34</v>
      </c>
      <c r="F21" s="100" t="str">
        <f>IFERROR(VLOOKUP(A20,'ฐานข้อมูลประวัติการเข้าพัก'!A:E,2,FALSE),"")</f>
        <v>พัชรินทร์</v>
      </c>
      <c r="G21" s="96" t="s">
        <v>19</v>
      </c>
      <c r="H21" s="97" t="str">
        <f>IFERROR(VLOOKUP(F22, 'ฐานข้อมูลประวัติการเข้าพัก'!B:E, 5, FALSE), "")</f>
        <v/>
      </c>
      <c r="I21" s="97" t="str">
        <f>IFERROR(VLOOKUP(F22, 'ฐานข้อมูลประวัติการเข้าพัก'!B:D, 4, FALSE), "")</f>
        <v/>
      </c>
      <c r="J21" s="98" t="s">
        <v>20</v>
      </c>
      <c r="K21" s="99" t="s">
        <v>21</v>
      </c>
      <c r="L21" s="99" t="s">
        <v>21</v>
      </c>
      <c r="M21" s="100">
        <f t="shared" si="1"/>
        <v>244202</v>
      </c>
    </row>
    <row r="22" hidden="1" outlineLevel="1">
      <c r="A22" s="93" t="s">
        <v>57</v>
      </c>
      <c r="B22" s="99">
        <v>20.0</v>
      </c>
      <c r="C22" s="94" t="s">
        <v>17</v>
      </c>
      <c r="D22" s="95">
        <v>244201.0</v>
      </c>
      <c r="E22" s="94" t="s">
        <v>60</v>
      </c>
      <c r="F22" s="100" t="str">
        <f>IFERROR(VLOOKUP(A21,'ฐานข้อมูลประวัติการเข้าพัก'!A:E,2,FALSE),"")</f>
        <v>ราชสีมา</v>
      </c>
      <c r="G22" s="96" t="s">
        <v>19</v>
      </c>
      <c r="H22" s="97" t="str">
        <f>IFERROR(VLOOKUP(F23, 'ฐานข้อมูลประวัติการเข้าพัก'!B:E, 5, FALSE), "")</f>
        <v/>
      </c>
      <c r="I22" s="97" t="str">
        <f>IFERROR(VLOOKUP(F23, 'ฐานข้อมูลประวัติการเข้าพัก'!B:D, 4, FALSE), "")</f>
        <v/>
      </c>
      <c r="J22" s="98" t="s">
        <v>20</v>
      </c>
      <c r="K22" s="99" t="s">
        <v>21</v>
      </c>
      <c r="L22" s="99" t="s">
        <v>21</v>
      </c>
      <c r="M22" s="100">
        <f t="shared" si="1"/>
        <v>244202</v>
      </c>
    </row>
    <row r="23" hidden="1" outlineLevel="1">
      <c r="A23" s="93" t="s">
        <v>61</v>
      </c>
      <c r="B23" s="99">
        <v>21.0</v>
      </c>
      <c r="C23" s="94" t="s">
        <v>17</v>
      </c>
      <c r="D23" s="95">
        <v>244202.0</v>
      </c>
      <c r="E23" s="94" t="s">
        <v>64</v>
      </c>
      <c r="F23" s="100" t="str">
        <f>IFERROR(VLOOKUP(A22,'ฐานข้อมูลประวัติการเข้าพัก'!A:E,2,FALSE),"")</f>
        <v>กำธร โพธิ์เสน</v>
      </c>
      <c r="G23" s="96" t="s">
        <v>19</v>
      </c>
      <c r="H23" s="97" t="str">
        <f>IFERROR(VLOOKUP(F24, 'ฐานข้อมูลประวัติการเข้าพัก'!B:E, 5, FALSE), "")</f>
        <v/>
      </c>
      <c r="I23" s="97" t="str">
        <f>IFERROR(VLOOKUP(F24, 'ฐานข้อมูลประวัติการเข้าพัก'!B:D, 4, FALSE), "")</f>
        <v/>
      </c>
      <c r="J23" s="98" t="s">
        <v>20</v>
      </c>
      <c r="K23" s="99" t="s">
        <v>21</v>
      </c>
      <c r="L23" s="99" t="s">
        <v>21</v>
      </c>
      <c r="M23" s="100">
        <f t="shared" si="1"/>
        <v>244203</v>
      </c>
    </row>
    <row r="24" hidden="1" outlineLevel="1">
      <c r="A24" s="93" t="s">
        <v>65</v>
      </c>
      <c r="B24" s="99">
        <v>22.0</v>
      </c>
      <c r="C24" s="94" t="s">
        <v>17</v>
      </c>
      <c r="D24" s="95">
        <v>244202.0</v>
      </c>
      <c r="E24" s="94" t="s">
        <v>42</v>
      </c>
      <c r="F24" s="100" t="str">
        <f>IFERROR(VLOOKUP(A23,'ฐานข้อมูลประวัติการเข้าพัก'!A:E,2,FALSE),"")</f>
        <v>คุณเป๊ก</v>
      </c>
      <c r="G24" s="96" t="s">
        <v>19</v>
      </c>
      <c r="H24" s="97" t="str">
        <f>IFERROR(VLOOKUP(F25, 'ฐานข้อมูลประวัติการเข้าพัก'!B:E, 5, FALSE), "")</f>
        <v/>
      </c>
      <c r="I24" s="97" t="str">
        <f>IFERROR(VLOOKUP(F25, 'ฐานข้อมูลประวัติการเข้าพัก'!B:D, 4, FALSE), "")</f>
        <v/>
      </c>
      <c r="J24" s="98" t="s">
        <v>20</v>
      </c>
      <c r="K24" s="99" t="s">
        <v>21</v>
      </c>
      <c r="L24" s="99" t="s">
        <v>21</v>
      </c>
      <c r="M24" s="100">
        <f t="shared" si="1"/>
        <v>244203</v>
      </c>
    </row>
    <row r="25" hidden="1" outlineLevel="1">
      <c r="A25" s="93" t="s">
        <v>68</v>
      </c>
      <c r="B25" s="99">
        <v>23.0</v>
      </c>
      <c r="C25" s="94" t="s">
        <v>29</v>
      </c>
      <c r="D25" s="95">
        <v>244202.0</v>
      </c>
      <c r="E25" s="94" t="s">
        <v>30</v>
      </c>
      <c r="F25" s="100" t="str">
        <f>IFERROR(VLOOKUP(A24,'ฐานข้อมูลประวัติการเข้าพัก'!A:E,2,FALSE),"")</f>
        <v>พิชิตชัย</v>
      </c>
      <c r="G25" s="96" t="s">
        <v>19</v>
      </c>
      <c r="H25" s="97" t="str">
        <f>IFERROR(VLOOKUP(F26, 'ฐานข้อมูลประวัติการเข้าพัก'!B:E, 5, FALSE), "")</f>
        <v/>
      </c>
      <c r="I25" s="97" t="str">
        <f>IFERROR(VLOOKUP(F26, 'ฐานข้อมูลประวัติการเข้าพัก'!B:D, 4, FALSE), "")</f>
        <v/>
      </c>
      <c r="J25" s="98" t="s">
        <v>20</v>
      </c>
      <c r="K25" s="99" t="s">
        <v>21</v>
      </c>
      <c r="L25" s="99" t="s">
        <v>21</v>
      </c>
      <c r="M25" s="100">
        <f t="shared" si="1"/>
        <v>244203</v>
      </c>
    </row>
    <row r="26" hidden="1" outlineLevel="1">
      <c r="A26" s="93" t="s">
        <v>71</v>
      </c>
      <c r="B26" s="99">
        <v>24.0</v>
      </c>
      <c r="C26" s="94" t="s">
        <v>17</v>
      </c>
      <c r="D26" s="95">
        <v>244202.0</v>
      </c>
      <c r="E26" s="94" t="s">
        <v>34</v>
      </c>
      <c r="F26" s="100" t="str">
        <f>IFERROR(VLOOKUP(A25,'ฐานข้อมูลประวัติการเข้าพัก'!A:E,2,FALSE),"")</f>
        <v>คุณ พีระ ตรีบวรกุศล</v>
      </c>
      <c r="G26" s="96" t="s">
        <v>19</v>
      </c>
      <c r="H26" s="97" t="str">
        <f>IFERROR(VLOOKUP(F27, 'ฐานข้อมูลประวัติการเข้าพัก'!B:E, 5, FALSE), "")</f>
        <v/>
      </c>
      <c r="I26" s="97" t="str">
        <f>IFERROR(VLOOKUP(F27, 'ฐานข้อมูลประวัติการเข้าพัก'!B:D, 4, FALSE), "")</f>
        <v/>
      </c>
      <c r="J26" s="98" t="s">
        <v>20</v>
      </c>
      <c r="K26" s="99" t="s">
        <v>21</v>
      </c>
      <c r="L26" s="99" t="s">
        <v>21</v>
      </c>
      <c r="M26" s="100">
        <f t="shared" si="1"/>
        <v>244203</v>
      </c>
    </row>
    <row r="27" hidden="1" outlineLevel="1">
      <c r="A27" s="93" t="s">
        <v>74</v>
      </c>
      <c r="B27" s="99">
        <v>25.0</v>
      </c>
      <c r="C27" s="94" t="s">
        <v>17</v>
      </c>
      <c r="D27" s="95">
        <v>244203.0</v>
      </c>
      <c r="E27" s="94" t="s">
        <v>38</v>
      </c>
      <c r="F27" s="100" t="str">
        <f>IFERROR(VLOOKUP(A26,'ฐานข้อมูลประวัติการเข้าพัก'!A:E,2,FALSE),"")</f>
        <v>บรรเจิด หอยทอง</v>
      </c>
      <c r="G27" s="96" t="s">
        <v>19</v>
      </c>
      <c r="H27" s="97" t="str">
        <f>IFERROR(VLOOKUP(F28, 'ฐานข้อมูลประวัติการเข้าพัก'!B:E, 5, FALSE), "")</f>
        <v/>
      </c>
      <c r="I27" s="97" t="str">
        <f>IFERROR(VLOOKUP(F28, 'ฐานข้อมูลประวัติการเข้าพัก'!B:D, 4, FALSE), "")</f>
        <v/>
      </c>
      <c r="J27" s="98" t="s">
        <v>20</v>
      </c>
      <c r="K27" s="99" t="s">
        <v>21</v>
      </c>
      <c r="L27" s="99" t="s">
        <v>21</v>
      </c>
      <c r="M27" s="100">
        <f t="shared" si="1"/>
        <v>244204</v>
      </c>
    </row>
    <row r="28" hidden="1" outlineLevel="1">
      <c r="A28" s="93" t="s">
        <v>77</v>
      </c>
      <c r="B28" s="99">
        <v>26.0</v>
      </c>
      <c r="C28" s="94" t="s">
        <v>29</v>
      </c>
      <c r="D28" s="95">
        <v>244203.0</v>
      </c>
      <c r="E28" s="94" t="s">
        <v>80</v>
      </c>
      <c r="F28" s="100" t="str">
        <f>IFERROR(VLOOKUP(A27,'ฐานข้อมูลประวัติการเข้าพัก'!A:E,2,FALSE),"")</f>
        <v>สมภพ โชติวงษ์</v>
      </c>
      <c r="G28" s="96" t="s">
        <v>19</v>
      </c>
      <c r="H28" s="97" t="str">
        <f>IFERROR(VLOOKUP(F29, 'ฐานข้อมูลประวัติการเข้าพัก'!B:E, 5, FALSE), "")</f>
        <v/>
      </c>
      <c r="I28" s="97" t="str">
        <f>IFERROR(VLOOKUP(F29, 'ฐานข้อมูลประวัติการเข้าพัก'!B:D, 4, FALSE), "")</f>
        <v/>
      </c>
      <c r="J28" s="98" t="s">
        <v>20</v>
      </c>
      <c r="K28" s="99" t="s">
        <v>81</v>
      </c>
      <c r="L28" s="99" t="s">
        <v>21</v>
      </c>
      <c r="M28" s="100">
        <f t="shared" si="1"/>
        <v>244204</v>
      </c>
    </row>
    <row r="29" hidden="1" outlineLevel="1">
      <c r="A29" s="93" t="s">
        <v>82</v>
      </c>
      <c r="B29" s="99">
        <v>27.0</v>
      </c>
      <c r="C29" s="94" t="s">
        <v>29</v>
      </c>
      <c r="D29" s="95">
        <v>244203.0</v>
      </c>
      <c r="E29" s="94" t="s">
        <v>34</v>
      </c>
      <c r="F29" s="100" t="str">
        <f>IFERROR(VLOOKUP(A28,'ฐานข้อมูลประวัติการเข้าพัก'!A:E,2,FALSE),"")</f>
        <v>คุณสุพัตรา</v>
      </c>
      <c r="G29" s="96" t="s">
        <v>19</v>
      </c>
      <c r="H29" s="97" t="str">
        <f>IFERROR(VLOOKUP(F30, 'ฐานข้อมูลประวัติการเข้าพัก'!B:E, 5, FALSE), "")</f>
        <v/>
      </c>
      <c r="I29" s="97" t="str">
        <f>IFERROR(VLOOKUP(F30, 'ฐานข้อมูลประวัติการเข้าพัก'!B:D, 4, FALSE), "")</f>
        <v/>
      </c>
      <c r="J29" s="98" t="s">
        <v>20</v>
      </c>
      <c r="K29" s="99" t="s">
        <v>21</v>
      </c>
      <c r="L29" s="99" t="s">
        <v>21</v>
      </c>
      <c r="M29" s="100">
        <f t="shared" si="1"/>
        <v>244204</v>
      </c>
    </row>
    <row r="30" hidden="1" outlineLevel="1">
      <c r="A30" s="93" t="s">
        <v>85</v>
      </c>
      <c r="B30" s="99">
        <v>28.0</v>
      </c>
      <c r="C30" s="94" t="s">
        <v>29</v>
      </c>
      <c r="D30" s="95">
        <v>244203.0</v>
      </c>
      <c r="E30" s="94" t="s">
        <v>88</v>
      </c>
      <c r="F30" s="100" t="str">
        <f>IFERROR(VLOOKUP(A29,'ฐานข้อมูลประวัติการเข้าพัก'!A:E,2,FALSE),"")</f>
        <v>ลุงเลียม</v>
      </c>
      <c r="G30" s="96" t="s">
        <v>19</v>
      </c>
      <c r="H30" s="97" t="str">
        <f>IFERROR(VLOOKUP(F31, 'ฐานข้อมูลประวัติการเข้าพัก'!B:E, 5, FALSE), "")</f>
        <v/>
      </c>
      <c r="I30" s="97" t="str">
        <f>IFERROR(VLOOKUP(F31, 'ฐานข้อมูลประวัติการเข้าพัก'!B:D, 4, FALSE), "")</f>
        <v/>
      </c>
      <c r="J30" s="98" t="s">
        <v>20</v>
      </c>
      <c r="K30" s="99" t="s">
        <v>21</v>
      </c>
      <c r="L30" s="99" t="s">
        <v>21</v>
      </c>
      <c r="M30" s="100">
        <f t="shared" si="1"/>
        <v>244204</v>
      </c>
    </row>
    <row r="31" hidden="1" outlineLevel="1">
      <c r="A31" s="93" t="s">
        <v>89</v>
      </c>
      <c r="B31" s="99">
        <v>29.0</v>
      </c>
      <c r="C31" s="94" t="s">
        <v>17</v>
      </c>
      <c r="D31" s="95">
        <v>244203.0</v>
      </c>
      <c r="E31" s="94" t="s">
        <v>54</v>
      </c>
      <c r="F31" s="100" t="str">
        <f>IFERROR(VLOOKUP(A30,'ฐานข้อมูลประวัติการเข้าพัก'!A:E,2,FALSE),"")</f>
        <v>วิชิต</v>
      </c>
      <c r="G31" s="96" t="s">
        <v>19</v>
      </c>
      <c r="H31" s="97" t="str">
        <f>IFERROR(VLOOKUP(F32, 'ฐานข้อมูลประวัติการเข้าพัก'!B:E, 5, FALSE), "")</f>
        <v/>
      </c>
      <c r="I31" s="97" t="str">
        <f>IFERROR(VLOOKUP(F32, 'ฐานข้อมูลประวัติการเข้าพัก'!B:D, 4, FALSE), "")</f>
        <v/>
      </c>
      <c r="J31" s="98" t="s">
        <v>20</v>
      </c>
      <c r="K31" s="99" t="s">
        <v>21</v>
      </c>
      <c r="L31" s="99" t="s">
        <v>21</v>
      </c>
      <c r="M31" s="100">
        <f t="shared" si="1"/>
        <v>244204</v>
      </c>
    </row>
    <row r="32" hidden="1" outlineLevel="1">
      <c r="A32" s="93" t="s">
        <v>92</v>
      </c>
      <c r="B32" s="99">
        <v>30.0</v>
      </c>
      <c r="C32" s="94" t="s">
        <v>29</v>
      </c>
      <c r="D32" s="95">
        <v>244204.0</v>
      </c>
      <c r="E32" s="94" t="s">
        <v>95</v>
      </c>
      <c r="F32" s="100" t="str">
        <f>IFERROR(VLOOKUP(A31,'ฐานข้อมูลประวัติการเข้าพัก'!A:E,2,FALSE),"")</f>
        <v>น้องฟ้า</v>
      </c>
      <c r="G32" s="96" t="s">
        <v>19</v>
      </c>
      <c r="H32" s="97" t="str">
        <f>IFERROR(VLOOKUP(F33, 'ฐานข้อมูลประวัติการเข้าพัก'!B:E, 5, FALSE), "")</f>
        <v/>
      </c>
      <c r="I32" s="97" t="str">
        <f>IFERROR(VLOOKUP(F33, 'ฐานข้อมูลประวัติการเข้าพัก'!B:D, 4, FALSE), "")</f>
        <v/>
      </c>
      <c r="J32" s="98" t="s">
        <v>20</v>
      </c>
      <c r="K32" s="99" t="s">
        <v>21</v>
      </c>
      <c r="L32" s="99" t="s">
        <v>21</v>
      </c>
      <c r="M32" s="100">
        <f t="shared" si="1"/>
        <v>244205</v>
      </c>
    </row>
    <row r="33" hidden="1" outlineLevel="1">
      <c r="A33" s="93" t="s">
        <v>96</v>
      </c>
      <c r="B33" s="99">
        <v>31.0</v>
      </c>
      <c r="C33" s="94" t="s">
        <v>17</v>
      </c>
      <c r="D33" s="95">
        <v>244204.0</v>
      </c>
      <c r="E33" s="94" t="s">
        <v>34</v>
      </c>
      <c r="F33" s="100" t="str">
        <f>IFERROR(VLOOKUP(A32,'ฐานข้อมูลประวัติการเข้าพัก'!A:E,2,FALSE),"")</f>
        <v>ธีรพงษ์</v>
      </c>
      <c r="G33" s="96" t="s">
        <v>19</v>
      </c>
      <c r="H33" s="97" t="str">
        <f>IFERROR(VLOOKUP(F34, 'ฐานข้อมูลประวัติการเข้าพัก'!B:E, 5, FALSE), "")</f>
        <v/>
      </c>
      <c r="I33" s="97" t="str">
        <f>IFERROR(VLOOKUP(F34, 'ฐานข้อมูลประวัติการเข้าพัก'!B:D, 4, FALSE), "")</f>
        <v/>
      </c>
      <c r="J33" s="98" t="s">
        <v>20</v>
      </c>
      <c r="K33" s="99" t="s">
        <v>98</v>
      </c>
      <c r="L33" s="99" t="s">
        <v>21</v>
      </c>
      <c r="M33" s="100">
        <f t="shared" si="1"/>
        <v>244205</v>
      </c>
    </row>
    <row r="34" hidden="1" outlineLevel="1">
      <c r="A34" s="93" t="s">
        <v>99</v>
      </c>
      <c r="B34" s="99">
        <v>32.0</v>
      </c>
      <c r="C34" s="94" t="s">
        <v>17</v>
      </c>
      <c r="D34" s="95">
        <v>244204.0</v>
      </c>
      <c r="E34" s="94" t="s">
        <v>101</v>
      </c>
      <c r="F34" s="100" t="str">
        <f>IFERROR(VLOOKUP(A33,'ฐานข้อมูลประวัติการเข้าพัก'!A:E,2,FALSE),"")</f>
        <v>คมกริช กุหลาบขาว</v>
      </c>
      <c r="G34" s="96" t="s">
        <v>19</v>
      </c>
      <c r="H34" s="97" t="str">
        <f>IFERROR(VLOOKUP(F35, 'ฐานข้อมูลประวัติการเข้าพัก'!B:E, 5, FALSE), "")</f>
        <v/>
      </c>
      <c r="I34" s="97" t="str">
        <f>IFERROR(VLOOKUP(F35, 'ฐานข้อมูลประวัติการเข้าพัก'!B:D, 4, FALSE), "")</f>
        <v/>
      </c>
      <c r="J34" s="98" t="s">
        <v>20</v>
      </c>
      <c r="K34" s="99" t="s">
        <v>21</v>
      </c>
      <c r="L34" s="99" t="s">
        <v>21</v>
      </c>
      <c r="M34" s="100">
        <f t="shared" si="1"/>
        <v>244205</v>
      </c>
    </row>
    <row r="35" hidden="1" outlineLevel="1">
      <c r="A35" s="93" t="s">
        <v>102</v>
      </c>
      <c r="B35" s="99">
        <v>33.0</v>
      </c>
      <c r="C35" s="94" t="s">
        <v>17</v>
      </c>
      <c r="D35" s="95">
        <v>244204.0</v>
      </c>
      <c r="E35" s="94" t="s">
        <v>30</v>
      </c>
      <c r="F35" s="100" t="str">
        <f>IFERROR(VLOOKUP(A34,'ฐานข้อมูลประวัติการเข้าพัก'!A:E,2,FALSE),"")</f>
        <v>คุณวัน</v>
      </c>
      <c r="G35" s="96" t="s">
        <v>19</v>
      </c>
      <c r="H35" s="97" t="str">
        <f>IFERROR(VLOOKUP(F36, 'ฐานข้อมูลประวัติการเข้าพัก'!B:E, 5, FALSE), "")</f>
        <v/>
      </c>
      <c r="I35" s="97" t="str">
        <f>IFERROR(VLOOKUP(F36, 'ฐานข้อมูลประวัติการเข้าพัก'!B:D, 4, FALSE), "")</f>
        <v/>
      </c>
      <c r="J35" s="98" t="s">
        <v>20</v>
      </c>
      <c r="K35" s="99" t="s">
        <v>21</v>
      </c>
      <c r="L35" s="99" t="s">
        <v>21</v>
      </c>
      <c r="M35" s="100">
        <f t="shared" si="1"/>
        <v>244205</v>
      </c>
    </row>
    <row r="36" hidden="1" outlineLevel="1">
      <c r="A36" s="93" t="s">
        <v>105</v>
      </c>
      <c r="B36" s="99">
        <v>34.0</v>
      </c>
      <c r="C36" s="94" t="s">
        <v>29</v>
      </c>
      <c r="D36" s="95">
        <v>244205.0</v>
      </c>
      <c r="E36" s="94" t="s">
        <v>38</v>
      </c>
      <c r="F36" s="100" t="str">
        <f>IFERROR(VLOOKUP(A35,'ฐานข้อมูลประวัติการเข้าพัก'!A:E,2,FALSE),"")</f>
        <v>สำเริง เดือนคล้อย</v>
      </c>
      <c r="G36" s="96" t="s">
        <v>19</v>
      </c>
      <c r="H36" s="97" t="str">
        <f>IFERROR(VLOOKUP(F37, 'ฐานข้อมูลประวัติการเข้าพัก'!B:E, 5, FALSE), "")</f>
        <v/>
      </c>
      <c r="I36" s="97" t="str">
        <f>IFERROR(VLOOKUP(F37, 'ฐานข้อมูลประวัติการเข้าพัก'!B:D, 4, FALSE), "")</f>
        <v/>
      </c>
      <c r="J36" s="98" t="s">
        <v>20</v>
      </c>
      <c r="K36" s="99" t="s">
        <v>21</v>
      </c>
      <c r="L36" s="99" t="s">
        <v>21</v>
      </c>
      <c r="M36" s="100">
        <f t="shared" si="1"/>
        <v>244206</v>
      </c>
    </row>
    <row r="37" hidden="1" outlineLevel="1">
      <c r="A37" s="93" t="s">
        <v>108</v>
      </c>
      <c r="B37" s="99">
        <v>35.0</v>
      </c>
      <c r="C37" s="94" t="s">
        <v>17</v>
      </c>
      <c r="D37" s="95">
        <v>244205.0</v>
      </c>
      <c r="E37" s="94" t="s">
        <v>111</v>
      </c>
      <c r="F37" s="100" t="str">
        <f>IFERROR(VLOOKUP(A36,'ฐานข้อมูลประวัติการเข้าพัก'!A:E,2,FALSE),"")</f>
        <v>จิณิพงษ์ ละการชั่ว</v>
      </c>
      <c r="G37" s="96" t="s">
        <v>19</v>
      </c>
      <c r="H37" s="97" t="str">
        <f>IFERROR(VLOOKUP(F38, 'ฐานข้อมูลประวัติการเข้าพัก'!B:E, 5, FALSE), "")</f>
        <v/>
      </c>
      <c r="I37" s="97" t="str">
        <f>IFERROR(VLOOKUP(F38, 'ฐานข้อมูลประวัติการเข้าพัก'!B:D, 4, FALSE), "")</f>
        <v/>
      </c>
      <c r="J37" s="98" t="s">
        <v>20</v>
      </c>
      <c r="K37" s="99" t="s">
        <v>21</v>
      </c>
      <c r="L37" s="99" t="s">
        <v>21</v>
      </c>
      <c r="M37" s="100">
        <f t="shared" si="1"/>
        <v>244206</v>
      </c>
    </row>
    <row r="38" hidden="1" outlineLevel="1">
      <c r="A38" s="93" t="s">
        <v>112</v>
      </c>
      <c r="B38" s="99">
        <v>36.0</v>
      </c>
      <c r="C38" s="94" t="s">
        <v>17</v>
      </c>
      <c r="D38" s="95">
        <v>244205.0</v>
      </c>
      <c r="E38" s="94" t="s">
        <v>50</v>
      </c>
      <c r="F38" s="100" t="str">
        <f>IFERROR(VLOOKUP(A37,'ฐานข้อมูลประวัติการเข้าพัก'!A:E,2,FALSE),"")</f>
        <v>ธาราวุธ</v>
      </c>
      <c r="G38" s="96" t="s">
        <v>19</v>
      </c>
      <c r="H38" s="97" t="str">
        <f>IFERROR(VLOOKUP(F39, 'ฐานข้อมูลประวัติการเข้าพัก'!B:E, 5, FALSE), "")</f>
        <v/>
      </c>
      <c r="I38" s="97" t="str">
        <f>IFERROR(VLOOKUP(F39, 'ฐานข้อมูลประวัติการเข้าพัก'!B:D, 4, FALSE), "")</f>
        <v/>
      </c>
      <c r="J38" s="98" t="s">
        <v>20</v>
      </c>
      <c r="K38" s="99" t="s">
        <v>21</v>
      </c>
      <c r="L38" s="99" t="s">
        <v>21</v>
      </c>
      <c r="M38" s="100">
        <f t="shared" si="1"/>
        <v>244206</v>
      </c>
    </row>
    <row r="39" hidden="1" outlineLevel="1">
      <c r="A39" s="93" t="s">
        <v>115</v>
      </c>
      <c r="B39" s="99">
        <v>37.0</v>
      </c>
      <c r="C39" s="94" t="s">
        <v>29</v>
      </c>
      <c r="D39" s="95">
        <v>244205.0</v>
      </c>
      <c r="E39" s="94" t="s">
        <v>50</v>
      </c>
      <c r="F39" s="100" t="str">
        <f>IFERROR(VLOOKUP(A38,'ฐานข้อมูลประวัติการเข้าพัก'!A:E,2,FALSE),"")</f>
        <v>จีระเดช แข็งขัน</v>
      </c>
      <c r="G39" s="96" t="s">
        <v>19</v>
      </c>
      <c r="H39" s="97" t="str">
        <f>IFERROR(VLOOKUP(F40, 'ฐานข้อมูลประวัติการเข้าพัก'!B:E, 5, FALSE), "")</f>
        <v/>
      </c>
      <c r="I39" s="97" t="str">
        <f>IFERROR(VLOOKUP(F40, 'ฐานข้อมูลประวัติการเข้าพัก'!B:D, 4, FALSE), "")</f>
        <v/>
      </c>
      <c r="J39" s="98" t="s">
        <v>20</v>
      </c>
      <c r="K39" s="99" t="s">
        <v>21</v>
      </c>
      <c r="L39" s="99" t="s">
        <v>21</v>
      </c>
      <c r="M39" s="100">
        <f t="shared" si="1"/>
        <v>244206</v>
      </c>
    </row>
    <row r="40" hidden="1" outlineLevel="1">
      <c r="A40" s="93" t="s">
        <v>118</v>
      </c>
      <c r="B40" s="99">
        <v>38.0</v>
      </c>
      <c r="C40" s="94" t="s">
        <v>29</v>
      </c>
      <c r="D40" s="95">
        <v>244205.0</v>
      </c>
      <c r="E40" s="94" t="s">
        <v>54</v>
      </c>
      <c r="F40" s="100" t="str">
        <f>IFERROR(VLOOKUP(A39,'ฐานข้อมูลประวัติการเข้าพัก'!A:E,2,FALSE),"")</f>
        <v>นายวิทยา ชัยระเทศ</v>
      </c>
      <c r="G40" s="96" t="s">
        <v>19</v>
      </c>
      <c r="H40" s="97" t="str">
        <f>IFERROR(VLOOKUP(F41, 'ฐานข้อมูลประวัติการเข้าพัก'!B:E, 5, FALSE), "")</f>
        <v/>
      </c>
      <c r="I40" s="97" t="str">
        <f>IFERROR(VLOOKUP(F41, 'ฐานข้อมูลประวัติการเข้าพัก'!B:D, 4, FALSE), "")</f>
        <v/>
      </c>
      <c r="J40" s="98" t="s">
        <v>20</v>
      </c>
      <c r="K40" s="99" t="s">
        <v>21</v>
      </c>
      <c r="L40" s="99" t="s">
        <v>21</v>
      </c>
      <c r="M40" s="100">
        <f t="shared" si="1"/>
        <v>244206</v>
      </c>
    </row>
    <row r="41" hidden="1" outlineLevel="1">
      <c r="A41" s="93" t="s">
        <v>121</v>
      </c>
      <c r="B41" s="99">
        <v>39.0</v>
      </c>
      <c r="C41" s="94" t="s">
        <v>29</v>
      </c>
      <c r="D41" s="95">
        <v>244205.0</v>
      </c>
      <c r="E41" s="94" t="s">
        <v>124</v>
      </c>
      <c r="F41" s="100" t="str">
        <f>IFERROR(VLOOKUP(A40,'ฐานข้อมูลประวัติการเข้าพัก'!A:E,2,FALSE),"")</f>
        <v>ชญานิศ ชินใหม่</v>
      </c>
      <c r="G41" s="96" t="s">
        <v>19</v>
      </c>
      <c r="H41" s="97" t="str">
        <f>IFERROR(VLOOKUP(F42, 'ฐานข้อมูลประวัติการเข้าพัก'!B:E, 5, FALSE), "")</f>
        <v/>
      </c>
      <c r="I41" s="97" t="str">
        <f>IFERROR(VLOOKUP(F42, 'ฐานข้อมูลประวัติการเข้าพัก'!B:D, 4, FALSE), "")</f>
        <v/>
      </c>
      <c r="J41" s="98" t="s">
        <v>20</v>
      </c>
      <c r="K41" s="99" t="s">
        <v>125</v>
      </c>
      <c r="L41" s="99" t="s">
        <v>21</v>
      </c>
      <c r="M41" s="100">
        <f t="shared" si="1"/>
        <v>244206</v>
      </c>
    </row>
    <row r="42" hidden="1" outlineLevel="1">
      <c r="A42" s="93" t="s">
        <v>126</v>
      </c>
      <c r="B42" s="99">
        <v>40.0</v>
      </c>
      <c r="C42" s="94" t="s">
        <v>17</v>
      </c>
      <c r="D42" s="95">
        <v>244205.0</v>
      </c>
      <c r="E42" s="94" t="s">
        <v>80</v>
      </c>
      <c r="F42" s="100" t="str">
        <f>IFERROR(VLOOKUP(A41,'ฐานข้อมูลประวัติการเข้าพัก'!A:E,2,FALSE),"")</f>
        <v>สุกัญญา</v>
      </c>
      <c r="G42" s="96" t="s">
        <v>19</v>
      </c>
      <c r="H42" s="97" t="str">
        <f>IFERROR(VLOOKUP(F43, 'ฐานข้อมูลประวัติการเข้าพัก'!B:E, 5, FALSE), "")</f>
        <v/>
      </c>
      <c r="I42" s="97" t="str">
        <f>IFERROR(VLOOKUP(F43, 'ฐานข้อมูลประวัติการเข้าพัก'!B:D, 4, FALSE), "")</f>
        <v/>
      </c>
      <c r="J42" s="98" t="s">
        <v>20</v>
      </c>
      <c r="K42" s="99" t="s">
        <v>129</v>
      </c>
      <c r="L42" s="99" t="s">
        <v>21</v>
      </c>
      <c r="M42" s="100">
        <f t="shared" si="1"/>
        <v>244206</v>
      </c>
    </row>
    <row r="43" hidden="1" outlineLevel="1">
      <c r="A43" s="93" t="s">
        <v>130</v>
      </c>
      <c r="B43" s="99">
        <v>41.0</v>
      </c>
      <c r="C43" s="94" t="s">
        <v>29</v>
      </c>
      <c r="D43" s="95">
        <v>244205.0</v>
      </c>
      <c r="E43" s="94" t="s">
        <v>133</v>
      </c>
      <c r="F43" s="100" t="str">
        <f>IFERROR(VLOOKUP(A42,'ฐานข้อมูลประวัติการเข้าพัก'!A:E,2,FALSE),"")</f>
        <v>ชัยศักดิ์ อัดตละ</v>
      </c>
      <c r="G43" s="96" t="s">
        <v>19</v>
      </c>
      <c r="H43" s="97" t="str">
        <f>IFERROR(VLOOKUP(F44, 'ฐานข้อมูลประวัติการเข้าพัก'!B:E, 5, FALSE), "")</f>
        <v/>
      </c>
      <c r="I43" s="97" t="str">
        <f>IFERROR(VLOOKUP(F44, 'ฐานข้อมูลประวัติการเข้าพัก'!B:D, 4, FALSE), "")</f>
        <v/>
      </c>
      <c r="J43" s="98" t="s">
        <v>20</v>
      </c>
      <c r="K43" s="99" t="s">
        <v>21</v>
      </c>
      <c r="L43" s="99" t="s">
        <v>21</v>
      </c>
      <c r="M43" s="100">
        <f t="shared" si="1"/>
        <v>244206</v>
      </c>
    </row>
    <row r="44" hidden="1" outlineLevel="1">
      <c r="A44" s="93" t="s">
        <v>134</v>
      </c>
      <c r="B44" s="99">
        <v>42.0</v>
      </c>
      <c r="C44" s="94" t="s">
        <v>17</v>
      </c>
      <c r="D44" s="95">
        <v>244205.0</v>
      </c>
      <c r="E44" s="94" t="s">
        <v>30</v>
      </c>
      <c r="F44" s="100" t="str">
        <f>IFERROR(VLOOKUP(A43,'ฐานข้อมูลประวัติการเข้าพัก'!A:E,2,FALSE),"")</f>
        <v>ภณัชกร</v>
      </c>
      <c r="G44" s="96" t="s">
        <v>19</v>
      </c>
      <c r="H44" s="97" t="str">
        <f>IFERROR(VLOOKUP(F45, 'ฐานข้อมูลประวัติการเข้าพัก'!B:E, 5, FALSE), "")</f>
        <v/>
      </c>
      <c r="I44" s="97" t="str">
        <f>IFERROR(VLOOKUP(F45, 'ฐานข้อมูลประวัติการเข้าพัก'!B:D, 4, FALSE), "")</f>
        <v/>
      </c>
      <c r="J44" s="98" t="s">
        <v>20</v>
      </c>
      <c r="K44" s="99" t="s">
        <v>137</v>
      </c>
      <c r="L44" s="99" t="s">
        <v>21</v>
      </c>
      <c r="M44" s="100">
        <f t="shared" si="1"/>
        <v>244206</v>
      </c>
    </row>
    <row r="45" hidden="1" outlineLevel="1">
      <c r="A45" s="93" t="s">
        <v>138</v>
      </c>
      <c r="B45" s="99">
        <v>43.0</v>
      </c>
      <c r="C45" s="94" t="s">
        <v>17</v>
      </c>
      <c r="D45" s="95">
        <v>244205.0</v>
      </c>
      <c r="E45" s="94" t="s">
        <v>124</v>
      </c>
      <c r="F45" s="100" t="str">
        <f>IFERROR(VLOOKUP(A44,'ฐานข้อมูลประวัติการเข้าพัก'!A:E,2,FALSE),"")</f>
        <v>ต่าย</v>
      </c>
      <c r="G45" s="96" t="s">
        <v>19</v>
      </c>
      <c r="H45" s="97" t="str">
        <f>IFERROR(VLOOKUP(F46, 'ฐานข้อมูลประวัติการเข้าพัก'!B:E, 5, FALSE), "")</f>
        <v/>
      </c>
      <c r="I45" s="97" t="str">
        <f>IFERROR(VLOOKUP(F46, 'ฐานข้อมูลประวัติการเข้าพัก'!B:D, 4, FALSE), "")</f>
        <v/>
      </c>
      <c r="J45" s="98" t="s">
        <v>20</v>
      </c>
      <c r="K45" s="99" t="s">
        <v>21</v>
      </c>
      <c r="L45" s="99" t="s">
        <v>21</v>
      </c>
      <c r="M45" s="100">
        <f t="shared" si="1"/>
        <v>244206</v>
      </c>
    </row>
    <row r="46" hidden="1" outlineLevel="1">
      <c r="A46" s="93" t="s">
        <v>141</v>
      </c>
      <c r="B46" s="99">
        <v>44.0</v>
      </c>
      <c r="C46" s="94" t="s">
        <v>17</v>
      </c>
      <c r="D46" s="95">
        <v>244206.0</v>
      </c>
      <c r="E46" s="94" t="s">
        <v>144</v>
      </c>
      <c r="F46" s="100" t="str">
        <f>IFERROR(VLOOKUP(A45,'ฐานข้อมูลประวัติการเข้าพัก'!A:E,2,FALSE),"")</f>
        <v>บริษัท ชัวร์ ฟิลเตอร์ (ประเทศไทย) จำกัด</v>
      </c>
      <c r="G46" s="96" t="s">
        <v>19</v>
      </c>
      <c r="H46" s="97" t="str">
        <f>IFERROR(VLOOKUP(F47, 'ฐานข้อมูลประวัติการเข้าพัก'!B:E, 5, FALSE), "")</f>
        <v/>
      </c>
      <c r="I46" s="97" t="str">
        <f>IFERROR(VLOOKUP(F47, 'ฐานข้อมูลประวัติการเข้าพัก'!B:D, 4, FALSE), "")</f>
        <v/>
      </c>
      <c r="J46" s="98" t="s">
        <v>20</v>
      </c>
      <c r="K46" s="99" t="s">
        <v>137</v>
      </c>
      <c r="L46" s="99" t="s">
        <v>21</v>
      </c>
      <c r="M46" s="100">
        <f t="shared" si="1"/>
        <v>244207</v>
      </c>
    </row>
    <row r="47" hidden="1" outlineLevel="1">
      <c r="A47" s="93" t="s">
        <v>145</v>
      </c>
      <c r="B47" s="99">
        <v>45.0</v>
      </c>
      <c r="C47" s="94" t="s">
        <v>29</v>
      </c>
      <c r="D47" s="95">
        <v>244206.0</v>
      </c>
      <c r="E47" s="94" t="s">
        <v>80</v>
      </c>
      <c r="F47" s="100" t="str">
        <f>IFERROR(VLOOKUP(A46,'ฐานข้อมูลประวัติการเข้าพัก'!A:E,2,FALSE),"")</f>
        <v>วิญญู</v>
      </c>
      <c r="G47" s="96" t="s">
        <v>19</v>
      </c>
      <c r="H47" s="97" t="str">
        <f>IFERROR(VLOOKUP(F48, 'ฐานข้อมูลประวัติการเข้าพัก'!B:E, 5, FALSE), "")</f>
        <v/>
      </c>
      <c r="I47" s="97" t="str">
        <f>IFERROR(VLOOKUP(F48, 'ฐานข้อมูลประวัติการเข้าพัก'!B:D, 4, FALSE), "")</f>
        <v/>
      </c>
      <c r="J47" s="98" t="s">
        <v>20</v>
      </c>
      <c r="K47" s="99" t="s">
        <v>21</v>
      </c>
      <c r="L47" s="99" t="s">
        <v>21</v>
      </c>
      <c r="M47" s="100">
        <f t="shared" si="1"/>
        <v>244207</v>
      </c>
    </row>
    <row r="48" hidden="1" outlineLevel="1">
      <c r="A48" s="93" t="s">
        <v>148</v>
      </c>
      <c r="B48" s="99">
        <v>46.0</v>
      </c>
      <c r="C48" s="94" t="s">
        <v>17</v>
      </c>
      <c r="D48" s="95">
        <v>244206.0</v>
      </c>
      <c r="E48" s="94" t="s">
        <v>38</v>
      </c>
      <c r="F48" s="100" t="str">
        <f>IFERROR(VLOOKUP(A47,'ฐานข้อมูลประวัติการเข้าพัก'!A:E,2,FALSE),"")</f>
        <v>คุณสมบัติ</v>
      </c>
      <c r="G48" s="96" t="s">
        <v>19</v>
      </c>
      <c r="H48" s="97" t="str">
        <f>IFERROR(VLOOKUP(F49, 'ฐานข้อมูลประวัติการเข้าพัก'!B:E, 5, FALSE), "")</f>
        <v/>
      </c>
      <c r="I48" s="97" t="str">
        <f>IFERROR(VLOOKUP(F49, 'ฐานข้อมูลประวัติการเข้าพัก'!B:D, 4, FALSE), "")</f>
        <v/>
      </c>
      <c r="J48" s="98" t="s">
        <v>20</v>
      </c>
      <c r="K48" s="99" t="s">
        <v>137</v>
      </c>
      <c r="L48" s="99" t="s">
        <v>21</v>
      </c>
      <c r="M48" s="100">
        <f t="shared" si="1"/>
        <v>244207</v>
      </c>
    </row>
    <row r="49" hidden="1" outlineLevel="1">
      <c r="A49" s="93" t="s">
        <v>151</v>
      </c>
      <c r="B49" s="99">
        <v>47.0</v>
      </c>
      <c r="C49" s="94" t="s">
        <v>17</v>
      </c>
      <c r="D49" s="95">
        <v>244206.0</v>
      </c>
      <c r="E49" s="94" t="s">
        <v>34</v>
      </c>
      <c r="F49" s="100" t="str">
        <f>IFERROR(VLOOKUP(A48,'ฐานข้อมูลประวัติการเข้าพัก'!A:E,2,FALSE),"")</f>
        <v>สันติ ขอมกิ่ง</v>
      </c>
      <c r="G49" s="96" t="s">
        <v>19</v>
      </c>
      <c r="H49" s="97" t="str">
        <f>IFERROR(VLOOKUP(F50, 'ฐานข้อมูลประวัติการเข้าพัก'!B:E, 5, FALSE), "")</f>
        <v/>
      </c>
      <c r="I49" s="97" t="str">
        <f>IFERROR(VLOOKUP(F50, 'ฐานข้อมูลประวัติการเข้าพัก'!B:D, 4, FALSE), "")</f>
        <v/>
      </c>
      <c r="J49" s="98" t="s">
        <v>20</v>
      </c>
      <c r="K49" s="99" t="s">
        <v>21</v>
      </c>
      <c r="L49" s="99" t="s">
        <v>21</v>
      </c>
      <c r="M49" s="100">
        <f t="shared" si="1"/>
        <v>244207</v>
      </c>
    </row>
    <row r="50" hidden="1" outlineLevel="1">
      <c r="A50" s="93" t="s">
        <v>154</v>
      </c>
      <c r="B50" s="99">
        <v>48.0</v>
      </c>
      <c r="C50" s="94" t="s">
        <v>29</v>
      </c>
      <c r="D50" s="95">
        <v>244206.0</v>
      </c>
      <c r="E50" s="94" t="s">
        <v>38</v>
      </c>
      <c r="F50" s="100" t="str">
        <f>IFERROR(VLOOKUP(A49,'ฐานข้อมูลประวัติการเข้าพัก'!A:E,2,FALSE),"")</f>
        <v>มนัส</v>
      </c>
      <c r="G50" s="96" t="s">
        <v>19</v>
      </c>
      <c r="H50" s="97" t="str">
        <f>IFERROR(VLOOKUP(F51, 'ฐานข้อมูลประวัติการเข้าพัก'!B:E, 5, FALSE), "")</f>
        <v/>
      </c>
      <c r="I50" s="97" t="str">
        <f>IFERROR(VLOOKUP(F51, 'ฐานข้อมูลประวัติการเข้าพัก'!B:D, 4, FALSE), "")</f>
        <v/>
      </c>
      <c r="J50" s="98" t="s">
        <v>20</v>
      </c>
      <c r="K50" s="99" t="s">
        <v>137</v>
      </c>
      <c r="L50" s="99" t="s">
        <v>21</v>
      </c>
      <c r="M50" s="100">
        <f t="shared" si="1"/>
        <v>244207</v>
      </c>
    </row>
    <row r="51" hidden="1" outlineLevel="1">
      <c r="A51" s="93" t="s">
        <v>157</v>
      </c>
      <c r="B51" s="99">
        <v>49.0</v>
      </c>
      <c r="C51" s="94" t="s">
        <v>29</v>
      </c>
      <c r="D51" s="95">
        <v>244206.0</v>
      </c>
      <c r="E51" s="94" t="s">
        <v>60</v>
      </c>
      <c r="F51" s="100" t="str">
        <f>IFERROR(VLOOKUP(A50,'ฐานข้อมูลประวัติการเข้าพัก'!A:E,2,FALSE),"")</f>
        <v>บริษัท ดี.เอช.เอ.สยามวาลา จำกัด</v>
      </c>
      <c r="G51" s="96" t="s">
        <v>19</v>
      </c>
      <c r="H51" s="97" t="str">
        <f>IFERROR(VLOOKUP(F52, 'ฐานข้อมูลประวัติการเข้าพัก'!B:E, 5, FALSE), "")</f>
        <v/>
      </c>
      <c r="I51" s="97" t="str">
        <f>IFERROR(VLOOKUP(F52, 'ฐานข้อมูลประวัติการเข้าพัก'!B:D, 4, FALSE), "")</f>
        <v/>
      </c>
      <c r="J51" s="98" t="s">
        <v>20</v>
      </c>
      <c r="K51" s="99" t="s">
        <v>137</v>
      </c>
      <c r="L51" s="99" t="s">
        <v>21</v>
      </c>
      <c r="M51" s="100">
        <f t="shared" si="1"/>
        <v>244207</v>
      </c>
    </row>
    <row r="52" hidden="1" outlineLevel="1">
      <c r="A52" s="93" t="s">
        <v>159</v>
      </c>
      <c r="B52" s="99">
        <v>50.0</v>
      </c>
      <c r="C52" s="94" t="s">
        <v>29</v>
      </c>
      <c r="D52" s="95">
        <v>244206.0</v>
      </c>
      <c r="E52" s="94" t="s">
        <v>162</v>
      </c>
      <c r="F52" s="100" t="str">
        <f>IFERROR(VLOOKUP(A51,'ฐานข้อมูลประวัติการเข้าพัก'!A:E,2,FALSE),"")</f>
        <v>บริษัท ไบโอ</v>
      </c>
      <c r="G52" s="96" t="s">
        <v>19</v>
      </c>
      <c r="H52" s="97" t="str">
        <f>IFERROR(VLOOKUP(F53, 'ฐานข้อมูลประวัติการเข้าพัก'!B:E, 5, FALSE), "")</f>
        <v/>
      </c>
      <c r="I52" s="97" t="str">
        <f>IFERROR(VLOOKUP(F53, 'ฐานข้อมูลประวัติการเข้าพัก'!B:D, 4, FALSE), "")</f>
        <v/>
      </c>
      <c r="J52" s="98" t="s">
        <v>20</v>
      </c>
      <c r="K52" s="99" t="s">
        <v>163</v>
      </c>
      <c r="L52" s="99" t="s">
        <v>21</v>
      </c>
      <c r="M52" s="100">
        <f t="shared" si="1"/>
        <v>244207</v>
      </c>
    </row>
    <row r="53" hidden="1" outlineLevel="1">
      <c r="A53" s="93" t="s">
        <v>164</v>
      </c>
      <c r="B53" s="99">
        <v>51.0</v>
      </c>
      <c r="C53" s="94" t="s">
        <v>17</v>
      </c>
      <c r="D53" s="95">
        <v>244206.0</v>
      </c>
      <c r="E53" s="94" t="s">
        <v>80</v>
      </c>
      <c r="F53" s="100" t="str">
        <f>IFERROR(VLOOKUP(A52,'ฐานข้อมูลประวัติการเข้าพัก'!A:E,2,FALSE),"")</f>
        <v>ปณต โพธิ์สว่าง</v>
      </c>
      <c r="G53" s="96" t="s">
        <v>19</v>
      </c>
      <c r="H53" s="97" t="str">
        <f>IFERROR(VLOOKUP(F54, 'ฐานข้อมูลประวัติการเข้าพัก'!B:E, 5, FALSE), "")</f>
        <v/>
      </c>
      <c r="I53" s="97" t="str">
        <f>IFERROR(VLOOKUP(F54, 'ฐานข้อมูลประวัติการเข้าพัก'!B:D, 4, FALSE), "")</f>
        <v/>
      </c>
      <c r="J53" s="98" t="s">
        <v>20</v>
      </c>
      <c r="K53" s="99" t="s">
        <v>137</v>
      </c>
      <c r="L53" s="99" t="s">
        <v>21</v>
      </c>
      <c r="M53" s="100">
        <f t="shared" si="1"/>
        <v>244207</v>
      </c>
    </row>
    <row r="54" hidden="1" outlineLevel="1">
      <c r="A54" s="93" t="s">
        <v>167</v>
      </c>
      <c r="B54" s="99">
        <v>52.0</v>
      </c>
      <c r="C54" s="94" t="s">
        <v>29</v>
      </c>
      <c r="D54" s="95">
        <v>244206.0</v>
      </c>
      <c r="E54" s="94" t="s">
        <v>34</v>
      </c>
      <c r="F54" s="100" t="str">
        <f>IFERROR(VLOOKUP(A53,'ฐานข้อมูลประวัติการเข้าพัก'!A:E,2,FALSE),"")</f>
        <v>สุจิตรา ธรรมเจริญ</v>
      </c>
      <c r="G54" s="96" t="s">
        <v>19</v>
      </c>
      <c r="H54" s="97" t="str">
        <f>IFERROR(VLOOKUP(F55, 'ฐานข้อมูลประวัติการเข้าพัก'!B:E, 5, FALSE), "")</f>
        <v/>
      </c>
      <c r="I54" s="97" t="str">
        <f>IFERROR(VLOOKUP(F55, 'ฐานข้อมูลประวัติการเข้าพัก'!B:D, 4, FALSE), "")</f>
        <v/>
      </c>
      <c r="J54" s="98" t="s">
        <v>20</v>
      </c>
      <c r="K54" s="99" t="s">
        <v>21</v>
      </c>
      <c r="L54" s="99" t="s">
        <v>21</v>
      </c>
      <c r="M54" s="100">
        <f t="shared" si="1"/>
        <v>244207</v>
      </c>
    </row>
    <row r="55" hidden="1" outlineLevel="1">
      <c r="A55" s="93" t="s">
        <v>170</v>
      </c>
      <c r="B55" s="99">
        <v>53.0</v>
      </c>
      <c r="C55" s="94" t="s">
        <v>17</v>
      </c>
      <c r="D55" s="95">
        <v>244206.0</v>
      </c>
      <c r="E55" s="94" t="s">
        <v>80</v>
      </c>
      <c r="F55" s="100" t="str">
        <f>IFERROR(VLOOKUP(A54,'ฐานข้อมูลประวัติการเข้าพัก'!A:E,2,FALSE),"")</f>
        <v>ประนมไพร</v>
      </c>
      <c r="G55" s="96" t="s">
        <v>19</v>
      </c>
      <c r="H55" s="97" t="str">
        <f>IFERROR(VLOOKUP(F56, 'ฐานข้อมูลประวัติการเข้าพัก'!B:E, 5, FALSE), "")</f>
        <v/>
      </c>
      <c r="I55" s="97" t="str">
        <f>IFERROR(VLOOKUP(F56, 'ฐานข้อมูลประวัติการเข้าพัก'!B:D, 4, FALSE), "")</f>
        <v/>
      </c>
      <c r="J55" s="98" t="s">
        <v>20</v>
      </c>
      <c r="K55" s="99" t="s">
        <v>21</v>
      </c>
      <c r="L55" s="99" t="s">
        <v>21</v>
      </c>
      <c r="M55" s="100">
        <f t="shared" si="1"/>
        <v>244207</v>
      </c>
    </row>
    <row r="56" hidden="1" outlineLevel="1">
      <c r="A56" s="93" t="s">
        <v>173</v>
      </c>
      <c r="B56" s="99">
        <v>54.0</v>
      </c>
      <c r="C56" s="94" t="s">
        <v>17</v>
      </c>
      <c r="D56" s="95">
        <v>244206.0</v>
      </c>
      <c r="E56" s="94" t="s">
        <v>30</v>
      </c>
      <c r="F56" s="100" t="str">
        <f>IFERROR(VLOOKUP(A55,'ฐานข้อมูลประวัติการเข้าพัก'!A:E,2,FALSE),"")</f>
        <v>วินัย</v>
      </c>
      <c r="G56" s="96" t="s">
        <v>19</v>
      </c>
      <c r="H56" s="97" t="str">
        <f>IFERROR(VLOOKUP(F57, 'ฐานข้อมูลประวัติการเข้าพัก'!B:E, 5, FALSE), "")</f>
        <v/>
      </c>
      <c r="I56" s="97" t="str">
        <f>IFERROR(VLOOKUP(F57, 'ฐานข้อมูลประวัติการเข้าพัก'!B:D, 4, FALSE), "")</f>
        <v/>
      </c>
      <c r="J56" s="98" t="s">
        <v>20</v>
      </c>
      <c r="K56" s="99" t="s">
        <v>137</v>
      </c>
      <c r="L56" s="99" t="s">
        <v>21</v>
      </c>
      <c r="M56" s="100">
        <f t="shared" si="1"/>
        <v>244207</v>
      </c>
    </row>
    <row r="57" hidden="1" outlineLevel="1">
      <c r="A57" s="93" t="s">
        <v>176</v>
      </c>
      <c r="B57" s="99">
        <v>55.0</v>
      </c>
      <c r="C57" s="94" t="s">
        <v>17</v>
      </c>
      <c r="D57" s="95">
        <v>244206.0</v>
      </c>
      <c r="E57" s="94" t="s">
        <v>162</v>
      </c>
      <c r="F57" s="100" t="str">
        <f>IFERROR(VLOOKUP(A56,'ฐานข้อมูลประวัติการเข้าพัก'!A:E,2,FALSE),"")</f>
        <v>ชุตินันต์</v>
      </c>
      <c r="G57" s="96" t="s">
        <v>19</v>
      </c>
      <c r="H57" s="97" t="str">
        <f>IFERROR(VLOOKUP(F58, 'ฐานข้อมูลประวัติการเข้าพัก'!B:E, 5, FALSE), "")</f>
        <v/>
      </c>
      <c r="I57" s="97" t="str">
        <f>IFERROR(VLOOKUP(F58, 'ฐานข้อมูลประวัติการเข้าพัก'!B:D, 4, FALSE), "")</f>
        <v/>
      </c>
      <c r="J57" s="98" t="s">
        <v>20</v>
      </c>
      <c r="K57" s="99" t="s">
        <v>137</v>
      </c>
      <c r="L57" s="99" t="s">
        <v>21</v>
      </c>
      <c r="M57" s="100">
        <f t="shared" si="1"/>
        <v>244207</v>
      </c>
    </row>
    <row r="58" hidden="1" outlineLevel="1">
      <c r="A58" s="93" t="s">
        <v>178</v>
      </c>
      <c r="B58" s="99">
        <v>56.0</v>
      </c>
      <c r="C58" s="94" t="s">
        <v>29</v>
      </c>
      <c r="D58" s="95">
        <v>244206.0</v>
      </c>
      <c r="E58" s="94" t="s">
        <v>50</v>
      </c>
      <c r="F58" s="100" t="str">
        <f>IFERROR(VLOOKUP(A57,'ฐานข้อมูลประวัติการเข้าพัก'!A:E,2,FALSE),"")</f>
        <v>ธีรยุทธ</v>
      </c>
      <c r="G58" s="96" t="s">
        <v>19</v>
      </c>
      <c r="H58" s="97" t="str">
        <f>IFERROR(VLOOKUP(F59, 'ฐานข้อมูลประวัติการเข้าพัก'!B:E, 5, FALSE), "")</f>
        <v/>
      </c>
      <c r="I58" s="97" t="str">
        <f>IFERROR(VLOOKUP(F59, 'ฐานข้อมูลประวัติการเข้าพัก'!B:D, 4, FALSE), "")</f>
        <v/>
      </c>
      <c r="J58" s="98" t="s">
        <v>20</v>
      </c>
      <c r="K58" s="99" t="s">
        <v>21</v>
      </c>
      <c r="L58" s="99" t="s">
        <v>21</v>
      </c>
      <c r="M58" s="100">
        <f t="shared" si="1"/>
        <v>244207</v>
      </c>
    </row>
    <row r="59" hidden="1" outlineLevel="1">
      <c r="A59" s="93" t="s">
        <v>180</v>
      </c>
      <c r="B59" s="99">
        <v>57.0</v>
      </c>
      <c r="C59" s="94" t="s">
        <v>17</v>
      </c>
      <c r="D59" s="95">
        <v>244207.0</v>
      </c>
      <c r="E59" s="94" t="s">
        <v>64</v>
      </c>
      <c r="F59" s="100" t="str">
        <f>IFERROR(VLOOKUP(A58,'ฐานข้อมูลประวัติการเข้าพัก'!A:E,2,FALSE),"")</f>
        <v>นมดูเม็ก</v>
      </c>
      <c r="G59" s="96" t="s">
        <v>19</v>
      </c>
      <c r="H59" s="97" t="str">
        <f>IFERROR(VLOOKUP(F60, 'ฐานข้อมูลประวัติการเข้าพัก'!B:E, 5, FALSE), "")</f>
        <v/>
      </c>
      <c r="I59" s="97" t="str">
        <f>IFERROR(VLOOKUP(F60, 'ฐานข้อมูลประวัติการเข้าพัก'!B:D, 4, FALSE), "")</f>
        <v/>
      </c>
      <c r="J59" s="98" t="s">
        <v>20</v>
      </c>
      <c r="K59" s="99" t="s">
        <v>21</v>
      </c>
      <c r="L59" s="99" t="s">
        <v>21</v>
      </c>
      <c r="M59" s="100">
        <f t="shared" si="1"/>
        <v>244208</v>
      </c>
    </row>
    <row r="60" hidden="1" outlineLevel="1">
      <c r="A60" s="93" t="s">
        <v>183</v>
      </c>
      <c r="B60" s="99">
        <v>58.0</v>
      </c>
      <c r="C60" s="94" t="s">
        <v>17</v>
      </c>
      <c r="D60" s="95">
        <v>244207.0</v>
      </c>
      <c r="E60" s="94" t="s">
        <v>60</v>
      </c>
      <c r="F60" s="100" t="str">
        <f>IFERROR(VLOOKUP(A59,'ฐานข้อมูลประวัติการเข้าพัก'!A:E,2,FALSE),"")</f>
        <v>วงศ์วรัญ นารถชัย</v>
      </c>
      <c r="G60" s="96" t="s">
        <v>19</v>
      </c>
      <c r="H60" s="97" t="str">
        <f>IFERROR(VLOOKUP(F61, 'ฐานข้อมูลประวัติการเข้าพัก'!B:E, 5, FALSE), "")</f>
        <v/>
      </c>
      <c r="I60" s="97" t="str">
        <f>IFERROR(VLOOKUP(F61, 'ฐานข้อมูลประวัติการเข้าพัก'!B:D, 4, FALSE), "")</f>
        <v/>
      </c>
      <c r="J60" s="98" t="s">
        <v>20</v>
      </c>
      <c r="K60" s="99" t="s">
        <v>21</v>
      </c>
      <c r="L60" s="99" t="s">
        <v>21</v>
      </c>
      <c r="M60" s="100">
        <f t="shared" si="1"/>
        <v>244208</v>
      </c>
    </row>
    <row r="61" hidden="1" outlineLevel="1">
      <c r="A61" s="93" t="s">
        <v>186</v>
      </c>
      <c r="B61" s="99">
        <v>59.0</v>
      </c>
      <c r="C61" s="94" t="s">
        <v>29</v>
      </c>
      <c r="D61" s="95">
        <v>244207.0</v>
      </c>
      <c r="E61" s="94" t="s">
        <v>34</v>
      </c>
      <c r="F61" s="100" t="str">
        <f>IFERROR(VLOOKUP(A60,'ฐานข้อมูลประวัติการเข้าพัก'!A:E,2,FALSE),"")</f>
        <v>บริษัท เค เทคนิคเชี่ยน แอนด์ เซอร์วิส จำกัด    (สำนักงานใหญ่)</v>
      </c>
      <c r="G61" s="96" t="s">
        <v>19</v>
      </c>
      <c r="H61" s="97" t="str">
        <f>IFERROR(VLOOKUP(F62, 'ฐานข้อมูลประวัติการเข้าพัก'!B:E, 5, FALSE), "")</f>
        <v/>
      </c>
      <c r="I61" s="97" t="str">
        <f>IFERROR(VLOOKUP(F62, 'ฐานข้อมูลประวัติการเข้าพัก'!B:D, 4, FALSE), "")</f>
        <v/>
      </c>
      <c r="J61" s="98" t="s">
        <v>20</v>
      </c>
      <c r="K61" s="99" t="s">
        <v>189</v>
      </c>
      <c r="L61" s="99" t="s">
        <v>21</v>
      </c>
      <c r="M61" s="100">
        <f t="shared" si="1"/>
        <v>244208</v>
      </c>
    </row>
    <row r="62" hidden="1" outlineLevel="1">
      <c r="A62" s="93" t="s">
        <v>190</v>
      </c>
      <c r="B62" s="99">
        <v>60.0</v>
      </c>
      <c r="C62" s="94" t="s">
        <v>29</v>
      </c>
      <c r="D62" s="95">
        <v>244207.0</v>
      </c>
      <c r="E62" s="94" t="s">
        <v>193</v>
      </c>
      <c r="F62" s="100" t="str">
        <f>IFERROR(VLOOKUP(A61,'ฐานข้อมูลประวัติการเข้าพัก'!A:E,2,FALSE),"")</f>
        <v>บริษัท ห้าม้า โอสถ จำกัด</v>
      </c>
      <c r="G62" s="96" t="s">
        <v>19</v>
      </c>
      <c r="H62" s="97" t="str">
        <f>IFERROR(VLOOKUP(F63, 'ฐานข้อมูลประวัติการเข้าพัก'!B:E, 5, FALSE), "")</f>
        <v/>
      </c>
      <c r="I62" s="97" t="str">
        <f>IFERROR(VLOOKUP(F63, 'ฐานข้อมูลประวัติการเข้าพัก'!B:D, 4, FALSE), "")</f>
        <v/>
      </c>
      <c r="J62" s="98" t="s">
        <v>20</v>
      </c>
      <c r="K62" s="99" t="s">
        <v>194</v>
      </c>
      <c r="L62" s="99" t="s">
        <v>21</v>
      </c>
      <c r="M62" s="100">
        <f t="shared" si="1"/>
        <v>244208</v>
      </c>
    </row>
    <row r="63" hidden="1" outlineLevel="1">
      <c r="A63" s="93" t="s">
        <v>195</v>
      </c>
      <c r="B63" s="99">
        <v>61.0</v>
      </c>
      <c r="C63" s="94" t="s">
        <v>29</v>
      </c>
      <c r="D63" s="95">
        <v>244207.0</v>
      </c>
      <c r="E63" s="94" t="s">
        <v>60</v>
      </c>
      <c r="F63" s="100" t="str">
        <f>IFERROR(VLOOKUP(A62,'ฐานข้อมูลประวัติการเข้าพัก'!A:E,2,FALSE),"")</f>
        <v>ศราวุฒิ</v>
      </c>
      <c r="G63" s="96" t="s">
        <v>19</v>
      </c>
      <c r="H63" s="97" t="str">
        <f>IFERROR(VLOOKUP(F64, 'ฐานข้อมูลประวัติการเข้าพัก'!B:E, 5, FALSE), "")</f>
        <v/>
      </c>
      <c r="I63" s="97" t="str">
        <f>IFERROR(VLOOKUP(F64, 'ฐานข้อมูลประวัติการเข้าพัก'!B:D, 4, FALSE), "")</f>
        <v/>
      </c>
      <c r="J63" s="98" t="s">
        <v>20</v>
      </c>
      <c r="K63" s="99" t="s">
        <v>21</v>
      </c>
      <c r="L63" s="99" t="s">
        <v>21</v>
      </c>
      <c r="M63" s="100">
        <f t="shared" si="1"/>
        <v>244208</v>
      </c>
    </row>
    <row r="64" hidden="1" outlineLevel="1">
      <c r="A64" s="93" t="s">
        <v>198</v>
      </c>
      <c r="B64" s="99">
        <v>62.0</v>
      </c>
      <c r="C64" s="94" t="s">
        <v>17</v>
      </c>
      <c r="D64" s="95">
        <v>244207.0</v>
      </c>
      <c r="E64" s="94" t="s">
        <v>64</v>
      </c>
      <c r="F64" s="100" t="str">
        <f>IFERROR(VLOOKUP(A63,'ฐานข้อมูลประวัติการเข้าพัก'!A:E,2,FALSE),"")</f>
        <v>ครูยา</v>
      </c>
      <c r="G64" s="96" t="s">
        <v>19</v>
      </c>
      <c r="H64" s="97" t="str">
        <f>IFERROR(VLOOKUP(F65, 'ฐานข้อมูลประวัติการเข้าพัก'!B:E, 5, FALSE), "")</f>
        <v/>
      </c>
      <c r="I64" s="97" t="str">
        <f>IFERROR(VLOOKUP(F65, 'ฐานข้อมูลประวัติการเข้าพัก'!B:D, 4, FALSE), "")</f>
        <v/>
      </c>
      <c r="J64" s="98" t="s">
        <v>20</v>
      </c>
      <c r="K64" s="99" t="s">
        <v>21</v>
      </c>
      <c r="L64" s="99" t="s">
        <v>21</v>
      </c>
      <c r="M64" s="100">
        <f t="shared" si="1"/>
        <v>244208</v>
      </c>
    </row>
    <row r="65" hidden="1" outlineLevel="1">
      <c r="A65" s="93" t="s">
        <v>201</v>
      </c>
      <c r="B65" s="99">
        <v>63.0</v>
      </c>
      <c r="C65" s="94" t="s">
        <v>29</v>
      </c>
      <c r="D65" s="95">
        <v>244207.0</v>
      </c>
      <c r="E65" s="94" t="s">
        <v>101</v>
      </c>
      <c r="F65" s="100" t="str">
        <f>IFERROR(VLOOKUP(A64,'ฐานข้อมูลประวัติการเข้าพัก'!A:E,2,FALSE),"")</f>
        <v>ทองใส</v>
      </c>
      <c r="G65" s="96" t="s">
        <v>19</v>
      </c>
      <c r="H65" s="97" t="str">
        <f>IFERROR(VLOOKUP(F66, 'ฐานข้อมูลประวัติการเข้าพัก'!B:E, 5, FALSE), "")</f>
        <v/>
      </c>
      <c r="I65" s="97" t="str">
        <f>IFERROR(VLOOKUP(F66, 'ฐานข้อมูลประวัติการเข้าพัก'!B:D, 4, FALSE), "")</f>
        <v/>
      </c>
      <c r="J65" s="98" t="s">
        <v>20</v>
      </c>
      <c r="K65" s="99" t="s">
        <v>21</v>
      </c>
      <c r="L65" s="99" t="s">
        <v>21</v>
      </c>
      <c r="M65" s="100">
        <f t="shared" si="1"/>
        <v>244208</v>
      </c>
    </row>
    <row r="66" hidden="1" outlineLevel="1">
      <c r="A66" s="93" t="s">
        <v>204</v>
      </c>
      <c r="B66" s="99">
        <v>64.0</v>
      </c>
      <c r="C66" s="94" t="s">
        <v>17</v>
      </c>
      <c r="D66" s="95">
        <v>244207.0</v>
      </c>
      <c r="E66" s="94" t="s">
        <v>34</v>
      </c>
      <c r="F66" s="100" t="str">
        <f>IFERROR(VLOOKUP(A65,'ฐานข้อมูลประวัติการเข้าพัก'!A:E,2,FALSE),"")</f>
        <v>ยุทธพงษ์</v>
      </c>
      <c r="G66" s="96" t="s">
        <v>19</v>
      </c>
      <c r="H66" s="97" t="str">
        <f>IFERROR(VLOOKUP(F67, 'ฐานข้อมูลประวัติการเข้าพัก'!B:E, 5, FALSE), "")</f>
        <v/>
      </c>
      <c r="I66" s="97" t="str">
        <f>IFERROR(VLOOKUP(F67, 'ฐานข้อมูลประวัติการเข้าพัก'!B:D, 4, FALSE), "")</f>
        <v/>
      </c>
      <c r="J66" s="98" t="s">
        <v>20</v>
      </c>
      <c r="K66" s="99" t="s">
        <v>21</v>
      </c>
      <c r="L66" s="99" t="s">
        <v>21</v>
      </c>
      <c r="M66" s="100">
        <f t="shared" si="1"/>
        <v>244208</v>
      </c>
    </row>
    <row r="67" hidden="1" outlineLevel="1">
      <c r="A67" s="93" t="s">
        <v>207</v>
      </c>
      <c r="B67" s="99">
        <v>65.0</v>
      </c>
      <c r="C67" s="94" t="s">
        <v>17</v>
      </c>
      <c r="D67" s="95">
        <v>244207.0</v>
      </c>
      <c r="E67" s="94" t="s">
        <v>80</v>
      </c>
      <c r="F67" s="100" t="str">
        <f>IFERROR(VLOOKUP(A66,'ฐานข้อมูลประวัติการเข้าพัก'!A:E,2,FALSE),"")</f>
        <v>ช่อผกา</v>
      </c>
      <c r="G67" s="96" t="s">
        <v>19</v>
      </c>
      <c r="H67" s="97" t="str">
        <f>IFERROR(VLOOKUP(F68, 'ฐานข้อมูลประวัติการเข้าพัก'!B:E, 5, FALSE), "")</f>
        <v/>
      </c>
      <c r="I67" s="97" t="str">
        <f>IFERROR(VLOOKUP(F68, 'ฐานข้อมูลประวัติการเข้าพัก'!B:D, 4, FALSE), "")</f>
        <v/>
      </c>
      <c r="J67" s="98" t="s">
        <v>20</v>
      </c>
      <c r="K67" s="99" t="s">
        <v>21</v>
      </c>
      <c r="L67" s="99" t="s">
        <v>21</v>
      </c>
      <c r="M67" s="100">
        <f t="shared" si="1"/>
        <v>244208</v>
      </c>
    </row>
    <row r="68" hidden="1" outlineLevel="1">
      <c r="A68" s="93" t="s">
        <v>210</v>
      </c>
      <c r="B68" s="99">
        <v>66.0</v>
      </c>
      <c r="C68" s="94" t="s">
        <v>17</v>
      </c>
      <c r="D68" s="95">
        <v>244207.0</v>
      </c>
      <c r="E68" s="94" t="s">
        <v>34</v>
      </c>
      <c r="F68" s="100" t="str">
        <f>IFERROR(VLOOKUP(A67,'ฐานข้อมูลประวัติการเข้าพัก'!A:E,2,FALSE),"")</f>
        <v>รัฐธรรมนูญ</v>
      </c>
      <c r="G68" s="96" t="s">
        <v>19</v>
      </c>
      <c r="H68" s="97" t="str">
        <f>IFERROR(VLOOKUP(F69, 'ฐานข้อมูลประวัติการเข้าพัก'!B:E, 5, FALSE), "")</f>
        <v/>
      </c>
      <c r="I68" s="97" t="str">
        <f>IFERROR(VLOOKUP(F69, 'ฐานข้อมูลประวัติการเข้าพัก'!B:D, 4, FALSE), "")</f>
        <v/>
      </c>
      <c r="J68" s="98" t="s">
        <v>20</v>
      </c>
      <c r="K68" s="99" t="s">
        <v>21</v>
      </c>
      <c r="L68" s="99" t="s">
        <v>21</v>
      </c>
      <c r="M68" s="100">
        <f t="shared" si="1"/>
        <v>244208</v>
      </c>
    </row>
    <row r="69" hidden="1" outlineLevel="1">
      <c r="A69" s="93" t="s">
        <v>213</v>
      </c>
      <c r="B69" s="99">
        <v>67.0</v>
      </c>
      <c r="C69" s="94" t="s">
        <v>29</v>
      </c>
      <c r="D69" s="95">
        <v>244207.0</v>
      </c>
      <c r="E69" s="94" t="s">
        <v>50</v>
      </c>
      <c r="F69" s="100" t="str">
        <f>IFERROR(VLOOKUP(A68,'ฐานข้อมูลประวัติการเข้าพัก'!A:E,2,FALSE),"")</f>
        <v>จุติพร เทยเลอร์</v>
      </c>
      <c r="G69" s="96" t="s">
        <v>19</v>
      </c>
      <c r="H69" s="97" t="str">
        <f>IFERROR(VLOOKUP(F70, 'ฐานข้อมูลประวัติการเข้าพัก'!B:E, 5, FALSE), "")</f>
        <v/>
      </c>
      <c r="I69" s="97" t="str">
        <f>IFERROR(VLOOKUP(F70, 'ฐานข้อมูลประวัติการเข้าพัก'!B:D, 4, FALSE), "")</f>
        <v/>
      </c>
      <c r="J69" s="98" t="s">
        <v>20</v>
      </c>
      <c r="K69" s="99" t="s">
        <v>21</v>
      </c>
      <c r="L69" s="99" t="s">
        <v>21</v>
      </c>
      <c r="M69" s="100">
        <f t="shared" si="1"/>
        <v>244208</v>
      </c>
    </row>
    <row r="70" hidden="1" outlineLevel="1">
      <c r="A70" s="93" t="s">
        <v>216</v>
      </c>
      <c r="B70" s="99">
        <v>68.0</v>
      </c>
      <c r="C70" s="94" t="s">
        <v>17</v>
      </c>
      <c r="D70" s="95">
        <v>244208.0</v>
      </c>
      <c r="E70" s="94" t="s">
        <v>124</v>
      </c>
      <c r="F70" s="100" t="str">
        <f>IFERROR(VLOOKUP(A69,'ฐานข้อมูลประวัติการเข้าพัก'!A:E,2,FALSE),"")</f>
        <v>บริษัท เอคโค่</v>
      </c>
      <c r="G70" s="96" t="s">
        <v>19</v>
      </c>
      <c r="H70" s="97" t="str">
        <f>IFERROR(VLOOKUP(F71, 'ฐานข้อมูลประวัติการเข้าพัก'!B:E, 5, FALSE), "")</f>
        <v/>
      </c>
      <c r="I70" s="97" t="str">
        <f>IFERROR(VLOOKUP(F71, 'ฐานข้อมูลประวัติการเข้าพัก'!B:D, 4, FALSE), "")</f>
        <v/>
      </c>
      <c r="J70" s="98" t="s">
        <v>20</v>
      </c>
      <c r="K70" s="99" t="s">
        <v>21</v>
      </c>
      <c r="L70" s="99" t="s">
        <v>21</v>
      </c>
      <c r="M70" s="100">
        <f t="shared" si="1"/>
        <v>244209</v>
      </c>
    </row>
    <row r="71" hidden="1" outlineLevel="1">
      <c r="A71" s="93" t="s">
        <v>219</v>
      </c>
      <c r="B71" s="99">
        <v>69.0</v>
      </c>
      <c r="C71" s="94" t="s">
        <v>17</v>
      </c>
      <c r="D71" s="95">
        <v>244208.0</v>
      </c>
      <c r="E71" s="94" t="s">
        <v>64</v>
      </c>
      <c r="F71" s="100" t="str">
        <f>IFERROR(VLOOKUP(A70,'ฐานข้อมูลประวัติการเข้าพัก'!A:E,2,FALSE),"")</f>
        <v>วรวุธ</v>
      </c>
      <c r="G71" s="96" t="s">
        <v>19</v>
      </c>
      <c r="H71" s="97" t="str">
        <f>IFERROR(VLOOKUP(F72, 'ฐานข้อมูลประวัติการเข้าพัก'!B:E, 5, FALSE), "")</f>
        <v/>
      </c>
      <c r="I71" s="97" t="str">
        <f>IFERROR(VLOOKUP(F72, 'ฐานข้อมูลประวัติการเข้าพัก'!B:D, 4, FALSE), "")</f>
        <v/>
      </c>
      <c r="J71" s="98" t="s">
        <v>20</v>
      </c>
      <c r="K71" s="99" t="s">
        <v>137</v>
      </c>
      <c r="L71" s="99" t="s">
        <v>21</v>
      </c>
      <c r="M71" s="100">
        <f t="shared" si="1"/>
        <v>244209</v>
      </c>
    </row>
    <row r="72" hidden="1" outlineLevel="1">
      <c r="A72" s="93" t="s">
        <v>222</v>
      </c>
      <c r="B72" s="99">
        <v>70.0</v>
      </c>
      <c r="C72" s="94" t="s">
        <v>29</v>
      </c>
      <c r="D72" s="95">
        <v>244208.0</v>
      </c>
      <c r="E72" s="94" t="s">
        <v>80</v>
      </c>
      <c r="F72" s="100" t="str">
        <f>IFERROR(VLOOKUP(A71,'ฐานข้อมูลประวัติการเข้าพัก'!A:E,2,FALSE),"")</f>
        <v>คุณตุ๊</v>
      </c>
      <c r="G72" s="96" t="s">
        <v>19</v>
      </c>
      <c r="H72" s="97" t="str">
        <f>IFERROR(VLOOKUP(F73, 'ฐานข้อมูลประวัติการเข้าพัก'!B:E, 5, FALSE), "")</f>
        <v/>
      </c>
      <c r="I72" s="97" t="str">
        <f>IFERROR(VLOOKUP(F73, 'ฐานข้อมูลประวัติการเข้าพัก'!B:D, 4, FALSE), "")</f>
        <v/>
      </c>
      <c r="J72" s="98" t="s">
        <v>20</v>
      </c>
      <c r="K72" s="99" t="s">
        <v>21</v>
      </c>
      <c r="L72" s="99" t="s">
        <v>21</v>
      </c>
      <c r="M72" s="100">
        <f t="shared" si="1"/>
        <v>244209</v>
      </c>
    </row>
    <row r="73" hidden="1" outlineLevel="1">
      <c r="A73" s="93" t="s">
        <v>224</v>
      </c>
      <c r="B73" s="99">
        <v>71.0</v>
      </c>
      <c r="C73" s="94" t="s">
        <v>29</v>
      </c>
      <c r="D73" s="95">
        <v>244208.0</v>
      </c>
      <c r="E73" s="94" t="s">
        <v>124</v>
      </c>
      <c r="F73" s="100" t="str">
        <f>IFERROR(VLOOKUP(A72,'ฐานข้อมูลประวัติการเข้าพัก'!A:E,2,FALSE),"")</f>
        <v>น้องเบลล์</v>
      </c>
      <c r="G73" s="96" t="s">
        <v>19</v>
      </c>
      <c r="H73" s="97" t="str">
        <f>IFERROR(VLOOKUP(F74, 'ฐานข้อมูลประวัติการเข้าพัก'!B:E, 5, FALSE), "")</f>
        <v/>
      </c>
      <c r="I73" s="97" t="str">
        <f>IFERROR(VLOOKUP(F74, 'ฐานข้อมูลประวัติการเข้าพัก'!B:D, 4, FALSE), "")</f>
        <v/>
      </c>
      <c r="J73" s="98" t="s">
        <v>20</v>
      </c>
      <c r="K73" s="99" t="s">
        <v>21</v>
      </c>
      <c r="L73" s="99" t="s">
        <v>21</v>
      </c>
      <c r="M73" s="100">
        <f t="shared" si="1"/>
        <v>244209</v>
      </c>
    </row>
    <row r="74" hidden="1" outlineLevel="1">
      <c r="A74" s="93" t="s">
        <v>226</v>
      </c>
      <c r="B74" s="99">
        <v>72.0</v>
      </c>
      <c r="C74" s="94" t="s">
        <v>29</v>
      </c>
      <c r="D74" s="95">
        <v>244208.0</v>
      </c>
      <c r="E74" s="94" t="s">
        <v>34</v>
      </c>
      <c r="F74" s="100" t="str">
        <f>IFERROR(VLOOKUP(A73,'ฐานข้อมูลประวัติการเข้าพัก'!A:E,2,FALSE),"")</f>
        <v>วิจิตรา</v>
      </c>
      <c r="G74" s="96" t="s">
        <v>19</v>
      </c>
      <c r="H74" s="97" t="str">
        <f>IFERROR(VLOOKUP(F75, 'ฐานข้อมูลประวัติการเข้าพัก'!B:E, 5, FALSE), "")</f>
        <v/>
      </c>
      <c r="I74" s="97" t="str">
        <f>IFERROR(VLOOKUP(F75, 'ฐานข้อมูลประวัติการเข้าพัก'!B:D, 4, FALSE), "")</f>
        <v/>
      </c>
      <c r="J74" s="98" t="s">
        <v>20</v>
      </c>
      <c r="K74" s="99" t="s">
        <v>21</v>
      </c>
      <c r="L74" s="99" t="s">
        <v>21</v>
      </c>
      <c r="M74" s="100">
        <f t="shared" si="1"/>
        <v>244209</v>
      </c>
    </row>
    <row r="75" hidden="1" outlineLevel="1">
      <c r="A75" s="93" t="s">
        <v>229</v>
      </c>
      <c r="B75" s="99">
        <v>73.0</v>
      </c>
      <c r="C75" s="94" t="s">
        <v>17</v>
      </c>
      <c r="D75" s="95">
        <v>244208.0</v>
      </c>
      <c r="E75" s="94" t="s">
        <v>232</v>
      </c>
      <c r="F75" s="100" t="str">
        <f>IFERROR(VLOOKUP(A74,'ฐานข้อมูลประวัติการเข้าพัก'!A:E,2,FALSE),"")</f>
        <v>พิศิษ</v>
      </c>
      <c r="G75" s="96" t="s">
        <v>19</v>
      </c>
      <c r="H75" s="97" t="str">
        <f>IFERROR(VLOOKUP(F76, 'ฐานข้อมูลประวัติการเข้าพัก'!B:E, 5, FALSE), "")</f>
        <v/>
      </c>
      <c r="I75" s="97" t="str">
        <f>IFERROR(VLOOKUP(F76, 'ฐานข้อมูลประวัติการเข้าพัก'!B:D, 4, FALSE), "")</f>
        <v/>
      </c>
      <c r="J75" s="98" t="s">
        <v>20</v>
      </c>
      <c r="K75" s="99" t="s">
        <v>233</v>
      </c>
      <c r="L75" s="99" t="s">
        <v>21</v>
      </c>
      <c r="M75" s="100">
        <f t="shared" si="1"/>
        <v>244209</v>
      </c>
    </row>
    <row r="76" hidden="1" outlineLevel="1">
      <c r="A76" s="93" t="s">
        <v>234</v>
      </c>
      <c r="B76" s="99">
        <v>74.0</v>
      </c>
      <c r="C76" s="94" t="s">
        <v>29</v>
      </c>
      <c r="D76" s="95">
        <v>244208.0</v>
      </c>
      <c r="E76" s="94" t="s">
        <v>60</v>
      </c>
      <c r="F76" s="100" t="str">
        <f>IFERROR(VLOOKUP(A75,'ฐานข้อมูลประวัติการเข้าพัก'!A:E,2,FALSE),"")</f>
        <v>สุชาติ</v>
      </c>
      <c r="G76" s="96" t="s">
        <v>19</v>
      </c>
      <c r="H76" s="97" t="str">
        <f>IFERROR(VLOOKUP(F77, 'ฐานข้อมูลประวัติการเข้าพัก'!B:E, 5, FALSE), "")</f>
        <v/>
      </c>
      <c r="I76" s="97" t="str">
        <f>IFERROR(VLOOKUP(F77, 'ฐานข้อมูลประวัติการเข้าพัก'!B:D, 4, FALSE), "")</f>
        <v/>
      </c>
      <c r="J76" s="98" t="s">
        <v>20</v>
      </c>
      <c r="K76" s="99" t="s">
        <v>21</v>
      </c>
      <c r="L76" s="99" t="s">
        <v>21</v>
      </c>
      <c r="M76" s="100">
        <f t="shared" si="1"/>
        <v>244209</v>
      </c>
    </row>
    <row r="77" hidden="1" outlineLevel="1">
      <c r="A77" s="93" t="s">
        <v>237</v>
      </c>
      <c r="B77" s="99">
        <v>75.0</v>
      </c>
      <c r="C77" s="94" t="s">
        <v>17</v>
      </c>
      <c r="D77" s="95">
        <v>244208.0</v>
      </c>
      <c r="E77" s="94" t="s">
        <v>46</v>
      </c>
      <c r="F77" s="100" t="str">
        <f>IFERROR(VLOOKUP(A76,'ฐานข้อมูลประวัติการเข้าพัก'!A:E,2,FALSE),"")</f>
        <v>ทนากร</v>
      </c>
      <c r="G77" s="96" t="s">
        <v>19</v>
      </c>
      <c r="H77" s="97" t="str">
        <f>IFERROR(VLOOKUP(F78, 'ฐานข้อมูลประวัติการเข้าพัก'!B:E, 5, FALSE), "")</f>
        <v/>
      </c>
      <c r="I77" s="97" t="str">
        <f>IFERROR(VLOOKUP(F78, 'ฐานข้อมูลประวัติการเข้าพัก'!B:D, 4, FALSE), "")</f>
        <v/>
      </c>
      <c r="J77" s="98" t="s">
        <v>20</v>
      </c>
      <c r="K77" s="99" t="s">
        <v>21</v>
      </c>
      <c r="L77" s="99" t="s">
        <v>21</v>
      </c>
      <c r="M77" s="100">
        <f t="shared" si="1"/>
        <v>244209</v>
      </c>
    </row>
    <row r="78" hidden="1" outlineLevel="1">
      <c r="A78" s="93" t="s">
        <v>241</v>
      </c>
      <c r="B78" s="99">
        <v>76.0</v>
      </c>
      <c r="C78" s="94" t="s">
        <v>17</v>
      </c>
      <c r="D78" s="95">
        <v>244208.0</v>
      </c>
      <c r="E78" s="94" t="s">
        <v>46</v>
      </c>
      <c r="F78" s="100" t="str">
        <f>IFERROR(VLOOKUP(A77,'ฐานข้อมูลประวัติการเข้าพัก'!A:E,2,FALSE),"")</f>
        <v>บริษัท ออโตคอร์ป โฮลดิ้ง จำกัด</v>
      </c>
      <c r="G78" s="96" t="s">
        <v>19</v>
      </c>
      <c r="H78" s="97" t="str">
        <f>IFERROR(VLOOKUP(F79, 'ฐานข้อมูลประวัติการเข้าพัก'!B:E, 5, FALSE), "")</f>
        <v/>
      </c>
      <c r="I78" s="97" t="str">
        <f>IFERROR(VLOOKUP(F79, 'ฐานข้อมูลประวัติการเข้าพัก'!B:D, 4, FALSE), "")</f>
        <v/>
      </c>
      <c r="J78" s="98" t="s">
        <v>20</v>
      </c>
      <c r="K78" s="99" t="s">
        <v>21</v>
      </c>
      <c r="L78" s="99" t="s">
        <v>21</v>
      </c>
      <c r="M78" s="100">
        <f t="shared" si="1"/>
        <v>244209</v>
      </c>
    </row>
    <row r="79" hidden="1" outlineLevel="1">
      <c r="A79" s="93" t="s">
        <v>243</v>
      </c>
      <c r="B79" s="99">
        <v>77.0</v>
      </c>
      <c r="C79" s="94" t="s">
        <v>17</v>
      </c>
      <c r="D79" s="95">
        <v>244208.0</v>
      </c>
      <c r="E79" s="94" t="s">
        <v>38</v>
      </c>
      <c r="F79" s="100" t="str">
        <f>IFERROR(VLOOKUP(A78,'ฐานข้อมูลประวัติการเข้าพัก'!A:E,2,FALSE),"")</f>
        <v>เบนซ์</v>
      </c>
      <c r="G79" s="96" t="s">
        <v>19</v>
      </c>
      <c r="H79" s="97" t="str">
        <f>IFERROR(VLOOKUP(F80, 'ฐานข้อมูลประวัติการเข้าพัก'!B:E, 5, FALSE), "")</f>
        <v/>
      </c>
      <c r="I79" s="97" t="str">
        <f>IFERROR(VLOOKUP(F80, 'ฐานข้อมูลประวัติการเข้าพัก'!B:D, 4, FALSE), "")</f>
        <v/>
      </c>
      <c r="J79" s="98" t="s">
        <v>20</v>
      </c>
      <c r="K79" s="99" t="s">
        <v>137</v>
      </c>
      <c r="L79" s="99" t="s">
        <v>21</v>
      </c>
      <c r="M79" s="100">
        <f t="shared" si="1"/>
        <v>244209</v>
      </c>
    </row>
    <row r="80" hidden="1" outlineLevel="1">
      <c r="A80" s="93" t="s">
        <v>245</v>
      </c>
      <c r="B80" s="99">
        <v>78.0</v>
      </c>
      <c r="C80" s="94" t="s">
        <v>29</v>
      </c>
      <c r="D80" s="95">
        <v>244208.0</v>
      </c>
      <c r="E80" s="94" t="s">
        <v>18</v>
      </c>
      <c r="F80" s="100" t="str">
        <f>IFERROR(VLOOKUP(A79,'ฐานข้อมูลประวัติการเข้าพัก'!A:E,2,FALSE),"")</f>
        <v>คุณ ธนาธร</v>
      </c>
      <c r="G80" s="96" t="s">
        <v>19</v>
      </c>
      <c r="H80" s="97" t="str">
        <f>IFERROR(VLOOKUP(F81, 'ฐานข้อมูลประวัติการเข้าพัก'!B:E, 5, FALSE), "")</f>
        <v/>
      </c>
      <c r="I80" s="97" t="str">
        <f>IFERROR(VLOOKUP(F81, 'ฐานข้อมูลประวัติการเข้าพัก'!B:D, 4, FALSE), "")</f>
        <v/>
      </c>
      <c r="J80" s="98" t="s">
        <v>20</v>
      </c>
      <c r="K80" s="99" t="s">
        <v>21</v>
      </c>
      <c r="L80" s="99" t="s">
        <v>21</v>
      </c>
      <c r="M80" s="100">
        <f t="shared" si="1"/>
        <v>244209</v>
      </c>
    </row>
    <row r="81" hidden="1" outlineLevel="1">
      <c r="A81" s="93" t="s">
        <v>248</v>
      </c>
      <c r="B81" s="99">
        <v>79.0</v>
      </c>
      <c r="C81" s="94" t="s">
        <v>17</v>
      </c>
      <c r="D81" s="95">
        <v>244208.0</v>
      </c>
      <c r="E81" s="94" t="s">
        <v>80</v>
      </c>
      <c r="F81" s="100" t="str">
        <f>IFERROR(VLOOKUP(A80,'ฐานข้อมูลประวัติการเข้าพัก'!A:E,2,FALSE),"")</f>
        <v>คุณ วรพล</v>
      </c>
      <c r="G81" s="96" t="s">
        <v>19</v>
      </c>
      <c r="H81" s="97" t="str">
        <f>IFERROR(VLOOKUP(F82, 'ฐานข้อมูลประวัติการเข้าพัก'!B:E, 5, FALSE), "")</f>
        <v/>
      </c>
      <c r="I81" s="97" t="str">
        <f>IFERROR(VLOOKUP(F82, 'ฐานข้อมูลประวัติการเข้าพัก'!B:D, 4, FALSE), "")</f>
        <v/>
      </c>
      <c r="J81" s="98" t="s">
        <v>20</v>
      </c>
      <c r="K81" s="99" t="s">
        <v>21</v>
      </c>
      <c r="L81" s="99" t="s">
        <v>21</v>
      </c>
      <c r="M81" s="100">
        <f t="shared" si="1"/>
        <v>244209</v>
      </c>
    </row>
    <row r="82" hidden="1" outlineLevel="1">
      <c r="A82" s="93" t="s">
        <v>251</v>
      </c>
      <c r="B82" s="99">
        <v>80.0</v>
      </c>
      <c r="C82" s="94" t="s">
        <v>17</v>
      </c>
      <c r="D82" s="95">
        <v>244209.0</v>
      </c>
      <c r="E82" s="94" t="s">
        <v>54</v>
      </c>
      <c r="F82" s="100" t="str">
        <f>IFERROR(VLOOKUP(A81,'ฐานข้อมูลประวัติการเข้าพัก'!A:E,2,FALSE),"")</f>
        <v>มานพ</v>
      </c>
      <c r="G82" s="96" t="s">
        <v>19</v>
      </c>
      <c r="H82" s="97" t="str">
        <f>IFERROR(VLOOKUP(F83, 'ฐานข้อมูลประวัติการเข้าพัก'!B:E, 5, FALSE), "")</f>
        <v/>
      </c>
      <c r="I82" s="97" t="str">
        <f>IFERROR(VLOOKUP(F83, 'ฐานข้อมูลประวัติการเข้าพัก'!B:D, 4, FALSE), "")</f>
        <v/>
      </c>
      <c r="J82" s="98" t="s">
        <v>20</v>
      </c>
      <c r="K82" s="99" t="s">
        <v>21</v>
      </c>
      <c r="L82" s="99" t="s">
        <v>21</v>
      </c>
      <c r="M82" s="100">
        <f t="shared" si="1"/>
        <v>244210</v>
      </c>
    </row>
    <row r="83" hidden="1" outlineLevel="1">
      <c r="A83" s="93" t="s">
        <v>254</v>
      </c>
      <c r="B83" s="99">
        <v>81.0</v>
      </c>
      <c r="C83" s="94" t="s">
        <v>29</v>
      </c>
      <c r="D83" s="95">
        <v>244209.0</v>
      </c>
      <c r="E83" s="94" t="s">
        <v>46</v>
      </c>
      <c r="F83" s="100" t="str">
        <f>IFERROR(VLOOKUP(A82,'ฐานข้อมูลประวัติการเข้าพัก'!A:E,2,FALSE),"")</f>
        <v>กิ่งกานณ์ กุลาวงษ์</v>
      </c>
      <c r="G83" s="96" t="s">
        <v>19</v>
      </c>
      <c r="H83" s="97" t="str">
        <f>IFERROR(VLOOKUP(F84, 'ฐานข้อมูลประวัติการเข้าพัก'!B:E, 5, FALSE), "")</f>
        <v/>
      </c>
      <c r="I83" s="97" t="str">
        <f>IFERROR(VLOOKUP(F84, 'ฐานข้อมูลประวัติการเข้าพัก'!B:D, 4, FALSE), "")</f>
        <v/>
      </c>
      <c r="J83" s="98" t="s">
        <v>20</v>
      </c>
      <c r="K83" s="99" t="s">
        <v>21</v>
      </c>
      <c r="L83" s="99" t="s">
        <v>21</v>
      </c>
      <c r="M83" s="100">
        <f t="shared" si="1"/>
        <v>244210</v>
      </c>
    </row>
    <row r="84" hidden="1" outlineLevel="1">
      <c r="A84" s="93" t="s">
        <v>257</v>
      </c>
      <c r="B84" s="99">
        <v>82.0</v>
      </c>
      <c r="C84" s="94" t="s">
        <v>29</v>
      </c>
      <c r="D84" s="95">
        <v>244209.0</v>
      </c>
      <c r="E84" s="94" t="s">
        <v>38</v>
      </c>
      <c r="F84" s="100" t="str">
        <f>IFERROR(VLOOKUP(A83,'ฐานข้อมูลประวัติการเข้าพัก'!A:E,2,FALSE),"")</f>
        <v>กรรณิกา</v>
      </c>
      <c r="G84" s="96" t="s">
        <v>19</v>
      </c>
      <c r="H84" s="97" t="str">
        <f>IFERROR(VLOOKUP(F85, 'ฐานข้อมูลประวัติการเข้าพัก'!B:E, 5, FALSE), "")</f>
        <v/>
      </c>
      <c r="I84" s="97" t="str">
        <f>IFERROR(VLOOKUP(F85, 'ฐานข้อมูลประวัติการเข้าพัก'!B:D, 4, FALSE), "")</f>
        <v/>
      </c>
      <c r="J84" s="98" t="s">
        <v>20</v>
      </c>
      <c r="K84" s="99" t="s">
        <v>21</v>
      </c>
      <c r="L84" s="99" t="s">
        <v>21</v>
      </c>
      <c r="M84" s="100">
        <f t="shared" si="1"/>
        <v>244210</v>
      </c>
    </row>
    <row r="85" hidden="1" outlineLevel="1">
      <c r="A85" s="93" t="s">
        <v>261</v>
      </c>
      <c r="B85" s="99">
        <v>83.0</v>
      </c>
      <c r="C85" s="94" t="s">
        <v>29</v>
      </c>
      <c r="D85" s="95">
        <v>244209.0</v>
      </c>
      <c r="E85" s="94" t="s">
        <v>34</v>
      </c>
      <c r="F85" s="100" t="str">
        <f>IFERROR(VLOOKUP(A84,'ฐานข้อมูลประวัติการเข้าพัก'!A:E,2,FALSE),"")</f>
        <v>น.ส. ชนิทณี เดชบุรีรัมธ</v>
      </c>
      <c r="G85" s="96" t="s">
        <v>19</v>
      </c>
      <c r="H85" s="97" t="str">
        <f>IFERROR(VLOOKUP(F86, 'ฐานข้อมูลประวัติการเข้าพัก'!B:E, 5, FALSE), "")</f>
        <v/>
      </c>
      <c r="I85" s="97" t="str">
        <f>IFERROR(VLOOKUP(F86, 'ฐานข้อมูลประวัติการเข้าพัก'!B:D, 4, FALSE), "")</f>
        <v/>
      </c>
      <c r="J85" s="98" t="s">
        <v>20</v>
      </c>
      <c r="K85" s="99" t="s">
        <v>21</v>
      </c>
      <c r="L85" s="99" t="s">
        <v>21</v>
      </c>
      <c r="M85" s="100">
        <f t="shared" si="1"/>
        <v>244210</v>
      </c>
    </row>
    <row r="86" hidden="1" outlineLevel="1">
      <c r="A86" s="93" t="s">
        <v>264</v>
      </c>
      <c r="B86" s="99">
        <v>84.0</v>
      </c>
      <c r="C86" s="94" t="s">
        <v>17</v>
      </c>
      <c r="D86" s="95">
        <v>244209.0</v>
      </c>
      <c r="E86" s="94" t="s">
        <v>193</v>
      </c>
      <c r="F86" s="100" t="str">
        <f>IFERROR(VLOOKUP(A85,'ฐานข้อมูลประวัติการเข้าพัก'!A:E,2,FALSE),"")</f>
        <v>รุ่่งโรจน์</v>
      </c>
      <c r="G86" s="96" t="s">
        <v>19</v>
      </c>
      <c r="H86" s="97" t="str">
        <f>IFERROR(VLOOKUP(F87, 'ฐานข้อมูลประวัติการเข้าพัก'!B:E, 5, FALSE), "")</f>
        <v/>
      </c>
      <c r="I86" s="97" t="str">
        <f>IFERROR(VLOOKUP(F87, 'ฐานข้อมูลประวัติการเข้าพัก'!B:D, 4, FALSE), "")</f>
        <v/>
      </c>
      <c r="J86" s="98" t="s">
        <v>20</v>
      </c>
      <c r="K86" s="99" t="s">
        <v>21</v>
      </c>
      <c r="L86" s="99" t="s">
        <v>21</v>
      </c>
      <c r="M86" s="100">
        <f t="shared" si="1"/>
        <v>244210</v>
      </c>
    </row>
    <row r="87" hidden="1" outlineLevel="1">
      <c r="A87" s="93" t="s">
        <v>266</v>
      </c>
      <c r="B87" s="99">
        <v>85.0</v>
      </c>
      <c r="C87" s="94" t="s">
        <v>29</v>
      </c>
      <c r="D87" s="95">
        <v>244209.0</v>
      </c>
      <c r="E87" s="94" t="s">
        <v>42</v>
      </c>
      <c r="F87" s="100" t="str">
        <f>IFERROR(VLOOKUP(A86,'ฐานข้อมูลประวัติการเข้าพัก'!A:E,2,FALSE),"")</f>
        <v>คุณ ปอนด์</v>
      </c>
      <c r="G87" s="96" t="s">
        <v>19</v>
      </c>
      <c r="H87" s="97" t="str">
        <f>IFERROR(VLOOKUP(F88, 'ฐานข้อมูลประวัติการเข้าพัก'!B:E, 5, FALSE), "")</f>
        <v/>
      </c>
      <c r="I87" s="97" t="str">
        <f>IFERROR(VLOOKUP(F88, 'ฐานข้อมูลประวัติการเข้าพัก'!B:D, 4, FALSE), "")</f>
        <v/>
      </c>
      <c r="J87" s="98" t="s">
        <v>20</v>
      </c>
      <c r="K87" s="99" t="s">
        <v>21</v>
      </c>
      <c r="L87" s="99" t="s">
        <v>21</v>
      </c>
      <c r="M87" s="100">
        <f t="shared" si="1"/>
        <v>244210</v>
      </c>
    </row>
    <row r="88" hidden="1" outlineLevel="1">
      <c r="A88" s="93" t="s">
        <v>269</v>
      </c>
      <c r="B88" s="99">
        <v>86.0</v>
      </c>
      <c r="C88" s="94" t="s">
        <v>17</v>
      </c>
      <c r="D88" s="95">
        <v>244209.0</v>
      </c>
      <c r="E88" s="94" t="s">
        <v>144</v>
      </c>
      <c r="F88" s="100" t="str">
        <f>IFERROR(VLOOKUP(A87,'ฐานข้อมูลประวัติการเข้าพัก'!A:E,2,FALSE),"")</f>
        <v>เตชิน</v>
      </c>
      <c r="G88" s="96" t="s">
        <v>19</v>
      </c>
      <c r="H88" s="97" t="str">
        <f>IFERROR(VLOOKUP(F89, 'ฐานข้อมูลประวัติการเข้าพัก'!B:E, 5, FALSE), "")</f>
        <v/>
      </c>
      <c r="I88" s="97" t="str">
        <f>IFERROR(VLOOKUP(F89, 'ฐานข้อมูลประวัติการเข้าพัก'!B:D, 4, FALSE), "")</f>
        <v/>
      </c>
      <c r="J88" s="98" t="s">
        <v>20</v>
      </c>
      <c r="K88" s="99" t="s">
        <v>21</v>
      </c>
      <c r="L88" s="99" t="s">
        <v>21</v>
      </c>
      <c r="M88" s="100">
        <f t="shared" si="1"/>
        <v>244210</v>
      </c>
    </row>
    <row r="89" hidden="1" outlineLevel="1">
      <c r="A89" s="93" t="s">
        <v>271</v>
      </c>
      <c r="B89" s="99">
        <v>87.0</v>
      </c>
      <c r="C89" s="94" t="s">
        <v>17</v>
      </c>
      <c r="D89" s="95">
        <v>244209.0</v>
      </c>
      <c r="E89" s="94" t="s">
        <v>30</v>
      </c>
      <c r="F89" s="100" t="str">
        <f>IFERROR(VLOOKUP(A88,'ฐานข้อมูลประวัติการเข้าพัก'!A:E,2,FALSE),"")</f>
        <v>ช่างซ่อมเครื่องซักผ้า</v>
      </c>
      <c r="G89" s="96" t="s">
        <v>19</v>
      </c>
      <c r="H89" s="97" t="str">
        <f>IFERROR(VLOOKUP(F90, 'ฐานข้อมูลประวัติการเข้าพัก'!B:E, 5, FALSE), "")</f>
        <v/>
      </c>
      <c r="I89" s="97" t="str">
        <f>IFERROR(VLOOKUP(F90, 'ฐานข้อมูลประวัติการเข้าพัก'!B:D, 4, FALSE), "")</f>
        <v/>
      </c>
      <c r="J89" s="98" t="s">
        <v>20</v>
      </c>
      <c r="K89" s="99" t="s">
        <v>21</v>
      </c>
      <c r="L89" s="99" t="s">
        <v>21</v>
      </c>
      <c r="M89" s="100">
        <f t="shared" si="1"/>
        <v>244210</v>
      </c>
    </row>
    <row r="90" hidden="1" outlineLevel="1">
      <c r="A90" s="93" t="s">
        <v>274</v>
      </c>
      <c r="B90" s="99">
        <v>88.0</v>
      </c>
      <c r="C90" s="94" t="s">
        <v>17</v>
      </c>
      <c r="D90" s="95">
        <v>244210.0</v>
      </c>
      <c r="E90" s="94" t="s">
        <v>111</v>
      </c>
      <c r="F90" s="100" t="str">
        <f>IFERROR(VLOOKUP(A89,'ฐานข้อมูลประวัติการเข้าพัก'!A:E,2,FALSE),"")</f>
        <v>ธวัชชัย</v>
      </c>
      <c r="G90" s="96" t="s">
        <v>19</v>
      </c>
      <c r="H90" s="97" t="str">
        <f>IFERROR(VLOOKUP(F91, 'ฐานข้อมูลประวัติการเข้าพัก'!B:E, 5, FALSE), "")</f>
        <v/>
      </c>
      <c r="I90" s="97" t="str">
        <f>IFERROR(VLOOKUP(F91, 'ฐานข้อมูลประวัติการเข้าพัก'!B:D, 4, FALSE), "")</f>
        <v/>
      </c>
      <c r="J90" s="98" t="s">
        <v>20</v>
      </c>
      <c r="K90" s="99" t="s">
        <v>21</v>
      </c>
      <c r="L90" s="99" t="s">
        <v>21</v>
      </c>
      <c r="M90" s="100">
        <f t="shared" si="1"/>
        <v>244211</v>
      </c>
    </row>
    <row r="91" hidden="1" outlineLevel="1">
      <c r="A91" s="93" t="s">
        <v>277</v>
      </c>
      <c r="B91" s="99">
        <v>89.0</v>
      </c>
      <c r="C91" s="94" t="s">
        <v>29</v>
      </c>
      <c r="D91" s="95">
        <v>244210.0</v>
      </c>
      <c r="E91" s="94" t="s">
        <v>232</v>
      </c>
      <c r="F91" s="100" t="str">
        <f>IFERROR(VLOOKUP(A90,'ฐานข้อมูลประวัติการเข้าพัก'!A:E,2,FALSE),"")</f>
        <v>อาทิตย์</v>
      </c>
      <c r="G91" s="96" t="s">
        <v>19</v>
      </c>
      <c r="H91" s="97" t="str">
        <f>IFERROR(VLOOKUP(F92, 'ฐานข้อมูลประวัติการเข้าพัก'!B:E, 5, FALSE), "")</f>
        <v/>
      </c>
      <c r="I91" s="97" t="str">
        <f>IFERROR(VLOOKUP(F92, 'ฐานข้อมูลประวัติการเข้าพัก'!B:D, 4, FALSE), "")</f>
        <v/>
      </c>
      <c r="J91" s="98" t="s">
        <v>20</v>
      </c>
      <c r="K91" s="99" t="s">
        <v>21</v>
      </c>
      <c r="L91" s="99" t="s">
        <v>21</v>
      </c>
      <c r="M91" s="100">
        <f t="shared" si="1"/>
        <v>244211</v>
      </c>
    </row>
    <row r="92" hidden="1" outlineLevel="1">
      <c r="A92" s="93" t="s">
        <v>280</v>
      </c>
      <c r="B92" s="99">
        <v>90.0</v>
      </c>
      <c r="C92" s="94" t="s">
        <v>17</v>
      </c>
      <c r="D92" s="95">
        <v>244210.0</v>
      </c>
      <c r="E92" s="94" t="s">
        <v>124</v>
      </c>
      <c r="F92" s="100" t="str">
        <f>IFERROR(VLOOKUP(A91,'ฐานข้อมูลประวัติการเข้าพัก'!A:E,2,FALSE),"")</f>
        <v>ชาวลิต</v>
      </c>
      <c r="G92" s="96" t="s">
        <v>19</v>
      </c>
      <c r="H92" s="97" t="str">
        <f>IFERROR(VLOOKUP(F93, 'ฐานข้อมูลประวัติการเข้าพัก'!B:E, 5, FALSE), "")</f>
        <v/>
      </c>
      <c r="I92" s="97" t="str">
        <f>IFERROR(VLOOKUP(F93, 'ฐานข้อมูลประวัติการเข้าพัก'!B:D, 4, FALSE), "")</f>
        <v/>
      </c>
      <c r="J92" s="98" t="s">
        <v>20</v>
      </c>
      <c r="K92" s="99" t="s">
        <v>21</v>
      </c>
      <c r="L92" s="99" t="s">
        <v>21</v>
      </c>
      <c r="M92" s="100">
        <f t="shared" si="1"/>
        <v>244211</v>
      </c>
    </row>
    <row r="93" hidden="1" outlineLevel="1">
      <c r="A93" s="93" t="s">
        <v>283</v>
      </c>
      <c r="B93" s="99">
        <v>91.0</v>
      </c>
      <c r="C93" s="94" t="s">
        <v>17</v>
      </c>
      <c r="D93" s="95">
        <v>244210.0</v>
      </c>
      <c r="E93" s="94" t="s">
        <v>50</v>
      </c>
      <c r="F93" s="100" t="str">
        <f>IFERROR(VLOOKUP(A92,'ฐานข้อมูลประวัติการเข้าพัก'!A:E,2,FALSE),"")</f>
        <v>สมควร</v>
      </c>
      <c r="G93" s="96" t="s">
        <v>19</v>
      </c>
      <c r="H93" s="97" t="str">
        <f>IFERROR(VLOOKUP(F94, 'ฐานข้อมูลประวัติการเข้าพัก'!B:E, 5, FALSE), "")</f>
        <v/>
      </c>
      <c r="I93" s="97" t="str">
        <f>IFERROR(VLOOKUP(F94, 'ฐานข้อมูลประวัติการเข้าพัก'!B:D, 4, FALSE), "")</f>
        <v/>
      </c>
      <c r="J93" s="98" t="s">
        <v>20</v>
      </c>
      <c r="K93" s="99" t="s">
        <v>21</v>
      </c>
      <c r="L93" s="99" t="s">
        <v>21</v>
      </c>
      <c r="M93" s="100">
        <f t="shared" si="1"/>
        <v>244211</v>
      </c>
    </row>
    <row r="94" hidden="1" outlineLevel="1">
      <c r="A94" s="93" t="s">
        <v>286</v>
      </c>
      <c r="B94" s="99">
        <v>92.0</v>
      </c>
      <c r="C94" s="94" t="s">
        <v>29</v>
      </c>
      <c r="D94" s="95">
        <v>244210.0</v>
      </c>
      <c r="E94" s="94" t="s">
        <v>64</v>
      </c>
      <c r="F94" s="100" t="str">
        <f>IFERROR(VLOOKUP(A93,'ฐานข้อมูลประวัติการเข้าพัก'!A:E,2,FALSE),"")</f>
        <v>คุณทาม</v>
      </c>
      <c r="G94" s="96" t="s">
        <v>19</v>
      </c>
      <c r="H94" s="97" t="str">
        <f>IFERROR(VLOOKUP(F95, 'ฐานข้อมูลประวัติการเข้าพัก'!B:E, 5, FALSE), "")</f>
        <v/>
      </c>
      <c r="I94" s="97" t="str">
        <f>IFERROR(VLOOKUP(F95, 'ฐานข้อมูลประวัติการเข้าพัก'!B:D, 4, FALSE), "")</f>
        <v/>
      </c>
      <c r="J94" s="98" t="s">
        <v>20</v>
      </c>
      <c r="K94" s="99" t="s">
        <v>21</v>
      </c>
      <c r="L94" s="99" t="s">
        <v>21</v>
      </c>
      <c r="M94" s="100">
        <f t="shared" si="1"/>
        <v>244211</v>
      </c>
    </row>
    <row r="95" hidden="1" outlineLevel="1">
      <c r="A95" s="93" t="s">
        <v>289</v>
      </c>
      <c r="B95" s="99">
        <v>93.0</v>
      </c>
      <c r="C95" s="94" t="s">
        <v>29</v>
      </c>
      <c r="D95" s="95">
        <v>244211.0</v>
      </c>
      <c r="E95" s="94" t="s">
        <v>80</v>
      </c>
      <c r="F95" s="100" t="str">
        <f>IFERROR(VLOOKUP(A94,'ฐานข้อมูลประวัติการเข้าพัก'!A:E,2,FALSE),"")</f>
        <v>ลลิตา</v>
      </c>
      <c r="G95" s="96" t="s">
        <v>19</v>
      </c>
      <c r="H95" s="97" t="str">
        <f>IFERROR(VLOOKUP(F96, 'ฐานข้อมูลประวัติการเข้าพัก'!B:E, 5, FALSE), "")</f>
        <v/>
      </c>
      <c r="I95" s="97" t="str">
        <f>IFERROR(VLOOKUP(F96, 'ฐานข้อมูลประวัติการเข้าพัก'!B:D, 4, FALSE), "")</f>
        <v/>
      </c>
      <c r="J95" s="98" t="s">
        <v>20</v>
      </c>
      <c r="K95" s="99" t="s">
        <v>21</v>
      </c>
      <c r="L95" s="99" t="s">
        <v>21</v>
      </c>
      <c r="M95" s="100">
        <f t="shared" si="1"/>
        <v>244212</v>
      </c>
    </row>
    <row r="96" hidden="1" outlineLevel="1">
      <c r="A96" s="93" t="s">
        <v>291</v>
      </c>
      <c r="B96" s="99">
        <v>94.0</v>
      </c>
      <c r="C96" s="94" t="s">
        <v>29</v>
      </c>
      <c r="D96" s="95">
        <v>244211.0</v>
      </c>
      <c r="E96" s="94" t="s">
        <v>60</v>
      </c>
      <c r="F96" s="100" t="str">
        <f>IFERROR(VLOOKUP(A95,'ฐานข้อมูลประวัติการเข้าพัก'!A:E,2,FALSE),"")</f>
        <v>คุณไพโรจน์</v>
      </c>
      <c r="G96" s="96" t="s">
        <v>19</v>
      </c>
      <c r="H96" s="97" t="str">
        <f>IFERROR(VLOOKUP(F97, 'ฐานข้อมูลประวัติการเข้าพัก'!B:E, 5, FALSE), "")</f>
        <v/>
      </c>
      <c r="I96" s="97" t="str">
        <f>IFERROR(VLOOKUP(F97, 'ฐานข้อมูลประวัติการเข้าพัก'!B:D, 4, FALSE), "")</f>
        <v/>
      </c>
      <c r="J96" s="98" t="s">
        <v>20</v>
      </c>
      <c r="K96" s="99" t="s">
        <v>21</v>
      </c>
      <c r="L96" s="99" t="s">
        <v>21</v>
      </c>
      <c r="M96" s="100">
        <f t="shared" si="1"/>
        <v>244212</v>
      </c>
    </row>
    <row r="97" hidden="1" outlineLevel="1">
      <c r="A97" s="93" t="s">
        <v>294</v>
      </c>
      <c r="B97" s="99">
        <v>95.0</v>
      </c>
      <c r="C97" s="94" t="s">
        <v>17</v>
      </c>
      <c r="D97" s="95">
        <v>244211.0</v>
      </c>
      <c r="E97" s="94" t="s">
        <v>232</v>
      </c>
      <c r="F97" s="100" t="str">
        <f>IFERROR(VLOOKUP(A96,'ฐานข้อมูลประวัติการเข้าพัก'!A:E,2,FALSE),"")</f>
        <v>คุณสนธยา</v>
      </c>
      <c r="G97" s="96" t="s">
        <v>19</v>
      </c>
      <c r="H97" s="97" t="str">
        <f>IFERROR(VLOOKUP(F98, 'ฐานข้อมูลประวัติการเข้าพัก'!B:E, 5, FALSE), "")</f>
        <v/>
      </c>
      <c r="I97" s="97" t="str">
        <f>IFERROR(VLOOKUP(F98, 'ฐานข้อมูลประวัติการเข้าพัก'!B:D, 4, FALSE), "")</f>
        <v/>
      </c>
      <c r="J97" s="98" t="s">
        <v>20</v>
      </c>
      <c r="K97" s="99" t="s">
        <v>21</v>
      </c>
      <c r="L97" s="99" t="s">
        <v>21</v>
      </c>
      <c r="M97" s="100">
        <f t="shared" si="1"/>
        <v>244212</v>
      </c>
    </row>
    <row r="98" hidden="1" outlineLevel="1">
      <c r="A98" s="93" t="s">
        <v>296</v>
      </c>
      <c r="B98" s="99">
        <v>96.0</v>
      </c>
      <c r="C98" s="94" t="s">
        <v>29</v>
      </c>
      <c r="D98" s="95">
        <v>244211.0</v>
      </c>
      <c r="E98" s="94" t="s">
        <v>144</v>
      </c>
      <c r="F98" s="100" t="str">
        <f>IFERROR(VLOOKUP(A97,'ฐานข้อมูลประวัติการเข้าพัก'!A:E,2,FALSE),"")</f>
        <v>คุณฉัตรชัย</v>
      </c>
      <c r="G98" s="96" t="s">
        <v>19</v>
      </c>
      <c r="H98" s="97" t="str">
        <f>IFERROR(VLOOKUP(F99, 'ฐานข้อมูลประวัติการเข้าพัก'!B:E, 5, FALSE), "")</f>
        <v/>
      </c>
      <c r="I98" s="97" t="str">
        <f>IFERROR(VLOOKUP(F99, 'ฐานข้อมูลประวัติการเข้าพัก'!B:D, 4, FALSE), "")</f>
        <v/>
      </c>
      <c r="J98" s="98" t="s">
        <v>20</v>
      </c>
      <c r="K98" s="99" t="s">
        <v>21</v>
      </c>
      <c r="L98" s="99" t="s">
        <v>21</v>
      </c>
      <c r="M98" s="100">
        <f t="shared" si="1"/>
        <v>244212</v>
      </c>
    </row>
    <row r="99" hidden="1" outlineLevel="1">
      <c r="A99" s="93" t="s">
        <v>299</v>
      </c>
      <c r="B99" s="99">
        <v>97.0</v>
      </c>
      <c r="C99" s="94" t="s">
        <v>17</v>
      </c>
      <c r="D99" s="95">
        <v>244211.0</v>
      </c>
      <c r="E99" s="94" t="s">
        <v>54</v>
      </c>
      <c r="F99" s="100" t="str">
        <f>IFERROR(VLOOKUP(A98,'ฐานข้อมูลประวัติการเข้าพัก'!A:E,2,FALSE),"")</f>
        <v>ฐิติกา</v>
      </c>
      <c r="G99" s="96" t="s">
        <v>19</v>
      </c>
      <c r="H99" s="97" t="str">
        <f>IFERROR(VLOOKUP(F100, 'ฐานข้อมูลประวัติการเข้าพัก'!B:E, 5, FALSE), "")</f>
        <v/>
      </c>
      <c r="I99" s="97" t="str">
        <f>IFERROR(VLOOKUP(F100, 'ฐานข้อมูลประวัติการเข้าพัก'!B:D, 4, FALSE), "")</f>
        <v/>
      </c>
      <c r="J99" s="98" t="s">
        <v>20</v>
      </c>
      <c r="K99" s="99" t="s">
        <v>21</v>
      </c>
      <c r="L99" s="99" t="s">
        <v>21</v>
      </c>
      <c r="M99" s="100">
        <f t="shared" si="1"/>
        <v>244212</v>
      </c>
    </row>
    <row r="100" hidden="1" outlineLevel="1">
      <c r="A100" s="93" t="s">
        <v>302</v>
      </c>
      <c r="B100" s="99">
        <v>98.0</v>
      </c>
      <c r="C100" s="94" t="s">
        <v>17</v>
      </c>
      <c r="D100" s="95">
        <v>244211.0</v>
      </c>
      <c r="E100" s="94" t="s">
        <v>34</v>
      </c>
      <c r="F100" s="100" t="str">
        <f>IFERROR(VLOOKUP(A99,'ฐานข้อมูลประวัติการเข้าพัก'!A:E,2,FALSE),"")</f>
        <v>วัชรินทร์</v>
      </c>
      <c r="G100" s="96" t="s">
        <v>19</v>
      </c>
      <c r="H100" s="97" t="str">
        <f>IFERROR(VLOOKUP(F101, 'ฐานข้อมูลประวัติการเข้าพัก'!B:E, 5, FALSE), "")</f>
        <v/>
      </c>
      <c r="I100" s="97" t="str">
        <f>IFERROR(VLOOKUP(F101, 'ฐานข้อมูลประวัติการเข้าพัก'!B:D, 4, FALSE), "")</f>
        <v/>
      </c>
      <c r="J100" s="98" t="s">
        <v>20</v>
      </c>
      <c r="K100" s="99" t="s">
        <v>21</v>
      </c>
      <c r="L100" s="99" t="s">
        <v>21</v>
      </c>
      <c r="M100" s="100">
        <f t="shared" si="1"/>
        <v>244212</v>
      </c>
    </row>
    <row r="101" hidden="1" outlineLevel="1">
      <c r="A101" s="93" t="s">
        <v>305</v>
      </c>
      <c r="B101" s="99">
        <v>99.0</v>
      </c>
      <c r="C101" s="94" t="s">
        <v>17</v>
      </c>
      <c r="D101" s="95">
        <v>244211.0</v>
      </c>
      <c r="E101" s="94" t="s">
        <v>124</v>
      </c>
      <c r="F101" s="100" t="str">
        <f>IFERROR(VLOOKUP(A100,'ฐานข้อมูลประวัติการเข้าพัก'!A:E,2,FALSE),"")</f>
        <v>ชญานี</v>
      </c>
      <c r="G101" s="96" t="s">
        <v>19</v>
      </c>
      <c r="H101" s="97" t="str">
        <f>IFERROR(VLOOKUP(F102, 'ฐานข้อมูลประวัติการเข้าพัก'!B:E, 5, FALSE), "")</f>
        <v/>
      </c>
      <c r="I101" s="97" t="str">
        <f>IFERROR(VLOOKUP(F102, 'ฐานข้อมูลประวัติการเข้าพัก'!B:D, 4, FALSE), "")</f>
        <v/>
      </c>
      <c r="J101" s="98" t="s">
        <v>20</v>
      </c>
      <c r="K101" s="99" t="s">
        <v>21</v>
      </c>
      <c r="L101" s="99" t="s">
        <v>21</v>
      </c>
      <c r="M101" s="100">
        <f t="shared" si="1"/>
        <v>244212</v>
      </c>
    </row>
    <row r="102" hidden="1" outlineLevel="1">
      <c r="A102" s="93" t="s">
        <v>308</v>
      </c>
      <c r="B102" s="99">
        <v>100.0</v>
      </c>
      <c r="C102" s="94" t="s">
        <v>29</v>
      </c>
      <c r="D102" s="95">
        <v>244211.0</v>
      </c>
      <c r="E102" s="94" t="s">
        <v>25</v>
      </c>
      <c r="F102" s="100" t="str">
        <f>IFERROR(VLOOKUP(A101,'ฐานข้อมูลประวัติการเข้าพัก'!A:E,2,FALSE),"")</f>
        <v>อนุชิต</v>
      </c>
      <c r="G102" s="96" t="s">
        <v>19</v>
      </c>
      <c r="H102" s="97" t="str">
        <f>IFERROR(VLOOKUP(F103, 'ฐานข้อมูลประวัติการเข้าพัก'!B:E, 5, FALSE), "")</f>
        <v/>
      </c>
      <c r="I102" s="97" t="str">
        <f>IFERROR(VLOOKUP(F103, 'ฐานข้อมูลประวัติการเข้าพัก'!B:D, 4, FALSE), "")</f>
        <v/>
      </c>
      <c r="J102" s="98" t="s">
        <v>20</v>
      </c>
      <c r="K102" s="99" t="s">
        <v>21</v>
      </c>
      <c r="L102" s="99" t="s">
        <v>21</v>
      </c>
      <c r="M102" s="100">
        <f t="shared" si="1"/>
        <v>244212</v>
      </c>
    </row>
    <row r="103" hidden="1" outlineLevel="1">
      <c r="A103" s="93" t="s">
        <v>311</v>
      </c>
      <c r="B103" s="99">
        <v>101.0</v>
      </c>
      <c r="C103" s="94" t="s">
        <v>17</v>
      </c>
      <c r="D103" s="95">
        <v>244211.0</v>
      </c>
      <c r="E103" s="94" t="s">
        <v>193</v>
      </c>
      <c r="F103" s="100" t="str">
        <f>IFERROR(VLOOKUP(A102,'ฐานข้อมูลประวัติการเข้าพัก'!A:E,2,FALSE),"")</f>
        <v>โชติรส</v>
      </c>
      <c r="G103" s="96" t="s">
        <v>19</v>
      </c>
      <c r="H103" s="97" t="str">
        <f>IFERROR(VLOOKUP(F104, 'ฐานข้อมูลประวัติการเข้าพัก'!B:E, 5, FALSE), "")</f>
        <v/>
      </c>
      <c r="I103" s="97" t="str">
        <f>IFERROR(VLOOKUP(F104, 'ฐานข้อมูลประวัติการเข้าพัก'!B:D, 4, FALSE), "")</f>
        <v/>
      </c>
      <c r="J103" s="98" t="s">
        <v>20</v>
      </c>
      <c r="K103" s="99" t="s">
        <v>21</v>
      </c>
      <c r="L103" s="99" t="s">
        <v>21</v>
      </c>
      <c r="M103" s="100">
        <f t="shared" si="1"/>
        <v>244212</v>
      </c>
    </row>
    <row r="104" hidden="1" outlineLevel="1">
      <c r="A104" s="93" t="s">
        <v>314</v>
      </c>
      <c r="B104" s="99">
        <v>102.0</v>
      </c>
      <c r="C104" s="94" t="s">
        <v>17</v>
      </c>
      <c r="D104" s="95">
        <v>244211.0</v>
      </c>
      <c r="E104" s="94" t="s">
        <v>50</v>
      </c>
      <c r="F104" s="100" t="str">
        <f>IFERROR(VLOOKUP(A103,'ฐานข้อมูลประวัติการเข้าพัก'!A:E,2,FALSE),"")</f>
        <v>ธิดารัตน์</v>
      </c>
      <c r="G104" s="96" t="s">
        <v>19</v>
      </c>
      <c r="H104" s="97" t="str">
        <f>IFERROR(VLOOKUP(F105, 'ฐานข้อมูลประวัติการเข้าพัก'!B:E, 5, FALSE), "")</f>
        <v/>
      </c>
      <c r="I104" s="97" t="str">
        <f>IFERROR(VLOOKUP(F105, 'ฐานข้อมูลประวัติการเข้าพัก'!B:D, 4, FALSE), "")</f>
        <v/>
      </c>
      <c r="J104" s="98" t="s">
        <v>20</v>
      </c>
      <c r="K104" s="99" t="s">
        <v>21</v>
      </c>
      <c r="L104" s="99" t="s">
        <v>21</v>
      </c>
      <c r="M104" s="100">
        <f t="shared" si="1"/>
        <v>244212</v>
      </c>
    </row>
    <row r="105" hidden="1" outlineLevel="1">
      <c r="A105" s="93" t="s">
        <v>317</v>
      </c>
      <c r="B105" s="99">
        <v>103.0</v>
      </c>
      <c r="C105" s="94" t="s">
        <v>29</v>
      </c>
      <c r="D105" s="95">
        <v>244211.0</v>
      </c>
      <c r="E105" s="94" t="s">
        <v>60</v>
      </c>
      <c r="F105" s="100" t="str">
        <f>IFERROR(VLOOKUP(A104,'ฐานข้อมูลประวัติการเข้าพัก'!A:E,2,FALSE),"")</f>
        <v>ภาณุวัฒน์</v>
      </c>
      <c r="G105" s="96" t="s">
        <v>19</v>
      </c>
      <c r="H105" s="97" t="str">
        <f>IFERROR(VLOOKUP(F106, 'ฐานข้อมูลประวัติการเข้าพัก'!B:E, 5, FALSE), "")</f>
        <v/>
      </c>
      <c r="I105" s="97" t="str">
        <f>IFERROR(VLOOKUP(F106, 'ฐานข้อมูลประวัติการเข้าพัก'!B:D, 4, FALSE), "")</f>
        <v/>
      </c>
      <c r="J105" s="98" t="s">
        <v>20</v>
      </c>
      <c r="K105" s="99" t="s">
        <v>21</v>
      </c>
      <c r="L105" s="99" t="s">
        <v>21</v>
      </c>
      <c r="M105" s="100">
        <f t="shared" si="1"/>
        <v>244212</v>
      </c>
    </row>
    <row r="106" hidden="1" outlineLevel="1">
      <c r="A106" s="93" t="s">
        <v>320</v>
      </c>
      <c r="B106" s="99">
        <v>92.0</v>
      </c>
      <c r="C106" s="94" t="s">
        <v>29</v>
      </c>
      <c r="D106" s="95">
        <v>244212.0</v>
      </c>
      <c r="E106" s="94" t="s">
        <v>80</v>
      </c>
      <c r="F106" s="100" t="str">
        <f>IFERROR(VLOOKUP(A105,'ฐานข้อมูลประวัติการเข้าพัก'!A:E,2,FALSE),"")</f>
        <v>สวภณ</v>
      </c>
      <c r="G106" s="96" t="s">
        <v>19</v>
      </c>
      <c r="H106" s="97" t="str">
        <f>IFERROR(VLOOKUP(F107, 'ฐานข้อมูลประวัติการเข้าพัก'!B:E, 5, FALSE), "")</f>
        <v/>
      </c>
      <c r="I106" s="97" t="str">
        <f>IFERROR(VLOOKUP(F107, 'ฐานข้อมูลประวัติการเข้าพัก'!B:D, 4, FALSE), "")</f>
        <v/>
      </c>
      <c r="J106" s="98" t="s">
        <v>20</v>
      </c>
      <c r="K106" s="99" t="s">
        <v>21</v>
      </c>
      <c r="L106" s="99" t="s">
        <v>21</v>
      </c>
      <c r="M106" s="100">
        <f t="shared" si="1"/>
        <v>244213</v>
      </c>
    </row>
    <row r="107" hidden="1" outlineLevel="1">
      <c r="A107" s="93" t="s">
        <v>323</v>
      </c>
      <c r="B107" s="99">
        <v>93.0</v>
      </c>
      <c r="C107" s="94" t="s">
        <v>29</v>
      </c>
      <c r="D107" s="95">
        <v>244212.0</v>
      </c>
      <c r="E107" s="94" t="s">
        <v>101</v>
      </c>
      <c r="F107" s="100" t="str">
        <f>IFERROR(VLOOKUP(A106,'ฐานข้อมูลประวัติการเข้าพัก'!A:E,2,FALSE),"")</f>
        <v>ณัฐภัทร</v>
      </c>
      <c r="G107" s="96" t="s">
        <v>19</v>
      </c>
      <c r="H107" s="97" t="str">
        <f>IFERROR(VLOOKUP(F108, 'ฐานข้อมูลประวัติการเข้าพัก'!B:E, 5, FALSE), "")</f>
        <v/>
      </c>
      <c r="I107" s="97" t="str">
        <f>IFERROR(VLOOKUP(F108, 'ฐานข้อมูลประวัติการเข้าพัก'!B:D, 4, FALSE), "")</f>
        <v/>
      </c>
      <c r="J107" s="98" t="s">
        <v>20</v>
      </c>
      <c r="K107" s="99" t="s">
        <v>21</v>
      </c>
      <c r="L107" s="99" t="s">
        <v>21</v>
      </c>
      <c r="M107" s="100">
        <f t="shared" si="1"/>
        <v>244213</v>
      </c>
    </row>
    <row r="108" hidden="1" outlineLevel="1">
      <c r="A108" s="93" t="s">
        <v>326</v>
      </c>
      <c r="B108" s="99">
        <v>94.0</v>
      </c>
      <c r="C108" s="94" t="s">
        <v>17</v>
      </c>
      <c r="D108" s="95">
        <v>244212.0</v>
      </c>
      <c r="E108" s="94" t="s">
        <v>162</v>
      </c>
      <c r="F108" s="100" t="str">
        <f>IFERROR(VLOOKUP(A107,'ฐานข้อมูลประวัติการเข้าพัก'!A:E,2,FALSE),"")</f>
        <v>ตองสาม</v>
      </c>
      <c r="G108" s="96" t="s">
        <v>19</v>
      </c>
      <c r="H108" s="97" t="str">
        <f>IFERROR(VLOOKUP(F109, 'ฐานข้อมูลประวัติการเข้าพัก'!B:E, 5, FALSE), "")</f>
        <v/>
      </c>
      <c r="I108" s="97" t="str">
        <f>IFERROR(VLOOKUP(F109, 'ฐานข้อมูลประวัติการเข้าพัก'!B:D, 4, FALSE), "")</f>
        <v/>
      </c>
      <c r="J108" s="98" t="s">
        <v>20</v>
      </c>
      <c r="K108" s="99" t="s">
        <v>21</v>
      </c>
      <c r="L108" s="99" t="s">
        <v>21</v>
      </c>
      <c r="M108" s="100">
        <f t="shared" si="1"/>
        <v>244213</v>
      </c>
    </row>
    <row r="109" hidden="1" outlineLevel="1">
      <c r="A109" s="93" t="s">
        <v>329</v>
      </c>
      <c r="B109" s="99">
        <v>95.0</v>
      </c>
      <c r="C109" s="94" t="s">
        <v>29</v>
      </c>
      <c r="D109" s="95">
        <v>244212.0</v>
      </c>
      <c r="E109" s="94" t="s">
        <v>50</v>
      </c>
      <c r="F109" s="100" t="str">
        <f>IFERROR(VLOOKUP(A108,'ฐานข้อมูลประวัติการเข้าพัก'!A:E,2,FALSE),"")</f>
        <v>ธิติยา</v>
      </c>
      <c r="G109" s="96" t="s">
        <v>19</v>
      </c>
      <c r="H109" s="97" t="str">
        <f>IFERROR(VLOOKUP(F110, 'ฐานข้อมูลประวัติการเข้าพัก'!B:E, 5, FALSE), "")</f>
        <v/>
      </c>
      <c r="I109" s="97" t="str">
        <f>IFERROR(VLOOKUP(F110, 'ฐานข้อมูลประวัติการเข้าพัก'!B:D, 4, FALSE), "")</f>
        <v/>
      </c>
      <c r="J109" s="98" t="s">
        <v>20</v>
      </c>
      <c r="K109" s="99" t="s">
        <v>21</v>
      </c>
      <c r="L109" s="99" t="s">
        <v>21</v>
      </c>
      <c r="M109" s="100">
        <f t="shared" si="1"/>
        <v>244213</v>
      </c>
    </row>
    <row r="110" hidden="1" outlineLevel="1">
      <c r="A110" s="93" t="s">
        <v>332</v>
      </c>
      <c r="B110" s="99">
        <v>96.0</v>
      </c>
      <c r="C110" s="94" t="s">
        <v>17</v>
      </c>
      <c r="D110" s="95">
        <v>244212.0</v>
      </c>
      <c r="E110" s="94" t="s">
        <v>335</v>
      </c>
      <c r="F110" s="100" t="str">
        <f>IFERROR(VLOOKUP(A109,'ฐานข้อมูลประวัติการเข้าพัก'!A:E,2,FALSE),"")</f>
        <v>สุระชัย</v>
      </c>
      <c r="G110" s="96" t="s">
        <v>19</v>
      </c>
      <c r="H110" s="97" t="str">
        <f>IFERROR(VLOOKUP(F111, 'ฐานข้อมูลประวัติการเข้าพัก'!B:E, 5, FALSE), "")</f>
        <v/>
      </c>
      <c r="I110" s="97" t="str">
        <f>IFERROR(VLOOKUP(F111, 'ฐานข้อมูลประวัติการเข้าพัก'!B:D, 4, FALSE), "")</f>
        <v/>
      </c>
      <c r="J110" s="98" t="s">
        <v>20</v>
      </c>
      <c r="K110" s="99" t="s">
        <v>21</v>
      </c>
      <c r="L110" s="99" t="s">
        <v>21</v>
      </c>
      <c r="M110" s="100">
        <f t="shared" si="1"/>
        <v>244213</v>
      </c>
    </row>
    <row r="111" hidden="1" outlineLevel="1">
      <c r="A111" s="93" t="s">
        <v>336</v>
      </c>
      <c r="B111" s="99">
        <v>97.0</v>
      </c>
      <c r="C111" s="94" t="s">
        <v>17</v>
      </c>
      <c r="D111" s="95">
        <v>244212.0</v>
      </c>
      <c r="E111" s="94" t="s">
        <v>46</v>
      </c>
      <c r="F111" s="100" t="str">
        <f>IFERROR(VLOOKUP(A110,'ฐานข้อมูลประวัติการเข้าพัก'!A:E,2,FALSE),"")</f>
        <v>อภิวัฒน์</v>
      </c>
      <c r="G111" s="96" t="s">
        <v>19</v>
      </c>
      <c r="H111" s="97" t="str">
        <f>IFERROR(VLOOKUP(F112, 'ฐานข้อมูลประวัติการเข้าพัก'!B:E, 5, FALSE), "")</f>
        <v/>
      </c>
      <c r="I111" s="97" t="str">
        <f>IFERROR(VLOOKUP(F112, 'ฐานข้อมูลประวัติการเข้าพัก'!B:D, 4, FALSE), "")</f>
        <v/>
      </c>
      <c r="J111" s="98" t="s">
        <v>20</v>
      </c>
      <c r="K111" s="99" t="s">
        <v>21</v>
      </c>
      <c r="L111" s="99" t="s">
        <v>21</v>
      </c>
      <c r="M111" s="100">
        <f t="shared" si="1"/>
        <v>244213</v>
      </c>
    </row>
    <row r="112" hidden="1" outlineLevel="1">
      <c r="A112" s="93" t="s">
        <v>339</v>
      </c>
      <c r="B112" s="99">
        <v>98.0</v>
      </c>
      <c r="C112" s="94" t="s">
        <v>17</v>
      </c>
      <c r="D112" s="95">
        <v>244212.0</v>
      </c>
      <c r="E112" s="94" t="s">
        <v>18</v>
      </c>
      <c r="F112" s="100" t="str">
        <f>IFERROR(VLOOKUP(A111,'ฐานข้อมูลประวัติการเข้าพัก'!A:E,2,FALSE),"")</f>
        <v>กชพรรณ</v>
      </c>
      <c r="G112" s="96" t="s">
        <v>19</v>
      </c>
      <c r="H112" s="97" t="str">
        <f>IFERROR(VLOOKUP(F113, 'ฐานข้อมูลประวัติการเข้าพัก'!B:E, 5, FALSE), "")</f>
        <v/>
      </c>
      <c r="I112" s="97" t="str">
        <f>IFERROR(VLOOKUP(F113, 'ฐานข้อมูลประวัติการเข้าพัก'!B:D, 4, FALSE), "")</f>
        <v/>
      </c>
      <c r="J112" s="98" t="s">
        <v>20</v>
      </c>
      <c r="K112" s="99" t="s">
        <v>21</v>
      </c>
      <c r="L112" s="99" t="s">
        <v>21</v>
      </c>
      <c r="M112" s="100">
        <f t="shared" si="1"/>
        <v>244213</v>
      </c>
    </row>
    <row r="113" hidden="1" outlineLevel="1">
      <c r="A113" s="93" t="s">
        <v>342</v>
      </c>
      <c r="B113" s="99">
        <v>111.0</v>
      </c>
      <c r="C113" s="94" t="s">
        <v>29</v>
      </c>
      <c r="D113" s="95">
        <v>244212.0</v>
      </c>
      <c r="E113" s="94" t="s">
        <v>111</v>
      </c>
      <c r="F113" s="100" t="str">
        <f>IFERROR(VLOOKUP(A112,'ฐานข้อมูลประวัติการเข้าพัก'!A:E,2,FALSE),"")</f>
        <v>เอ้</v>
      </c>
      <c r="G113" s="96" t="s">
        <v>19</v>
      </c>
      <c r="H113" s="97" t="str">
        <f>IFERROR(VLOOKUP(F114, 'ฐานข้อมูลประวัติการเข้าพัก'!B:E, 5, FALSE), "")</f>
        <v/>
      </c>
      <c r="I113" s="97" t="str">
        <f>IFERROR(VLOOKUP(F114, 'ฐานข้อมูลประวัติการเข้าพัก'!B:D, 4, FALSE), "")</f>
        <v/>
      </c>
      <c r="J113" s="98" t="s">
        <v>20</v>
      </c>
      <c r="K113" s="99" t="s">
        <v>21</v>
      </c>
      <c r="L113" s="99" t="s">
        <v>21</v>
      </c>
      <c r="M113" s="100">
        <f t="shared" si="1"/>
        <v>244213</v>
      </c>
    </row>
    <row r="114" hidden="1" outlineLevel="1">
      <c r="A114" s="93" t="s">
        <v>345</v>
      </c>
      <c r="B114" s="99">
        <v>112.0</v>
      </c>
      <c r="C114" s="94" t="s">
        <v>17</v>
      </c>
      <c r="D114" s="95">
        <v>244212.0</v>
      </c>
      <c r="E114" s="94" t="s">
        <v>64</v>
      </c>
      <c r="F114" s="100" t="str">
        <f>IFERROR(VLOOKUP(A113,'ฐานข้อมูลประวัติการเข้าพัก'!A:E,2,FALSE),"")</f>
        <v>วัฒนา สีอ่อง</v>
      </c>
      <c r="G114" s="96" t="s">
        <v>19</v>
      </c>
      <c r="H114" s="97" t="str">
        <f>IFERROR(VLOOKUP(F115, 'ฐานข้อมูลประวัติการเข้าพัก'!B:E, 5, FALSE), "")</f>
        <v/>
      </c>
      <c r="I114" s="97" t="str">
        <f>IFERROR(VLOOKUP(F115, 'ฐานข้อมูลประวัติการเข้าพัก'!B:D, 4, FALSE), "")</f>
        <v/>
      </c>
      <c r="J114" s="98" t="s">
        <v>20</v>
      </c>
      <c r="K114" s="99" t="s">
        <v>21</v>
      </c>
      <c r="L114" s="99" t="s">
        <v>21</v>
      </c>
      <c r="M114" s="100">
        <f t="shared" si="1"/>
        <v>244213</v>
      </c>
    </row>
    <row r="115" hidden="1" outlineLevel="1">
      <c r="A115" s="93" t="s">
        <v>348</v>
      </c>
      <c r="B115" s="99">
        <v>113.0</v>
      </c>
      <c r="C115" s="94" t="s">
        <v>17</v>
      </c>
      <c r="D115" s="95">
        <v>244212.0</v>
      </c>
      <c r="E115" s="94" t="s">
        <v>232</v>
      </c>
      <c r="F115" s="100" t="str">
        <f>IFERROR(VLOOKUP(A114,'ฐานข้อมูลประวัติการเข้าพัก'!A:E,2,FALSE),"")</f>
        <v>จรัสชัย</v>
      </c>
      <c r="G115" s="96" t="s">
        <v>19</v>
      </c>
      <c r="H115" s="97" t="str">
        <f>IFERROR(VLOOKUP(F116, 'ฐานข้อมูลประวัติการเข้าพัก'!B:E, 5, FALSE), "")</f>
        <v/>
      </c>
      <c r="I115" s="97" t="str">
        <f>IFERROR(VLOOKUP(F116, 'ฐานข้อมูลประวัติการเข้าพัก'!B:D, 4, FALSE), "")</f>
        <v/>
      </c>
      <c r="J115" s="98" t="s">
        <v>20</v>
      </c>
      <c r="K115" s="99" t="s">
        <v>21</v>
      </c>
      <c r="L115" s="99" t="s">
        <v>21</v>
      </c>
      <c r="M115" s="100">
        <f t="shared" si="1"/>
        <v>244213</v>
      </c>
    </row>
    <row r="116" hidden="1" outlineLevel="1">
      <c r="A116" s="93" t="s">
        <v>350</v>
      </c>
      <c r="B116" s="99">
        <v>114.0</v>
      </c>
      <c r="C116" s="94" t="s">
        <v>29</v>
      </c>
      <c r="D116" s="95">
        <v>244212.0</v>
      </c>
      <c r="E116" s="94" t="s">
        <v>18</v>
      </c>
      <c r="F116" s="100" t="str">
        <f>IFERROR(VLOOKUP(A115,'ฐานข้อมูลประวัติการเข้าพัก'!A:E,2,FALSE),"")</f>
        <v>วิษณุ</v>
      </c>
      <c r="G116" s="96" t="s">
        <v>19</v>
      </c>
      <c r="H116" s="97" t="str">
        <f>IFERROR(VLOOKUP(F117, 'ฐานข้อมูลประวัติการเข้าพัก'!B:E, 5, FALSE), "")</f>
        <v/>
      </c>
      <c r="I116" s="97" t="str">
        <f>IFERROR(VLOOKUP(F117, 'ฐานข้อมูลประวัติการเข้าพัก'!B:D, 4, FALSE), "")</f>
        <v/>
      </c>
      <c r="J116" s="98" t="s">
        <v>20</v>
      </c>
      <c r="K116" s="99" t="s">
        <v>21</v>
      </c>
      <c r="L116" s="99" t="s">
        <v>21</v>
      </c>
      <c r="M116" s="100">
        <f t="shared" si="1"/>
        <v>244213</v>
      </c>
    </row>
    <row r="117" hidden="1" outlineLevel="1">
      <c r="A117" s="93" t="s">
        <v>353</v>
      </c>
      <c r="B117" s="99">
        <v>115.0</v>
      </c>
      <c r="C117" s="94" t="s">
        <v>29</v>
      </c>
      <c r="D117" s="95">
        <v>244212.0</v>
      </c>
      <c r="E117" s="94" t="s">
        <v>42</v>
      </c>
      <c r="F117" s="100" t="str">
        <f>IFERROR(VLOOKUP(A116,'ฐานข้อมูลประวัติการเข้าพัก'!A:E,2,FALSE),"")</f>
        <v>สุนันท์</v>
      </c>
      <c r="G117" s="96" t="s">
        <v>19</v>
      </c>
      <c r="H117" s="97" t="str">
        <f>IFERROR(VLOOKUP(F118, 'ฐานข้อมูลประวัติการเข้าพัก'!B:E, 5, FALSE), "")</f>
        <v/>
      </c>
      <c r="I117" s="97" t="str">
        <f>IFERROR(VLOOKUP(F118, 'ฐานข้อมูลประวัติการเข้าพัก'!B:D, 4, FALSE), "")</f>
        <v/>
      </c>
      <c r="J117" s="98" t="s">
        <v>20</v>
      </c>
      <c r="K117" s="99" t="s">
        <v>21</v>
      </c>
      <c r="L117" s="99" t="s">
        <v>21</v>
      </c>
      <c r="M117" s="100">
        <f t="shared" si="1"/>
        <v>244213</v>
      </c>
    </row>
    <row r="118" hidden="1" outlineLevel="1">
      <c r="A118" s="93" t="s">
        <v>356</v>
      </c>
      <c r="B118" s="99">
        <v>116.0</v>
      </c>
      <c r="C118" s="94" t="s">
        <v>29</v>
      </c>
      <c r="D118" s="95">
        <v>244212.0</v>
      </c>
      <c r="E118" s="94" t="s">
        <v>46</v>
      </c>
      <c r="F118" s="100" t="str">
        <f>IFERROR(VLOOKUP(A117,'ฐานข้อมูลประวัติการเข้าพัก'!A:E,2,FALSE),"")</f>
        <v>เอกสิทธ์</v>
      </c>
      <c r="G118" s="96" t="s">
        <v>19</v>
      </c>
      <c r="H118" s="97" t="str">
        <f>IFERROR(VLOOKUP(F119, 'ฐานข้อมูลประวัติการเข้าพัก'!B:E, 5, FALSE), "")</f>
        <v/>
      </c>
      <c r="I118" s="97" t="str">
        <f>IFERROR(VLOOKUP(F119, 'ฐานข้อมูลประวัติการเข้าพัก'!B:D, 4, FALSE), "")</f>
        <v/>
      </c>
      <c r="J118" s="98" t="s">
        <v>20</v>
      </c>
      <c r="K118" s="99" t="s">
        <v>21</v>
      </c>
      <c r="L118" s="99" t="s">
        <v>21</v>
      </c>
      <c r="M118" s="100">
        <f t="shared" si="1"/>
        <v>244213</v>
      </c>
    </row>
    <row r="119" hidden="1" outlineLevel="1">
      <c r="A119" s="93" t="s">
        <v>358</v>
      </c>
      <c r="B119" s="99">
        <v>117.0</v>
      </c>
      <c r="C119" s="94" t="s">
        <v>17</v>
      </c>
      <c r="D119" s="95">
        <v>244213.0</v>
      </c>
      <c r="E119" s="94" t="s">
        <v>50</v>
      </c>
      <c r="F119" s="100" t="str">
        <f>IFERROR(VLOOKUP(A118,'ฐานข้อมูลประวัติการเข้าพัก'!A:E,2,FALSE),"")</f>
        <v>ชลธิชา</v>
      </c>
      <c r="G119" s="96" t="s">
        <v>19</v>
      </c>
      <c r="H119" s="97" t="str">
        <f>IFERROR(VLOOKUP(F120, 'ฐานข้อมูลประวัติการเข้าพัก'!B:E, 5, FALSE), "")</f>
        <v/>
      </c>
      <c r="I119" s="97" t="str">
        <f>IFERROR(VLOOKUP(F120, 'ฐานข้อมูลประวัติการเข้าพัก'!B:D, 4, FALSE), "")</f>
        <v/>
      </c>
      <c r="J119" s="98" t="s">
        <v>20</v>
      </c>
      <c r="K119" s="99" t="s">
        <v>21</v>
      </c>
      <c r="L119" s="99" t="s">
        <v>21</v>
      </c>
      <c r="M119" s="100">
        <f t="shared" si="1"/>
        <v>244214</v>
      </c>
    </row>
    <row r="120" hidden="1" outlineLevel="1">
      <c r="A120" s="93" t="s">
        <v>360</v>
      </c>
      <c r="B120" s="99">
        <v>118.0</v>
      </c>
      <c r="C120" s="94" t="s">
        <v>29</v>
      </c>
      <c r="D120" s="95">
        <v>244213.0</v>
      </c>
      <c r="E120" s="94" t="s">
        <v>54</v>
      </c>
      <c r="F120" s="100" t="str">
        <f>IFERROR(VLOOKUP(A119,'ฐานข้อมูลประวัติการเข้าพัก'!A:E,2,FALSE),"")</f>
        <v>คุณครเทวิน</v>
      </c>
      <c r="G120" s="96" t="s">
        <v>19</v>
      </c>
      <c r="H120" s="97" t="str">
        <f>IFERROR(VLOOKUP(F121, 'ฐานข้อมูลประวัติการเข้าพัก'!B:E, 5, FALSE), "")</f>
        <v/>
      </c>
      <c r="I120" s="97" t="str">
        <f>IFERROR(VLOOKUP(F121, 'ฐานข้อมูลประวัติการเข้าพัก'!B:D, 4, FALSE), "")</f>
        <v/>
      </c>
      <c r="J120" s="98" t="s">
        <v>20</v>
      </c>
      <c r="K120" s="99" t="s">
        <v>21</v>
      </c>
      <c r="L120" s="99" t="s">
        <v>21</v>
      </c>
      <c r="M120" s="100">
        <f t="shared" si="1"/>
        <v>244214</v>
      </c>
    </row>
    <row r="121" hidden="1" outlineLevel="1">
      <c r="A121" s="93" t="s">
        <v>362</v>
      </c>
      <c r="B121" s="99">
        <v>119.0</v>
      </c>
      <c r="C121" s="94" t="s">
        <v>17</v>
      </c>
      <c r="D121" s="95">
        <v>244213.0</v>
      </c>
      <c r="E121" s="94" t="s">
        <v>30</v>
      </c>
      <c r="F121" s="100" t="str">
        <f>IFERROR(VLOOKUP(A120,'ฐานข้อมูลประวัติการเข้าพัก'!A:E,2,FALSE),"")</f>
        <v>บริษัท ธนวัฒน์</v>
      </c>
      <c r="G121" s="96" t="s">
        <v>19</v>
      </c>
      <c r="H121" s="97" t="str">
        <f>IFERROR(VLOOKUP(F122, 'ฐานข้อมูลประวัติการเข้าพัก'!B:E, 5, FALSE), "")</f>
        <v/>
      </c>
      <c r="I121" s="97" t="str">
        <f>IFERROR(VLOOKUP(F122, 'ฐานข้อมูลประวัติการเข้าพัก'!B:D, 4, FALSE), "")</f>
        <v/>
      </c>
      <c r="J121" s="98" t="s">
        <v>20</v>
      </c>
      <c r="K121" s="99" t="s">
        <v>21</v>
      </c>
      <c r="L121" s="99" t="s">
        <v>21</v>
      </c>
      <c r="M121" s="100">
        <f t="shared" si="1"/>
        <v>244214</v>
      </c>
    </row>
    <row r="122" hidden="1" outlineLevel="1">
      <c r="A122" s="93" t="s">
        <v>365</v>
      </c>
      <c r="B122" s="99">
        <v>120.0</v>
      </c>
      <c r="C122" s="94" t="s">
        <v>17</v>
      </c>
      <c r="D122" s="95">
        <v>244213.0</v>
      </c>
      <c r="E122" s="94" t="s">
        <v>80</v>
      </c>
      <c r="F122" s="100" t="str">
        <f>IFERROR(VLOOKUP(A121,'ฐานข้อมูลประวัติการเข้าพัก'!A:E,2,FALSE),"")</f>
        <v>คุณกิจพงษ์</v>
      </c>
      <c r="G122" s="96" t="s">
        <v>19</v>
      </c>
      <c r="H122" s="97" t="str">
        <f>IFERROR(VLOOKUP(F123, 'ฐานข้อมูลประวัติการเข้าพัก'!B:E, 5, FALSE), "")</f>
        <v/>
      </c>
      <c r="I122" s="97" t="str">
        <f>IFERROR(VLOOKUP(F123, 'ฐานข้อมูลประวัติการเข้าพัก'!B:D, 4, FALSE), "")</f>
        <v/>
      </c>
      <c r="J122" s="98" t="s">
        <v>20</v>
      </c>
      <c r="K122" s="99" t="s">
        <v>21</v>
      </c>
      <c r="L122" s="99" t="s">
        <v>21</v>
      </c>
      <c r="M122" s="100">
        <f t="shared" si="1"/>
        <v>244214</v>
      </c>
    </row>
    <row r="123" hidden="1" outlineLevel="1">
      <c r="A123" s="93" t="s">
        <v>367</v>
      </c>
      <c r="B123" s="99">
        <v>121.0</v>
      </c>
      <c r="C123" s="94" t="s">
        <v>17</v>
      </c>
      <c r="D123" s="95">
        <v>244213.0</v>
      </c>
      <c r="E123" s="94" t="s">
        <v>38</v>
      </c>
      <c r="F123" s="100" t="str">
        <f>IFERROR(VLOOKUP(A122,'ฐานข้อมูลประวัติการเข้าพัก'!A:E,2,FALSE),"")</f>
        <v>มนต์ทรานสปอร์ต</v>
      </c>
      <c r="G123" s="96" t="s">
        <v>19</v>
      </c>
      <c r="H123" s="97" t="str">
        <f>IFERROR(VLOOKUP(F124, 'ฐานข้อมูลประวัติการเข้าพัก'!B:E, 5, FALSE), "")</f>
        <v/>
      </c>
      <c r="I123" s="97" t="str">
        <f>IFERROR(VLOOKUP(F124, 'ฐานข้อมูลประวัติการเข้าพัก'!B:D, 4, FALSE), "")</f>
        <v/>
      </c>
      <c r="J123" s="98" t="s">
        <v>20</v>
      </c>
      <c r="K123" s="99" t="s">
        <v>21</v>
      </c>
      <c r="L123" s="99" t="s">
        <v>21</v>
      </c>
      <c r="M123" s="100">
        <f t="shared" si="1"/>
        <v>244214</v>
      </c>
    </row>
    <row r="124" hidden="1" outlineLevel="1">
      <c r="A124" s="93" t="s">
        <v>370</v>
      </c>
      <c r="B124" s="99">
        <v>122.0</v>
      </c>
      <c r="C124" s="94" t="s">
        <v>29</v>
      </c>
      <c r="D124" s="95">
        <v>244213.0</v>
      </c>
      <c r="E124" s="94" t="s">
        <v>42</v>
      </c>
      <c r="F124" s="100" t="str">
        <f>IFERROR(VLOOKUP(A123,'ฐานข้อมูลประวัติการเข้าพัก'!A:E,2,FALSE),"")</f>
        <v>เสกสรรค์</v>
      </c>
      <c r="G124" s="96" t="s">
        <v>19</v>
      </c>
      <c r="H124" s="97" t="str">
        <f>IFERROR(VLOOKUP(F125, 'ฐานข้อมูลประวัติการเข้าพัก'!B:E, 5, FALSE), "")</f>
        <v/>
      </c>
      <c r="I124" s="97" t="str">
        <f>IFERROR(VLOOKUP(F125, 'ฐานข้อมูลประวัติการเข้าพัก'!B:D, 4, FALSE), "")</f>
        <v/>
      </c>
      <c r="J124" s="98" t="s">
        <v>20</v>
      </c>
      <c r="K124" s="99" t="s">
        <v>21</v>
      </c>
      <c r="L124" s="99" t="s">
        <v>21</v>
      </c>
      <c r="M124" s="100">
        <f t="shared" si="1"/>
        <v>244214</v>
      </c>
    </row>
    <row r="125" hidden="1" outlineLevel="1">
      <c r="A125" s="93" t="s">
        <v>373</v>
      </c>
      <c r="B125" s="99">
        <v>123.0</v>
      </c>
      <c r="C125" s="94" t="s">
        <v>17</v>
      </c>
      <c r="D125" s="95">
        <v>244213.0</v>
      </c>
      <c r="E125" s="94" t="s">
        <v>64</v>
      </c>
      <c r="F125" s="100" t="str">
        <f>IFERROR(VLOOKUP(A124,'ฐานข้อมูลประวัติการเข้าพัก'!A:E,2,FALSE),"")</f>
        <v>กรภัทร</v>
      </c>
      <c r="G125" s="96" t="s">
        <v>19</v>
      </c>
      <c r="H125" s="97" t="str">
        <f>IFERROR(VLOOKUP(F126, 'ฐานข้อมูลประวัติการเข้าพัก'!B:E, 5, FALSE), "")</f>
        <v/>
      </c>
      <c r="I125" s="97" t="str">
        <f>IFERROR(VLOOKUP(F126, 'ฐานข้อมูลประวัติการเข้าพัก'!B:D, 4, FALSE), "")</f>
        <v/>
      </c>
      <c r="J125" s="98" t="s">
        <v>20</v>
      </c>
      <c r="K125" s="99" t="s">
        <v>21</v>
      </c>
      <c r="L125" s="99" t="s">
        <v>21</v>
      </c>
      <c r="M125" s="100">
        <f t="shared" si="1"/>
        <v>244214</v>
      </c>
    </row>
    <row r="126" hidden="1" outlineLevel="1">
      <c r="A126" s="93" t="s">
        <v>376</v>
      </c>
      <c r="B126" s="99">
        <v>124.0</v>
      </c>
      <c r="C126" s="94" t="s">
        <v>17</v>
      </c>
      <c r="D126" s="95">
        <v>244213.0</v>
      </c>
      <c r="E126" s="94" t="s">
        <v>232</v>
      </c>
      <c r="F126" s="100" t="str">
        <f>IFERROR(VLOOKUP(A125,'ฐานข้อมูลประวัติการเข้าพัก'!A:E,2,FALSE),"")</f>
        <v>อริสรา</v>
      </c>
      <c r="G126" s="96" t="s">
        <v>19</v>
      </c>
      <c r="H126" s="97" t="str">
        <f>IFERROR(VLOOKUP(F127, 'ฐานข้อมูลประวัติการเข้าพัก'!B:E, 5, FALSE), "")</f>
        <v/>
      </c>
      <c r="I126" s="97" t="str">
        <f>IFERROR(VLOOKUP(F127, 'ฐานข้อมูลประวัติการเข้าพัก'!B:D, 4, FALSE), "")</f>
        <v/>
      </c>
      <c r="J126" s="98" t="s">
        <v>20</v>
      </c>
      <c r="K126" s="99" t="s">
        <v>21</v>
      </c>
      <c r="L126" s="99" t="s">
        <v>21</v>
      </c>
      <c r="M126" s="100">
        <f t="shared" si="1"/>
        <v>244214</v>
      </c>
    </row>
    <row r="127" hidden="1" outlineLevel="1">
      <c r="A127" s="93" t="s">
        <v>379</v>
      </c>
      <c r="B127" s="99">
        <v>125.0</v>
      </c>
      <c r="C127" s="94" t="s">
        <v>29</v>
      </c>
      <c r="D127" s="95">
        <v>244213.0</v>
      </c>
      <c r="E127" s="94" t="s">
        <v>18</v>
      </c>
      <c r="F127" s="100" t="str">
        <f>IFERROR(VLOOKUP(A126,'ฐานข้อมูลประวัติการเข้าพัก'!A:E,2,FALSE),"")</f>
        <v>นัฐพงษ์</v>
      </c>
      <c r="G127" s="96" t="s">
        <v>19</v>
      </c>
      <c r="H127" s="97" t="str">
        <f>IFERROR(VLOOKUP(F128, 'ฐานข้อมูลประวัติการเข้าพัก'!B:E, 5, FALSE), "")</f>
        <v/>
      </c>
      <c r="I127" s="97" t="str">
        <f>IFERROR(VLOOKUP(F128, 'ฐานข้อมูลประวัติการเข้าพัก'!B:D, 4, FALSE), "")</f>
        <v/>
      </c>
      <c r="J127" s="98" t="s">
        <v>20</v>
      </c>
      <c r="K127" s="99" t="s">
        <v>21</v>
      </c>
      <c r="L127" s="99" t="s">
        <v>21</v>
      </c>
      <c r="M127" s="100">
        <f t="shared" si="1"/>
        <v>244214</v>
      </c>
    </row>
    <row r="128" hidden="1" outlineLevel="1">
      <c r="A128" s="93" t="s">
        <v>382</v>
      </c>
      <c r="B128" s="99">
        <v>126.0</v>
      </c>
      <c r="C128" s="94" t="s">
        <v>29</v>
      </c>
      <c r="D128" s="95">
        <v>244214.0</v>
      </c>
      <c r="E128" s="94" t="s">
        <v>50</v>
      </c>
      <c r="F128" s="100" t="str">
        <f>IFERROR(VLOOKUP(A127,'ฐานข้อมูลประวัติการเข้าพัก'!A:E,2,FALSE),"")</f>
        <v>ประสงค์</v>
      </c>
      <c r="G128" s="96" t="s">
        <v>19</v>
      </c>
      <c r="H128" s="97" t="str">
        <f>IFERROR(VLOOKUP(F129, 'ฐานข้อมูลประวัติการเข้าพัก'!B:E, 5, FALSE), "")</f>
        <v/>
      </c>
      <c r="I128" s="97" t="str">
        <f>IFERROR(VLOOKUP(F129, 'ฐานข้อมูลประวัติการเข้าพัก'!B:D, 4, FALSE), "")</f>
        <v/>
      </c>
      <c r="J128" s="98" t="s">
        <v>20</v>
      </c>
      <c r="K128" s="99" t="s">
        <v>21</v>
      </c>
      <c r="L128" s="99" t="s">
        <v>21</v>
      </c>
      <c r="M128" s="100">
        <f t="shared" si="1"/>
        <v>244215</v>
      </c>
    </row>
    <row r="129" hidden="1" outlineLevel="1">
      <c r="A129" s="93" t="s">
        <v>385</v>
      </c>
      <c r="B129" s="99">
        <v>127.0</v>
      </c>
      <c r="C129" s="94" t="s">
        <v>29</v>
      </c>
      <c r="D129" s="95">
        <v>244214.0</v>
      </c>
      <c r="E129" s="94" t="s">
        <v>30</v>
      </c>
      <c r="F129" s="100" t="str">
        <f>IFERROR(VLOOKUP(A128,'ฐานข้อมูลประวัติการเข้าพัก'!A:E,2,FALSE),"")</f>
        <v>กรมประมง</v>
      </c>
      <c r="G129" s="96" t="s">
        <v>19</v>
      </c>
      <c r="H129" s="97" t="str">
        <f>IFERROR(VLOOKUP(F130, 'ฐานข้อมูลประวัติการเข้าพัก'!B:E, 5, FALSE), "")</f>
        <v/>
      </c>
      <c r="I129" s="97" t="str">
        <f>IFERROR(VLOOKUP(F130, 'ฐานข้อมูลประวัติการเข้าพัก'!B:D, 4, FALSE), "")</f>
        <v/>
      </c>
      <c r="J129" s="98" t="s">
        <v>20</v>
      </c>
      <c r="K129" s="99" t="s">
        <v>21</v>
      </c>
      <c r="L129" s="99" t="s">
        <v>21</v>
      </c>
      <c r="M129" s="100">
        <f t="shared" si="1"/>
        <v>244215</v>
      </c>
    </row>
    <row r="130" hidden="1" outlineLevel="1">
      <c r="A130" s="93" t="s">
        <v>388</v>
      </c>
      <c r="B130" s="99">
        <v>128.0</v>
      </c>
      <c r="C130" s="94" t="s">
        <v>17</v>
      </c>
      <c r="D130" s="95">
        <v>244214.0</v>
      </c>
      <c r="E130" s="94" t="s">
        <v>88</v>
      </c>
      <c r="F130" s="100" t="str">
        <f>IFERROR(VLOOKUP(A129,'ฐานข้อมูลประวัติการเข้าพัก'!A:E,2,FALSE),"")</f>
        <v>นาย นันฑิตา</v>
      </c>
      <c r="G130" s="96" t="s">
        <v>19</v>
      </c>
      <c r="H130" s="97" t="str">
        <f>IFERROR(VLOOKUP(F131, 'ฐานข้อมูลประวัติการเข้าพัก'!B:E, 5, FALSE), "")</f>
        <v/>
      </c>
      <c r="I130" s="97" t="str">
        <f>IFERROR(VLOOKUP(F131, 'ฐานข้อมูลประวัติการเข้าพัก'!B:D, 4, FALSE), "")</f>
        <v/>
      </c>
      <c r="J130" s="98" t="s">
        <v>20</v>
      </c>
      <c r="K130" s="99" t="s">
        <v>21</v>
      </c>
      <c r="L130" s="99" t="s">
        <v>21</v>
      </c>
      <c r="M130" s="100">
        <f t="shared" si="1"/>
        <v>244215</v>
      </c>
    </row>
    <row r="131" hidden="1" outlineLevel="1">
      <c r="A131" s="93" t="s">
        <v>391</v>
      </c>
      <c r="B131" s="99">
        <v>130.0</v>
      </c>
      <c r="C131" s="94" t="s">
        <v>29</v>
      </c>
      <c r="D131" s="95">
        <v>244214.0</v>
      </c>
      <c r="E131" s="94" t="s">
        <v>54</v>
      </c>
      <c r="F131" s="100" t="str">
        <f>IFERROR(VLOOKUP(A130,'ฐานข้อมูลประวัติการเข้าพัก'!A:E,2,FALSE),"")</f>
        <v>อภิญญา</v>
      </c>
      <c r="G131" s="96" t="s">
        <v>19</v>
      </c>
      <c r="H131" s="97" t="str">
        <f>IFERROR(VLOOKUP(F132, 'ฐานข้อมูลประวัติการเข้าพัก'!B:E, 5, FALSE), "")</f>
        <v/>
      </c>
      <c r="I131" s="97" t="str">
        <f>IFERROR(VLOOKUP(F132, 'ฐานข้อมูลประวัติการเข้าพัก'!B:D, 4, FALSE), "")</f>
        <v/>
      </c>
      <c r="J131" s="98" t="s">
        <v>20</v>
      </c>
      <c r="K131" s="99" t="s">
        <v>21</v>
      </c>
      <c r="L131" s="99" t="s">
        <v>21</v>
      </c>
      <c r="M131" s="100">
        <f t="shared" si="1"/>
        <v>244215</v>
      </c>
    </row>
    <row r="132" hidden="1" outlineLevel="1">
      <c r="A132" s="93" t="s">
        <v>394</v>
      </c>
      <c r="B132" s="99">
        <v>131.0</v>
      </c>
      <c r="C132" s="94" t="s">
        <v>17</v>
      </c>
      <c r="D132" s="95">
        <v>244214.0</v>
      </c>
      <c r="E132" s="94" t="s">
        <v>95</v>
      </c>
      <c r="F132" s="100" t="str">
        <f>IFERROR(VLOOKUP(A131,'ฐานข้อมูลประวัติการเข้าพัก'!A:E,2,FALSE),"")</f>
        <v>ศศิพร</v>
      </c>
      <c r="G132" s="96" t="s">
        <v>19</v>
      </c>
      <c r="H132" s="97" t="str">
        <f>IFERROR(VLOOKUP(F133, 'ฐานข้อมูลประวัติการเข้าพัก'!B:E, 5, FALSE), "")</f>
        <v/>
      </c>
      <c r="I132" s="97" t="str">
        <f>IFERROR(VLOOKUP(F133, 'ฐานข้อมูลประวัติการเข้าพัก'!B:D, 4, FALSE), "")</f>
        <v/>
      </c>
      <c r="J132" s="98" t="s">
        <v>20</v>
      </c>
      <c r="K132" s="99" t="s">
        <v>21</v>
      </c>
      <c r="L132" s="99" t="s">
        <v>21</v>
      </c>
      <c r="M132" s="100">
        <f t="shared" si="1"/>
        <v>244215</v>
      </c>
    </row>
    <row r="133" hidden="1" outlineLevel="1">
      <c r="A133" s="93" t="s">
        <v>397</v>
      </c>
      <c r="B133" s="99">
        <v>132.0</v>
      </c>
      <c r="C133" s="94" t="s">
        <v>17</v>
      </c>
      <c r="D133" s="95">
        <v>244214.0</v>
      </c>
      <c r="E133" s="94" t="s">
        <v>34</v>
      </c>
      <c r="F133" s="100" t="str">
        <f>IFERROR(VLOOKUP(A132,'ฐานข้อมูลประวัติการเข้าพัก'!A:E,2,FALSE),"")</f>
        <v>ดารินทร์</v>
      </c>
      <c r="G133" s="96" t="s">
        <v>19</v>
      </c>
      <c r="H133" s="97" t="str">
        <f>IFERROR(VLOOKUP(F134, 'ฐานข้อมูลประวัติการเข้าพัก'!B:E, 5, FALSE), "")</f>
        <v/>
      </c>
      <c r="I133" s="97" t="str">
        <f>IFERROR(VLOOKUP(F134, 'ฐานข้อมูลประวัติการเข้าพัก'!B:D, 4, FALSE), "")</f>
        <v/>
      </c>
      <c r="J133" s="98" t="s">
        <v>20</v>
      </c>
      <c r="K133" s="99" t="s">
        <v>21</v>
      </c>
      <c r="L133" s="99" t="s">
        <v>21</v>
      </c>
      <c r="M133" s="100">
        <f t="shared" si="1"/>
        <v>244215</v>
      </c>
    </row>
    <row r="134" hidden="1" outlineLevel="1">
      <c r="A134" s="93" t="s">
        <v>399</v>
      </c>
      <c r="B134" s="99">
        <v>133.0</v>
      </c>
      <c r="C134" s="94" t="s">
        <v>17</v>
      </c>
      <c r="D134" s="95">
        <v>244214.0</v>
      </c>
      <c r="E134" s="94" t="s">
        <v>101</v>
      </c>
      <c r="F134" s="100" t="str">
        <f>IFERROR(VLOOKUP(A133,'ฐานข้อมูลประวัติการเข้าพัก'!A:E,2,FALSE),"")</f>
        <v>จีรวัฒน์ ชฎาทอง</v>
      </c>
      <c r="G134" s="96" t="s">
        <v>19</v>
      </c>
      <c r="H134" s="97" t="str">
        <f>IFERROR(VLOOKUP(F135, 'ฐานข้อมูลประวัติการเข้าพัก'!B:E, 5, FALSE), "")</f>
        <v/>
      </c>
      <c r="I134" s="97" t="str">
        <f>IFERROR(VLOOKUP(F135, 'ฐานข้อมูลประวัติการเข้าพัก'!B:D, 4, FALSE), "")</f>
        <v/>
      </c>
      <c r="J134" s="98" t="s">
        <v>20</v>
      </c>
      <c r="K134" s="99" t="s">
        <v>21</v>
      </c>
      <c r="L134" s="99" t="s">
        <v>21</v>
      </c>
      <c r="M134" s="100">
        <f t="shared" si="1"/>
        <v>244215</v>
      </c>
    </row>
    <row r="135" hidden="1" outlineLevel="1">
      <c r="A135" s="93" t="s">
        <v>402</v>
      </c>
      <c r="B135" s="99">
        <v>134.0</v>
      </c>
      <c r="C135" s="94" t="s">
        <v>29</v>
      </c>
      <c r="D135" s="95">
        <v>244215.0</v>
      </c>
      <c r="E135" s="94" t="s">
        <v>30</v>
      </c>
      <c r="F135" s="100" t="str">
        <f>IFERROR(VLOOKUP(A134,'ฐานข้อมูลประวัติการเข้าพัก'!A:E,2,FALSE),"")</f>
        <v>ประวิทย์</v>
      </c>
      <c r="G135" s="96" t="s">
        <v>19</v>
      </c>
      <c r="H135" s="97" t="str">
        <f>IFERROR(VLOOKUP(F136, 'ฐานข้อมูลประวัติการเข้าพัก'!B:E, 5, FALSE), "")</f>
        <v/>
      </c>
      <c r="I135" s="97" t="str">
        <f>IFERROR(VLOOKUP(F136, 'ฐานข้อมูลประวัติการเข้าพัก'!B:D, 4, FALSE), "")</f>
        <v/>
      </c>
      <c r="J135" s="98" t="s">
        <v>20</v>
      </c>
      <c r="K135" s="99" t="s">
        <v>21</v>
      </c>
      <c r="L135" s="99" t="s">
        <v>21</v>
      </c>
      <c r="M135" s="100">
        <f t="shared" si="1"/>
        <v>244216</v>
      </c>
    </row>
    <row r="136" hidden="1" outlineLevel="1">
      <c r="A136" s="93" t="s">
        <v>405</v>
      </c>
      <c r="B136" s="99">
        <v>135.0</v>
      </c>
      <c r="C136" s="94" t="s">
        <v>17</v>
      </c>
      <c r="D136" s="95">
        <v>244215.0</v>
      </c>
      <c r="E136" s="94" t="s">
        <v>38</v>
      </c>
      <c r="F136" s="100" t="str">
        <f>IFERROR(VLOOKUP(A135,'ฐานข้อมูลประวัติการเข้าพัก'!A:E,2,FALSE),"")</f>
        <v>แทนรัก</v>
      </c>
      <c r="G136" s="96" t="s">
        <v>19</v>
      </c>
      <c r="H136" s="97" t="str">
        <f>IFERROR(VLOOKUP(F137, 'ฐานข้อมูลประวัติการเข้าพัก'!B:E, 5, FALSE), "")</f>
        <v/>
      </c>
      <c r="I136" s="97" t="str">
        <f>IFERROR(VLOOKUP(F137, 'ฐานข้อมูลประวัติการเข้าพัก'!B:D, 4, FALSE), "")</f>
        <v/>
      </c>
      <c r="J136" s="98" t="s">
        <v>20</v>
      </c>
      <c r="K136" s="99" t="s">
        <v>21</v>
      </c>
      <c r="L136" s="99" t="s">
        <v>21</v>
      </c>
      <c r="M136" s="100">
        <f t="shared" si="1"/>
        <v>244216</v>
      </c>
    </row>
    <row r="137" hidden="1" outlineLevel="1">
      <c r="A137" s="93" t="s">
        <v>408</v>
      </c>
      <c r="B137" s="99">
        <v>136.0</v>
      </c>
      <c r="C137" s="94" t="s">
        <v>17</v>
      </c>
      <c r="D137" s="95">
        <v>244215.0</v>
      </c>
      <c r="E137" s="94" t="s">
        <v>111</v>
      </c>
      <c r="F137" s="100" t="str">
        <f>IFERROR(VLOOKUP(A136,'ฐานข้อมูลประวัติการเข้าพัก'!A:E,2,FALSE),"")</f>
        <v>อรรณพ ลอนชา</v>
      </c>
      <c r="G137" s="96" t="s">
        <v>19</v>
      </c>
      <c r="H137" s="97" t="str">
        <f>IFERROR(VLOOKUP(F138, 'ฐานข้อมูลประวัติการเข้าพัก'!B:E, 5, FALSE), "")</f>
        <v/>
      </c>
      <c r="I137" s="97" t="str">
        <f>IFERROR(VLOOKUP(F138, 'ฐานข้อมูลประวัติการเข้าพัก'!B:D, 4, FALSE), "")</f>
        <v/>
      </c>
      <c r="J137" s="98" t="s">
        <v>20</v>
      </c>
      <c r="K137" s="99" t="s">
        <v>21</v>
      </c>
      <c r="L137" s="99" t="s">
        <v>21</v>
      </c>
      <c r="M137" s="100">
        <f t="shared" si="1"/>
        <v>244216</v>
      </c>
    </row>
    <row r="138" hidden="1" outlineLevel="1">
      <c r="A138" s="93" t="s">
        <v>411</v>
      </c>
      <c r="B138" s="99">
        <v>137.0</v>
      </c>
      <c r="C138" s="94" t="s">
        <v>29</v>
      </c>
      <c r="D138" s="95">
        <v>244215.0</v>
      </c>
      <c r="E138" s="94" t="s">
        <v>50</v>
      </c>
      <c r="F138" s="100" t="str">
        <f>IFERROR(VLOOKUP(A137,'ฐานข้อมูลประวัติการเข้าพัก'!A:E,2,FALSE),"")</f>
        <v>วิชัย ศรีมาลา</v>
      </c>
      <c r="G138" s="96" t="s">
        <v>19</v>
      </c>
      <c r="H138" s="97" t="str">
        <f>IFERROR(VLOOKUP(F139, 'ฐานข้อมูลประวัติการเข้าพัก'!B:E, 5, FALSE), "")</f>
        <v/>
      </c>
      <c r="I138" s="97" t="str">
        <f>IFERROR(VLOOKUP(F139, 'ฐานข้อมูลประวัติการเข้าพัก'!B:D, 4, FALSE), "")</f>
        <v/>
      </c>
      <c r="J138" s="98" t="s">
        <v>20</v>
      </c>
      <c r="K138" s="99" t="s">
        <v>21</v>
      </c>
      <c r="L138" s="99" t="s">
        <v>21</v>
      </c>
      <c r="M138" s="100">
        <f t="shared" si="1"/>
        <v>244216</v>
      </c>
    </row>
    <row r="139" hidden="1" outlineLevel="1">
      <c r="A139" s="93" t="s">
        <v>414</v>
      </c>
      <c r="B139" s="99">
        <v>138.0</v>
      </c>
      <c r="C139" s="94" t="s">
        <v>29</v>
      </c>
      <c r="D139" s="95">
        <v>244215.0</v>
      </c>
      <c r="E139" s="94" t="s">
        <v>50</v>
      </c>
      <c r="F139" s="100" t="str">
        <f>IFERROR(VLOOKUP(A138,'ฐานข้อมูลประวัติการเข้าพัก'!A:E,2,FALSE),"")</f>
        <v>สิรภพ สีพรม</v>
      </c>
      <c r="G139" s="96" t="s">
        <v>19</v>
      </c>
      <c r="H139" s="97" t="str">
        <f>IFERROR(VLOOKUP(F140, 'ฐานข้อมูลประวัติการเข้าพัก'!B:E, 5, FALSE), "")</f>
        <v/>
      </c>
      <c r="I139" s="97" t="str">
        <f>IFERROR(VLOOKUP(F140, 'ฐานข้อมูลประวัติการเข้าพัก'!B:D, 4, FALSE), "")</f>
        <v/>
      </c>
      <c r="J139" s="98" t="s">
        <v>20</v>
      </c>
      <c r="K139" s="99" t="s">
        <v>21</v>
      </c>
      <c r="L139" s="99" t="s">
        <v>21</v>
      </c>
      <c r="M139" s="100">
        <f t="shared" si="1"/>
        <v>244216</v>
      </c>
    </row>
    <row r="140" hidden="1" outlineLevel="1">
      <c r="A140" s="93" t="s">
        <v>417</v>
      </c>
      <c r="B140" s="99">
        <v>139.0</v>
      </c>
      <c r="C140" s="94" t="s">
        <v>29</v>
      </c>
      <c r="D140" s="95">
        <v>244215.0</v>
      </c>
      <c r="E140" s="94" t="s">
        <v>54</v>
      </c>
      <c r="F140" s="100" t="str">
        <f>IFERROR(VLOOKUP(A139,'ฐานข้อมูลประวัติการเข้าพัก'!A:E,2,FALSE),"")</f>
        <v>ธนพิทักษ์ อุปชัย</v>
      </c>
      <c r="G140" s="96" t="s">
        <v>19</v>
      </c>
      <c r="H140" s="97" t="str">
        <f>IFERROR(VLOOKUP(F141, 'ฐานข้อมูลประวัติการเข้าพัก'!B:E, 5, FALSE), "")</f>
        <v/>
      </c>
      <c r="I140" s="97" t="str">
        <f>IFERROR(VLOOKUP(F141, 'ฐานข้อมูลประวัติการเข้าพัก'!B:D, 4, FALSE), "")</f>
        <v/>
      </c>
      <c r="J140" s="98" t="s">
        <v>20</v>
      </c>
      <c r="K140" s="99" t="s">
        <v>21</v>
      </c>
      <c r="L140" s="99" t="s">
        <v>21</v>
      </c>
      <c r="M140" s="100">
        <f t="shared" si="1"/>
        <v>244216</v>
      </c>
    </row>
    <row r="141" hidden="1" outlineLevel="1">
      <c r="A141" s="93" t="s">
        <v>419</v>
      </c>
      <c r="B141" s="99">
        <v>140.0</v>
      </c>
      <c r="C141" s="94" t="s">
        <v>17</v>
      </c>
      <c r="D141" s="95">
        <v>244215.0</v>
      </c>
      <c r="E141" s="94" t="s">
        <v>124</v>
      </c>
      <c r="F141" s="100" t="str">
        <f>IFERROR(VLOOKUP(A140,'ฐานข้อมูลประวัติการเข้าพัก'!A:E,2,FALSE),"")</f>
        <v>คุณธีระ</v>
      </c>
      <c r="G141" s="96" t="s">
        <v>19</v>
      </c>
      <c r="H141" s="97" t="str">
        <f>IFERROR(VLOOKUP(F142, 'ฐานข้อมูลประวัติการเข้าพัก'!B:E, 5, FALSE), "")</f>
        <v/>
      </c>
      <c r="I141" s="97" t="str">
        <f>IFERROR(VLOOKUP(F142, 'ฐานข้อมูลประวัติการเข้าพัก'!B:D, 4, FALSE), "")</f>
        <v/>
      </c>
      <c r="J141" s="98" t="s">
        <v>20</v>
      </c>
      <c r="K141" s="99" t="s">
        <v>21</v>
      </c>
      <c r="L141" s="99" t="s">
        <v>21</v>
      </c>
      <c r="M141" s="100">
        <f t="shared" si="1"/>
        <v>244216</v>
      </c>
    </row>
    <row r="142" hidden="1" outlineLevel="1">
      <c r="A142" s="93" t="s">
        <v>422</v>
      </c>
      <c r="B142" s="99">
        <v>141.0</v>
      </c>
      <c r="C142" s="94" t="s">
        <v>29</v>
      </c>
      <c r="D142" s="95">
        <v>244215.0</v>
      </c>
      <c r="E142" s="94" t="s">
        <v>80</v>
      </c>
      <c r="F142" s="100" t="str">
        <f>IFERROR(VLOOKUP(A141,'ฐานข้อมูลประวัติการเข้าพัก'!A:E,2,FALSE),"")</f>
        <v>คุณหนึ่ง</v>
      </c>
      <c r="G142" s="96" t="s">
        <v>19</v>
      </c>
      <c r="H142" s="97" t="str">
        <f>IFERROR(VLOOKUP(F143, 'ฐานข้อมูลประวัติการเข้าพัก'!B:E, 5, FALSE), "")</f>
        <v/>
      </c>
      <c r="I142" s="97" t="str">
        <f>IFERROR(VLOOKUP(F143, 'ฐานข้อมูลประวัติการเข้าพัก'!B:D, 4, FALSE), "")</f>
        <v/>
      </c>
      <c r="J142" s="98" t="s">
        <v>20</v>
      </c>
      <c r="K142" s="99" t="s">
        <v>21</v>
      </c>
      <c r="L142" s="99" t="s">
        <v>21</v>
      </c>
      <c r="M142" s="100">
        <f t="shared" si="1"/>
        <v>244216</v>
      </c>
    </row>
    <row r="143" hidden="1" outlineLevel="1">
      <c r="A143" s="93" t="s">
        <v>425</v>
      </c>
      <c r="B143" s="99">
        <v>142.0</v>
      </c>
      <c r="C143" s="94" t="s">
        <v>17</v>
      </c>
      <c r="D143" s="95">
        <v>244216.0</v>
      </c>
      <c r="E143" s="94" t="s">
        <v>144</v>
      </c>
      <c r="F143" s="100" t="str">
        <f>IFERROR(VLOOKUP(A142,'ฐานข้อมูลประวัติการเข้าพัก'!A:E,2,FALSE),"")</f>
        <v>รุ่งนภา บัวโอกาส</v>
      </c>
      <c r="G143" s="96" t="s">
        <v>19</v>
      </c>
      <c r="H143" s="97" t="str">
        <f>IFERROR(VLOOKUP(F144, 'ฐานข้อมูลประวัติการเข้าพัก'!B:E, 5, FALSE), "")</f>
        <v/>
      </c>
      <c r="I143" s="97" t="str">
        <f>IFERROR(VLOOKUP(F144, 'ฐานข้อมูลประวัติการเข้าพัก'!B:D, 4, FALSE), "")</f>
        <v/>
      </c>
      <c r="J143" s="98" t="s">
        <v>20</v>
      </c>
      <c r="K143" s="99" t="s">
        <v>21</v>
      </c>
      <c r="L143" s="99" t="s">
        <v>21</v>
      </c>
      <c r="M143" s="100">
        <f t="shared" si="1"/>
        <v>244217</v>
      </c>
    </row>
    <row r="144" hidden="1" outlineLevel="1">
      <c r="A144" s="93" t="s">
        <v>428</v>
      </c>
      <c r="B144" s="99">
        <v>143.0</v>
      </c>
      <c r="C144" s="94" t="s">
        <v>17</v>
      </c>
      <c r="D144" s="95">
        <v>244217.0</v>
      </c>
      <c r="E144" s="94" t="s">
        <v>101</v>
      </c>
      <c r="F144" s="100" t="str">
        <f>IFERROR(VLOOKUP(A143,'ฐานข้อมูลประวัติการเข้าพัก'!A:E,2,FALSE),"")</f>
        <v>บริษัท บิ๊ก วัน อินเตอร์เทรด จำกัด</v>
      </c>
      <c r="G144" s="96" t="s">
        <v>19</v>
      </c>
      <c r="H144" s="97" t="str">
        <f>IFERROR(VLOOKUP(F145, 'ฐานข้อมูลประวัติการเข้าพัก'!B:E, 5, FALSE), "")</f>
        <v/>
      </c>
      <c r="I144" s="97" t="str">
        <f>IFERROR(VLOOKUP(F145, 'ฐานข้อมูลประวัติการเข้าพัก'!B:D, 4, FALSE), "")</f>
        <v/>
      </c>
      <c r="J144" s="98" t="s">
        <v>20</v>
      </c>
      <c r="K144" s="99" t="s">
        <v>21</v>
      </c>
      <c r="L144" s="99" t="s">
        <v>21</v>
      </c>
      <c r="M144" s="100">
        <f t="shared" si="1"/>
        <v>244218</v>
      </c>
    </row>
    <row r="145" hidden="1" outlineLevel="1">
      <c r="A145" s="93" t="s">
        <v>431</v>
      </c>
      <c r="B145" s="99">
        <v>144.0</v>
      </c>
      <c r="C145" s="94" t="s">
        <v>17</v>
      </c>
      <c r="D145" s="95">
        <v>244217.0</v>
      </c>
      <c r="E145" s="94" t="s">
        <v>60</v>
      </c>
      <c r="F145" s="100" t="str">
        <f>IFERROR(VLOOKUP(A144,'ฐานข้อมูลประวัติการเข้าพัก'!A:E,2,FALSE),"")</f>
        <v>สามรวมมิตร</v>
      </c>
      <c r="G145" s="96" t="s">
        <v>19</v>
      </c>
      <c r="H145" s="97" t="str">
        <f>IFERROR(VLOOKUP(F146, 'ฐานข้อมูลประวัติการเข้าพัก'!B:E, 5, FALSE), "")</f>
        <v/>
      </c>
      <c r="I145" s="97" t="str">
        <f>IFERROR(VLOOKUP(F146, 'ฐานข้อมูลประวัติการเข้าพัก'!B:D, 4, FALSE), "")</f>
        <v/>
      </c>
      <c r="J145" s="98" t="s">
        <v>20</v>
      </c>
      <c r="K145" s="99" t="s">
        <v>21</v>
      </c>
      <c r="L145" s="99" t="s">
        <v>21</v>
      </c>
      <c r="M145" s="100">
        <f t="shared" si="1"/>
        <v>244218</v>
      </c>
    </row>
    <row r="146" hidden="1" outlineLevel="1">
      <c r="A146" s="93" t="s">
        <v>434</v>
      </c>
      <c r="B146" s="99">
        <v>145.0</v>
      </c>
      <c r="C146" s="94" t="s">
        <v>29</v>
      </c>
      <c r="D146" s="95">
        <v>244217.0</v>
      </c>
      <c r="E146" s="94" t="s">
        <v>335</v>
      </c>
      <c r="F146" s="100" t="str">
        <f>IFERROR(VLOOKUP(A145,'ฐานข้อมูลประวัติการเข้าพัก'!A:E,2,FALSE),"")</f>
        <v>สมชาย</v>
      </c>
      <c r="G146" s="96" t="s">
        <v>19</v>
      </c>
      <c r="H146" s="97" t="str">
        <f>IFERROR(VLOOKUP(F147, 'ฐานข้อมูลประวัติการเข้าพัก'!B:E, 5, FALSE), "")</f>
        <v/>
      </c>
      <c r="I146" s="97" t="str">
        <f>IFERROR(VLOOKUP(F147, 'ฐานข้อมูลประวัติการเข้าพัก'!B:D, 4, FALSE), "")</f>
        <v/>
      </c>
      <c r="J146" s="98" t="s">
        <v>20</v>
      </c>
      <c r="K146" s="99" t="s">
        <v>21</v>
      </c>
      <c r="L146" s="99" t="s">
        <v>21</v>
      </c>
      <c r="M146" s="100">
        <f t="shared" si="1"/>
        <v>244218</v>
      </c>
    </row>
    <row r="147" hidden="1" outlineLevel="1">
      <c r="A147" s="93" t="s">
        <v>436</v>
      </c>
      <c r="B147" s="99">
        <v>146.0</v>
      </c>
      <c r="C147" s="94" t="s">
        <v>17</v>
      </c>
      <c r="D147" s="95">
        <v>244217.0</v>
      </c>
      <c r="E147" s="94" t="s">
        <v>50</v>
      </c>
      <c r="F147" s="100" t="str">
        <f>IFERROR(VLOOKUP(A146,'ฐานข้อมูลประวัติการเข้าพัก'!A:E,2,FALSE),"")</f>
        <v>ปพิชญา นุสน</v>
      </c>
      <c r="G147" s="96" t="s">
        <v>19</v>
      </c>
      <c r="H147" s="97" t="str">
        <f>IFERROR(VLOOKUP(F148, 'ฐานข้อมูลประวัติการเข้าพัก'!B:E, 5, FALSE), "")</f>
        <v/>
      </c>
      <c r="I147" s="97" t="str">
        <f>IFERROR(VLOOKUP(F148, 'ฐานข้อมูลประวัติการเข้าพัก'!B:D, 4, FALSE), "")</f>
        <v/>
      </c>
      <c r="J147" s="98" t="s">
        <v>20</v>
      </c>
      <c r="K147" s="99" t="s">
        <v>21</v>
      </c>
      <c r="L147" s="99" t="s">
        <v>21</v>
      </c>
      <c r="M147" s="100">
        <f t="shared" si="1"/>
        <v>244218</v>
      </c>
    </row>
    <row r="148" hidden="1" outlineLevel="1">
      <c r="A148" s="93" t="s">
        <v>439</v>
      </c>
      <c r="B148" s="99">
        <v>147.0</v>
      </c>
      <c r="C148" s="94" t="s">
        <v>17</v>
      </c>
      <c r="D148" s="95">
        <v>244217.0</v>
      </c>
      <c r="E148" s="94" t="s">
        <v>38</v>
      </c>
      <c r="F148" s="100" t="str">
        <f>IFERROR(VLOOKUP(A147,'ฐานข้อมูลประวัติการเข้าพัก'!A:E,2,FALSE),"")</f>
        <v>ณัฐวัฒน์</v>
      </c>
      <c r="G148" s="96" t="s">
        <v>19</v>
      </c>
      <c r="H148" s="97" t="str">
        <f>IFERROR(VLOOKUP(F149, 'ฐานข้อมูลประวัติการเข้าพัก'!B:E, 5, FALSE), "")</f>
        <v/>
      </c>
      <c r="I148" s="97" t="str">
        <f>IFERROR(VLOOKUP(F149, 'ฐานข้อมูลประวัติการเข้าพัก'!B:D, 4, FALSE), "")</f>
        <v/>
      </c>
      <c r="J148" s="98" t="s">
        <v>20</v>
      </c>
      <c r="K148" s="99" t="s">
        <v>21</v>
      </c>
      <c r="L148" s="99" t="s">
        <v>21</v>
      </c>
      <c r="M148" s="100">
        <f t="shared" si="1"/>
        <v>244218</v>
      </c>
    </row>
    <row r="149" hidden="1" outlineLevel="1">
      <c r="A149" s="93" t="s">
        <v>442</v>
      </c>
      <c r="B149" s="99">
        <v>148.0</v>
      </c>
      <c r="C149" s="94" t="s">
        <v>29</v>
      </c>
      <c r="D149" s="95">
        <v>244217.0</v>
      </c>
      <c r="E149" s="94" t="s">
        <v>34</v>
      </c>
      <c r="F149" s="100" t="str">
        <f>IFERROR(VLOOKUP(A148,'ฐานข้อมูลประวัติการเข้าพัก'!A:E,2,FALSE),"")</f>
        <v>น.ส.ณัฐฌา</v>
      </c>
      <c r="G149" s="96" t="s">
        <v>19</v>
      </c>
      <c r="H149" s="97" t="str">
        <f>IFERROR(VLOOKUP(F150, 'ฐานข้อมูลประวัติการเข้าพัก'!B:E, 5, FALSE), "")</f>
        <v/>
      </c>
      <c r="I149" s="97" t="str">
        <f>IFERROR(VLOOKUP(F150, 'ฐานข้อมูลประวัติการเข้าพัก'!B:D, 4, FALSE), "")</f>
        <v/>
      </c>
      <c r="J149" s="98" t="s">
        <v>20</v>
      </c>
      <c r="K149" s="99" t="s">
        <v>21</v>
      </c>
      <c r="L149" s="99" t="s">
        <v>21</v>
      </c>
      <c r="M149" s="100">
        <f t="shared" si="1"/>
        <v>244218</v>
      </c>
    </row>
    <row r="150" hidden="1" outlineLevel="1">
      <c r="A150" s="93" t="s">
        <v>445</v>
      </c>
      <c r="B150" s="99">
        <v>149.0</v>
      </c>
      <c r="C150" s="94" t="s">
        <v>29</v>
      </c>
      <c r="D150" s="95">
        <v>244217.0</v>
      </c>
      <c r="E150" s="94" t="s">
        <v>38</v>
      </c>
      <c r="F150" s="100" t="str">
        <f>IFERROR(VLOOKUP(A149,'ฐานข้อมูลประวัติการเข้าพัก'!A:E,2,FALSE),"")</f>
        <v>วัชระ  พรหม</v>
      </c>
      <c r="G150" s="96" t="s">
        <v>19</v>
      </c>
      <c r="H150" s="97" t="str">
        <f>IFERROR(VLOOKUP(F151, 'ฐานข้อมูลประวัติการเข้าพัก'!B:E, 5, FALSE), "")</f>
        <v/>
      </c>
      <c r="I150" s="97" t="str">
        <f>IFERROR(VLOOKUP(F151, 'ฐานข้อมูลประวัติการเข้าพัก'!B:D, 4, FALSE), "")</f>
        <v/>
      </c>
      <c r="J150" s="98" t="s">
        <v>20</v>
      </c>
      <c r="K150" s="99" t="s">
        <v>21</v>
      </c>
      <c r="L150" s="99" t="s">
        <v>21</v>
      </c>
      <c r="M150" s="100">
        <f t="shared" si="1"/>
        <v>244218</v>
      </c>
    </row>
    <row r="151" hidden="1" outlineLevel="1">
      <c r="A151" s="93" t="s">
        <v>448</v>
      </c>
      <c r="B151" s="99">
        <v>150.0</v>
      </c>
      <c r="C151" s="94" t="s">
        <v>29</v>
      </c>
      <c r="D151" s="95">
        <v>244217.0</v>
      </c>
      <c r="E151" s="94" t="s">
        <v>80</v>
      </c>
      <c r="F151" s="100" t="str">
        <f>IFERROR(VLOOKUP(A150,'ฐานข้อมูลประวัติการเข้าพัก'!A:E,2,FALSE),"")</f>
        <v>คุณศรชัย</v>
      </c>
      <c r="G151" s="96" t="s">
        <v>19</v>
      </c>
      <c r="H151" s="97" t="str">
        <f>IFERROR(VLOOKUP(F152, 'ฐานข้อมูลประวัติการเข้าพัก'!B:E, 5, FALSE), "")</f>
        <v/>
      </c>
      <c r="I151" s="97" t="str">
        <f>IFERROR(VLOOKUP(F152, 'ฐานข้อมูลประวัติการเข้าพัก'!B:D, 4, FALSE), "")</f>
        <v/>
      </c>
      <c r="J151" s="98" t="s">
        <v>20</v>
      </c>
      <c r="K151" s="99" t="s">
        <v>21</v>
      </c>
      <c r="L151" s="99" t="s">
        <v>21</v>
      </c>
      <c r="M151" s="100">
        <f t="shared" si="1"/>
        <v>244218</v>
      </c>
    </row>
    <row r="152" hidden="1" outlineLevel="1">
      <c r="A152" s="93" t="s">
        <v>451</v>
      </c>
      <c r="B152" s="99">
        <v>151.0</v>
      </c>
      <c r="C152" s="94" t="s">
        <v>17</v>
      </c>
      <c r="D152" s="95">
        <v>244217.0</v>
      </c>
      <c r="E152" s="94" t="s">
        <v>454</v>
      </c>
      <c r="F152" s="100" t="str">
        <f>IFERROR(VLOOKUP(A151,'ฐานข้อมูลประวัติการเข้าพัก'!A:E,2,FALSE),"")</f>
        <v>ศรัณย์ รื่นรมย์</v>
      </c>
      <c r="G152" s="96" t="s">
        <v>19</v>
      </c>
      <c r="H152" s="97" t="str">
        <f>IFERROR(VLOOKUP(F153, 'ฐานข้อมูลประวัติการเข้าพัก'!B:E, 5, FALSE), "")</f>
        <v/>
      </c>
      <c r="I152" s="97" t="str">
        <f>IFERROR(VLOOKUP(F153, 'ฐานข้อมูลประวัติการเข้าพัก'!B:D, 4, FALSE), "")</f>
        <v/>
      </c>
      <c r="J152" s="98" t="s">
        <v>20</v>
      </c>
      <c r="K152" s="99" t="s">
        <v>21</v>
      </c>
      <c r="L152" s="99" t="s">
        <v>21</v>
      </c>
      <c r="M152" s="100">
        <f t="shared" si="1"/>
        <v>244218</v>
      </c>
    </row>
    <row r="153" hidden="1" outlineLevel="1">
      <c r="A153" s="93" t="s">
        <v>455</v>
      </c>
      <c r="B153" s="99">
        <v>152.0</v>
      </c>
      <c r="C153" s="94" t="s">
        <v>29</v>
      </c>
      <c r="D153" s="95">
        <v>244218.0</v>
      </c>
      <c r="E153" s="94" t="s">
        <v>50</v>
      </c>
      <c r="F153" s="100" t="str">
        <f>IFERROR(VLOOKUP(A152,'ฐานข้อมูลประวัติการเข้าพัก'!A:E,2,FALSE),"")</f>
        <v>วิชิต ผิวขวา</v>
      </c>
      <c r="G153" s="96" t="s">
        <v>19</v>
      </c>
      <c r="H153" s="97" t="str">
        <f>IFERROR(VLOOKUP(F154, 'ฐานข้อมูลประวัติการเข้าพัก'!B:E, 5, FALSE), "")</f>
        <v/>
      </c>
      <c r="I153" s="97" t="str">
        <f>IFERROR(VLOOKUP(F154, 'ฐานข้อมูลประวัติการเข้าพัก'!B:D, 4, FALSE), "")</f>
        <v/>
      </c>
      <c r="J153" s="98" t="s">
        <v>20</v>
      </c>
      <c r="K153" s="99" t="s">
        <v>21</v>
      </c>
      <c r="L153" s="99" t="s">
        <v>21</v>
      </c>
      <c r="M153" s="100">
        <f t="shared" si="1"/>
        <v>244219</v>
      </c>
    </row>
    <row r="154" hidden="1" outlineLevel="1">
      <c r="A154" s="93" t="s">
        <v>458</v>
      </c>
      <c r="B154" s="99">
        <v>153.0</v>
      </c>
      <c r="C154" s="94" t="s">
        <v>17</v>
      </c>
      <c r="D154" s="95">
        <v>244218.0</v>
      </c>
      <c r="E154" s="94" t="s">
        <v>30</v>
      </c>
      <c r="F154" s="100" t="str">
        <f>IFERROR(VLOOKUP(A153,'ฐานข้อมูลประวัติการเข้าพัก'!A:E,2,FALSE),"")</f>
        <v>ถิรายุ</v>
      </c>
      <c r="G154" s="96" t="s">
        <v>19</v>
      </c>
      <c r="H154" s="97" t="str">
        <f>IFERROR(VLOOKUP(F155, 'ฐานข้อมูลประวัติการเข้าพัก'!B:E, 5, FALSE), "")</f>
        <v/>
      </c>
      <c r="I154" s="97" t="str">
        <f>IFERROR(VLOOKUP(F155, 'ฐานข้อมูลประวัติการเข้าพัก'!B:D, 4, FALSE), "")</f>
        <v/>
      </c>
      <c r="J154" s="98" t="s">
        <v>20</v>
      </c>
      <c r="K154" s="99" t="s">
        <v>21</v>
      </c>
      <c r="L154" s="99" t="s">
        <v>21</v>
      </c>
      <c r="M154" s="100">
        <f t="shared" si="1"/>
        <v>244219</v>
      </c>
    </row>
    <row r="155" hidden="1" outlineLevel="1">
      <c r="A155" s="93" t="s">
        <v>461</v>
      </c>
      <c r="B155" s="99">
        <v>154.0</v>
      </c>
      <c r="C155" s="94" t="s">
        <v>17</v>
      </c>
      <c r="D155" s="95">
        <v>244218.0</v>
      </c>
      <c r="E155" s="94" t="s">
        <v>50</v>
      </c>
      <c r="F155" s="100" t="str">
        <f>IFERROR(VLOOKUP(A154,'ฐานข้อมูลประวัติการเข้าพัก'!A:E,2,FALSE),"")</f>
        <v>กฤษฎา</v>
      </c>
      <c r="G155" s="96" t="s">
        <v>19</v>
      </c>
      <c r="H155" s="97" t="str">
        <f>IFERROR(VLOOKUP(F156, 'ฐานข้อมูลประวัติการเข้าพัก'!B:E, 5, FALSE), "")</f>
        <v/>
      </c>
      <c r="I155" s="97" t="str">
        <f>IFERROR(VLOOKUP(F156, 'ฐานข้อมูลประวัติการเข้าพัก'!B:D, 4, FALSE), "")</f>
        <v/>
      </c>
      <c r="J155" s="98" t="s">
        <v>20</v>
      </c>
      <c r="K155" s="99" t="s">
        <v>21</v>
      </c>
      <c r="L155" s="99" t="s">
        <v>21</v>
      </c>
      <c r="M155" s="100">
        <f t="shared" si="1"/>
        <v>244219</v>
      </c>
    </row>
    <row r="156" hidden="1" outlineLevel="1">
      <c r="A156" s="93" t="s">
        <v>464</v>
      </c>
      <c r="B156" s="99">
        <v>155.0</v>
      </c>
      <c r="C156" s="94" t="s">
        <v>17</v>
      </c>
      <c r="D156" s="95">
        <v>244218.0</v>
      </c>
      <c r="E156" s="94" t="s">
        <v>467</v>
      </c>
      <c r="F156" s="100" t="str">
        <f>IFERROR(VLOOKUP(A155,'ฐานข้อมูลประวัติการเข้าพัก'!A:E,2,FALSE),"")</f>
        <v>วิรัตน์</v>
      </c>
      <c r="G156" s="96" t="s">
        <v>19</v>
      </c>
      <c r="H156" s="97" t="str">
        <f>IFERROR(VLOOKUP(F157, 'ฐานข้อมูลประวัติการเข้าพัก'!B:E, 5, FALSE), "")</f>
        <v/>
      </c>
      <c r="I156" s="97" t="str">
        <f>IFERROR(VLOOKUP(F157, 'ฐานข้อมูลประวัติการเข้าพัก'!B:D, 4, FALSE), "")</f>
        <v/>
      </c>
      <c r="J156" s="98" t="s">
        <v>20</v>
      </c>
      <c r="K156" s="99" t="s">
        <v>21</v>
      </c>
      <c r="L156" s="99" t="s">
        <v>21</v>
      </c>
      <c r="M156" s="100">
        <f t="shared" si="1"/>
        <v>244219</v>
      </c>
    </row>
    <row r="157" hidden="1" outlineLevel="1">
      <c r="A157" s="93" t="s">
        <v>468</v>
      </c>
      <c r="B157" s="99">
        <v>156.0</v>
      </c>
      <c r="C157" s="94" t="s">
        <v>29</v>
      </c>
      <c r="D157" s="95">
        <v>244218.0</v>
      </c>
      <c r="E157" s="94" t="s">
        <v>232</v>
      </c>
      <c r="F157" s="100" t="str">
        <f>IFERROR(VLOOKUP(A156,'ฐานข้อมูลประวัติการเข้าพัก'!A:E,2,FALSE),"")</f>
        <v>นาย สมใจ บุญส่ง</v>
      </c>
      <c r="G157" s="96" t="s">
        <v>19</v>
      </c>
      <c r="H157" s="97" t="str">
        <f>IFERROR(VLOOKUP(F158, 'ฐานข้อมูลประวัติการเข้าพัก'!B:E, 5, FALSE), "")</f>
        <v/>
      </c>
      <c r="I157" s="97" t="str">
        <f>IFERROR(VLOOKUP(F158, 'ฐานข้อมูลประวัติการเข้าพัก'!B:D, 4, FALSE), "")</f>
        <v/>
      </c>
      <c r="J157" s="98" t="s">
        <v>20</v>
      </c>
      <c r="K157" s="99" t="s">
        <v>21</v>
      </c>
      <c r="L157" s="99" t="s">
        <v>21</v>
      </c>
      <c r="M157" s="100">
        <f t="shared" si="1"/>
        <v>244219</v>
      </c>
    </row>
    <row r="158" hidden="1" outlineLevel="1">
      <c r="A158" s="93" t="s">
        <v>470</v>
      </c>
      <c r="B158" s="99">
        <v>157.0</v>
      </c>
      <c r="C158" s="94" t="s">
        <v>17</v>
      </c>
      <c r="D158" s="95">
        <v>244218.0</v>
      </c>
      <c r="E158" s="94" t="s">
        <v>46</v>
      </c>
      <c r="F158" s="100" t="str">
        <f>IFERROR(VLOOKUP(A157,'ฐานข้อมูลประวัติการเข้าพัก'!A:E,2,FALSE),"")</f>
        <v>รถน้ำส้ม</v>
      </c>
      <c r="G158" s="96" t="s">
        <v>19</v>
      </c>
      <c r="H158" s="97" t="str">
        <f>IFERROR(VLOOKUP(F159, 'ฐานข้อมูลประวัติการเข้าพัก'!B:E, 5, FALSE), "")</f>
        <v/>
      </c>
      <c r="I158" s="97" t="str">
        <f>IFERROR(VLOOKUP(F159, 'ฐานข้อมูลประวัติการเข้าพัก'!B:D, 4, FALSE), "")</f>
        <v/>
      </c>
      <c r="J158" s="98" t="s">
        <v>20</v>
      </c>
      <c r="K158" s="99" t="s">
        <v>21</v>
      </c>
      <c r="L158" s="99" t="s">
        <v>21</v>
      </c>
      <c r="M158" s="100">
        <f t="shared" si="1"/>
        <v>244219</v>
      </c>
    </row>
    <row r="159" hidden="1" outlineLevel="1">
      <c r="A159" s="93" t="s">
        <v>473</v>
      </c>
      <c r="B159" s="99">
        <v>158.0</v>
      </c>
      <c r="C159" s="94" t="s">
        <v>17</v>
      </c>
      <c r="D159" s="95">
        <v>244218.0</v>
      </c>
      <c r="E159" s="94" t="s">
        <v>38</v>
      </c>
      <c r="F159" s="100" t="str">
        <f>IFERROR(VLOOKUP(A158,'ฐานข้อมูลประวัติการเข้าพัก'!A:E,2,FALSE),"")</f>
        <v>สงกรานต์</v>
      </c>
      <c r="G159" s="96" t="s">
        <v>19</v>
      </c>
      <c r="H159" s="97" t="str">
        <f>IFERROR(VLOOKUP(F160, 'ฐานข้อมูลประวัติการเข้าพัก'!B:E, 5, FALSE), "")</f>
        <v/>
      </c>
      <c r="I159" s="97" t="str">
        <f>IFERROR(VLOOKUP(F160, 'ฐานข้อมูลประวัติการเข้าพัก'!B:D, 4, FALSE), "")</f>
        <v/>
      </c>
      <c r="J159" s="98" t="s">
        <v>20</v>
      </c>
      <c r="K159" s="99" t="s">
        <v>21</v>
      </c>
      <c r="L159" s="99" t="s">
        <v>21</v>
      </c>
      <c r="M159" s="100">
        <f t="shared" si="1"/>
        <v>244219</v>
      </c>
    </row>
    <row r="160" hidden="1" outlineLevel="1">
      <c r="A160" s="93" t="s">
        <v>476</v>
      </c>
      <c r="B160" s="99">
        <v>159.0</v>
      </c>
      <c r="C160" s="94" t="s">
        <v>29</v>
      </c>
      <c r="D160" s="95">
        <v>244218.0</v>
      </c>
      <c r="E160" s="94" t="s">
        <v>80</v>
      </c>
      <c r="F160" s="100" t="str">
        <f>IFERROR(VLOOKUP(A159,'ฐานข้อมูลประวัติการเข้าพัก'!A:E,2,FALSE),"")</f>
        <v>ธเนศ</v>
      </c>
      <c r="G160" s="96" t="s">
        <v>19</v>
      </c>
      <c r="H160" s="97" t="str">
        <f>IFERROR(VLOOKUP(F161, 'ฐานข้อมูลประวัติการเข้าพัก'!B:E, 5, FALSE), "")</f>
        <v/>
      </c>
      <c r="I160" s="97" t="str">
        <f>IFERROR(VLOOKUP(F161, 'ฐานข้อมูลประวัติการเข้าพัก'!B:D, 4, FALSE), "")</f>
        <v/>
      </c>
      <c r="J160" s="98" t="s">
        <v>20</v>
      </c>
      <c r="K160" s="99" t="s">
        <v>21</v>
      </c>
      <c r="L160" s="99" t="s">
        <v>21</v>
      </c>
      <c r="M160" s="100">
        <f t="shared" si="1"/>
        <v>244219</v>
      </c>
    </row>
    <row r="161" hidden="1" outlineLevel="1">
      <c r="A161" s="93" t="s">
        <v>479</v>
      </c>
      <c r="B161" s="99">
        <v>160.0</v>
      </c>
      <c r="C161" s="94" t="s">
        <v>29</v>
      </c>
      <c r="D161" s="95">
        <v>244218.0</v>
      </c>
      <c r="E161" s="94" t="s">
        <v>54</v>
      </c>
      <c r="F161" s="100" t="str">
        <f>IFERROR(VLOOKUP(A160,'ฐานข้อมูลประวัติการเข้าพัก'!A:E,2,FALSE),"")</f>
        <v>เกรียงศักดิ์</v>
      </c>
      <c r="G161" s="96" t="s">
        <v>19</v>
      </c>
      <c r="H161" s="97" t="str">
        <f>IFERROR(VLOOKUP(F162, 'ฐานข้อมูลประวัติการเข้าพัก'!B:E, 5, FALSE), "")</f>
        <v/>
      </c>
      <c r="I161" s="97" t="str">
        <f>IFERROR(VLOOKUP(F162, 'ฐานข้อมูลประวัติการเข้าพัก'!B:D, 4, FALSE), "")</f>
        <v/>
      </c>
      <c r="J161" s="98" t="s">
        <v>20</v>
      </c>
      <c r="K161" s="99" t="s">
        <v>21</v>
      </c>
      <c r="L161" s="99" t="s">
        <v>21</v>
      </c>
      <c r="M161" s="100">
        <f t="shared" si="1"/>
        <v>244219</v>
      </c>
    </row>
    <row r="162" hidden="1" outlineLevel="1">
      <c r="A162" s="93" t="s">
        <v>482</v>
      </c>
      <c r="B162" s="99">
        <v>161.0</v>
      </c>
      <c r="C162" s="94" t="s">
        <v>29</v>
      </c>
      <c r="D162" s="95">
        <v>244219.0</v>
      </c>
      <c r="E162" s="94" t="s">
        <v>95</v>
      </c>
      <c r="F162" s="100" t="str">
        <f>IFERROR(VLOOKUP(A161,'ฐานข้อมูลประวัติการเข้าพัก'!A:E,2,FALSE),"")</f>
        <v>เพ็ญระพร</v>
      </c>
      <c r="G162" s="96" t="s">
        <v>19</v>
      </c>
      <c r="H162" s="97" t="str">
        <f>IFERROR(VLOOKUP(F163, 'ฐานข้อมูลประวัติการเข้าพัก'!B:E, 5, FALSE), "")</f>
        <v/>
      </c>
      <c r="I162" s="97" t="str">
        <f>IFERROR(VLOOKUP(F163, 'ฐานข้อมูลประวัติการเข้าพัก'!B:D, 4, FALSE), "")</f>
        <v/>
      </c>
      <c r="J162" s="98" t="s">
        <v>20</v>
      </c>
      <c r="K162" s="99" t="s">
        <v>21</v>
      </c>
      <c r="L162" s="99" t="s">
        <v>21</v>
      </c>
      <c r="M162" s="100">
        <f t="shared" si="1"/>
        <v>244220</v>
      </c>
    </row>
    <row r="163" hidden="1" outlineLevel="1">
      <c r="A163" s="93" t="s">
        <v>485</v>
      </c>
      <c r="B163" s="99">
        <v>162.0</v>
      </c>
      <c r="C163" s="94" t="s">
        <v>17</v>
      </c>
      <c r="D163" s="95">
        <v>244219.0</v>
      </c>
      <c r="E163" s="94" t="s">
        <v>34</v>
      </c>
      <c r="F163" s="100" t="str">
        <f>IFERROR(VLOOKUP(A162,'ฐานข้อมูลประวัติการเข้าพัก'!A:E,2,FALSE),"")</f>
        <v>สังวาล</v>
      </c>
      <c r="G163" s="96" t="s">
        <v>19</v>
      </c>
      <c r="H163" s="97" t="str">
        <f>IFERROR(VLOOKUP(F164, 'ฐานข้อมูลประวัติการเข้าพัก'!B:E, 5, FALSE), "")</f>
        <v/>
      </c>
      <c r="I163" s="97" t="str">
        <f>IFERROR(VLOOKUP(F164, 'ฐานข้อมูลประวัติการเข้าพัก'!B:D, 4, FALSE), "")</f>
        <v/>
      </c>
      <c r="J163" s="98" t="s">
        <v>20</v>
      </c>
      <c r="K163" s="99" t="s">
        <v>21</v>
      </c>
      <c r="L163" s="99" t="s">
        <v>21</v>
      </c>
      <c r="M163" s="100">
        <f t="shared" si="1"/>
        <v>244220</v>
      </c>
    </row>
    <row r="164" hidden="1" outlineLevel="1">
      <c r="A164" s="93" t="s">
        <v>487</v>
      </c>
      <c r="B164" s="99">
        <v>163.0</v>
      </c>
      <c r="C164" s="94" t="s">
        <v>29</v>
      </c>
      <c r="D164" s="95">
        <v>244219.0</v>
      </c>
      <c r="E164" s="94" t="s">
        <v>101</v>
      </c>
      <c r="F164" s="100" t="str">
        <f>IFERROR(VLOOKUP(A163,'ฐานข้อมูลประวัติการเข้าพัก'!A:E,2,FALSE),"")</f>
        <v>อนุชิิต</v>
      </c>
      <c r="G164" s="96" t="s">
        <v>19</v>
      </c>
      <c r="H164" s="97" t="str">
        <f>IFERROR(VLOOKUP(F165, 'ฐานข้อมูลประวัติการเข้าพัก'!B:E, 5, FALSE), "")</f>
        <v/>
      </c>
      <c r="I164" s="97" t="str">
        <f>IFERROR(VLOOKUP(F165, 'ฐานข้อมูลประวัติการเข้าพัก'!B:D, 4, FALSE), "")</f>
        <v/>
      </c>
      <c r="J164" s="98" t="s">
        <v>20</v>
      </c>
      <c r="K164" s="99" t="s">
        <v>21</v>
      </c>
      <c r="L164" s="99" t="s">
        <v>21</v>
      </c>
      <c r="M164" s="100">
        <f t="shared" si="1"/>
        <v>244220</v>
      </c>
    </row>
    <row r="165" hidden="1" outlineLevel="1">
      <c r="A165" s="93" t="s">
        <v>490</v>
      </c>
      <c r="B165" s="99">
        <v>164.0</v>
      </c>
      <c r="C165" s="94" t="s">
        <v>17</v>
      </c>
      <c r="D165" s="95">
        <v>244219.0</v>
      </c>
      <c r="E165" s="94" t="s">
        <v>30</v>
      </c>
      <c r="F165" s="100" t="str">
        <f>IFERROR(VLOOKUP(A164,'ฐานข้อมูลประวัติการเข้าพัก'!A:E,2,FALSE),"")</f>
        <v>บริษัท ตระกลูชัย</v>
      </c>
      <c r="G165" s="96" t="s">
        <v>19</v>
      </c>
      <c r="H165" s="97" t="str">
        <f>IFERROR(VLOOKUP(F166, 'ฐานข้อมูลประวัติการเข้าพัก'!B:E, 5, FALSE), "")</f>
        <v/>
      </c>
      <c r="I165" s="97" t="str">
        <f>IFERROR(VLOOKUP(F166, 'ฐานข้อมูลประวัติการเข้าพัก'!B:D, 4, FALSE), "")</f>
        <v/>
      </c>
      <c r="J165" s="98" t="s">
        <v>20</v>
      </c>
      <c r="K165" s="99" t="s">
        <v>21</v>
      </c>
      <c r="L165" s="99" t="s">
        <v>21</v>
      </c>
      <c r="M165" s="100">
        <f t="shared" si="1"/>
        <v>244220</v>
      </c>
    </row>
    <row r="166" hidden="1" outlineLevel="1">
      <c r="A166" s="93" t="s">
        <v>493</v>
      </c>
      <c r="B166" s="99">
        <v>165.0</v>
      </c>
      <c r="C166" s="94" t="s">
        <v>17</v>
      </c>
      <c r="D166" s="95">
        <v>244219.0</v>
      </c>
      <c r="E166" s="94" t="s">
        <v>38</v>
      </c>
      <c r="F166" s="100" t="str">
        <f>IFERROR(VLOOKUP(A165,'ฐานข้อมูลประวัติการเข้าพัก'!A:E,2,FALSE),"")</f>
        <v>คมไพสิฐ</v>
      </c>
      <c r="G166" s="96" t="s">
        <v>19</v>
      </c>
      <c r="H166" s="97" t="str">
        <f>IFERROR(VLOOKUP(F167, 'ฐานข้อมูลประวัติการเข้าพัก'!B:E, 5, FALSE), "")</f>
        <v/>
      </c>
      <c r="I166" s="97" t="str">
        <f>IFERROR(VLOOKUP(F167, 'ฐานข้อมูลประวัติการเข้าพัก'!B:D, 4, FALSE), "")</f>
        <v/>
      </c>
      <c r="J166" s="98" t="s">
        <v>20</v>
      </c>
      <c r="K166" s="99" t="s">
        <v>21</v>
      </c>
      <c r="L166" s="99" t="s">
        <v>21</v>
      </c>
      <c r="M166" s="100">
        <f t="shared" si="1"/>
        <v>244220</v>
      </c>
    </row>
    <row r="167" hidden="1" outlineLevel="1">
      <c r="A167" s="93" t="s">
        <v>496</v>
      </c>
      <c r="B167" s="99">
        <v>166.0</v>
      </c>
      <c r="C167" s="94" t="s">
        <v>17</v>
      </c>
      <c r="D167" s="95">
        <v>244219.0</v>
      </c>
      <c r="E167" s="94" t="s">
        <v>111</v>
      </c>
      <c r="F167" s="100" t="str">
        <f>IFERROR(VLOOKUP(A166,'ฐานข้อมูลประวัติการเข้าพัก'!A:E,2,FALSE),"")</f>
        <v>คุณปั่น</v>
      </c>
      <c r="G167" s="96" t="s">
        <v>19</v>
      </c>
      <c r="H167" s="97" t="str">
        <f>IFERROR(VLOOKUP(F168, 'ฐานข้อมูลประวัติการเข้าพัก'!B:E, 5, FALSE), "")</f>
        <v/>
      </c>
      <c r="I167" s="97" t="str">
        <f>IFERROR(VLOOKUP(F168, 'ฐานข้อมูลประวัติการเข้าพัก'!B:D, 4, FALSE), "")</f>
        <v/>
      </c>
      <c r="J167" s="98" t="s">
        <v>20</v>
      </c>
      <c r="K167" s="99" t="s">
        <v>21</v>
      </c>
      <c r="L167" s="99" t="s">
        <v>21</v>
      </c>
      <c r="M167" s="100">
        <f t="shared" si="1"/>
        <v>244220</v>
      </c>
    </row>
    <row r="168" hidden="1" outlineLevel="1">
      <c r="A168" s="93" t="s">
        <v>498</v>
      </c>
      <c r="B168" s="99">
        <v>167.0</v>
      </c>
      <c r="C168" s="94" t="s">
        <v>29</v>
      </c>
      <c r="D168" s="95">
        <v>244219.0</v>
      </c>
      <c r="E168" s="94" t="s">
        <v>50</v>
      </c>
      <c r="F168" s="100" t="str">
        <f>IFERROR(VLOOKUP(A167,'ฐานข้อมูลประวัติการเข้าพัก'!A:E,2,FALSE),"")</f>
        <v>เสกศักดิ์</v>
      </c>
      <c r="G168" s="96" t="s">
        <v>19</v>
      </c>
      <c r="H168" s="97" t="str">
        <f>IFERROR(VLOOKUP(F169, 'ฐานข้อมูลประวัติการเข้าพัก'!B:E, 5, FALSE), "")</f>
        <v/>
      </c>
      <c r="I168" s="97" t="str">
        <f>IFERROR(VLOOKUP(F169, 'ฐานข้อมูลประวัติการเข้าพัก'!B:D, 4, FALSE), "")</f>
        <v/>
      </c>
      <c r="J168" s="98" t="s">
        <v>20</v>
      </c>
      <c r="K168" s="99" t="s">
        <v>21</v>
      </c>
      <c r="L168" s="99" t="s">
        <v>21</v>
      </c>
      <c r="M168" s="100">
        <f t="shared" si="1"/>
        <v>244220</v>
      </c>
    </row>
    <row r="169" hidden="1" outlineLevel="1">
      <c r="A169" s="93" t="s">
        <v>500</v>
      </c>
      <c r="B169" s="99">
        <v>168.0</v>
      </c>
      <c r="C169" s="94" t="s">
        <v>17</v>
      </c>
      <c r="D169" s="95">
        <v>244219.0</v>
      </c>
      <c r="E169" s="94" t="s">
        <v>50</v>
      </c>
      <c r="F169" s="100" t="str">
        <f>IFERROR(VLOOKUP(A168,'ฐานข้อมูลประวัติการเข้าพัก'!A:E,2,FALSE),"")</f>
        <v>สนธยา</v>
      </c>
      <c r="G169" s="96" t="s">
        <v>19</v>
      </c>
      <c r="H169" s="97" t="str">
        <f>IFERROR(VLOOKUP(F170, 'ฐานข้อมูลประวัติการเข้าพัก'!B:E, 5, FALSE), "")</f>
        <v/>
      </c>
      <c r="I169" s="97" t="str">
        <f>IFERROR(VLOOKUP(F170, 'ฐานข้อมูลประวัติการเข้าพัก'!B:D, 4, FALSE), "")</f>
        <v/>
      </c>
      <c r="J169" s="98" t="s">
        <v>20</v>
      </c>
      <c r="K169" s="99" t="s">
        <v>21</v>
      </c>
      <c r="L169" s="99" t="s">
        <v>21</v>
      </c>
      <c r="M169" s="100">
        <f t="shared" si="1"/>
        <v>244220</v>
      </c>
    </row>
    <row r="170" hidden="1" outlineLevel="1">
      <c r="A170" s="93" t="s">
        <v>503</v>
      </c>
      <c r="B170" s="99">
        <v>169.0</v>
      </c>
      <c r="C170" s="94" t="s">
        <v>17</v>
      </c>
      <c r="D170" s="95">
        <v>244219.0</v>
      </c>
      <c r="E170" s="94" t="s">
        <v>54</v>
      </c>
      <c r="F170" s="100" t="str">
        <f>IFERROR(VLOOKUP(A169,'ฐานข้อมูลประวัติการเข้าพัก'!A:E,2,FALSE),"")</f>
        <v>กัลยากร</v>
      </c>
      <c r="G170" s="96" t="s">
        <v>19</v>
      </c>
      <c r="H170" s="97" t="str">
        <f>IFERROR(VLOOKUP(F171, 'ฐานข้อมูลประวัติการเข้าพัก'!B:E, 5, FALSE), "")</f>
        <v/>
      </c>
      <c r="I170" s="97" t="str">
        <f>IFERROR(VLOOKUP(F171, 'ฐานข้อมูลประวัติการเข้าพัก'!B:D, 4, FALSE), "")</f>
        <v/>
      </c>
      <c r="J170" s="98" t="s">
        <v>20</v>
      </c>
      <c r="K170" s="99" t="s">
        <v>21</v>
      </c>
      <c r="L170" s="99" t="s">
        <v>21</v>
      </c>
      <c r="M170" s="100">
        <f t="shared" si="1"/>
        <v>244220</v>
      </c>
    </row>
    <row r="171" hidden="1" outlineLevel="1">
      <c r="A171" s="93" t="s">
        <v>506</v>
      </c>
      <c r="B171" s="99">
        <v>170.0</v>
      </c>
      <c r="C171" s="94" t="s">
        <v>29</v>
      </c>
      <c r="D171" s="95">
        <v>244219.0</v>
      </c>
      <c r="E171" s="94" t="s">
        <v>54</v>
      </c>
      <c r="F171" s="100" t="str">
        <f>IFERROR(VLOOKUP(A170,'ฐานข้อมูลประวัติการเข้าพัก'!A:E,2,FALSE),"")</f>
        <v>ธวัช</v>
      </c>
      <c r="G171" s="96" t="s">
        <v>19</v>
      </c>
      <c r="H171" s="97" t="str">
        <f>IFERROR(VLOOKUP(F172, 'ฐานข้อมูลประวัติการเข้าพัก'!B:E, 5, FALSE), "")</f>
        <v/>
      </c>
      <c r="I171" s="97" t="str">
        <f>IFERROR(VLOOKUP(F172, 'ฐานข้อมูลประวัติการเข้าพัก'!B:D, 4, FALSE), "")</f>
        <v/>
      </c>
      <c r="J171" s="98" t="s">
        <v>20</v>
      </c>
      <c r="K171" s="99" t="s">
        <v>21</v>
      </c>
      <c r="L171" s="99" t="s">
        <v>21</v>
      </c>
      <c r="M171" s="100">
        <f t="shared" si="1"/>
        <v>244220</v>
      </c>
    </row>
    <row r="172" hidden="1" outlineLevel="1">
      <c r="A172" s="93" t="s">
        <v>508</v>
      </c>
      <c r="B172" s="99">
        <v>171.0</v>
      </c>
      <c r="C172" s="94" t="s">
        <v>29</v>
      </c>
      <c r="D172" s="95">
        <v>244219.0</v>
      </c>
      <c r="E172" s="94" t="s">
        <v>95</v>
      </c>
      <c r="F172" s="100" t="str">
        <f>IFERROR(VLOOKUP(A171,'ฐานข้อมูลประวัติการเข้าพัก'!A:E,2,FALSE),"")</f>
        <v>นายธิติพงษ์ จรินร์โคตร</v>
      </c>
      <c r="G172" s="96" t="s">
        <v>19</v>
      </c>
      <c r="H172" s="97" t="str">
        <f>IFERROR(VLOOKUP(F173, 'ฐานข้อมูลประวัติการเข้าพัก'!B:E, 5, FALSE), "")</f>
        <v/>
      </c>
      <c r="I172" s="97" t="str">
        <f>IFERROR(VLOOKUP(F173, 'ฐานข้อมูลประวัติการเข้าพัก'!B:D, 4, FALSE), "")</f>
        <v/>
      </c>
      <c r="J172" s="98" t="s">
        <v>20</v>
      </c>
      <c r="K172" s="99" t="s">
        <v>21</v>
      </c>
      <c r="L172" s="99" t="s">
        <v>21</v>
      </c>
      <c r="M172" s="100">
        <f t="shared" si="1"/>
        <v>244220</v>
      </c>
    </row>
    <row r="173" hidden="1" outlineLevel="1">
      <c r="A173" s="93" t="s">
        <v>511</v>
      </c>
      <c r="B173" s="99">
        <v>172.0</v>
      </c>
      <c r="C173" s="94" t="s">
        <v>29</v>
      </c>
      <c r="D173" s="95">
        <v>244220.0</v>
      </c>
      <c r="E173" s="94" t="s">
        <v>34</v>
      </c>
      <c r="F173" s="100" t="str">
        <f>IFERROR(VLOOKUP(A172,'ฐานข้อมูลประวัติการเข้าพัก'!A:E,2,FALSE),"")</f>
        <v>ศศิธร  สามา</v>
      </c>
      <c r="G173" s="96" t="s">
        <v>19</v>
      </c>
      <c r="H173" s="97" t="str">
        <f>IFERROR(VLOOKUP(F174, 'ฐานข้อมูลประวัติการเข้าพัก'!B:E, 5, FALSE), "")</f>
        <v/>
      </c>
      <c r="I173" s="97" t="str">
        <f>IFERROR(VLOOKUP(F174, 'ฐานข้อมูลประวัติการเข้าพัก'!B:D, 4, FALSE), "")</f>
        <v/>
      </c>
      <c r="J173" s="98" t="s">
        <v>20</v>
      </c>
      <c r="K173" s="99" t="s">
        <v>21</v>
      </c>
      <c r="L173" s="99" t="s">
        <v>21</v>
      </c>
      <c r="M173" s="100">
        <f t="shared" si="1"/>
        <v>244221</v>
      </c>
    </row>
    <row r="174" hidden="1" outlineLevel="1">
      <c r="A174" s="93" t="s">
        <v>514</v>
      </c>
      <c r="B174" s="99">
        <v>173.0</v>
      </c>
      <c r="C174" s="94" t="s">
        <v>17</v>
      </c>
      <c r="D174" s="95">
        <v>244220.0</v>
      </c>
      <c r="E174" s="94" t="s">
        <v>101</v>
      </c>
      <c r="F174" s="100" t="str">
        <f>IFERROR(VLOOKUP(A173,'ฐานข้อมูลประวัติการเข้าพัก'!A:E,2,FALSE),"")</f>
        <v>ชัยโย</v>
      </c>
      <c r="G174" s="96" t="s">
        <v>19</v>
      </c>
      <c r="H174" s="97" t="str">
        <f>IFERROR(VLOOKUP(F175, 'ฐานข้อมูลประวัติการเข้าพัก'!B:E, 5, FALSE), "")</f>
        <v/>
      </c>
      <c r="I174" s="97" t="str">
        <f>IFERROR(VLOOKUP(F175, 'ฐานข้อมูลประวัติการเข้าพัก'!B:D, 4, FALSE), "")</f>
        <v/>
      </c>
      <c r="J174" s="98" t="s">
        <v>20</v>
      </c>
      <c r="K174" s="99" t="s">
        <v>21</v>
      </c>
      <c r="L174" s="99" t="s">
        <v>21</v>
      </c>
      <c r="M174" s="100">
        <f t="shared" si="1"/>
        <v>244221</v>
      </c>
    </row>
    <row r="175" hidden="1" outlineLevel="1">
      <c r="A175" s="93" t="s">
        <v>516</v>
      </c>
      <c r="B175" s="99">
        <v>174.0</v>
      </c>
      <c r="C175" s="94" t="s">
        <v>29</v>
      </c>
      <c r="D175" s="95">
        <v>244220.0</v>
      </c>
      <c r="E175" s="94" t="s">
        <v>30</v>
      </c>
      <c r="F175" s="100" t="str">
        <f>IFERROR(VLOOKUP(A174,'ฐานข้อมูลประวัติการเข้าพัก'!A:E,2,FALSE),"")</f>
        <v>น้ำจิ้มคุณนิด</v>
      </c>
      <c r="G175" s="96" t="s">
        <v>19</v>
      </c>
      <c r="H175" s="97" t="str">
        <f>IFERROR(VLOOKUP(F176, 'ฐานข้อมูลประวัติการเข้าพัก'!B:E, 5, FALSE), "")</f>
        <v/>
      </c>
      <c r="I175" s="97" t="str">
        <f>IFERROR(VLOOKUP(F176, 'ฐานข้อมูลประวัติการเข้าพัก'!B:D, 4, FALSE), "")</f>
        <v/>
      </c>
      <c r="J175" s="98" t="s">
        <v>20</v>
      </c>
      <c r="K175" s="99" t="s">
        <v>21</v>
      </c>
      <c r="L175" s="99" t="s">
        <v>21</v>
      </c>
      <c r="M175" s="100">
        <f t="shared" si="1"/>
        <v>244221</v>
      </c>
    </row>
    <row r="176" hidden="1" outlineLevel="1">
      <c r="A176" s="93" t="s">
        <v>519</v>
      </c>
      <c r="B176" s="99">
        <v>175.0</v>
      </c>
      <c r="C176" s="94" t="s">
        <v>17</v>
      </c>
      <c r="D176" s="95">
        <v>244221.0</v>
      </c>
      <c r="E176" s="94" t="s">
        <v>38</v>
      </c>
      <c r="F176" s="100" t="str">
        <f>IFERROR(VLOOKUP(A175,'ฐานข้อมูลประวัติการเข้าพัก'!A:E,2,FALSE),"")</f>
        <v>นรเสฎธิ์  ไหล่จิตรภาชัยกร</v>
      </c>
      <c r="G176" s="96" t="s">
        <v>19</v>
      </c>
      <c r="H176" s="97" t="str">
        <f>IFERROR(VLOOKUP(F177, 'ฐานข้อมูลประวัติการเข้าพัก'!B:E, 5, FALSE), "")</f>
        <v/>
      </c>
      <c r="I176" s="97" t="str">
        <f>IFERROR(VLOOKUP(F177, 'ฐานข้อมูลประวัติการเข้าพัก'!B:D, 4, FALSE), "")</f>
        <v/>
      </c>
      <c r="J176" s="98" t="s">
        <v>20</v>
      </c>
      <c r="K176" s="99" t="s">
        <v>21</v>
      </c>
      <c r="L176" s="99" t="s">
        <v>21</v>
      </c>
      <c r="M176" s="100">
        <f t="shared" si="1"/>
        <v>244222</v>
      </c>
    </row>
    <row r="177" hidden="1" outlineLevel="1">
      <c r="A177" s="93" t="s">
        <v>522</v>
      </c>
      <c r="B177" s="99">
        <v>176.0</v>
      </c>
      <c r="C177" s="94" t="s">
        <v>17</v>
      </c>
      <c r="D177" s="95">
        <v>244221.0</v>
      </c>
      <c r="E177" s="94" t="s">
        <v>111</v>
      </c>
      <c r="F177" s="100" t="str">
        <f>IFERROR(VLOOKUP(A176,'ฐานข้อมูลประวัติการเข้าพัก'!A:E,2,FALSE),"")</f>
        <v>ยุวดี  อุบลแก้ว</v>
      </c>
      <c r="G177" s="96" t="s">
        <v>19</v>
      </c>
      <c r="H177" s="97" t="str">
        <f>IFERROR(VLOOKUP(F178, 'ฐานข้อมูลประวัติการเข้าพัก'!B:E, 5, FALSE), "")</f>
        <v/>
      </c>
      <c r="I177" s="97" t="str">
        <f>IFERROR(VLOOKUP(F178, 'ฐานข้อมูลประวัติการเข้าพัก'!B:D, 4, FALSE), "")</f>
        <v/>
      </c>
      <c r="J177" s="98" t="s">
        <v>20</v>
      </c>
      <c r="K177" s="99" t="s">
        <v>21</v>
      </c>
      <c r="L177" s="99" t="s">
        <v>21</v>
      </c>
      <c r="M177" s="100">
        <f t="shared" si="1"/>
        <v>244222</v>
      </c>
    </row>
    <row r="178" hidden="1" outlineLevel="1">
      <c r="A178" s="93" t="s">
        <v>525</v>
      </c>
      <c r="B178" s="99">
        <v>177.0</v>
      </c>
      <c r="C178" s="94" t="s">
        <v>17</v>
      </c>
      <c r="D178" s="95">
        <v>244221.0</v>
      </c>
      <c r="E178" s="94" t="s">
        <v>50</v>
      </c>
      <c r="F178" s="100" t="str">
        <f>IFERROR(VLOOKUP(A177,'ฐานข้อมูลประวัติการเข้าพัก'!A:E,2,FALSE),"")</f>
        <v>เศตวรรต  ไชยสุระ</v>
      </c>
      <c r="G178" s="96" t="s">
        <v>19</v>
      </c>
      <c r="H178" s="97" t="str">
        <f>IFERROR(VLOOKUP(F179, 'ฐานข้อมูลประวัติการเข้าพัก'!B:E, 5, FALSE), "")</f>
        <v/>
      </c>
      <c r="I178" s="97" t="str">
        <f>IFERROR(VLOOKUP(F179, 'ฐานข้อมูลประวัติการเข้าพัก'!B:D, 4, FALSE), "")</f>
        <v/>
      </c>
      <c r="J178" s="98" t="s">
        <v>20</v>
      </c>
      <c r="K178" s="99" t="s">
        <v>21</v>
      </c>
      <c r="L178" s="99" t="s">
        <v>21</v>
      </c>
      <c r="M178" s="100">
        <f t="shared" si="1"/>
        <v>244222</v>
      </c>
    </row>
    <row r="179" hidden="1" outlineLevel="1">
      <c r="A179" s="93" t="s">
        <v>528</v>
      </c>
      <c r="B179" s="99">
        <v>178.0</v>
      </c>
      <c r="C179" s="94" t="s">
        <v>29</v>
      </c>
      <c r="D179" s="95">
        <v>244222.0</v>
      </c>
      <c r="E179" s="94" t="s">
        <v>50</v>
      </c>
      <c r="F179" s="100" t="str">
        <f>IFERROR(VLOOKUP(A178,'ฐานข้อมูลประวัติการเข้าพัก'!A:E,2,FALSE),"")</f>
        <v>ประดิษฐ์</v>
      </c>
      <c r="G179" s="96" t="s">
        <v>19</v>
      </c>
      <c r="H179" s="97" t="str">
        <f>IFERROR(VLOOKUP(F180, 'ฐานข้อมูลประวัติการเข้าพัก'!B:E, 5, FALSE), "")</f>
        <v/>
      </c>
      <c r="I179" s="97" t="str">
        <f>IFERROR(VLOOKUP(F180, 'ฐานข้อมูลประวัติการเข้าพัก'!B:D, 4, FALSE), "")</f>
        <v/>
      </c>
      <c r="J179" s="98" t="s">
        <v>20</v>
      </c>
      <c r="K179" s="99" t="s">
        <v>21</v>
      </c>
      <c r="L179" s="99" t="s">
        <v>21</v>
      </c>
      <c r="M179" s="100">
        <f t="shared" si="1"/>
        <v>244223</v>
      </c>
    </row>
    <row r="180" hidden="1" outlineLevel="1">
      <c r="A180" s="93" t="s">
        <v>531</v>
      </c>
      <c r="B180" s="99">
        <v>179.0</v>
      </c>
      <c r="C180" s="94" t="s">
        <v>17</v>
      </c>
      <c r="D180" s="95">
        <v>244222.0</v>
      </c>
      <c r="E180" s="94" t="s">
        <v>54</v>
      </c>
      <c r="F180" s="100" t="str">
        <f>IFERROR(VLOOKUP(A179,'ฐานข้อมูลประวัติการเข้าพัก'!A:E,2,FALSE),"")</f>
        <v>ภาคิน</v>
      </c>
      <c r="G180" s="96" t="s">
        <v>19</v>
      </c>
      <c r="H180" s="97" t="str">
        <f>IFERROR(VLOOKUP(F181, 'ฐานข้อมูลประวัติการเข้าพัก'!B:E, 5, FALSE), "")</f>
        <v/>
      </c>
      <c r="I180" s="97" t="str">
        <f>IFERROR(VLOOKUP(F181, 'ฐานข้อมูลประวัติการเข้าพัก'!B:D, 4, FALSE), "")</f>
        <v/>
      </c>
      <c r="J180" s="98" t="s">
        <v>20</v>
      </c>
      <c r="K180" s="99" t="s">
        <v>21</v>
      </c>
      <c r="L180" s="99" t="s">
        <v>21</v>
      </c>
      <c r="M180" s="100">
        <f t="shared" si="1"/>
        <v>244223</v>
      </c>
    </row>
    <row r="181" hidden="1" outlineLevel="1">
      <c r="A181" s="93" t="s">
        <v>534</v>
      </c>
      <c r="B181" s="99">
        <v>180.0</v>
      </c>
      <c r="C181" s="94" t="s">
        <v>17</v>
      </c>
      <c r="D181" s="95">
        <v>244222.0</v>
      </c>
      <c r="E181" s="94" t="s">
        <v>54</v>
      </c>
      <c r="F181" s="100" t="str">
        <f>IFERROR(VLOOKUP(A180,'ฐานข้อมูลประวัติการเข้าพัก'!A:E,2,FALSE),"")</f>
        <v>อภิรมศักดิ์  สุขะ</v>
      </c>
      <c r="G181" s="96" t="s">
        <v>19</v>
      </c>
      <c r="H181" s="97" t="str">
        <f>IFERROR(VLOOKUP(F182, 'ฐานข้อมูลประวัติการเข้าพัก'!B:E, 5, FALSE), "")</f>
        <v/>
      </c>
      <c r="I181" s="97" t="str">
        <f>IFERROR(VLOOKUP(F182, 'ฐานข้อมูลประวัติการเข้าพัก'!B:D, 4, FALSE), "")</f>
        <v/>
      </c>
      <c r="J181" s="98" t="s">
        <v>20</v>
      </c>
      <c r="K181" s="99" t="s">
        <v>21</v>
      </c>
      <c r="L181" s="99" t="s">
        <v>21</v>
      </c>
      <c r="M181" s="100">
        <f t="shared" si="1"/>
        <v>244223</v>
      </c>
    </row>
    <row r="182" hidden="1" outlineLevel="1">
      <c r="A182" s="93" t="s">
        <v>537</v>
      </c>
      <c r="B182" s="99">
        <v>181.0</v>
      </c>
      <c r="C182" s="94" t="s">
        <v>29</v>
      </c>
      <c r="D182" s="95">
        <v>244222.0</v>
      </c>
      <c r="E182" s="94" t="s">
        <v>95</v>
      </c>
      <c r="F182" s="100" t="str">
        <f>IFERROR(VLOOKUP(A181,'ฐานข้อมูลประวัติการเข้าพัก'!A:E,2,FALSE),"")</f>
        <v>มณีรัตน์</v>
      </c>
      <c r="G182" s="96" t="s">
        <v>19</v>
      </c>
      <c r="H182" s="97" t="str">
        <f>IFERROR(VLOOKUP(F183, 'ฐานข้อมูลประวัติการเข้าพัก'!B:E, 5, FALSE), "")</f>
        <v/>
      </c>
      <c r="I182" s="97" t="str">
        <f>IFERROR(VLOOKUP(F183, 'ฐานข้อมูลประวัติการเข้าพัก'!B:D, 4, FALSE), "")</f>
        <v/>
      </c>
      <c r="J182" s="98" t="s">
        <v>20</v>
      </c>
      <c r="K182" s="99" t="s">
        <v>21</v>
      </c>
      <c r="L182" s="99" t="s">
        <v>21</v>
      </c>
      <c r="M182" s="100">
        <f t="shared" si="1"/>
        <v>244223</v>
      </c>
    </row>
    <row r="183" hidden="1" outlineLevel="1">
      <c r="A183" s="93" t="s">
        <v>540</v>
      </c>
      <c r="B183" s="99">
        <v>182.0</v>
      </c>
      <c r="C183" s="94" t="s">
        <v>29</v>
      </c>
      <c r="D183" s="95">
        <v>244222.0</v>
      </c>
      <c r="E183" s="94" t="s">
        <v>34</v>
      </c>
      <c r="F183" s="100" t="str">
        <f>IFERROR(VLOOKUP(A182,'ฐานข้อมูลประวัติการเข้าพัก'!A:E,2,FALSE),"")</f>
        <v>ครรชิต</v>
      </c>
      <c r="G183" s="96" t="s">
        <v>19</v>
      </c>
      <c r="H183" s="97" t="str">
        <f>IFERROR(VLOOKUP(F184, 'ฐานข้อมูลประวัติการเข้าพัก'!B:E, 5, FALSE), "")</f>
        <v/>
      </c>
      <c r="I183" s="97" t="str">
        <f>IFERROR(VLOOKUP(F184, 'ฐานข้อมูลประวัติการเข้าพัก'!B:D, 4, FALSE), "")</f>
        <v/>
      </c>
      <c r="J183" s="98" t="s">
        <v>20</v>
      </c>
      <c r="K183" s="99" t="s">
        <v>21</v>
      </c>
      <c r="L183" s="99" t="s">
        <v>21</v>
      </c>
      <c r="M183" s="100">
        <f t="shared" si="1"/>
        <v>244223</v>
      </c>
    </row>
    <row r="184" hidden="1" outlineLevel="1">
      <c r="A184" s="93" t="s">
        <v>542</v>
      </c>
      <c r="B184" s="99">
        <v>183.0</v>
      </c>
      <c r="C184" s="94" t="s">
        <v>29</v>
      </c>
      <c r="D184" s="95">
        <v>244222.0</v>
      </c>
      <c r="E184" s="94" t="s">
        <v>101</v>
      </c>
      <c r="F184" s="100" t="str">
        <f>IFERROR(VLOOKUP(A183,'ฐานข้อมูลประวัติการเข้าพัก'!A:E,2,FALSE),"")</f>
        <v>พุทธิพงศ์</v>
      </c>
      <c r="G184" s="96" t="s">
        <v>19</v>
      </c>
      <c r="H184" s="97" t="str">
        <f>IFERROR(VLOOKUP(F185, 'ฐานข้อมูลประวัติการเข้าพัก'!B:E, 5, FALSE), "")</f>
        <v/>
      </c>
      <c r="I184" s="97" t="str">
        <f>IFERROR(VLOOKUP(F185, 'ฐานข้อมูลประวัติการเข้าพัก'!B:D, 4, FALSE), "")</f>
        <v/>
      </c>
      <c r="J184" s="98" t="s">
        <v>20</v>
      </c>
      <c r="K184" s="99" t="s">
        <v>21</v>
      </c>
      <c r="L184" s="99" t="s">
        <v>21</v>
      </c>
      <c r="M184" s="100">
        <f t="shared" si="1"/>
        <v>244223</v>
      </c>
    </row>
    <row r="185" hidden="1" outlineLevel="1">
      <c r="A185" s="93" t="s">
        <v>545</v>
      </c>
      <c r="B185" s="99">
        <v>184.0</v>
      </c>
      <c r="C185" s="94" t="s">
        <v>17</v>
      </c>
      <c r="D185" s="95">
        <v>244223.0</v>
      </c>
      <c r="E185" s="94" t="s">
        <v>30</v>
      </c>
      <c r="F185" s="100" t="str">
        <f>IFERROR(VLOOKUP(A184,'ฐานข้อมูลประวัติการเข้าพัก'!A:E,2,FALSE),"")</f>
        <v>อรรถวิชญ์  จรถวิล</v>
      </c>
      <c r="G185" s="96" t="s">
        <v>19</v>
      </c>
      <c r="H185" s="97" t="str">
        <f>IFERROR(VLOOKUP(F186, 'ฐานข้อมูลประวัติการเข้าพัก'!B:E, 5, FALSE), "")</f>
        <v/>
      </c>
      <c r="I185" s="97" t="str">
        <f>IFERROR(VLOOKUP(F186, 'ฐานข้อมูลประวัติการเข้าพัก'!B:D, 4, FALSE), "")</f>
        <v/>
      </c>
      <c r="J185" s="98" t="s">
        <v>20</v>
      </c>
      <c r="K185" s="99" t="s">
        <v>21</v>
      </c>
      <c r="L185" s="99" t="s">
        <v>21</v>
      </c>
      <c r="M185" s="100">
        <f t="shared" si="1"/>
        <v>244224</v>
      </c>
    </row>
    <row r="186" hidden="1" outlineLevel="1">
      <c r="A186" s="93" t="s">
        <v>548</v>
      </c>
      <c r="B186" s="99">
        <v>185.0</v>
      </c>
      <c r="C186" s="94" t="s">
        <v>29</v>
      </c>
      <c r="D186" s="95">
        <v>244223.0</v>
      </c>
      <c r="E186" s="94" t="s">
        <v>38</v>
      </c>
      <c r="F186" s="100" t="str">
        <f>IFERROR(VLOOKUP(A185,'ฐานข้อมูลประวัติการเข้าพัก'!A:E,2,FALSE),"")</f>
        <v>มังกร</v>
      </c>
      <c r="G186" s="96" t="s">
        <v>19</v>
      </c>
      <c r="H186" s="97" t="str">
        <f>IFERROR(VLOOKUP(F187, 'ฐานข้อมูลประวัติการเข้าพัก'!B:E, 5, FALSE), "")</f>
        <v/>
      </c>
      <c r="I186" s="97" t="str">
        <f>IFERROR(VLOOKUP(F187, 'ฐานข้อมูลประวัติการเข้าพัก'!B:D, 4, FALSE), "")</f>
        <v/>
      </c>
      <c r="J186" s="98" t="s">
        <v>20</v>
      </c>
      <c r="K186" s="99" t="s">
        <v>21</v>
      </c>
      <c r="L186" s="99" t="s">
        <v>21</v>
      </c>
      <c r="M186" s="100">
        <f t="shared" si="1"/>
        <v>244224</v>
      </c>
    </row>
    <row r="187" hidden="1" outlineLevel="1">
      <c r="A187" s="93" t="s">
        <v>551</v>
      </c>
      <c r="B187" s="99">
        <v>186.0</v>
      </c>
      <c r="C187" s="94" t="s">
        <v>17</v>
      </c>
      <c r="D187" s="95">
        <v>244223.0</v>
      </c>
      <c r="E187" s="94" t="s">
        <v>111</v>
      </c>
      <c r="F187" s="100" t="str">
        <f>IFERROR(VLOOKUP(A186,'ฐานข้อมูลประวัติการเข้าพัก'!A:E,2,FALSE),"")</f>
        <v>กิตติศักดิ์</v>
      </c>
      <c r="G187" s="96" t="s">
        <v>19</v>
      </c>
      <c r="H187" s="97" t="str">
        <f>IFERROR(VLOOKUP(F188, 'ฐานข้อมูลประวัติการเข้าพัก'!B:E, 5, FALSE), "")</f>
        <v/>
      </c>
      <c r="I187" s="97" t="str">
        <f>IFERROR(VLOOKUP(F188, 'ฐานข้อมูลประวัติการเข้าพัก'!B:D, 4, FALSE), "")</f>
        <v/>
      </c>
      <c r="J187" s="98" t="s">
        <v>20</v>
      </c>
      <c r="K187" s="99" t="s">
        <v>21</v>
      </c>
      <c r="L187" s="99" t="s">
        <v>21</v>
      </c>
      <c r="M187" s="100">
        <f t="shared" si="1"/>
        <v>244224</v>
      </c>
    </row>
    <row r="188" hidden="1" outlineLevel="1">
      <c r="A188" s="93" t="s">
        <v>554</v>
      </c>
      <c r="B188" s="99">
        <v>187.0</v>
      </c>
      <c r="C188" s="94" t="s">
        <v>17</v>
      </c>
      <c r="D188" s="95">
        <v>244224.0</v>
      </c>
      <c r="E188" s="94" t="s">
        <v>34</v>
      </c>
      <c r="F188" s="100" t="str">
        <f>IFERROR(VLOOKUP(A187,'ฐานข้อมูลประวัติการเข้าพัก'!A:E,2,FALSE),"")</f>
        <v>บุญเกิด</v>
      </c>
      <c r="G188" s="96" t="s">
        <v>19</v>
      </c>
      <c r="H188" s="97" t="str">
        <f>IFERROR(VLOOKUP(F189, 'ฐานข้อมูลประวัติการเข้าพัก'!B:E, 5, FALSE), "")</f>
        <v/>
      </c>
      <c r="I188" s="97" t="str">
        <f>IFERROR(VLOOKUP(F189, 'ฐานข้อมูลประวัติการเข้าพัก'!B:D, 4, FALSE), "")</f>
        <v/>
      </c>
      <c r="J188" s="98" t="s">
        <v>20</v>
      </c>
      <c r="K188" s="99" t="s">
        <v>21</v>
      </c>
      <c r="L188" s="99" t="s">
        <v>21</v>
      </c>
      <c r="M188" s="100">
        <f t="shared" si="1"/>
        <v>244225</v>
      </c>
    </row>
    <row r="189" hidden="1" outlineLevel="1">
      <c r="A189" s="93" t="s">
        <v>557</v>
      </c>
      <c r="B189" s="99">
        <v>188.0</v>
      </c>
      <c r="C189" s="94" t="s">
        <v>17</v>
      </c>
      <c r="D189" s="95">
        <v>244224.0</v>
      </c>
      <c r="E189" s="94" t="s">
        <v>38</v>
      </c>
      <c r="F189" s="100" t="str">
        <f>VLOOKUP(A188, 'ฐานข้อมูลประวัติการเข้าพัก'!$A$1:$E$589, 2, FALSE)</f>
        <v>คุณอนงค์</v>
      </c>
      <c r="G189" s="96" t="s">
        <v>19</v>
      </c>
      <c r="H189" s="97" t="str">
        <f>IFERROR(VLOOKUP(F190, 'ฐานข้อมูลประวัติการเข้าพัก'!B:E, 5, FALSE), "")</f>
        <v/>
      </c>
      <c r="I189" s="97" t="str">
        <f>IFERROR(VLOOKUP(F190, 'ฐานข้อมูลประวัติการเข้าพัก'!B:D, 4, FALSE), "")</f>
        <v/>
      </c>
      <c r="J189" s="98" t="s">
        <v>20</v>
      </c>
      <c r="K189" s="99" t="s">
        <v>21</v>
      </c>
      <c r="L189" s="99" t="s">
        <v>21</v>
      </c>
      <c r="M189" s="100">
        <f t="shared" si="1"/>
        <v>244225</v>
      </c>
    </row>
    <row r="190" hidden="1" outlineLevel="1">
      <c r="A190" s="93" t="s">
        <v>560</v>
      </c>
      <c r="B190" s="99">
        <v>189.0</v>
      </c>
      <c r="C190" s="94" t="s">
        <v>29</v>
      </c>
      <c r="D190" s="95">
        <v>244225.0</v>
      </c>
      <c r="E190" s="94" t="s">
        <v>80</v>
      </c>
      <c r="F190" s="100" t="str">
        <f>VLOOKUP(A189, 'ฐานข้อมูลประวัติการเข้าพัก'!$A$1:$E$589, 2, FALSE)</f>
        <v>ศิรินทิพย์   ทวี</v>
      </c>
      <c r="G190" s="96" t="s">
        <v>19</v>
      </c>
      <c r="H190" s="97" t="str">
        <f>IFERROR(VLOOKUP(F191, 'ฐานข้อมูลประวัติการเข้าพัก'!B:E, 5, FALSE), "")</f>
        <v/>
      </c>
      <c r="I190" s="97" t="str">
        <f>IFERROR(VLOOKUP(F191, 'ฐานข้อมูลประวัติการเข้าพัก'!B:D, 4, FALSE), "")</f>
        <v/>
      </c>
      <c r="J190" s="98" t="s">
        <v>20</v>
      </c>
      <c r="K190" s="99" t="s">
        <v>21</v>
      </c>
      <c r="L190" s="99" t="s">
        <v>21</v>
      </c>
      <c r="M190" s="100">
        <f t="shared" si="1"/>
        <v>244226</v>
      </c>
    </row>
    <row r="191" hidden="1" outlineLevel="1">
      <c r="A191" s="93" t="s">
        <v>563</v>
      </c>
      <c r="B191" s="99">
        <v>190.0</v>
      </c>
      <c r="C191" s="94" t="s">
        <v>17</v>
      </c>
      <c r="D191" s="95">
        <v>244226.0</v>
      </c>
      <c r="E191" s="94" t="s">
        <v>454</v>
      </c>
      <c r="F191" s="100" t="str">
        <f>VLOOKUP(A190, 'ฐานข้อมูลประวัติการเข้าพัก'!$A$1:$E$589, 2, FALSE)</f>
        <v>ศรินญา</v>
      </c>
      <c r="G191" s="96" t="s">
        <v>19</v>
      </c>
      <c r="H191" s="97" t="str">
        <f>IFERROR(VLOOKUP(F192, 'ฐานข้อมูลประวัติการเข้าพัก'!B:E, 5, FALSE), "")</f>
        <v/>
      </c>
      <c r="I191" s="97" t="str">
        <f>IFERROR(VLOOKUP(F192, 'ฐานข้อมูลประวัติการเข้าพัก'!B:D, 4, FALSE), "")</f>
        <v/>
      </c>
      <c r="J191" s="98" t="s">
        <v>20</v>
      </c>
      <c r="K191" s="99" t="s">
        <v>21</v>
      </c>
      <c r="L191" s="99" t="s">
        <v>21</v>
      </c>
      <c r="M191" s="100">
        <f t="shared" si="1"/>
        <v>244227</v>
      </c>
    </row>
    <row r="192" hidden="1" outlineLevel="1">
      <c r="A192" s="93" t="s">
        <v>566</v>
      </c>
      <c r="B192" s="99">
        <v>191.0</v>
      </c>
      <c r="C192" s="94" t="s">
        <v>17</v>
      </c>
      <c r="D192" s="95">
        <v>244226.0</v>
      </c>
      <c r="E192" s="94" t="s">
        <v>50</v>
      </c>
      <c r="F192" s="100" t="str">
        <f>VLOOKUP(A191, 'ฐานข้อมูลประวัติการเข้าพัก'!$A$1:$E$589, 2, FALSE)</f>
        <v>วุฒิชัย  เศษรักษา</v>
      </c>
      <c r="G192" s="96" t="s">
        <v>19</v>
      </c>
      <c r="H192" s="97" t="str">
        <f>IFERROR(VLOOKUP(F193, 'ฐานข้อมูลประวัติการเข้าพัก'!B:E, 5, FALSE), "")</f>
        <v/>
      </c>
      <c r="I192" s="97" t="str">
        <f>IFERROR(VLOOKUP(F193, 'ฐานข้อมูลประวัติการเข้าพัก'!B:D, 4, FALSE), "")</f>
        <v/>
      </c>
      <c r="J192" s="98" t="s">
        <v>20</v>
      </c>
      <c r="K192" s="99" t="s">
        <v>21</v>
      </c>
      <c r="L192" s="99" t="s">
        <v>21</v>
      </c>
      <c r="M192" s="100">
        <f t="shared" si="1"/>
        <v>244227</v>
      </c>
    </row>
    <row r="193" hidden="1" outlineLevel="1">
      <c r="A193" s="93" t="s">
        <v>569</v>
      </c>
      <c r="B193" s="99">
        <v>192.0</v>
      </c>
      <c r="C193" s="94" t="s">
        <v>29</v>
      </c>
      <c r="D193" s="95">
        <v>244227.0</v>
      </c>
      <c r="E193" s="94" t="s">
        <v>30</v>
      </c>
      <c r="F193" s="100" t="str">
        <f>VLOOKUP(A192, 'ฐานข้อมูลประวัติการเข้าพัก'!$A$1:$E$589, 2, FALSE)</f>
        <v>อาทิตย์ กองกาณ</v>
      </c>
      <c r="G193" s="96" t="s">
        <v>19</v>
      </c>
      <c r="H193" s="97" t="str">
        <f>IFERROR(VLOOKUP(F194, 'ฐานข้อมูลประวัติการเข้าพัก'!B:E, 5, FALSE), "")</f>
        <v/>
      </c>
      <c r="I193" s="97" t="str">
        <f>IFERROR(VLOOKUP(F194, 'ฐานข้อมูลประวัติการเข้าพัก'!B:D, 4, FALSE), "")</f>
        <v/>
      </c>
      <c r="J193" s="98" t="s">
        <v>20</v>
      </c>
      <c r="K193" s="99" t="s">
        <v>21</v>
      </c>
      <c r="L193" s="99" t="s">
        <v>21</v>
      </c>
      <c r="M193" s="100">
        <f t="shared" si="1"/>
        <v>244228</v>
      </c>
    </row>
    <row r="194" hidden="1" collapsed="1">
      <c r="A194" s="101"/>
      <c r="B194" s="101"/>
      <c r="C194" s="101"/>
      <c r="D194" s="102"/>
      <c r="E194" s="101"/>
      <c r="F194" s="100" t="str">
        <f>VLOOKUP(A193, 'ฐานข้อมูลประวัติการเข้าพัก'!$A$1:$E$589, 2, FALSE)</f>
        <v>พรรณรัตน์</v>
      </c>
      <c r="G194" s="103"/>
      <c r="H194" s="104"/>
      <c r="I194" s="104"/>
      <c r="J194" s="105"/>
      <c r="K194" s="103"/>
      <c r="L194" s="103"/>
      <c r="M194" s="106"/>
    </row>
    <row r="195" hidden="1" outlineLevel="1">
      <c r="A195" s="93" t="s">
        <v>580</v>
      </c>
      <c r="B195" s="93">
        <v>1.0</v>
      </c>
      <c r="C195" s="94" t="s">
        <v>29</v>
      </c>
      <c r="D195" s="95">
        <v>25083.0</v>
      </c>
      <c r="E195" s="94" t="s">
        <v>50</v>
      </c>
      <c r="F195" s="106"/>
      <c r="G195" s="96" t="s">
        <v>19</v>
      </c>
      <c r="H195" s="97" t="str">
        <f>IFERROR(VLOOKUP(F196, 'ฐานข้อมูลประวัติการเข้าพัก'!E:I, 5, FALSE), "")</f>
        <v/>
      </c>
      <c r="I195" s="97" t="str">
        <f>IFERROR(VLOOKUP(F196, 'ฐานข้อมูลประวัติการเข้าพัก'!B:D, 4, FALSE), "")</f>
        <v/>
      </c>
      <c r="J195" s="98" t="s">
        <v>20</v>
      </c>
      <c r="K195" s="99" t="s">
        <v>21</v>
      </c>
      <c r="L195" s="99" t="s">
        <v>21</v>
      </c>
      <c r="M195" s="100">
        <f t="shared" ref="M195:M406" si="2">D195+1</f>
        <v>25084</v>
      </c>
    </row>
    <row r="196" hidden="1" outlineLevel="1">
      <c r="A196" s="93" t="s">
        <v>584</v>
      </c>
      <c r="B196" s="93">
        <v>2.0</v>
      </c>
      <c r="C196" s="94" t="s">
        <v>29</v>
      </c>
      <c r="D196" s="107">
        <f>D195+1</f>
        <v>25084</v>
      </c>
      <c r="E196" s="94" t="s">
        <v>579</v>
      </c>
      <c r="F196" s="100" t="str">
        <f>VLOOKUP(A195, 'ฐานข้อมูลประวัติการเข้าพัก'!$A$1:$E$589, 2, FALSE)</f>
        <v>จีรนันท์ มงคลเสริม</v>
      </c>
      <c r="G196" s="96" t="s">
        <v>19</v>
      </c>
      <c r="H196" s="97" t="str">
        <f>IFERROR(VLOOKUP(F197, 'ฐานข้อมูลประวัติการเข้าพัก'!E:I, 5, FALSE), "")</f>
        <v/>
      </c>
      <c r="I196" s="97" t="str">
        <f>IFERROR(VLOOKUP(F197, 'ฐานข้อมูลประวัติการเข้าพัก'!B:D, 4, FALSE), "")</f>
        <v/>
      </c>
      <c r="J196" s="98" t="s">
        <v>20</v>
      </c>
      <c r="K196" s="99" t="s">
        <v>21</v>
      </c>
      <c r="L196" s="99" t="s">
        <v>21</v>
      </c>
      <c r="M196" s="100">
        <f t="shared" si="2"/>
        <v>25085</v>
      </c>
    </row>
    <row r="197" hidden="1" outlineLevel="1">
      <c r="A197" s="93" t="s">
        <v>589</v>
      </c>
      <c r="B197" s="93">
        <v>3.0</v>
      </c>
      <c r="C197" s="94" t="s">
        <v>29</v>
      </c>
      <c r="D197" s="107">
        <f>'ชีต12'!C5+1</f>
        <v>61608</v>
      </c>
      <c r="E197" s="108" t="str">
        <f>'ชีต12'!F2</f>
        <v>A206</v>
      </c>
      <c r="F197" s="100" t="str">
        <f>VLOOKUP(A196, 'ฐานข้อมูลประวัติการเข้าพัก'!$A$1:$E$589, 2, FALSE)</f>
        <v>นายประเวศ สาคี</v>
      </c>
      <c r="G197" s="96" t="s">
        <v>19</v>
      </c>
      <c r="H197" s="97" t="str">
        <f>IFERROR(VLOOKUP(A197, 'ฐานข้อมูลประวัติการเข้าพัก'!E:I, 5, FALSE), "")</f>
        <v/>
      </c>
      <c r="I197" s="97" t="str">
        <f>IFERROR(VLOOKUP(F198, 'ฐานข้อมูลประวัติการเข้าพัก'!B:D, 4, FALSE), "")</f>
        <v/>
      </c>
      <c r="J197" s="98" t="s">
        <v>20</v>
      </c>
      <c r="K197" s="99" t="s">
        <v>21</v>
      </c>
      <c r="L197" s="99" t="s">
        <v>21</v>
      </c>
      <c r="M197" s="100">
        <f t="shared" si="2"/>
        <v>61609</v>
      </c>
    </row>
    <row r="198" hidden="1" outlineLevel="1">
      <c r="A198" s="93" t="s">
        <v>593</v>
      </c>
      <c r="B198" s="93">
        <v>4.0</v>
      </c>
      <c r="C198" s="94" t="s">
        <v>29</v>
      </c>
      <c r="D198" s="107">
        <f>'ชีต12'!C6+1</f>
        <v>61608</v>
      </c>
      <c r="E198" s="108" t="str">
        <f>'ชีต12'!F3</f>
        <v>B211</v>
      </c>
      <c r="F198" s="109" t="s">
        <v>663</v>
      </c>
      <c r="G198" s="96" t="s">
        <v>19</v>
      </c>
      <c r="H198" s="97" t="str">
        <f>IFERROR(VLOOKUP(F199, 'ฐานข้อมูลประวัติการเข้าพัก'!E:I, 5, FALSE), "")</f>
        <v/>
      </c>
      <c r="I198" s="97" t="str">
        <f>IFERROR(VLOOKUP(F199, 'ฐานข้อมูลประวัติการเข้าพัก'!B:D, 4, FALSE), "")</f>
        <v/>
      </c>
      <c r="J198" s="98" t="s">
        <v>20</v>
      </c>
      <c r="K198" s="99" t="s">
        <v>21</v>
      </c>
      <c r="L198" s="99" t="s">
        <v>21</v>
      </c>
      <c r="M198" s="100">
        <f t="shared" si="2"/>
        <v>61609</v>
      </c>
    </row>
    <row r="199" hidden="1" outlineLevel="1">
      <c r="A199" s="93" t="s">
        <v>597</v>
      </c>
      <c r="B199" s="93">
        <v>5.0</v>
      </c>
      <c r="C199" s="94" t="s">
        <v>29</v>
      </c>
      <c r="D199" s="107">
        <f>'ชีต12'!C9</f>
        <v>61608</v>
      </c>
      <c r="E199" s="108" t="str">
        <f>'ชีต12'!F6</f>
        <v>A106</v>
      </c>
      <c r="F199" s="108" t="str">
        <f>VLOOKUP(A198, 'ฐานข้อมูลประวัติการเข้าพัก'!$A$1:$E$589, 2, FALSE)</f>
        <v>เอกนกร โสมอินทร์</v>
      </c>
      <c r="G199" s="96" t="s">
        <v>19</v>
      </c>
      <c r="H199" s="93" t="s">
        <v>2027</v>
      </c>
      <c r="I199" s="110" t="s">
        <v>1290</v>
      </c>
      <c r="J199" s="98" t="s">
        <v>20</v>
      </c>
      <c r="K199" s="99" t="s">
        <v>21</v>
      </c>
      <c r="L199" s="99" t="s">
        <v>21</v>
      </c>
      <c r="M199" s="100">
        <f t="shared" si="2"/>
        <v>61609</v>
      </c>
    </row>
    <row r="200" hidden="1" outlineLevel="1">
      <c r="A200" s="93" t="s">
        <v>601</v>
      </c>
      <c r="B200" s="93">
        <v>6.0</v>
      </c>
      <c r="C200" s="94" t="s">
        <v>17</v>
      </c>
      <c r="D200" s="107">
        <f>'ชีต12'!C10</f>
        <v>61608</v>
      </c>
      <c r="E200" s="108" t="str">
        <f>'ชีต12'!F7</f>
        <v>A109</v>
      </c>
      <c r="F200" s="108" t="str">
        <f>VLOOKUP(A199, 'ฐานข้อมูลประวัติการเข้าพัก'!$A$1:$E$589, 2, FALSE)</f>
        <v>ตุ๊ก</v>
      </c>
      <c r="G200" s="96" t="s">
        <v>19</v>
      </c>
      <c r="H200" s="93">
        <v>1.46864771421E12</v>
      </c>
      <c r="I200" s="110" t="s">
        <v>1290</v>
      </c>
      <c r="J200" s="98" t="s">
        <v>20</v>
      </c>
      <c r="K200" s="99" t="s">
        <v>21</v>
      </c>
      <c r="L200" s="99" t="s">
        <v>21</v>
      </c>
      <c r="M200" s="100">
        <f t="shared" si="2"/>
        <v>61609</v>
      </c>
    </row>
    <row r="201" hidden="1" outlineLevel="1">
      <c r="A201" s="93" t="s">
        <v>604</v>
      </c>
      <c r="B201" s="93">
        <v>7.0</v>
      </c>
      <c r="C201" s="94" t="s">
        <v>17</v>
      </c>
      <c r="D201" s="107">
        <f>'ชีต12'!C11</f>
        <v>61608</v>
      </c>
      <c r="E201" s="108" t="str">
        <f>'ชีต12'!F8</f>
        <v>A205</v>
      </c>
      <c r="F201" s="108" t="str">
        <f>VLOOKUP(A200, 'ฐานข้อมูลประวัติการเข้าพัก'!$A$1:$E$589, 2, FALSE)</f>
        <v>ธาราธร</v>
      </c>
      <c r="G201" s="96" t="s">
        <v>19</v>
      </c>
      <c r="H201" s="93" t="s">
        <v>2027</v>
      </c>
      <c r="I201" s="110" t="s">
        <v>1297</v>
      </c>
      <c r="J201" s="98" t="s">
        <v>20</v>
      </c>
      <c r="K201" s="99" t="s">
        <v>21</v>
      </c>
      <c r="L201" s="99" t="s">
        <v>21</v>
      </c>
      <c r="M201" s="100">
        <f t="shared" si="2"/>
        <v>61609</v>
      </c>
    </row>
    <row r="202" hidden="1" outlineLevel="1">
      <c r="A202" s="93" t="s">
        <v>606</v>
      </c>
      <c r="B202" s="93">
        <v>8.0</v>
      </c>
      <c r="C202" s="94" t="s">
        <v>17</v>
      </c>
      <c r="D202" s="107">
        <f>'ชีต12'!C12</f>
        <v>61608</v>
      </c>
      <c r="E202" s="108" t="str">
        <f>'ชีต12'!F9</f>
        <v>A103</v>
      </c>
      <c r="F202" s="108" t="str">
        <f>VLOOKUP(A201, 'ฐานข้อมูลประวัติการเข้าพัก'!$A$1:$E$589, 2, FALSE)</f>
        <v>นายพิชิชัย</v>
      </c>
      <c r="G202" s="96" t="s">
        <v>19</v>
      </c>
      <c r="H202" s="93" t="s">
        <v>2027</v>
      </c>
      <c r="I202" s="110"/>
      <c r="J202" s="98" t="s">
        <v>20</v>
      </c>
      <c r="K202" s="99" t="s">
        <v>21</v>
      </c>
      <c r="L202" s="99" t="s">
        <v>21</v>
      </c>
      <c r="M202" s="100">
        <f t="shared" si="2"/>
        <v>61609</v>
      </c>
    </row>
    <row r="203" hidden="1" outlineLevel="1">
      <c r="A203" s="93" t="s">
        <v>609</v>
      </c>
      <c r="B203" s="93">
        <v>9.0</v>
      </c>
      <c r="C203" s="94" t="s">
        <v>29</v>
      </c>
      <c r="D203" s="107">
        <f>'ชีต12'!C7+1</f>
        <v>61609</v>
      </c>
      <c r="E203" s="108" t="str">
        <f>'ชีต12'!F4</f>
        <v>N1</v>
      </c>
      <c r="F203" s="108" t="str">
        <f>VLOOKUP(A202, 'ฐานข้อมูลประวัติการเข้าพัก'!$A$1:$E$589, 2, FALSE)</f>
        <v>บริษัท สยามคาร์เรนท์ จำกัด</v>
      </c>
      <c r="G203" s="96" t="s">
        <v>19</v>
      </c>
      <c r="H203" s="93" t="s">
        <v>2027</v>
      </c>
      <c r="I203" s="110"/>
      <c r="J203" s="98" t="s">
        <v>20</v>
      </c>
      <c r="K203" s="99" t="s">
        <v>21</v>
      </c>
      <c r="L203" s="99" t="s">
        <v>21</v>
      </c>
      <c r="M203" s="100">
        <f t="shared" si="2"/>
        <v>61610</v>
      </c>
    </row>
    <row r="204" hidden="1" outlineLevel="1">
      <c r="A204" s="93" t="s">
        <v>612</v>
      </c>
      <c r="B204" s="93">
        <v>10.0</v>
      </c>
      <c r="C204" s="94" t="s">
        <v>17</v>
      </c>
      <c r="D204" s="107">
        <f>'ชีต12'!C8+1</f>
        <v>61609</v>
      </c>
      <c r="E204" s="108" t="str">
        <f>'ชีต12'!F5</f>
        <v>B101</v>
      </c>
      <c r="F204" s="108" t="str">
        <f>VLOOKUP(A203, 'ฐานข้อมูลประวัติการเข้าพัก'!$A$1:$E$589, 2, FALSE)</f>
        <v>บริษัท สยามสเคป จำกัด</v>
      </c>
      <c r="G204" s="96" t="s">
        <v>19</v>
      </c>
      <c r="H204" s="93" t="s">
        <v>2027</v>
      </c>
      <c r="I204" s="110" t="s">
        <v>1286</v>
      </c>
      <c r="J204" s="98" t="s">
        <v>20</v>
      </c>
      <c r="K204" s="99" t="s">
        <v>21</v>
      </c>
      <c r="L204" s="99" t="s">
        <v>21</v>
      </c>
      <c r="M204" s="100">
        <f t="shared" si="2"/>
        <v>61610</v>
      </c>
    </row>
    <row r="205" hidden="1" outlineLevel="1">
      <c r="A205" s="93" t="s">
        <v>614</v>
      </c>
      <c r="B205" s="93">
        <v>11.0</v>
      </c>
      <c r="C205" s="94" t="s">
        <v>29</v>
      </c>
      <c r="D205" s="107">
        <f>'ชีต12'!C13</f>
        <v>61609</v>
      </c>
      <c r="E205" s="108" t="str">
        <f>'ชีต12'!F10</f>
        <v>A101</v>
      </c>
      <c r="F205" s="108" t="str">
        <f>VLOOKUP(A204, 'ฐานข้อมูลประวัติการเข้าพัก'!$A$1:$E$589, 2, FALSE)</f>
        <v>อภิชัย</v>
      </c>
      <c r="G205" s="96" t="s">
        <v>19</v>
      </c>
      <c r="H205" s="93" t="s">
        <v>2027</v>
      </c>
      <c r="I205" s="110"/>
      <c r="J205" s="98" t="s">
        <v>20</v>
      </c>
      <c r="K205" s="99" t="s">
        <v>21</v>
      </c>
      <c r="L205" s="99" t="s">
        <v>21</v>
      </c>
      <c r="M205" s="100">
        <f t="shared" si="2"/>
        <v>61610</v>
      </c>
    </row>
    <row r="206" hidden="1" outlineLevel="1">
      <c r="A206" s="93" t="s">
        <v>617</v>
      </c>
      <c r="B206" s="93">
        <v>12.0</v>
      </c>
      <c r="C206" s="94" t="s">
        <v>17</v>
      </c>
      <c r="D206" s="107">
        <f>'ชีต12'!C14</f>
        <v>61609</v>
      </c>
      <c r="E206" s="108" t="str">
        <f>'ชีต12'!F11</f>
        <v>B107</v>
      </c>
      <c r="F206" s="108" t="str">
        <f>VLOOKUP(A205, 'ฐานข้อมูลประวัติการเข้าพัก'!$A$1:$E$589, 2, FALSE)</f>
        <v>ชวลิต เข็มศิริ</v>
      </c>
      <c r="G206" s="96" t="s">
        <v>19</v>
      </c>
      <c r="H206" s="93" t="s">
        <v>2027</v>
      </c>
      <c r="I206" s="110"/>
      <c r="J206" s="98" t="s">
        <v>20</v>
      </c>
      <c r="K206" s="99" t="s">
        <v>21</v>
      </c>
      <c r="L206" s="99" t="s">
        <v>21</v>
      </c>
      <c r="M206" s="100">
        <f t="shared" si="2"/>
        <v>61610</v>
      </c>
    </row>
    <row r="207" hidden="1" outlineLevel="1">
      <c r="A207" s="93" t="s">
        <v>620</v>
      </c>
      <c r="B207" s="93">
        <v>13.0</v>
      </c>
      <c r="C207" s="94" t="s">
        <v>17</v>
      </c>
      <c r="D207" s="107">
        <f>'ชีต12'!C15</f>
        <v>61609</v>
      </c>
      <c r="E207" s="108" t="str">
        <f>'ชีต12'!F12</f>
        <v>B108</v>
      </c>
      <c r="F207" s="108" t="str">
        <f>VLOOKUP(A206, 'ฐานข้อมูลประวัติการเข้าพัก'!$A$1:$E$589, 2, FALSE)</f>
        <v>คุณกิ้</v>
      </c>
      <c r="G207" s="96" t="s">
        <v>19</v>
      </c>
      <c r="H207" s="93">
        <v>1.46864771421E12</v>
      </c>
      <c r="I207" s="110"/>
      <c r="J207" s="98" t="s">
        <v>20</v>
      </c>
      <c r="K207" s="99" t="s">
        <v>21</v>
      </c>
      <c r="L207" s="99" t="s">
        <v>21</v>
      </c>
      <c r="M207" s="100">
        <f t="shared" si="2"/>
        <v>61610</v>
      </c>
    </row>
    <row r="208" hidden="1" outlineLevel="1">
      <c r="A208" s="93" t="s">
        <v>623</v>
      </c>
      <c r="B208" s="93">
        <v>14.0</v>
      </c>
      <c r="C208" s="94" t="s">
        <v>29</v>
      </c>
      <c r="D208" s="107">
        <f>'ชีต12'!C16</f>
        <v>61609</v>
      </c>
      <c r="E208" s="108" t="str">
        <f>'ชีต12'!F13</f>
        <v>A106</v>
      </c>
      <c r="F208" s="108" t="str">
        <f>VLOOKUP(A207, 'ฐานข้อมูลประวัติการเข้าพัก'!$A$1:$E$589, 2, FALSE)</f>
        <v>น.ส.นภาวรรณ ถานัน</v>
      </c>
      <c r="G208" s="96" t="s">
        <v>19</v>
      </c>
      <c r="H208" s="93" t="s">
        <v>2027</v>
      </c>
      <c r="I208" s="110" t="s">
        <v>1297</v>
      </c>
      <c r="J208" s="98" t="s">
        <v>20</v>
      </c>
      <c r="K208" s="99" t="s">
        <v>21</v>
      </c>
      <c r="L208" s="99" t="s">
        <v>21</v>
      </c>
      <c r="M208" s="100">
        <f t="shared" si="2"/>
        <v>61610</v>
      </c>
    </row>
    <row r="209" hidden="1" outlineLevel="1">
      <c r="A209" s="93" t="s">
        <v>626</v>
      </c>
      <c r="B209" s="93">
        <v>15.0</v>
      </c>
      <c r="C209" s="94" t="s">
        <v>29</v>
      </c>
      <c r="D209" s="107">
        <f>'ชีต12'!C17</f>
        <v>61610</v>
      </c>
      <c r="E209" s="108" t="str">
        <f>'ชีต12'!F14</f>
        <v>A101</v>
      </c>
      <c r="F209" s="108" t="str">
        <f>VLOOKUP(A208, 'ฐานข้อมูลประวัติการเข้าพัก'!$A$1:$E$589, 2, FALSE)</f>
        <v>จิตสุภา เจริญพันธ์</v>
      </c>
      <c r="G209" s="96" t="s">
        <v>19</v>
      </c>
      <c r="H209" s="93">
        <v>1.46864771421E12</v>
      </c>
      <c r="I209" s="110" t="s">
        <v>1282</v>
      </c>
      <c r="J209" s="98" t="s">
        <v>20</v>
      </c>
      <c r="K209" s="99" t="s">
        <v>21</v>
      </c>
      <c r="L209" s="99" t="s">
        <v>21</v>
      </c>
      <c r="M209" s="100">
        <f t="shared" si="2"/>
        <v>61611</v>
      </c>
    </row>
    <row r="210" hidden="1" outlineLevel="1">
      <c r="A210" s="93" t="s">
        <v>629</v>
      </c>
      <c r="B210" s="93">
        <v>16.0</v>
      </c>
      <c r="C210" s="94" t="s">
        <v>29</v>
      </c>
      <c r="D210" s="107">
        <f>'ชีต12'!C18</f>
        <v>61610</v>
      </c>
      <c r="E210" s="108" t="str">
        <f>'ชีต12'!F15</f>
        <v>N2</v>
      </c>
      <c r="F210" s="108" t="str">
        <f>VLOOKUP(A209, 'ฐานข้อมูลประวัติการเข้าพัก'!$A$1:$E$589, 2, FALSE)</f>
        <v>ชณัฐษิกาญจน์ สิงห์ทอง</v>
      </c>
      <c r="G210" s="96" t="s">
        <v>19</v>
      </c>
      <c r="H210" s="93" t="s">
        <v>2027</v>
      </c>
      <c r="I210" s="110" t="s">
        <v>1297</v>
      </c>
      <c r="J210" s="98" t="s">
        <v>20</v>
      </c>
      <c r="K210" s="99" t="s">
        <v>21</v>
      </c>
      <c r="L210" s="99" t="s">
        <v>21</v>
      </c>
      <c r="M210" s="100">
        <f t="shared" si="2"/>
        <v>61611</v>
      </c>
    </row>
    <row r="211" hidden="1" outlineLevel="1">
      <c r="A211" s="93" t="s">
        <v>656</v>
      </c>
      <c r="B211" s="93">
        <v>17.0</v>
      </c>
      <c r="C211" s="94" t="s">
        <v>17</v>
      </c>
      <c r="D211" s="107">
        <f>'ชีต12'!C19</f>
        <v>61610</v>
      </c>
      <c r="E211" s="108" t="str">
        <f>'ชีต12'!F16</f>
        <v>N1</v>
      </c>
      <c r="F211" s="108" t="str">
        <f>VLOOKUP(A210, 'ฐานข้อมูลประวัติการเข้าพัก'!$A$1:$E$589, 2, FALSE)</f>
        <v>คุณอ้น</v>
      </c>
      <c r="G211" s="96" t="s">
        <v>19</v>
      </c>
      <c r="H211" s="93">
        <v>2.537637841198E12</v>
      </c>
      <c r="I211" s="110" t="s">
        <v>1286</v>
      </c>
      <c r="J211" s="98" t="s">
        <v>20</v>
      </c>
      <c r="K211" s="99" t="s">
        <v>21</v>
      </c>
      <c r="L211" s="99" t="s">
        <v>21</v>
      </c>
      <c r="M211" s="100">
        <f t="shared" si="2"/>
        <v>61611</v>
      </c>
    </row>
    <row r="212" hidden="1" outlineLevel="1">
      <c r="A212" s="93" t="s">
        <v>659</v>
      </c>
      <c r="B212" s="93">
        <v>18.0</v>
      </c>
      <c r="C212" s="94" t="s">
        <v>29</v>
      </c>
      <c r="D212" s="107">
        <f>'ชีต12'!C20</f>
        <v>61610</v>
      </c>
      <c r="E212" s="108" t="str">
        <f>'ชีต12'!F17</f>
        <v>A106</v>
      </c>
      <c r="F212" s="108" t="str">
        <f>VLOOKUP(A211, 'ฐานข้อมูลประวัติการเข้าพัก'!$A$1:$E$589, 2, FALSE)</f>
        <v>บริษัท แพลน บี มีเดีย จำกัด (มหาชน)</v>
      </c>
      <c r="G212" s="96" t="s">
        <v>19</v>
      </c>
      <c r="H212" s="93">
        <v>3.849318155985E12</v>
      </c>
      <c r="I212" s="110" t="s">
        <v>1304</v>
      </c>
      <c r="J212" s="98" t="s">
        <v>20</v>
      </c>
      <c r="K212" s="99" t="s">
        <v>21</v>
      </c>
      <c r="L212" s="99" t="s">
        <v>21</v>
      </c>
      <c r="M212" s="100">
        <f t="shared" si="2"/>
        <v>61611</v>
      </c>
    </row>
    <row r="213" hidden="1" outlineLevel="1">
      <c r="A213" s="93" t="s">
        <v>662</v>
      </c>
      <c r="B213" s="93">
        <v>19.0</v>
      </c>
      <c r="C213" s="94" t="s">
        <v>17</v>
      </c>
      <c r="D213" s="107">
        <f>'ชีต12'!C21</f>
        <v>61610</v>
      </c>
      <c r="E213" s="108" t="str">
        <f>'ชีต12'!F18</f>
        <v>A101</v>
      </c>
      <c r="F213" s="108" t="str">
        <f>VLOOKUP(A212, 'ฐานข้อมูลประวัติการเข้าพัก'!$A$1:$E$589, 2, FALSE)</f>
        <v>บริษัท ดีเคเอสเอช (ประเทศไทย) จำกัด</v>
      </c>
      <c r="G213" s="96" t="s">
        <v>19</v>
      </c>
      <c r="H213" s="93">
        <v>1.68128470503E12</v>
      </c>
      <c r="I213" s="110"/>
      <c r="J213" s="98" t="s">
        <v>20</v>
      </c>
      <c r="K213" s="99" t="s">
        <v>21</v>
      </c>
      <c r="L213" s="99" t="s">
        <v>21</v>
      </c>
      <c r="M213" s="100">
        <f t="shared" si="2"/>
        <v>61611</v>
      </c>
    </row>
    <row r="214" hidden="1" outlineLevel="1">
      <c r="A214" s="93" t="s">
        <v>664</v>
      </c>
      <c r="B214" s="93">
        <v>20.0</v>
      </c>
      <c r="C214" s="94" t="s">
        <v>17</v>
      </c>
      <c r="D214" s="107">
        <f>'ชีต12'!C22</f>
        <v>61610</v>
      </c>
      <c r="E214" s="108" t="str">
        <f>'ชีต12'!F19</f>
        <v>B107</v>
      </c>
      <c r="F214" s="108" t="str">
        <f>VLOOKUP(A213, 'ฐานข้อมูลประวัติการเข้าพัก'!$A$1:$E$589, 2, FALSE)</f>
        <v>รภน้ำส้ม</v>
      </c>
      <c r="G214" s="96" t="s">
        <v>19</v>
      </c>
      <c r="H214" s="93">
        <v>1.46864771421E12</v>
      </c>
      <c r="I214" s="110"/>
      <c r="J214" s="98" t="s">
        <v>20</v>
      </c>
      <c r="K214" s="99" t="s">
        <v>21</v>
      </c>
      <c r="L214" s="99" t="s">
        <v>21</v>
      </c>
      <c r="M214" s="100">
        <f t="shared" si="2"/>
        <v>61611</v>
      </c>
    </row>
    <row r="215" hidden="1" outlineLevel="1">
      <c r="A215" s="93" t="s">
        <v>667</v>
      </c>
      <c r="B215" s="93">
        <v>21.0</v>
      </c>
      <c r="C215" s="94" t="s">
        <v>17</v>
      </c>
      <c r="D215" s="107">
        <f>'ชีต12'!C23</f>
        <v>61611</v>
      </c>
      <c r="E215" s="108" t="str">
        <f>'ชีต12'!F20</f>
        <v>B101</v>
      </c>
      <c r="F215" s="108" t="str">
        <f>VLOOKUP(A214, 'ฐานข้อมูลประวัติการเข้าพัก'!$A$1:$E$589, 2, FALSE)</f>
        <v>บริษัท มนต์ทรานสปอร์ต จำกัด</v>
      </c>
      <c r="G215" s="96" t="s">
        <v>19</v>
      </c>
      <c r="H215" s="93" t="s">
        <v>2027</v>
      </c>
      <c r="I215" s="110" t="s">
        <v>1290</v>
      </c>
      <c r="J215" s="98" t="s">
        <v>20</v>
      </c>
      <c r="K215" s="99" t="s">
        <v>21</v>
      </c>
      <c r="L215" s="99" t="s">
        <v>21</v>
      </c>
      <c r="M215" s="100">
        <f t="shared" si="2"/>
        <v>61612</v>
      </c>
    </row>
    <row r="216" hidden="1" outlineLevel="1">
      <c r="A216" s="93" t="s">
        <v>670</v>
      </c>
      <c r="B216" s="93">
        <v>22.0</v>
      </c>
      <c r="C216" s="94" t="s">
        <v>29</v>
      </c>
      <c r="D216" s="107">
        <f>'ชีต12'!C24</f>
        <v>61611</v>
      </c>
      <c r="E216" s="108" t="str">
        <f>'ชีต12'!F21</f>
        <v>A106</v>
      </c>
      <c r="F216" s="108" t="str">
        <f>VLOOKUP(A215, 'ฐานข้อมูลประวัติการเข้าพัก'!$A$1:$E$589, 2, FALSE)</f>
        <v>คุณสิทธิ์</v>
      </c>
      <c r="G216" s="96" t="s">
        <v>19</v>
      </c>
      <c r="H216" s="93" t="s">
        <v>2027</v>
      </c>
      <c r="I216" s="110"/>
      <c r="J216" s="98" t="s">
        <v>20</v>
      </c>
      <c r="K216" s="99" t="s">
        <v>21</v>
      </c>
      <c r="L216" s="99" t="s">
        <v>21</v>
      </c>
      <c r="M216" s="100">
        <f t="shared" si="2"/>
        <v>61612</v>
      </c>
    </row>
    <row r="217" hidden="1" outlineLevel="1">
      <c r="A217" s="93" t="s">
        <v>673</v>
      </c>
      <c r="B217" s="93">
        <v>23.0</v>
      </c>
      <c r="C217" s="94" t="s">
        <v>17</v>
      </c>
      <c r="D217" s="107">
        <f>'ชีต12'!C25</f>
        <v>61611</v>
      </c>
      <c r="E217" s="108" t="str">
        <f>'ชีต12'!F22</f>
        <v>A101</v>
      </c>
      <c r="F217" s="108" t="str">
        <f>VLOOKUP(A216, 'ฐานข้อมูลประวัติการเข้าพัก'!$A$1:$E$589, 2, FALSE)</f>
        <v>ณัชพล สุทธิโสรณ</v>
      </c>
      <c r="G217" s="96" t="s">
        <v>19</v>
      </c>
      <c r="H217" s="93">
        <v>8.515560195513E12</v>
      </c>
      <c r="I217" s="110"/>
      <c r="J217" s="98" t="s">
        <v>20</v>
      </c>
      <c r="K217" s="99" t="s">
        <v>21</v>
      </c>
      <c r="L217" s="99" t="s">
        <v>21</v>
      </c>
      <c r="M217" s="100">
        <f t="shared" si="2"/>
        <v>61612</v>
      </c>
    </row>
    <row r="218" hidden="1" outlineLevel="1">
      <c r="A218" s="93" t="s">
        <v>675</v>
      </c>
      <c r="B218" s="93">
        <v>24.0</v>
      </c>
      <c r="C218" s="94" t="s">
        <v>17</v>
      </c>
      <c r="D218" s="107">
        <f>'ชีต12'!C26</f>
        <v>61611</v>
      </c>
      <c r="E218" s="108" t="str">
        <f>'ชีต12'!F23</f>
        <v>N3</v>
      </c>
      <c r="F218" s="108" t="str">
        <f>VLOOKUP(A217, 'ฐานข้อมูลประวัติการเข้าพัก'!$A$1:$E$589, 2, FALSE)</f>
        <v>ฟ้า</v>
      </c>
      <c r="G218" s="96" t="s">
        <v>19</v>
      </c>
      <c r="H218" s="93" t="s">
        <v>2027</v>
      </c>
      <c r="I218" s="110" t="s">
        <v>1286</v>
      </c>
      <c r="J218" s="98" t="s">
        <v>20</v>
      </c>
      <c r="K218" s="99" t="s">
        <v>21</v>
      </c>
      <c r="L218" s="99" t="s">
        <v>21</v>
      </c>
      <c r="M218" s="100">
        <f t="shared" si="2"/>
        <v>61612</v>
      </c>
    </row>
    <row r="219" hidden="1" outlineLevel="1">
      <c r="A219" s="93" t="s">
        <v>678</v>
      </c>
      <c r="B219" s="93">
        <v>25.0</v>
      </c>
      <c r="C219" s="94" t="s">
        <v>29</v>
      </c>
      <c r="D219" s="107">
        <f>'ชีต12'!C27</f>
        <v>61611</v>
      </c>
      <c r="E219" s="108" t="str">
        <f>'ชีต12'!F24</f>
        <v>B209</v>
      </c>
      <c r="F219" s="108" t="str">
        <f>VLOOKUP(A218, 'ฐานข้อมูลประวัติการเข้าพัก'!$A$1:$E$589, 2, FALSE)</f>
        <v>ปองทิพย์ สุขเป้ง</v>
      </c>
      <c r="G219" s="96" t="s">
        <v>19</v>
      </c>
      <c r="H219" s="93" t="s">
        <v>2027</v>
      </c>
      <c r="I219" s="110"/>
      <c r="J219" s="98" t="s">
        <v>20</v>
      </c>
      <c r="K219" s="99" t="s">
        <v>21</v>
      </c>
      <c r="L219" s="99" t="s">
        <v>21</v>
      </c>
      <c r="M219" s="100">
        <f t="shared" si="2"/>
        <v>61612</v>
      </c>
    </row>
    <row r="220" hidden="1" outlineLevel="1">
      <c r="A220" s="93" t="s">
        <v>680</v>
      </c>
      <c r="B220" s="93">
        <v>26.0</v>
      </c>
      <c r="C220" s="94" t="s">
        <v>29</v>
      </c>
      <c r="D220" s="107">
        <f>'ชีต12'!C28</f>
        <v>61611</v>
      </c>
      <c r="E220" s="108" t="str">
        <f>'ชีต12'!F25</f>
        <v>A101</v>
      </c>
      <c r="F220" s="108" t="str">
        <f>VLOOKUP(A219, 'ฐานข้อมูลประวัติการเข้าพัก'!$A$1:$E$589, 2, FALSE)</f>
        <v>มนต์เทียน  ช่างเตี้ย</v>
      </c>
      <c r="G220" s="96" t="s">
        <v>19</v>
      </c>
      <c r="H220" s="93" t="s">
        <v>2027</v>
      </c>
      <c r="I220" s="110" t="s">
        <v>1304</v>
      </c>
      <c r="J220" s="98" t="s">
        <v>20</v>
      </c>
      <c r="K220" s="99" t="s">
        <v>21</v>
      </c>
      <c r="L220" s="99" t="s">
        <v>21</v>
      </c>
      <c r="M220" s="100">
        <f t="shared" si="2"/>
        <v>61612</v>
      </c>
    </row>
    <row r="221" hidden="1" outlineLevel="1">
      <c r="A221" s="93" t="s">
        <v>683</v>
      </c>
      <c r="B221" s="93">
        <v>27.0</v>
      </c>
      <c r="C221" s="94" t="s">
        <v>29</v>
      </c>
      <c r="D221" s="107">
        <f>'ชีต12'!C29</f>
        <v>61612</v>
      </c>
      <c r="E221" s="108" t="str">
        <f>'ชีต12'!F26</f>
        <v>B107</v>
      </c>
      <c r="F221" s="108" t="str">
        <f>VLOOKUP(A220, 'ฐานข้อมูลประวัติการเข้าพัก'!$A$1:$E$589, 2, FALSE)</f>
        <v>ชลิต</v>
      </c>
      <c r="G221" s="96" t="s">
        <v>19</v>
      </c>
      <c r="H221" s="93" t="s">
        <v>2027</v>
      </c>
      <c r="I221" s="110" t="s">
        <v>1282</v>
      </c>
      <c r="J221" s="98" t="s">
        <v>20</v>
      </c>
      <c r="K221" s="99" t="s">
        <v>21</v>
      </c>
      <c r="L221" s="99" t="s">
        <v>21</v>
      </c>
      <c r="M221" s="100">
        <f t="shared" si="2"/>
        <v>61613</v>
      </c>
    </row>
    <row r="222" hidden="1" outlineLevel="1">
      <c r="A222" s="93" t="s">
        <v>686</v>
      </c>
      <c r="B222" s="93">
        <v>28.0</v>
      </c>
      <c r="C222" s="94" t="s">
        <v>17</v>
      </c>
      <c r="D222" s="107">
        <f>'ชีต12'!C30</f>
        <v>61612</v>
      </c>
      <c r="E222" s="108" t="str">
        <f>'ชีต12'!F27</f>
        <v>B108</v>
      </c>
      <c r="F222" s="108" t="str">
        <f>VLOOKUP(A221, 'ฐานข้อมูลประวัติการเข้าพัก'!$A$1:$E$589, 2, FALSE)</f>
        <v>บริษัท สยาม ไฮเอท เทคโนโลยี จำกัด</v>
      </c>
      <c r="G222" s="96" t="s">
        <v>19</v>
      </c>
      <c r="H222" s="93">
        <v>1.397022206461E12</v>
      </c>
      <c r="I222" s="110" t="s">
        <v>1286</v>
      </c>
      <c r="J222" s="98" t="s">
        <v>20</v>
      </c>
      <c r="K222" s="99" t="s">
        <v>21</v>
      </c>
      <c r="L222" s="99" t="s">
        <v>21</v>
      </c>
      <c r="M222" s="100">
        <f t="shared" si="2"/>
        <v>61613</v>
      </c>
    </row>
    <row r="223" hidden="1" outlineLevel="1">
      <c r="A223" s="93" t="s">
        <v>690</v>
      </c>
      <c r="B223" s="93">
        <v>29.0</v>
      </c>
      <c r="C223" s="94" t="s">
        <v>29</v>
      </c>
      <c r="D223" s="107">
        <f>'ชีต12'!C31</f>
        <v>61612</v>
      </c>
      <c r="E223" s="108" t="str">
        <f>'ชีต12'!F28</f>
        <v>N2</v>
      </c>
      <c r="F223" s="108" t="str">
        <f>VLOOKUP(A222, 'ฐานข้อมูลประวัติการเข้าพัก'!$A$1:$E$589, 2, FALSE)</f>
        <v>เอกชัย จินมา</v>
      </c>
      <c r="G223" s="96" t="s">
        <v>19</v>
      </c>
      <c r="H223" s="93" t="s">
        <v>2027</v>
      </c>
      <c r="I223" s="110"/>
      <c r="J223" s="98" t="s">
        <v>20</v>
      </c>
      <c r="K223" s="99" t="s">
        <v>21</v>
      </c>
      <c r="L223" s="99" t="s">
        <v>21</v>
      </c>
      <c r="M223" s="100">
        <f t="shared" si="2"/>
        <v>61613</v>
      </c>
    </row>
    <row r="224" hidden="1" outlineLevel="1">
      <c r="A224" s="93" t="s">
        <v>693</v>
      </c>
      <c r="B224" s="93">
        <v>30.0</v>
      </c>
      <c r="C224" s="94" t="s">
        <v>17</v>
      </c>
      <c r="D224" s="107">
        <f>'ชีต12'!C32</f>
        <v>61612</v>
      </c>
      <c r="E224" s="108" t="str">
        <f>'ชีต12'!F29</f>
        <v>N1</v>
      </c>
      <c r="F224" s="108" t="str">
        <f>VLOOKUP(A223, 'ฐานข้อมูลประวัติการเข้าพัก'!$A$1:$E$589, 2, FALSE)</f>
        <v>บริษัท พีรพัฒน์ เทคโนโลยี จำกัด (มหาชน)</v>
      </c>
      <c r="G224" s="96" t="s">
        <v>19</v>
      </c>
      <c r="H224" s="93">
        <v>1.46864771421E12</v>
      </c>
      <c r="I224" s="110" t="s">
        <v>1290</v>
      </c>
      <c r="J224" s="98" t="s">
        <v>20</v>
      </c>
      <c r="K224" s="99" t="s">
        <v>21</v>
      </c>
      <c r="L224" s="99" t="s">
        <v>21</v>
      </c>
      <c r="M224" s="100">
        <f t="shared" si="2"/>
        <v>61613</v>
      </c>
    </row>
    <row r="225" hidden="1" outlineLevel="1">
      <c r="A225" s="93" t="s">
        <v>696</v>
      </c>
      <c r="B225" s="93">
        <v>31.0</v>
      </c>
      <c r="C225" s="94" t="s">
        <v>17</v>
      </c>
      <c r="D225" s="107">
        <f>'ชีต12'!C33</f>
        <v>61612</v>
      </c>
      <c r="E225" s="108" t="str">
        <f>'ชีต12'!F30</f>
        <v>A101</v>
      </c>
      <c r="F225" s="108" t="str">
        <f>VLOOKUP(A224, 'ฐานข้อมูลประวัติการเข้าพัก'!$A$1:$E$589, 2, FALSE)</f>
        <v>ทวีทรัพย์ ไตรณรงค์</v>
      </c>
      <c r="G225" s="96" t="s">
        <v>19</v>
      </c>
      <c r="H225" s="93" t="s">
        <v>2027</v>
      </c>
      <c r="I225" s="110"/>
      <c r="J225" s="98" t="s">
        <v>20</v>
      </c>
      <c r="K225" s="99" t="s">
        <v>21</v>
      </c>
      <c r="L225" s="99" t="s">
        <v>21</v>
      </c>
      <c r="M225" s="100">
        <f t="shared" si="2"/>
        <v>61613</v>
      </c>
    </row>
    <row r="226" hidden="1" outlineLevel="1">
      <c r="A226" s="93" t="s">
        <v>699</v>
      </c>
      <c r="B226" s="93">
        <v>32.0</v>
      </c>
      <c r="C226" s="94" t="s">
        <v>17</v>
      </c>
      <c r="D226" s="107">
        <f>'ชีต12'!C34</f>
        <v>61612</v>
      </c>
      <c r="E226" s="108" t="str">
        <f>'ชีต12'!F31</f>
        <v>N3</v>
      </c>
      <c r="F226" s="108" t="str">
        <f>VLOOKUP(A225, 'ฐานข้อมูลประวัติการเข้าพัก'!$A$1:$E$589, 2, FALSE)</f>
        <v>บริษัท สหชัย (ประเทศไทย) จำกัด</v>
      </c>
      <c r="G226" s="96" t="s">
        <v>19</v>
      </c>
      <c r="H226" s="93">
        <v>1.68128470503E12</v>
      </c>
      <c r="I226" s="110" t="s">
        <v>1286</v>
      </c>
      <c r="J226" s="98" t="s">
        <v>20</v>
      </c>
      <c r="K226" s="99" t="s">
        <v>21</v>
      </c>
      <c r="L226" s="99" t="s">
        <v>21</v>
      </c>
      <c r="M226" s="100">
        <f t="shared" si="2"/>
        <v>61613</v>
      </c>
    </row>
    <row r="227" hidden="1" outlineLevel="1">
      <c r="A227" s="93" t="s">
        <v>702</v>
      </c>
      <c r="B227" s="93">
        <v>33.0</v>
      </c>
      <c r="C227" s="94" t="s">
        <v>29</v>
      </c>
      <c r="D227" s="107">
        <f>'ชีต12'!C35</f>
        <v>61613</v>
      </c>
      <c r="E227" s="108" t="str">
        <f>'ชีต12'!F32</f>
        <v>N1</v>
      </c>
      <c r="F227" s="108" t="str">
        <f>VLOOKUP(A226, 'ฐานข้อมูลประวัติการเข้าพัก'!$A$1:$E$589, 2, FALSE)</f>
        <v>บริษัท ผกาวรรณ เทรดดิ้ง จำกัด</v>
      </c>
      <c r="G227" s="96" t="s">
        <v>19</v>
      </c>
      <c r="H227" s="93">
        <v>8.137277764951E12</v>
      </c>
      <c r="I227" s="110"/>
      <c r="J227" s="98" t="s">
        <v>20</v>
      </c>
      <c r="K227" s="99" t="s">
        <v>21</v>
      </c>
      <c r="L227" s="99" t="s">
        <v>21</v>
      </c>
      <c r="M227" s="100">
        <f t="shared" si="2"/>
        <v>61614</v>
      </c>
    </row>
    <row r="228" hidden="1" outlineLevel="1">
      <c r="A228" s="93" t="s">
        <v>705</v>
      </c>
      <c r="B228" s="93">
        <v>34.0</v>
      </c>
      <c r="C228" s="94" t="s">
        <v>17</v>
      </c>
      <c r="D228" s="107">
        <f>'ชีต12'!C36</f>
        <v>61613</v>
      </c>
      <c r="E228" s="108" t="str">
        <f>'ชีต12'!F33</f>
        <v>B101</v>
      </c>
      <c r="F228" s="108" t="str">
        <f>VLOOKUP(A227, 'ฐานข้อมูลประวัติการเข้าพัก'!$A$1:$E$589, 2, FALSE)</f>
        <v>บริษัท เอส ซี เค คอนสตรัคชั่นแอนด์เอ็นจิเนียริ่ง จำกัด</v>
      </c>
      <c r="G228" s="96" t="s">
        <v>19</v>
      </c>
      <c r="H228" s="93" t="s">
        <v>2027</v>
      </c>
      <c r="I228" s="110"/>
      <c r="J228" s="98" t="s">
        <v>20</v>
      </c>
      <c r="K228" s="99" t="s">
        <v>21</v>
      </c>
      <c r="L228" s="99" t="s">
        <v>21</v>
      </c>
      <c r="M228" s="100">
        <f t="shared" si="2"/>
        <v>61614</v>
      </c>
    </row>
    <row r="229" hidden="1" outlineLevel="1">
      <c r="A229" s="93" t="s">
        <v>708</v>
      </c>
      <c r="B229" s="93">
        <v>35.0</v>
      </c>
      <c r="C229" s="94" t="s">
        <v>17</v>
      </c>
      <c r="D229" s="107">
        <f>'ชีต12'!C37</f>
        <v>61613</v>
      </c>
      <c r="E229" s="108" t="str">
        <f>'ชีต12'!F34</f>
        <v>A106</v>
      </c>
      <c r="F229" s="108" t="str">
        <f>VLOOKUP(A228, 'ฐานข้อมูลประวัติการเข้าพัก'!$A$1:$E$589, 2, FALSE)</f>
        <v>บริษัท ทีเคซี ไพรม์ ไทร์ จำกัด</v>
      </c>
      <c r="G229" s="96" t="s">
        <v>19</v>
      </c>
      <c r="H229" s="93" t="s">
        <v>2027</v>
      </c>
      <c r="I229" s="110"/>
      <c r="J229" s="98" t="s">
        <v>20</v>
      </c>
      <c r="K229" s="99" t="s">
        <v>21</v>
      </c>
      <c r="L229" s="99" t="s">
        <v>21</v>
      </c>
      <c r="M229" s="100">
        <f t="shared" si="2"/>
        <v>61614</v>
      </c>
    </row>
    <row r="230" hidden="1" outlineLevel="1">
      <c r="A230" s="93" t="s">
        <v>711</v>
      </c>
      <c r="B230" s="93">
        <v>36.0</v>
      </c>
      <c r="C230" s="94" t="s">
        <v>29</v>
      </c>
      <c r="D230" s="107">
        <f>'ชีต12'!C38</f>
        <v>61613</v>
      </c>
      <c r="E230" s="108" t="str">
        <f>'ชีต12'!F35</f>
        <v>B206</v>
      </c>
      <c r="F230" s="108" t="str">
        <f>VLOOKUP(A229, 'ฐานข้อมูลประวัติการเข้าพัก'!$A$1:$E$589, 2, FALSE)</f>
        <v>สวภณ วงศ์กองแก้ว</v>
      </c>
      <c r="G230" s="96" t="s">
        <v>19</v>
      </c>
      <c r="H230" s="93">
        <v>1.46864771421E12</v>
      </c>
      <c r="I230" s="110"/>
      <c r="J230" s="98" t="s">
        <v>20</v>
      </c>
      <c r="K230" s="99" t="s">
        <v>21</v>
      </c>
      <c r="L230" s="99" t="s">
        <v>21</v>
      </c>
      <c r="M230" s="100">
        <f t="shared" si="2"/>
        <v>61614</v>
      </c>
    </row>
    <row r="231" hidden="1" outlineLevel="1">
      <c r="A231" s="93" t="s">
        <v>714</v>
      </c>
      <c r="B231" s="93">
        <v>37.0</v>
      </c>
      <c r="C231" s="94" t="s">
        <v>29</v>
      </c>
      <c r="D231" s="107">
        <f>'ชีต12'!C39</f>
        <v>61613</v>
      </c>
      <c r="E231" s="108" t="str">
        <f>'ชีต12'!F36</f>
        <v>A106</v>
      </c>
      <c r="F231" s="108" t="str">
        <f>VLOOKUP(A230, 'ฐานข้อมูลประวัติการเข้าพัก'!$A$1:$E$589, 2, FALSE)</f>
        <v>ร.ต.ท. สุรพล ถาวงศ์พันธ์</v>
      </c>
      <c r="G231" s="96" t="s">
        <v>19</v>
      </c>
      <c r="H231" s="93" t="s">
        <v>2027</v>
      </c>
      <c r="I231" s="110" t="s">
        <v>1282</v>
      </c>
      <c r="J231" s="98" t="s">
        <v>20</v>
      </c>
      <c r="K231" s="99" t="s">
        <v>21</v>
      </c>
      <c r="L231" s="99" t="s">
        <v>21</v>
      </c>
      <c r="M231" s="100">
        <f t="shared" si="2"/>
        <v>61614</v>
      </c>
    </row>
    <row r="232" hidden="1" outlineLevel="1">
      <c r="A232" s="93" t="s">
        <v>717</v>
      </c>
      <c r="B232" s="93">
        <v>38.0</v>
      </c>
      <c r="C232" s="94" t="s">
        <v>29</v>
      </c>
      <c r="D232" s="107">
        <f>'ชีต12'!C40</f>
        <v>61613</v>
      </c>
      <c r="E232" s="108" t="str">
        <f>'ชีต12'!F37</f>
        <v>A109</v>
      </c>
      <c r="F232" s="108" t="str">
        <f>VLOOKUP(A231, 'ฐานข้อมูลประวัติการเข้าพัก'!$A$1:$E$589, 2, FALSE)</f>
        <v>บริษัท แอสเซนด์ กรุ๊ป จำกัด</v>
      </c>
      <c r="G232" s="96" t="s">
        <v>19</v>
      </c>
      <c r="H232" s="93" t="s">
        <v>2027</v>
      </c>
      <c r="I232" s="110" t="s">
        <v>1297</v>
      </c>
      <c r="J232" s="98" t="s">
        <v>20</v>
      </c>
      <c r="K232" s="99" t="s">
        <v>21</v>
      </c>
      <c r="L232" s="99" t="s">
        <v>21</v>
      </c>
      <c r="M232" s="100">
        <f t="shared" si="2"/>
        <v>61614</v>
      </c>
    </row>
    <row r="233" hidden="1" outlineLevel="1">
      <c r="A233" s="93" t="s">
        <v>719</v>
      </c>
      <c r="B233" s="93">
        <v>39.0</v>
      </c>
      <c r="C233" s="94" t="s">
        <v>17</v>
      </c>
      <c r="D233" s="107">
        <f>'ชีต12'!C41</f>
        <v>61614</v>
      </c>
      <c r="E233" s="108" t="str">
        <f>'ชีต12'!F38</f>
        <v>A101</v>
      </c>
      <c r="F233" s="108" t="str">
        <f>VLOOKUP(A232, 'ฐานข้อมูลประวัติการเข้าพัก'!$A$1:$E$589, 2, FALSE)</f>
        <v>สนธยา สุดาทิพย์</v>
      </c>
      <c r="G233" s="96" t="s">
        <v>19</v>
      </c>
      <c r="H233" s="93">
        <v>1.68128470503E12</v>
      </c>
      <c r="I233" s="110"/>
      <c r="J233" s="98" t="s">
        <v>20</v>
      </c>
      <c r="K233" s="99" t="s">
        <v>21</v>
      </c>
      <c r="L233" s="99" t="s">
        <v>21</v>
      </c>
      <c r="M233" s="100">
        <f t="shared" si="2"/>
        <v>61615</v>
      </c>
    </row>
    <row r="234" hidden="1" outlineLevel="1">
      <c r="A234" s="93" t="s">
        <v>722</v>
      </c>
      <c r="B234" s="93">
        <v>40.0</v>
      </c>
      <c r="C234" s="94" t="s">
        <v>29</v>
      </c>
      <c r="D234" s="107">
        <f>'ชีต12'!C42</f>
        <v>61614</v>
      </c>
      <c r="E234" s="108" t="str">
        <f>'ชีต12'!F39</f>
        <v>B107</v>
      </c>
      <c r="F234" s="108" t="str">
        <f>VLOOKUP(A233, 'ฐานข้อมูลประวัติการเข้าพัก'!$A$1:$E$589, 2, FALSE)</f>
        <v>บริษัท เอฟเวอเรสท์ เท็กซ์ไทล์ (ประเทศไทย) จำกัด</v>
      </c>
      <c r="G234" s="96" t="s">
        <v>19</v>
      </c>
      <c r="H234" s="93">
        <v>3.298150495834E12</v>
      </c>
      <c r="I234" s="110" t="s">
        <v>1304</v>
      </c>
      <c r="J234" s="98" t="s">
        <v>20</v>
      </c>
      <c r="K234" s="99" t="s">
        <v>21</v>
      </c>
      <c r="L234" s="99" t="s">
        <v>21</v>
      </c>
      <c r="M234" s="100">
        <f t="shared" si="2"/>
        <v>61615</v>
      </c>
    </row>
    <row r="235" hidden="1" outlineLevel="1">
      <c r="A235" s="93" t="s">
        <v>725</v>
      </c>
      <c r="B235" s="93">
        <v>41.0</v>
      </c>
      <c r="C235" s="94" t="s">
        <v>17</v>
      </c>
      <c r="D235" s="107">
        <f>'ชีต12'!C43</f>
        <v>61614</v>
      </c>
      <c r="E235" s="108" t="str">
        <f>'ชีต12'!F40</f>
        <v>B108</v>
      </c>
      <c r="F235" s="108" t="str">
        <f>VLOOKUP(A234, 'ฐานข้อมูลประวัติการเข้าพัก'!$A$1:$E$589, 2, FALSE)</f>
        <v>วิทยาลัยเทคนิค  จ.หนองคาย</v>
      </c>
      <c r="G235" s="96" t="s">
        <v>19</v>
      </c>
      <c r="H235" s="93" t="s">
        <v>2027</v>
      </c>
      <c r="I235" s="110"/>
      <c r="J235" s="98" t="s">
        <v>20</v>
      </c>
      <c r="K235" s="99" t="s">
        <v>21</v>
      </c>
      <c r="L235" s="99" t="s">
        <v>21</v>
      </c>
      <c r="M235" s="100">
        <f t="shared" si="2"/>
        <v>61615</v>
      </c>
    </row>
    <row r="236" hidden="1" outlineLevel="1">
      <c r="A236" s="93" t="s">
        <v>727</v>
      </c>
      <c r="B236" s="93">
        <v>42.0</v>
      </c>
      <c r="C236" s="94" t="s">
        <v>17</v>
      </c>
      <c r="D236" s="107">
        <f>'ชีต12'!C44</f>
        <v>61614</v>
      </c>
      <c r="E236" s="108" t="str">
        <f>'ชีต12'!F41</f>
        <v>B107</v>
      </c>
      <c r="F236" s="108" t="str">
        <f>VLOOKUP(A235, 'ฐานข้อมูลประวัติการเข้าพัก'!$A$1:$E$589, 2, FALSE)</f>
        <v>คุณประเวศ สาดี</v>
      </c>
      <c r="G236" s="96" t="s">
        <v>19</v>
      </c>
      <c r="H236" s="93" t="s">
        <v>2027</v>
      </c>
      <c r="I236" s="110" t="s">
        <v>1290</v>
      </c>
      <c r="J236" s="98" t="s">
        <v>20</v>
      </c>
      <c r="K236" s="99" t="s">
        <v>21</v>
      </c>
      <c r="L236" s="99" t="s">
        <v>21</v>
      </c>
      <c r="M236" s="100">
        <f t="shared" si="2"/>
        <v>61615</v>
      </c>
    </row>
    <row r="237" hidden="1" outlineLevel="1">
      <c r="A237" s="93" t="s">
        <v>729</v>
      </c>
      <c r="B237" s="93">
        <v>43.0</v>
      </c>
      <c r="C237" s="94" t="s">
        <v>17</v>
      </c>
      <c r="D237" s="107">
        <f>'ชีต12'!C45</f>
        <v>61614</v>
      </c>
      <c r="E237" s="108" t="str">
        <f>'ชีต12'!F42</f>
        <v>A106</v>
      </c>
      <c r="F237" s="108" t="str">
        <f>VLOOKUP(A236, 'ฐานข้อมูลประวัติการเข้าพัก'!$A$1:$E$589, 2, FALSE)</f>
        <v>มนตรี สุทธิเมทากุล</v>
      </c>
      <c r="G237" s="96" t="s">
        <v>19</v>
      </c>
      <c r="H237" s="93">
        <v>1.46864771421E12</v>
      </c>
      <c r="I237" s="110" t="s">
        <v>1290</v>
      </c>
      <c r="J237" s="98" t="s">
        <v>20</v>
      </c>
      <c r="K237" s="99" t="s">
        <v>21</v>
      </c>
      <c r="L237" s="99" t="s">
        <v>21</v>
      </c>
      <c r="M237" s="100">
        <f t="shared" si="2"/>
        <v>61615</v>
      </c>
    </row>
    <row r="238" hidden="1" outlineLevel="1">
      <c r="A238" s="93" t="s">
        <v>732</v>
      </c>
      <c r="B238" s="93">
        <v>44.0</v>
      </c>
      <c r="C238" s="94" t="s">
        <v>17</v>
      </c>
      <c r="D238" s="107">
        <f>'ชีต12'!C141</f>
        <v>61614</v>
      </c>
      <c r="E238" s="108" t="str">
        <f>'ชีต12'!F138</f>
        <v>A101</v>
      </c>
      <c r="F238" s="108" t="str">
        <f>VLOOKUP(A237, 'ฐานข้อมูลประวัติการเข้าพัก'!$A$1:$E$589, 2, FALSE)</f>
        <v>บริษัท น้ำจิ้มคุณนิด จำกัด</v>
      </c>
      <c r="G238" s="96" t="s">
        <v>19</v>
      </c>
      <c r="H238" s="93" t="s">
        <v>2027</v>
      </c>
      <c r="I238" s="110" t="s">
        <v>1290</v>
      </c>
      <c r="J238" s="98" t="s">
        <v>20</v>
      </c>
      <c r="K238" s="99" t="s">
        <v>21</v>
      </c>
      <c r="L238" s="99" t="s">
        <v>21</v>
      </c>
      <c r="M238" s="100">
        <f t="shared" si="2"/>
        <v>61615</v>
      </c>
    </row>
    <row r="239" hidden="1" outlineLevel="1">
      <c r="A239" s="93" t="s">
        <v>735</v>
      </c>
      <c r="B239" s="93">
        <v>45.0</v>
      </c>
      <c r="C239" s="94" t="s">
        <v>29</v>
      </c>
      <c r="D239" s="107">
        <f>'ชีต12'!C46</f>
        <v>61615</v>
      </c>
      <c r="E239" s="108" t="str">
        <f>'ชีต12'!F43</f>
        <v>A101</v>
      </c>
      <c r="F239" s="108" t="str">
        <f>'ชีต12'!E62</f>
        <v>คุณพิชยดล</v>
      </c>
      <c r="G239" s="96" t="s">
        <v>19</v>
      </c>
      <c r="H239" s="93" t="s">
        <v>2027</v>
      </c>
      <c r="I239" s="110" t="s">
        <v>1286</v>
      </c>
      <c r="J239" s="98" t="s">
        <v>20</v>
      </c>
      <c r="K239" s="99" t="s">
        <v>21</v>
      </c>
      <c r="L239" s="99" t="s">
        <v>21</v>
      </c>
      <c r="M239" s="100">
        <f t="shared" si="2"/>
        <v>61616</v>
      </c>
    </row>
    <row r="240" hidden="1" outlineLevel="1">
      <c r="A240" s="93" t="s">
        <v>738</v>
      </c>
      <c r="B240" s="93">
        <v>46.0</v>
      </c>
      <c r="C240" s="94" t="s">
        <v>17</v>
      </c>
      <c r="D240" s="107">
        <f>'ชีต12'!C46</f>
        <v>61615</v>
      </c>
      <c r="E240" s="108" t="str">
        <f>'ชีต12'!F44</f>
        <v>N2</v>
      </c>
      <c r="F240" s="108" t="str">
        <f>VLOOKUP(A239, 'ฐานข้อมูลประวัติการเข้าพัก'!$A$1:$E$589, 2, FALSE)</f>
        <v>ชาญชัย</v>
      </c>
      <c r="G240" s="96" t="s">
        <v>19</v>
      </c>
      <c r="H240" s="93">
        <v>5.500854407425E12</v>
      </c>
      <c r="I240" s="110"/>
      <c r="J240" s="98" t="s">
        <v>20</v>
      </c>
      <c r="K240" s="99" t="s">
        <v>21</v>
      </c>
      <c r="L240" s="99" t="s">
        <v>21</v>
      </c>
      <c r="M240" s="100">
        <f t="shared" si="2"/>
        <v>61616</v>
      </c>
    </row>
    <row r="241" hidden="1" outlineLevel="1">
      <c r="A241" s="93" t="s">
        <v>741</v>
      </c>
      <c r="B241" s="93">
        <v>47.0</v>
      </c>
      <c r="C241" s="94" t="s">
        <v>17</v>
      </c>
      <c r="D241" s="107">
        <f>'ชีต12'!C47</f>
        <v>61615</v>
      </c>
      <c r="E241" s="108" t="str">
        <f>'ชีต12'!F45</f>
        <v>N1</v>
      </c>
      <c r="F241" s="108" t="str">
        <f>VLOOKUP(A240, 'ฐานข้อมูลประวัติการเข้าพัก'!$A$1:$E$589, 2, FALSE)</f>
        <v>ฉัตรชัย มุกตรี</v>
      </c>
      <c r="G241" s="96" t="s">
        <v>19</v>
      </c>
      <c r="H241" s="93" t="s">
        <v>2027</v>
      </c>
      <c r="I241" s="110"/>
      <c r="J241" s="98" t="s">
        <v>20</v>
      </c>
      <c r="K241" s="99" t="s">
        <v>21</v>
      </c>
      <c r="L241" s="99" t="s">
        <v>21</v>
      </c>
      <c r="M241" s="100">
        <f t="shared" si="2"/>
        <v>61616</v>
      </c>
    </row>
    <row r="242" hidden="1" outlineLevel="1">
      <c r="A242" s="93" t="s">
        <v>744</v>
      </c>
      <c r="B242" s="93">
        <v>48.0</v>
      </c>
      <c r="C242" s="94" t="s">
        <v>29</v>
      </c>
      <c r="D242" s="107">
        <f>'ชีต12'!C48</f>
        <v>61615</v>
      </c>
      <c r="E242" s="108" t="str">
        <f>'ชีต12'!F46</f>
        <v>A108</v>
      </c>
      <c r="F242" s="108" t="str">
        <f>VLOOKUP(A241, 'ฐานข้อมูลประวัติการเข้าพัก'!$A$1:$E$589, 2, FALSE)</f>
        <v>บริษัท เวิลด์ ฟูดส์ อินเตอร์เนชั่นแนล จำกัด</v>
      </c>
      <c r="G242" s="96" t="s">
        <v>19</v>
      </c>
      <c r="H242" s="93" t="s">
        <v>2027</v>
      </c>
      <c r="I242" s="110" t="s">
        <v>1290</v>
      </c>
      <c r="J242" s="98" t="s">
        <v>20</v>
      </c>
      <c r="K242" s="99" t="s">
        <v>21</v>
      </c>
      <c r="L242" s="99" t="s">
        <v>21</v>
      </c>
      <c r="M242" s="100">
        <f t="shared" si="2"/>
        <v>61616</v>
      </c>
    </row>
    <row r="243" hidden="1" outlineLevel="1">
      <c r="A243" s="93" t="s">
        <v>747</v>
      </c>
      <c r="B243" s="93">
        <v>49.0</v>
      </c>
      <c r="C243" s="94" t="s">
        <v>29</v>
      </c>
      <c r="D243" s="107">
        <f>'ชีต12'!C142</f>
        <v>61615</v>
      </c>
      <c r="E243" s="108" t="str">
        <f>'ชีต12'!F139</f>
        <v>B107</v>
      </c>
      <c r="F243" s="108" t="str">
        <f>VLOOKUP(A242, 'ฐานข้อมูลประวัติการเข้าพัก'!$A$1:$E$589, 2, FALSE)</f>
        <v>บริษัท เอสซีเค มอเตอร์ พาร์ท จำกัด</v>
      </c>
      <c r="G243" s="96" t="s">
        <v>19</v>
      </c>
      <c r="H243" s="93" t="s">
        <v>2027</v>
      </c>
      <c r="I243" s="110" t="s">
        <v>1282</v>
      </c>
      <c r="J243" s="98" t="s">
        <v>20</v>
      </c>
      <c r="K243" s="99" t="s">
        <v>21</v>
      </c>
      <c r="L243" s="99" t="s">
        <v>21</v>
      </c>
      <c r="M243" s="100">
        <f t="shared" si="2"/>
        <v>61616</v>
      </c>
    </row>
    <row r="244" hidden="1" outlineLevel="1">
      <c r="A244" s="93" t="s">
        <v>750</v>
      </c>
      <c r="B244" s="93">
        <v>50.0</v>
      </c>
      <c r="C244" s="94" t="s">
        <v>17</v>
      </c>
      <c r="D244" s="107">
        <f>'ชีต12'!C143</f>
        <v>61615</v>
      </c>
      <c r="E244" s="108" t="str">
        <f>'ชีต12'!F140</f>
        <v>B108</v>
      </c>
      <c r="F244" s="108" t="str">
        <f>'ชีต12'!E63</f>
        <v>คุณกิติศักดิ์</v>
      </c>
      <c r="G244" s="96" t="s">
        <v>19</v>
      </c>
      <c r="H244" s="93" t="s">
        <v>2027</v>
      </c>
      <c r="I244" s="110" t="s">
        <v>1290</v>
      </c>
      <c r="J244" s="98" t="s">
        <v>20</v>
      </c>
      <c r="K244" s="99" t="s">
        <v>21</v>
      </c>
      <c r="L244" s="99" t="s">
        <v>21</v>
      </c>
      <c r="M244" s="100">
        <f t="shared" si="2"/>
        <v>61616</v>
      </c>
    </row>
    <row r="245" hidden="1" outlineLevel="1">
      <c r="A245" s="93" t="s">
        <v>753</v>
      </c>
      <c r="B245" s="93">
        <v>51.0</v>
      </c>
      <c r="C245" s="94" t="s">
        <v>17</v>
      </c>
      <c r="D245" s="107">
        <f>'ชีต12'!C144</f>
        <v>61615</v>
      </c>
      <c r="E245" s="108" t="str">
        <f>'ชีต12'!F141</f>
        <v>N2</v>
      </c>
      <c r="F245" s="108" t="str">
        <f>'ชีต12'!E64</f>
        <v>คุณมงคล</v>
      </c>
      <c r="G245" s="96" t="s">
        <v>19</v>
      </c>
      <c r="H245" s="93" t="s">
        <v>2027</v>
      </c>
      <c r="I245" s="110"/>
      <c r="J245" s="98" t="s">
        <v>20</v>
      </c>
      <c r="K245" s="99" t="s">
        <v>21</v>
      </c>
      <c r="L245" s="99" t="s">
        <v>21</v>
      </c>
      <c r="M245" s="100">
        <f t="shared" si="2"/>
        <v>61616</v>
      </c>
    </row>
    <row r="246" hidden="1" outlineLevel="1">
      <c r="A246" s="93" t="s">
        <v>755</v>
      </c>
      <c r="B246" s="93">
        <v>52.0</v>
      </c>
      <c r="C246" s="94" t="s">
        <v>17</v>
      </c>
      <c r="D246" s="107">
        <f>'ชีต12'!C145</f>
        <v>61615</v>
      </c>
      <c r="E246" s="108" t="str">
        <f>'ชีต12'!F142</f>
        <v>N1</v>
      </c>
      <c r="F246" s="108" t="str">
        <f>'ชีต12'!E65</f>
        <v>คุณนฤวุฒิ</v>
      </c>
      <c r="G246" s="96" t="s">
        <v>19</v>
      </c>
      <c r="H246" s="93" t="s">
        <v>2027</v>
      </c>
      <c r="I246" s="110" t="s">
        <v>1282</v>
      </c>
      <c r="J246" s="98" t="s">
        <v>20</v>
      </c>
      <c r="K246" s="99" t="s">
        <v>21</v>
      </c>
      <c r="L246" s="99" t="s">
        <v>21</v>
      </c>
      <c r="M246" s="100">
        <f t="shared" si="2"/>
        <v>61616</v>
      </c>
    </row>
    <row r="247" hidden="1" outlineLevel="1">
      <c r="A247" s="93" t="s">
        <v>757</v>
      </c>
      <c r="B247" s="93">
        <v>53.0</v>
      </c>
      <c r="C247" s="94" t="s">
        <v>29</v>
      </c>
      <c r="D247" s="107">
        <f>'ชีต12'!C49</f>
        <v>61616</v>
      </c>
      <c r="E247" s="108" t="str">
        <f>'ชีต12'!F46</f>
        <v>A108</v>
      </c>
      <c r="F247" s="108" t="str">
        <f>'ชีต12'!E66</f>
        <v>คุณวุฒิ</v>
      </c>
      <c r="G247" s="96" t="s">
        <v>19</v>
      </c>
      <c r="H247" s="93">
        <v>1.68128470503E12</v>
      </c>
      <c r="I247" s="110" t="s">
        <v>1290</v>
      </c>
      <c r="J247" s="98" t="s">
        <v>20</v>
      </c>
      <c r="K247" s="99" t="s">
        <v>21</v>
      </c>
      <c r="L247" s="99" t="s">
        <v>21</v>
      </c>
      <c r="M247" s="100">
        <f t="shared" si="2"/>
        <v>61617</v>
      </c>
    </row>
    <row r="248" hidden="1" outlineLevel="1">
      <c r="A248" s="93" t="s">
        <v>759</v>
      </c>
      <c r="B248" s="93">
        <v>54.0</v>
      </c>
      <c r="C248" s="94" t="s">
        <v>29</v>
      </c>
      <c r="D248" s="107">
        <f>'ชีต12'!C49</f>
        <v>61616</v>
      </c>
      <c r="E248" s="108" t="str">
        <f>'ชีต12'!F47</f>
        <v>A107</v>
      </c>
      <c r="F248" s="108" t="str">
        <f>VLOOKUP(A247, 'ฐานข้อมูลประวัติการเข้าพัก'!$A$1:$E$589, 2, FALSE)</f>
        <v>หนูนา</v>
      </c>
      <c r="G248" s="96" t="s">
        <v>19</v>
      </c>
      <c r="H248" s="93">
        <v>1.46864771421E12</v>
      </c>
      <c r="I248" s="110"/>
      <c r="J248" s="98" t="s">
        <v>20</v>
      </c>
      <c r="K248" s="99" t="s">
        <v>21</v>
      </c>
      <c r="L248" s="99" t="s">
        <v>21</v>
      </c>
      <c r="M248" s="100">
        <f t="shared" si="2"/>
        <v>61617</v>
      </c>
    </row>
    <row r="249" hidden="1" outlineLevel="1">
      <c r="A249" s="93" t="s">
        <v>762</v>
      </c>
      <c r="B249" s="93">
        <v>55.0</v>
      </c>
      <c r="C249" s="94" t="s">
        <v>17</v>
      </c>
      <c r="D249" s="107">
        <f>'ชีต12'!C50</f>
        <v>61616</v>
      </c>
      <c r="E249" s="108" t="str">
        <f>'ชีต12'!F48</f>
        <v>B111</v>
      </c>
      <c r="F249" s="108" t="str">
        <f>VLOOKUP(A248, 'ฐานข้อมูลประวัติการเข้าพัก'!$A$1:$E$589, 2, FALSE)</f>
        <v>อนุวัฒน์</v>
      </c>
      <c r="G249" s="96" t="s">
        <v>19</v>
      </c>
      <c r="H249" s="93" t="s">
        <v>2027</v>
      </c>
      <c r="I249" s="110"/>
      <c r="J249" s="98" t="s">
        <v>20</v>
      </c>
      <c r="K249" s="99" t="s">
        <v>21</v>
      </c>
      <c r="L249" s="99" t="s">
        <v>21</v>
      </c>
      <c r="M249" s="100">
        <f t="shared" si="2"/>
        <v>61617</v>
      </c>
    </row>
    <row r="250" hidden="1" outlineLevel="1">
      <c r="A250" s="93" t="s">
        <v>764</v>
      </c>
      <c r="B250" s="93">
        <v>56.0</v>
      </c>
      <c r="C250" s="94" t="s">
        <v>29</v>
      </c>
      <c r="D250" s="107">
        <f>'ชีต12'!C51</f>
        <v>61616</v>
      </c>
      <c r="E250" s="108" t="str">
        <f>'ชีต12'!F89</f>
        <v>#REF!</v>
      </c>
      <c r="F250" s="108" t="str">
        <f>VLOOKUP(A249, 'ฐานข้อมูลประวัติการเข้าพัก'!$A$1:$E$589, 2, FALSE)</f>
        <v>วิทยาลัยเทคนิค  จ. เลย</v>
      </c>
      <c r="G250" s="96" t="s">
        <v>19</v>
      </c>
      <c r="H250" s="93">
        <v>1.874984180491E12</v>
      </c>
      <c r="I250" s="110"/>
      <c r="J250" s="98" t="s">
        <v>20</v>
      </c>
      <c r="K250" s="99" t="s">
        <v>21</v>
      </c>
      <c r="L250" s="99" t="s">
        <v>21</v>
      </c>
      <c r="M250" s="100">
        <f t="shared" si="2"/>
        <v>61617</v>
      </c>
    </row>
    <row r="251" hidden="1" outlineLevel="1">
      <c r="A251" s="93" t="s">
        <v>766</v>
      </c>
      <c r="B251" s="93">
        <v>57.0</v>
      </c>
      <c r="C251" s="94" t="s">
        <v>29</v>
      </c>
      <c r="D251" s="107">
        <f>'ชีต12'!C146</f>
        <v>61616</v>
      </c>
      <c r="E251" s="108" t="str">
        <f>'ชีต12'!F143</f>
        <v>B101</v>
      </c>
      <c r="F251" s="108" t="str">
        <f>VLOOKUP(A250, 'ฐานข้อมูลประวัติการเข้าพัก'!$A$1:$E$589, 2, FALSE)</f>
        <v>คุณสุกิต</v>
      </c>
      <c r="G251" s="96" t="s">
        <v>19</v>
      </c>
      <c r="H251" s="93" t="s">
        <v>2027</v>
      </c>
      <c r="I251" s="110"/>
      <c r="J251" s="98" t="s">
        <v>20</v>
      </c>
      <c r="K251" s="99" t="s">
        <v>21</v>
      </c>
      <c r="L251" s="99" t="s">
        <v>21</v>
      </c>
      <c r="M251" s="100">
        <f t="shared" si="2"/>
        <v>61617</v>
      </c>
    </row>
    <row r="252" hidden="1" outlineLevel="1">
      <c r="A252" s="93" t="s">
        <v>768</v>
      </c>
      <c r="B252" s="93">
        <v>58.0</v>
      </c>
      <c r="C252" s="94" t="s">
        <v>17</v>
      </c>
      <c r="D252" s="107">
        <f>'ชีต12'!C147</f>
        <v>61616</v>
      </c>
      <c r="E252" s="108" t="str">
        <f>'ชีต12'!F144</f>
        <v>A106</v>
      </c>
      <c r="F252" s="108" t="str">
        <f>'ชีต12'!E67</f>
        <v>คุณทัจนีย์</v>
      </c>
      <c r="G252" s="96" t="s">
        <v>19</v>
      </c>
      <c r="H252" s="93">
        <v>1.842363725595E12</v>
      </c>
      <c r="I252" s="110" t="s">
        <v>1282</v>
      </c>
      <c r="J252" s="98" t="s">
        <v>20</v>
      </c>
      <c r="K252" s="99" t="s">
        <v>21</v>
      </c>
      <c r="L252" s="99" t="s">
        <v>21</v>
      </c>
      <c r="M252" s="100">
        <f t="shared" si="2"/>
        <v>61617</v>
      </c>
    </row>
    <row r="253" hidden="1" outlineLevel="1">
      <c r="A253" s="93" t="s">
        <v>771</v>
      </c>
      <c r="B253" s="93">
        <v>59.0</v>
      </c>
      <c r="C253" s="94" t="s">
        <v>17</v>
      </c>
      <c r="D253" s="107">
        <f>'ชีต12'!C148</f>
        <v>61616</v>
      </c>
      <c r="E253" s="108" t="str">
        <f>'ชีต12'!F145</f>
        <v>A101</v>
      </c>
      <c r="F253" s="108" t="str">
        <f>'ชีต12'!E68</f>
        <v>คุณจิรศักดิ์</v>
      </c>
      <c r="G253" s="96" t="s">
        <v>19</v>
      </c>
      <c r="H253" s="93" t="s">
        <v>2027</v>
      </c>
      <c r="I253" s="110"/>
      <c r="J253" s="98" t="s">
        <v>20</v>
      </c>
      <c r="K253" s="99" t="s">
        <v>21</v>
      </c>
      <c r="L253" s="99" t="s">
        <v>21</v>
      </c>
      <c r="M253" s="100">
        <f t="shared" si="2"/>
        <v>61617</v>
      </c>
    </row>
    <row r="254" hidden="1" outlineLevel="1">
      <c r="A254" s="93" t="s">
        <v>774</v>
      </c>
      <c r="B254" s="93">
        <v>60.0</v>
      </c>
      <c r="C254" s="94" t="s">
        <v>17</v>
      </c>
      <c r="D254" s="107">
        <f>'ชีต12'!C188</f>
        <v>61616</v>
      </c>
      <c r="E254" s="108" t="str">
        <f>'ชีต12'!F185</f>
        <v>B108</v>
      </c>
      <c r="F254" s="108" t="str">
        <f>'ชีต12'!E69</f>
        <v>คุณปัญญา</v>
      </c>
      <c r="G254" s="96" t="s">
        <v>19</v>
      </c>
      <c r="H254" s="93">
        <v>1.46864771421E12</v>
      </c>
      <c r="I254" s="110"/>
      <c r="J254" s="98" t="s">
        <v>20</v>
      </c>
      <c r="K254" s="99" t="s">
        <v>21</v>
      </c>
      <c r="L254" s="99" t="s">
        <v>21</v>
      </c>
      <c r="M254" s="100">
        <f t="shared" si="2"/>
        <v>61617</v>
      </c>
    </row>
    <row r="255" hidden="1" outlineLevel="1">
      <c r="A255" s="93" t="s">
        <v>777</v>
      </c>
      <c r="B255" s="93">
        <v>61.0</v>
      </c>
      <c r="C255" s="94" t="s">
        <v>29</v>
      </c>
      <c r="D255" s="107">
        <f>'ชีต12'!C189</f>
        <v>61616</v>
      </c>
      <c r="E255" s="108" t="str">
        <f>'ชีต12'!F186</f>
        <v>N2</v>
      </c>
      <c r="F255" s="108" t="str">
        <f>'ชีต12'!E109</f>
        <v>คุณศราวุฒิ</v>
      </c>
      <c r="G255" s="96" t="s">
        <v>19</v>
      </c>
      <c r="H255" s="93">
        <v>1.46864771421E12</v>
      </c>
      <c r="I255" s="110" t="s">
        <v>2028</v>
      </c>
      <c r="J255" s="98" t="s">
        <v>20</v>
      </c>
      <c r="K255" s="99" t="s">
        <v>21</v>
      </c>
      <c r="L255" s="99" t="s">
        <v>21</v>
      </c>
      <c r="M255" s="100">
        <f t="shared" si="2"/>
        <v>61617</v>
      </c>
    </row>
    <row r="256" hidden="1" outlineLevel="1">
      <c r="A256" s="93" t="s">
        <v>780</v>
      </c>
      <c r="B256" s="93">
        <v>62.0</v>
      </c>
      <c r="C256" s="94" t="s">
        <v>17</v>
      </c>
      <c r="D256" s="107">
        <f>'ชีต12'!C52</f>
        <v>61617</v>
      </c>
      <c r="E256" s="108" t="str">
        <f>'ชีต12'!F49</f>
        <v>A206</v>
      </c>
      <c r="F256" s="108" t="str">
        <f>'ชีต12'!E110</f>
        <v>คุณจิราวัฒน์</v>
      </c>
      <c r="G256" s="96" t="s">
        <v>19</v>
      </c>
      <c r="H256" s="93" t="s">
        <v>2027</v>
      </c>
      <c r="I256" s="110" t="s">
        <v>1290</v>
      </c>
      <c r="J256" s="98" t="s">
        <v>20</v>
      </c>
      <c r="K256" s="99" t="s">
        <v>21</v>
      </c>
      <c r="L256" s="99" t="s">
        <v>21</v>
      </c>
      <c r="M256" s="100">
        <f t="shared" si="2"/>
        <v>61618</v>
      </c>
    </row>
    <row r="257" hidden="1" outlineLevel="1">
      <c r="A257" s="93" t="s">
        <v>783</v>
      </c>
      <c r="B257" s="93">
        <v>63.0</v>
      </c>
      <c r="C257" s="94" t="s">
        <v>17</v>
      </c>
      <c r="D257" s="107">
        <f>'ชีต12'!C53</f>
        <v>61617</v>
      </c>
      <c r="E257" s="108" t="str">
        <f>'ชีต12'!F50</f>
        <v>B107</v>
      </c>
      <c r="F257" s="108" t="str">
        <f>VLOOKUP(A256, 'ฐานข้อมูลประวัติการเข้าพัก'!$A$1:$E$589, 2, FALSE)</f>
        <v>ห้างหุ้นส่วนจำกัด วุฒิโชคเทรดดิ้ง</v>
      </c>
      <c r="G257" s="96" t="s">
        <v>19</v>
      </c>
      <c r="H257" s="93" t="s">
        <v>2027</v>
      </c>
      <c r="I257" s="110"/>
      <c r="J257" s="98" t="s">
        <v>20</v>
      </c>
      <c r="K257" s="99" t="s">
        <v>21</v>
      </c>
      <c r="L257" s="99" t="s">
        <v>21</v>
      </c>
      <c r="M257" s="100">
        <f t="shared" si="2"/>
        <v>61618</v>
      </c>
    </row>
    <row r="258" hidden="1" outlineLevel="1">
      <c r="A258" s="93" t="s">
        <v>786</v>
      </c>
      <c r="B258" s="93">
        <v>64.0</v>
      </c>
      <c r="C258" s="94" t="s">
        <v>17</v>
      </c>
      <c r="D258" s="107">
        <f>'ชีต12'!C54</f>
        <v>61617</v>
      </c>
      <c r="E258" s="108" t="str">
        <f>'ชีต12'!F51</f>
        <v>B108</v>
      </c>
      <c r="F258" s="108" t="str">
        <f>VLOOKUP(A257, 'ฐานข้อมูลประวัติการเข้าพัก'!$A$1:$E$589, 2, FALSE)</f>
        <v>นิทาวดี</v>
      </c>
      <c r="G258" s="96" t="s">
        <v>19</v>
      </c>
      <c r="H258" s="93" t="s">
        <v>2027</v>
      </c>
      <c r="I258" s="110" t="s">
        <v>1297</v>
      </c>
      <c r="J258" s="98" t="s">
        <v>20</v>
      </c>
      <c r="K258" s="99" t="s">
        <v>21</v>
      </c>
      <c r="L258" s="99" t="s">
        <v>21</v>
      </c>
      <c r="M258" s="100">
        <f t="shared" si="2"/>
        <v>61618</v>
      </c>
    </row>
    <row r="259" hidden="1" outlineLevel="1">
      <c r="A259" s="93" t="s">
        <v>789</v>
      </c>
      <c r="B259" s="93">
        <v>65.0</v>
      </c>
      <c r="C259" s="94" t="s">
        <v>29</v>
      </c>
      <c r="D259" s="107">
        <f>'ชีต12'!C149</f>
        <v>61617</v>
      </c>
      <c r="E259" s="108" t="str">
        <f>'ชีต12'!F146</f>
        <v>B107</v>
      </c>
      <c r="F259" s="108" t="str">
        <f>VLOOKUP(A258, 'ฐานข้อมูลประวัติการเข้าพัก'!$A$1:$E$589, 2, FALSE)</f>
        <v>เกรียงไกร</v>
      </c>
      <c r="G259" s="96" t="s">
        <v>19</v>
      </c>
      <c r="H259" s="93" t="s">
        <v>2027</v>
      </c>
      <c r="I259" s="110" t="s">
        <v>1286</v>
      </c>
      <c r="J259" s="98" t="s">
        <v>20</v>
      </c>
      <c r="K259" s="99" t="s">
        <v>21</v>
      </c>
      <c r="L259" s="99" t="s">
        <v>21</v>
      </c>
      <c r="M259" s="100">
        <f t="shared" si="2"/>
        <v>61618</v>
      </c>
    </row>
    <row r="260" hidden="1" outlineLevel="1">
      <c r="A260" s="93" t="s">
        <v>791</v>
      </c>
      <c r="B260" s="93">
        <v>66.0</v>
      </c>
      <c r="C260" s="94" t="s">
        <v>29</v>
      </c>
      <c r="D260" s="107">
        <f>'ชีต12'!C150</f>
        <v>61617</v>
      </c>
      <c r="E260" s="108" t="str">
        <f>'ชีต12'!F147</f>
        <v>B108</v>
      </c>
      <c r="F260" s="108" t="str">
        <f>'ชีต12'!E70</f>
        <v>คุณธนาธิป</v>
      </c>
      <c r="G260" s="96" t="s">
        <v>19</v>
      </c>
      <c r="H260" s="93">
        <v>1.46864771421E12</v>
      </c>
      <c r="I260" s="110" t="s">
        <v>1297</v>
      </c>
      <c r="J260" s="98" t="s">
        <v>20</v>
      </c>
      <c r="K260" s="99" t="s">
        <v>21</v>
      </c>
      <c r="L260" s="99" t="s">
        <v>21</v>
      </c>
      <c r="M260" s="100">
        <f t="shared" si="2"/>
        <v>61618</v>
      </c>
    </row>
    <row r="261" hidden="1" outlineLevel="1">
      <c r="A261" s="93" t="s">
        <v>794</v>
      </c>
      <c r="B261" s="93">
        <v>67.0</v>
      </c>
      <c r="C261" s="94" t="s">
        <v>29</v>
      </c>
      <c r="D261" s="107">
        <f>'ชีต12'!C151</f>
        <v>61617</v>
      </c>
      <c r="E261" s="108" t="str">
        <f>'ชีต12'!F148</f>
        <v>N2</v>
      </c>
      <c r="F261" s="108" t="str">
        <f>'ชีต12'!E71</f>
        <v>คุณอดิศักดิ์</v>
      </c>
      <c r="G261" s="96" t="s">
        <v>19</v>
      </c>
      <c r="H261" s="93" t="s">
        <v>2027</v>
      </c>
      <c r="I261" s="110" t="s">
        <v>1286</v>
      </c>
      <c r="J261" s="98" t="s">
        <v>20</v>
      </c>
      <c r="K261" s="99" t="s">
        <v>21</v>
      </c>
      <c r="L261" s="99" t="s">
        <v>21</v>
      </c>
      <c r="M261" s="100">
        <f t="shared" si="2"/>
        <v>61618</v>
      </c>
    </row>
    <row r="262" hidden="1" outlineLevel="1">
      <c r="A262" s="93" t="s">
        <v>797</v>
      </c>
      <c r="B262" s="93">
        <v>68.0</v>
      </c>
      <c r="C262" s="94" t="s">
        <v>17</v>
      </c>
      <c r="D262" s="107">
        <f>'ชีต12'!C190</f>
        <v>61617</v>
      </c>
      <c r="E262" s="108" t="str">
        <f>'ชีต12'!F187</f>
        <v>N1</v>
      </c>
      <c r="F262" s="108" t="str">
        <f>'ชีต12'!E72</f>
        <v>คุณแสงจันทร์</v>
      </c>
      <c r="G262" s="96" t="s">
        <v>19</v>
      </c>
      <c r="H262" s="93">
        <v>1.46864771421E12</v>
      </c>
      <c r="I262" s="110"/>
      <c r="J262" s="98" t="s">
        <v>20</v>
      </c>
      <c r="K262" s="99" t="s">
        <v>21</v>
      </c>
      <c r="L262" s="99" t="s">
        <v>21</v>
      </c>
      <c r="M262" s="100">
        <f t="shared" si="2"/>
        <v>61618</v>
      </c>
    </row>
    <row r="263" hidden="1" outlineLevel="1">
      <c r="A263" s="93" t="s">
        <v>800</v>
      </c>
      <c r="B263" s="93">
        <v>69.0</v>
      </c>
      <c r="C263" s="94" t="s">
        <v>17</v>
      </c>
      <c r="D263" s="107">
        <f>'ชีต12'!C191</f>
        <v>61617</v>
      </c>
      <c r="E263" s="108" t="str">
        <f>'ชีต12'!F188</f>
        <v>B101</v>
      </c>
      <c r="F263" s="108" t="str">
        <f>'ชีต12'!E111</f>
        <v>คุณแสงจันทร์</v>
      </c>
      <c r="G263" s="96" t="s">
        <v>19</v>
      </c>
      <c r="H263" s="93">
        <v>1.46864771421E12</v>
      </c>
      <c r="I263" s="110"/>
      <c r="J263" s="98" t="s">
        <v>20</v>
      </c>
      <c r="K263" s="99" t="s">
        <v>21</v>
      </c>
      <c r="L263" s="99" t="s">
        <v>21</v>
      </c>
      <c r="M263" s="100">
        <f t="shared" si="2"/>
        <v>61618</v>
      </c>
    </row>
    <row r="264" hidden="1" outlineLevel="1">
      <c r="A264" s="93" t="s">
        <v>803</v>
      </c>
      <c r="B264" s="93">
        <v>70.0</v>
      </c>
      <c r="C264" s="94" t="s">
        <v>17</v>
      </c>
      <c r="D264" s="107">
        <f>'ชีต12'!C192</f>
        <v>61617</v>
      </c>
      <c r="E264" s="108" t="str">
        <f>'ชีต12'!F189</f>
        <v>A106</v>
      </c>
      <c r="F264" s="108" t="str">
        <f>'ชีต12'!E112</f>
        <v>คุณชัชวาล</v>
      </c>
      <c r="G264" s="96" t="s">
        <v>19</v>
      </c>
      <c r="H264" s="93">
        <v>1.46864771421E12</v>
      </c>
      <c r="I264" s="111"/>
      <c r="J264" s="98" t="s">
        <v>20</v>
      </c>
      <c r="K264" s="99" t="s">
        <v>21</v>
      </c>
      <c r="L264" s="99" t="s">
        <v>21</v>
      </c>
      <c r="M264" s="100">
        <f t="shared" si="2"/>
        <v>61618</v>
      </c>
    </row>
    <row r="265" hidden="1" outlineLevel="1">
      <c r="A265" s="93" t="s">
        <v>806</v>
      </c>
      <c r="B265" s="93">
        <v>71.0</v>
      </c>
      <c r="C265" s="94" t="s">
        <v>29</v>
      </c>
      <c r="D265" s="107">
        <f>'ชีต12'!C55</f>
        <v>61618</v>
      </c>
      <c r="E265" s="108" t="str">
        <f>'ชีต12'!F52</f>
        <v>A106</v>
      </c>
      <c r="F265" s="108" t="str">
        <f>'ชีต12'!E113</f>
        <v>คุณตุ๊ก</v>
      </c>
      <c r="G265" s="96" t="s">
        <v>19</v>
      </c>
      <c r="H265" s="93" t="s">
        <v>2027</v>
      </c>
      <c r="I265" s="110" t="s">
        <v>1304</v>
      </c>
      <c r="J265" s="98" t="s">
        <v>20</v>
      </c>
      <c r="K265" s="99" t="s">
        <v>21</v>
      </c>
      <c r="L265" s="99" t="s">
        <v>21</v>
      </c>
      <c r="M265" s="100">
        <f t="shared" si="2"/>
        <v>61619</v>
      </c>
    </row>
    <row r="266" hidden="1" outlineLevel="1">
      <c r="A266" s="93" t="s">
        <v>809</v>
      </c>
      <c r="B266" s="93">
        <v>72.0</v>
      </c>
      <c r="C266" s="94" t="s">
        <v>17</v>
      </c>
      <c r="D266" s="107">
        <f>'ชีต12'!C56</f>
        <v>61618</v>
      </c>
      <c r="E266" s="108" t="str">
        <f>'ชีต12'!F53</f>
        <v>B101</v>
      </c>
      <c r="F266" s="108" t="str">
        <f>VLOOKUP(A265, 'ฐานข้อมูลประวัติการเข้าพัก'!$A$1:$E$589, 2, FALSE)</f>
        <v>สมุนไพรเจ๊ซิ๊ม</v>
      </c>
      <c r="G266" s="96" t="s">
        <v>19</v>
      </c>
      <c r="H266" s="93">
        <v>5.599026409893E12</v>
      </c>
      <c r="I266" s="110"/>
      <c r="J266" s="98" t="s">
        <v>20</v>
      </c>
      <c r="K266" s="99" t="s">
        <v>21</v>
      </c>
      <c r="L266" s="99" t="s">
        <v>21</v>
      </c>
      <c r="M266" s="100">
        <f t="shared" si="2"/>
        <v>61619</v>
      </c>
    </row>
    <row r="267" hidden="1" outlineLevel="1">
      <c r="A267" s="93" t="s">
        <v>812</v>
      </c>
      <c r="B267" s="93">
        <v>73.0</v>
      </c>
      <c r="C267" s="94" t="s">
        <v>17</v>
      </c>
      <c r="D267" s="107">
        <f>'ชีต12'!C57</f>
        <v>61618</v>
      </c>
      <c r="E267" s="108" t="str">
        <f>'ชีต12'!F54</f>
        <v>B206</v>
      </c>
      <c r="F267" s="108" t="str">
        <f>VLOOKUP(A266, 'ฐานข้อมูลประวัติการเข้าพัก'!$A$1:$E$589, 2, FALSE)</f>
        <v>นฤมล</v>
      </c>
      <c r="G267" s="96" t="s">
        <v>19</v>
      </c>
      <c r="H267" s="93" t="s">
        <v>2027</v>
      </c>
      <c r="I267" s="110" t="s">
        <v>1304</v>
      </c>
      <c r="J267" s="98" t="s">
        <v>20</v>
      </c>
      <c r="K267" s="99" t="s">
        <v>21</v>
      </c>
      <c r="L267" s="99" t="s">
        <v>21</v>
      </c>
      <c r="M267" s="100">
        <f t="shared" si="2"/>
        <v>61619</v>
      </c>
    </row>
    <row r="268" hidden="1" outlineLevel="1">
      <c r="A268" s="93" t="s">
        <v>815</v>
      </c>
      <c r="B268" s="93">
        <v>74.0</v>
      </c>
      <c r="C268" s="94" t="s">
        <v>17</v>
      </c>
      <c r="D268" s="107">
        <f>'ชีต12'!C152</f>
        <v>61618</v>
      </c>
      <c r="E268" s="108" t="str">
        <f>'ชีต12'!F149</f>
        <v>N1</v>
      </c>
      <c r="F268" s="108" t="str">
        <f>VLOOKUP(A267, 'ฐานข้อมูลประวัติการเข้าพัก'!$A$1:$E$589, 2, FALSE)</f>
        <v>บิ๊กวัน</v>
      </c>
      <c r="G268" s="96" t="s">
        <v>19</v>
      </c>
      <c r="H268" s="93">
        <v>1.68128470503E12</v>
      </c>
      <c r="I268" s="110"/>
      <c r="J268" s="98" t="s">
        <v>20</v>
      </c>
      <c r="K268" s="99" t="s">
        <v>21</v>
      </c>
      <c r="L268" s="99" t="s">
        <v>21</v>
      </c>
      <c r="M268" s="100">
        <f t="shared" si="2"/>
        <v>61619</v>
      </c>
    </row>
    <row r="269" hidden="1" outlineLevel="1">
      <c r="A269" s="93" t="s">
        <v>818</v>
      </c>
      <c r="B269" s="93">
        <v>75.0</v>
      </c>
      <c r="C269" s="94" t="s">
        <v>29</v>
      </c>
      <c r="D269" s="107">
        <f>'ชีต12'!C153</f>
        <v>61618</v>
      </c>
      <c r="E269" s="108" t="str">
        <f>'ชีต12'!F150</f>
        <v>B101</v>
      </c>
      <c r="F269" s="108" t="str">
        <f>'ชีต12'!E73</f>
        <v>คุณอดิศักดิ์</v>
      </c>
      <c r="G269" s="96" t="s">
        <v>19</v>
      </c>
      <c r="H269" s="93">
        <v>1.46864771421E12</v>
      </c>
      <c r="I269" s="110" t="s">
        <v>1304</v>
      </c>
      <c r="J269" s="98" t="s">
        <v>20</v>
      </c>
      <c r="K269" s="99" t="s">
        <v>21</v>
      </c>
      <c r="L269" s="99" t="s">
        <v>21</v>
      </c>
      <c r="M269" s="100">
        <f t="shared" si="2"/>
        <v>61619</v>
      </c>
    </row>
    <row r="270" hidden="1" outlineLevel="1">
      <c r="A270" s="93" t="s">
        <v>821</v>
      </c>
      <c r="B270" s="93">
        <v>76.0</v>
      </c>
      <c r="C270" s="94" t="s">
        <v>17</v>
      </c>
      <c r="D270" s="107">
        <f>'ชีต12'!C154</f>
        <v>61618</v>
      </c>
      <c r="E270" s="108" t="str">
        <f>'ชีต12'!F151</f>
        <v>A106</v>
      </c>
      <c r="F270" s="108" t="str">
        <f>'ชีต12'!E74</f>
        <v>คุณคมกริช</v>
      </c>
      <c r="G270" s="96" t="s">
        <v>19</v>
      </c>
      <c r="H270" s="93" t="s">
        <v>2027</v>
      </c>
      <c r="I270" s="110" t="s">
        <v>1286</v>
      </c>
      <c r="J270" s="98" t="s">
        <v>20</v>
      </c>
      <c r="K270" s="99" t="s">
        <v>21</v>
      </c>
      <c r="L270" s="99" t="s">
        <v>21</v>
      </c>
      <c r="M270" s="100">
        <f t="shared" si="2"/>
        <v>61619</v>
      </c>
    </row>
    <row r="271" hidden="1" outlineLevel="1">
      <c r="A271" s="93" t="s">
        <v>824</v>
      </c>
      <c r="B271" s="93">
        <v>77.0</v>
      </c>
      <c r="C271" s="94" t="s">
        <v>29</v>
      </c>
      <c r="D271" s="107">
        <f>'ชีต12'!C193</f>
        <v>61618</v>
      </c>
      <c r="E271" s="108" t="str">
        <f>'ชีต12'!F190</f>
        <v>A101</v>
      </c>
      <c r="F271" s="108" t="str">
        <f>'ชีต12'!E75</f>
        <v>คุณพิมมาดา</v>
      </c>
      <c r="G271" s="96" t="s">
        <v>19</v>
      </c>
      <c r="H271" s="93">
        <v>1.46864771421E12</v>
      </c>
      <c r="I271" s="110"/>
      <c r="J271" s="98" t="s">
        <v>20</v>
      </c>
      <c r="K271" s="99" t="s">
        <v>21</v>
      </c>
      <c r="L271" s="99" t="s">
        <v>21</v>
      </c>
      <c r="M271" s="100">
        <f t="shared" si="2"/>
        <v>61619</v>
      </c>
    </row>
    <row r="272" hidden="1" outlineLevel="1">
      <c r="A272" s="93" t="s">
        <v>827</v>
      </c>
      <c r="B272" s="93">
        <v>78.0</v>
      </c>
      <c r="C272" s="94" t="s">
        <v>17</v>
      </c>
      <c r="D272" s="107">
        <f>'ชีต12'!C194</f>
        <v>61618</v>
      </c>
      <c r="E272" s="108" t="str">
        <f>'ชีต12'!F191</f>
        <v>B107</v>
      </c>
      <c r="F272" s="108" t="str">
        <f>'ชีต12'!E114</f>
        <v>คุณทัจนีย์</v>
      </c>
      <c r="G272" s="96" t="s">
        <v>19</v>
      </c>
      <c r="H272" s="93">
        <v>1.46864771421E12</v>
      </c>
      <c r="I272" s="110"/>
      <c r="J272" s="98" t="s">
        <v>20</v>
      </c>
      <c r="K272" s="99" t="s">
        <v>21</v>
      </c>
      <c r="L272" s="99" t="s">
        <v>21</v>
      </c>
      <c r="M272" s="100">
        <f t="shared" si="2"/>
        <v>61619</v>
      </c>
    </row>
    <row r="273" hidden="1" outlineLevel="1">
      <c r="A273" s="93" t="s">
        <v>830</v>
      </c>
      <c r="B273" s="93">
        <v>79.0</v>
      </c>
      <c r="C273" s="94" t="s">
        <v>17</v>
      </c>
      <c r="D273" s="107">
        <f>'ชีต12'!C195</f>
        <v>61618</v>
      </c>
      <c r="E273" s="108" t="str">
        <f>'ชีต12'!F192</f>
        <v>B108</v>
      </c>
      <c r="F273" s="108" t="str">
        <f>'ชีต12'!E115</f>
        <v>คุณวิสัย</v>
      </c>
      <c r="G273" s="96" t="s">
        <v>19</v>
      </c>
      <c r="H273" s="93">
        <v>1.46864771421E12</v>
      </c>
      <c r="I273" s="110"/>
      <c r="J273" s="98" t="s">
        <v>20</v>
      </c>
      <c r="K273" s="99" t="s">
        <v>21</v>
      </c>
      <c r="L273" s="99" t="s">
        <v>21</v>
      </c>
      <c r="M273" s="100">
        <f t="shared" si="2"/>
        <v>61619</v>
      </c>
    </row>
    <row r="274" hidden="1" outlineLevel="1">
      <c r="A274" s="93" t="s">
        <v>833</v>
      </c>
      <c r="B274" s="93">
        <v>80.0</v>
      </c>
      <c r="C274" s="94" t="s">
        <v>29</v>
      </c>
      <c r="D274" s="107">
        <f>'ชีต12'!C58</f>
        <v>61619</v>
      </c>
      <c r="E274" s="108" t="str">
        <f>'ชีต12'!F55</f>
        <v>A106</v>
      </c>
      <c r="F274" s="108" t="str">
        <f>'ชีต12'!E116</f>
        <v>คุณนุศรา</v>
      </c>
      <c r="G274" s="96" t="s">
        <v>19</v>
      </c>
      <c r="H274" s="93">
        <v>1.842363725595E12</v>
      </c>
      <c r="I274" s="110" t="s">
        <v>1297</v>
      </c>
      <c r="J274" s="98" t="s">
        <v>20</v>
      </c>
      <c r="K274" s="99" t="s">
        <v>21</v>
      </c>
      <c r="L274" s="99" t="s">
        <v>21</v>
      </c>
      <c r="M274" s="100">
        <f t="shared" si="2"/>
        <v>61620</v>
      </c>
    </row>
    <row r="275" hidden="1" outlineLevel="1">
      <c r="A275" s="93" t="s">
        <v>836</v>
      </c>
      <c r="B275" s="93">
        <v>81.0</v>
      </c>
      <c r="C275" s="94" t="s">
        <v>29</v>
      </c>
      <c r="D275" s="107">
        <f>'ชีต12'!C59</f>
        <v>61619</v>
      </c>
      <c r="E275" s="108" t="str">
        <f>'ชีต12'!F56</f>
        <v>A101</v>
      </c>
      <c r="F275" s="108" t="str">
        <f>VLOOKUP(A274, 'ฐานข้อมูลประวัติการเข้าพัก'!$A$1:$E$589, 2, FALSE)</f>
        <v>นวพล</v>
      </c>
      <c r="G275" s="96" t="s">
        <v>19</v>
      </c>
      <c r="H275" s="93" t="s">
        <v>2027</v>
      </c>
      <c r="I275" s="110"/>
      <c r="J275" s="98" t="s">
        <v>20</v>
      </c>
      <c r="K275" s="99" t="s">
        <v>21</v>
      </c>
      <c r="L275" s="99" t="s">
        <v>21</v>
      </c>
      <c r="M275" s="100">
        <f t="shared" si="2"/>
        <v>61620</v>
      </c>
    </row>
    <row r="276" hidden="1" outlineLevel="1">
      <c r="A276" s="93" t="s">
        <v>838</v>
      </c>
      <c r="B276" s="93">
        <v>82.0</v>
      </c>
      <c r="C276" s="94" t="s">
        <v>29</v>
      </c>
      <c r="D276" s="107">
        <f>'ชีต12'!C60</f>
        <v>61619</v>
      </c>
      <c r="E276" s="108" t="str">
        <f>'ชีต12'!F57</f>
        <v>N2</v>
      </c>
      <c r="F276" s="108" t="str">
        <f>VLOOKUP(A275, 'ฐานข้อมูลประวัติการเข้าพัก'!$A$1:$E$589, 2, FALSE)</f>
        <v>ตามนต์</v>
      </c>
      <c r="G276" s="96" t="s">
        <v>19</v>
      </c>
      <c r="H276" s="93" t="s">
        <v>2027</v>
      </c>
      <c r="I276" s="110"/>
      <c r="J276" s="98" t="s">
        <v>20</v>
      </c>
      <c r="K276" s="99" t="s">
        <v>21</v>
      </c>
      <c r="L276" s="99" t="s">
        <v>21</v>
      </c>
      <c r="M276" s="100">
        <f t="shared" si="2"/>
        <v>61620</v>
      </c>
    </row>
    <row r="277" hidden="1" outlineLevel="1">
      <c r="A277" s="93" t="s">
        <v>841</v>
      </c>
      <c r="B277" s="93">
        <v>83.0</v>
      </c>
      <c r="C277" s="94" t="s">
        <v>17</v>
      </c>
      <c r="D277" s="107">
        <f>'ชีต12'!C155</f>
        <v>61619</v>
      </c>
      <c r="E277" s="108" t="str">
        <f>'ชีต12'!F152</f>
        <v>A101</v>
      </c>
      <c r="F277" s="108" t="str">
        <f>VLOOKUP(A276, 'ฐานข้อมูลประวัติการเข้าพัก'!$A$1:$E$589, 2, FALSE)</f>
        <v>วรการต์</v>
      </c>
      <c r="G277" s="96" t="s">
        <v>19</v>
      </c>
      <c r="H277" s="93" t="s">
        <v>2027</v>
      </c>
      <c r="I277" s="110" t="s">
        <v>1297</v>
      </c>
      <c r="J277" s="98" t="s">
        <v>20</v>
      </c>
      <c r="K277" s="99" t="s">
        <v>21</v>
      </c>
      <c r="L277" s="99" t="s">
        <v>21</v>
      </c>
      <c r="M277" s="100">
        <f t="shared" si="2"/>
        <v>61620</v>
      </c>
    </row>
    <row r="278" hidden="1" outlineLevel="1">
      <c r="A278" s="93" t="s">
        <v>844</v>
      </c>
      <c r="B278" s="93">
        <v>84.0</v>
      </c>
      <c r="C278" s="94" t="s">
        <v>17</v>
      </c>
      <c r="D278" s="107">
        <f>'ชีต12'!C156</f>
        <v>61619</v>
      </c>
      <c r="E278" s="108" t="str">
        <f>'ชีต12'!F153</f>
        <v>B107</v>
      </c>
      <c r="F278" s="108" t="str">
        <f>'ชีต12'!E76</f>
        <v>คุณปรีชา</v>
      </c>
      <c r="G278" s="96" t="s">
        <v>19</v>
      </c>
      <c r="H278" s="93" t="s">
        <v>2027</v>
      </c>
      <c r="I278" s="110" t="s">
        <v>1286</v>
      </c>
      <c r="J278" s="98" t="s">
        <v>20</v>
      </c>
      <c r="K278" s="99" t="s">
        <v>21</v>
      </c>
      <c r="L278" s="99" t="s">
        <v>21</v>
      </c>
      <c r="M278" s="100">
        <f t="shared" si="2"/>
        <v>61620</v>
      </c>
    </row>
    <row r="279" hidden="1" outlineLevel="1">
      <c r="A279" s="93" t="s">
        <v>846</v>
      </c>
      <c r="B279" s="93">
        <v>85.0</v>
      </c>
      <c r="C279" s="94" t="s">
        <v>29</v>
      </c>
      <c r="D279" s="107">
        <f>'ชีต12'!C157</f>
        <v>61619</v>
      </c>
      <c r="E279" s="108" t="str">
        <f>'ชีต12'!F154</f>
        <v>B108</v>
      </c>
      <c r="F279" s="108" t="str">
        <f>'ชีต12'!E77</f>
        <v>คุณปัญญาจิตร</v>
      </c>
      <c r="G279" s="96" t="s">
        <v>19</v>
      </c>
      <c r="H279" s="93">
        <v>1.46864771421E12</v>
      </c>
      <c r="I279" s="110"/>
      <c r="J279" s="98" t="s">
        <v>20</v>
      </c>
      <c r="K279" s="99" t="s">
        <v>21</v>
      </c>
      <c r="L279" s="99" t="s">
        <v>21</v>
      </c>
      <c r="M279" s="100">
        <f t="shared" si="2"/>
        <v>61620</v>
      </c>
    </row>
    <row r="280" hidden="1" outlineLevel="1">
      <c r="A280" s="93" t="s">
        <v>849</v>
      </c>
      <c r="B280" s="93">
        <v>86.0</v>
      </c>
      <c r="C280" s="94" t="s">
        <v>29</v>
      </c>
      <c r="D280" s="107">
        <f>'ชีต12'!C196</f>
        <v>61619</v>
      </c>
      <c r="E280" s="108" t="str">
        <f>'ชีต12'!F193</f>
        <v>N2</v>
      </c>
      <c r="F280" s="108" t="str">
        <f>'ชีต12'!E78</f>
        <v>คุณทัจนีย์</v>
      </c>
      <c r="G280" s="96" t="s">
        <v>19</v>
      </c>
      <c r="H280" s="93">
        <v>1.46864771421E12</v>
      </c>
      <c r="I280" s="110"/>
      <c r="J280" s="98" t="s">
        <v>20</v>
      </c>
      <c r="K280" s="99" t="s">
        <v>21</v>
      </c>
      <c r="L280" s="99" t="s">
        <v>21</v>
      </c>
      <c r="M280" s="100">
        <f t="shared" si="2"/>
        <v>61620</v>
      </c>
    </row>
    <row r="281" hidden="1" outlineLevel="1">
      <c r="A281" s="93" t="s">
        <v>851</v>
      </c>
      <c r="B281" s="93">
        <v>87.0</v>
      </c>
      <c r="C281" s="94" t="s">
        <v>29</v>
      </c>
      <c r="D281" s="107">
        <f>'ชีต12'!C197</f>
        <v>61619</v>
      </c>
      <c r="E281" s="108" t="str">
        <f>'ชีต12'!F194</f>
        <v>N1</v>
      </c>
      <c r="F281" s="108" t="str">
        <f>'ชีต12'!E117</f>
        <v>คุณจิรศักดิ์</v>
      </c>
      <c r="G281" s="96" t="s">
        <v>19</v>
      </c>
      <c r="H281" s="93">
        <v>1.46864771421E12</v>
      </c>
      <c r="I281" s="110"/>
      <c r="J281" s="98" t="s">
        <v>20</v>
      </c>
      <c r="K281" s="99" t="s">
        <v>21</v>
      </c>
      <c r="L281" s="99" t="s">
        <v>21</v>
      </c>
      <c r="M281" s="100">
        <f t="shared" si="2"/>
        <v>61620</v>
      </c>
    </row>
    <row r="282" hidden="1" outlineLevel="1">
      <c r="A282" s="93" t="s">
        <v>854</v>
      </c>
      <c r="B282" s="93">
        <v>88.0</v>
      </c>
      <c r="C282" s="94" t="s">
        <v>29</v>
      </c>
      <c r="D282" s="107">
        <f>'ชีต12'!C198</f>
        <v>61619</v>
      </c>
      <c r="E282" s="108" t="str">
        <f>'ชีต12'!F195</f>
        <v>B101</v>
      </c>
      <c r="F282" s="108" t="str">
        <f>'ชีต12'!E118</f>
        <v>คุณพงษ์</v>
      </c>
      <c r="G282" s="96" t="s">
        <v>19</v>
      </c>
      <c r="H282" s="93">
        <v>1.46864771421E12</v>
      </c>
      <c r="I282" s="110"/>
      <c r="J282" s="98" t="s">
        <v>20</v>
      </c>
      <c r="K282" s="99" t="s">
        <v>21</v>
      </c>
      <c r="L282" s="99" t="s">
        <v>21</v>
      </c>
      <c r="M282" s="100">
        <f t="shared" si="2"/>
        <v>61620</v>
      </c>
    </row>
    <row r="283" hidden="1" outlineLevel="1">
      <c r="A283" s="93" t="s">
        <v>857</v>
      </c>
      <c r="B283" s="93">
        <v>89.0</v>
      </c>
      <c r="C283" s="94" t="s">
        <v>29</v>
      </c>
      <c r="D283" s="107">
        <f>'ชีต12'!C200</f>
        <v>61619</v>
      </c>
      <c r="E283" s="108" t="str">
        <f>'ชีต12'!F197</f>
        <v>A101</v>
      </c>
      <c r="F283" s="108" t="str">
        <f>'ชีต12'!E119</f>
        <v>คุณนิราช</v>
      </c>
      <c r="G283" s="96" t="s">
        <v>19</v>
      </c>
      <c r="H283" s="93">
        <v>1.46864771421E12</v>
      </c>
      <c r="I283" s="110" t="s">
        <v>2029</v>
      </c>
      <c r="J283" s="98" t="s">
        <v>20</v>
      </c>
      <c r="K283" s="99" t="s">
        <v>21</v>
      </c>
      <c r="L283" s="99" t="s">
        <v>21</v>
      </c>
      <c r="M283" s="100">
        <f t="shared" si="2"/>
        <v>61620</v>
      </c>
    </row>
    <row r="284" hidden="1" outlineLevel="1">
      <c r="A284" s="93" t="s">
        <v>860</v>
      </c>
      <c r="B284" s="93">
        <v>90.0</v>
      </c>
      <c r="C284" s="94" t="s">
        <v>17</v>
      </c>
      <c r="D284" s="107">
        <f>'ชีต12'!C61</f>
        <v>61620</v>
      </c>
      <c r="E284" s="108" t="str">
        <f>'ชีต12'!F58</f>
        <v>B209</v>
      </c>
      <c r="F284" s="108" t="str">
        <f>'ชีต12'!E121</f>
        <v>คุณอภินันท์</v>
      </c>
      <c r="G284" s="96" t="s">
        <v>19</v>
      </c>
      <c r="H284" s="93">
        <v>1.68128470503E12</v>
      </c>
      <c r="I284" s="110" t="s">
        <v>1282</v>
      </c>
      <c r="J284" s="98" t="s">
        <v>20</v>
      </c>
      <c r="K284" s="99" t="s">
        <v>21</v>
      </c>
      <c r="L284" s="99" t="s">
        <v>21</v>
      </c>
      <c r="M284" s="100">
        <f t="shared" si="2"/>
        <v>61621</v>
      </c>
    </row>
    <row r="285" hidden="1" outlineLevel="1">
      <c r="A285" s="93" t="s">
        <v>863</v>
      </c>
      <c r="B285" s="93">
        <v>91.0</v>
      </c>
      <c r="C285" s="94" t="s">
        <v>29</v>
      </c>
      <c r="D285" s="107">
        <f>'ชีต12'!C62</f>
        <v>61620</v>
      </c>
      <c r="E285" s="108" t="str">
        <f>'ชีต12'!F59</f>
        <v>B107</v>
      </c>
      <c r="F285" s="108" t="str">
        <f>VLOOKUP(A284, 'ฐานข้อมูลประวัติการเข้าพัก'!$A$1:$E$589, 2, FALSE)</f>
        <v>ศาสวัต อ้วนอินทร์</v>
      </c>
      <c r="G285" s="96" t="s">
        <v>19</v>
      </c>
      <c r="H285" s="93" t="s">
        <v>2027</v>
      </c>
      <c r="I285" s="110"/>
      <c r="J285" s="98" t="s">
        <v>20</v>
      </c>
      <c r="K285" s="99" t="s">
        <v>21</v>
      </c>
      <c r="L285" s="99" t="s">
        <v>21</v>
      </c>
      <c r="M285" s="100">
        <f t="shared" si="2"/>
        <v>61621</v>
      </c>
    </row>
    <row r="286" hidden="1" outlineLevel="1">
      <c r="A286" s="93" t="s">
        <v>866</v>
      </c>
      <c r="B286" s="93">
        <v>92.0</v>
      </c>
      <c r="C286" s="94" t="s">
        <v>17</v>
      </c>
      <c r="D286" s="107">
        <f>'ชีต12'!C63</f>
        <v>61620</v>
      </c>
      <c r="E286" s="108" t="str">
        <f>'ชีต12'!F60</f>
        <v>N2</v>
      </c>
      <c r="F286" s="108" t="str">
        <f>VLOOKUP(A285, 'ฐานข้อมูลประวัติการเข้าพัก'!$A$1:$E$589, 2, FALSE)</f>
        <v>พิเชฐ</v>
      </c>
      <c r="G286" s="96" t="s">
        <v>19</v>
      </c>
      <c r="H286" s="93" t="s">
        <v>2027</v>
      </c>
      <c r="I286" s="110"/>
      <c r="J286" s="98" t="s">
        <v>20</v>
      </c>
      <c r="K286" s="99" t="s">
        <v>21</v>
      </c>
      <c r="L286" s="99" t="s">
        <v>21</v>
      </c>
      <c r="M286" s="100">
        <f t="shared" si="2"/>
        <v>61621</v>
      </c>
    </row>
    <row r="287" hidden="1" outlineLevel="1">
      <c r="A287" s="93" t="s">
        <v>870</v>
      </c>
      <c r="B287" s="93">
        <v>93.0</v>
      </c>
      <c r="C287" s="94" t="s">
        <v>17</v>
      </c>
      <c r="D287" s="107">
        <f>'ชีต12'!C158</f>
        <v>61620</v>
      </c>
      <c r="E287" s="108" t="str">
        <f>'ชีต12'!F155</f>
        <v>N2</v>
      </c>
      <c r="F287" s="108" t="str">
        <f>VLOOKUP(A286, 'ฐานข้อมูลประวัติการเข้าพัก'!$A$1:$E$589, 2, FALSE)</f>
        <v>โกเมศ</v>
      </c>
      <c r="G287" s="96" t="s">
        <v>19</v>
      </c>
      <c r="H287" s="93" t="s">
        <v>2027</v>
      </c>
      <c r="I287" s="110"/>
      <c r="J287" s="98" t="s">
        <v>20</v>
      </c>
      <c r="K287" s="99" t="s">
        <v>21</v>
      </c>
      <c r="L287" s="99" t="s">
        <v>21</v>
      </c>
      <c r="M287" s="100">
        <f t="shared" si="2"/>
        <v>61621</v>
      </c>
    </row>
    <row r="288" hidden="1" outlineLevel="1">
      <c r="A288" s="93" t="s">
        <v>873</v>
      </c>
      <c r="B288" s="93">
        <v>94.0</v>
      </c>
      <c r="C288" s="94" t="s">
        <v>17</v>
      </c>
      <c r="D288" s="107">
        <f>'ชีต12'!C159</f>
        <v>61620</v>
      </c>
      <c r="E288" s="108" t="str">
        <f>'ชีต12'!F156</f>
        <v>N1</v>
      </c>
      <c r="F288" s="108" t="str">
        <f>'ชีต12'!E79</f>
        <v>คุณธนาธิป</v>
      </c>
      <c r="G288" s="96" t="s">
        <v>19</v>
      </c>
      <c r="H288" s="93">
        <v>1.68128470503E12</v>
      </c>
      <c r="I288" s="110"/>
      <c r="J288" s="98" t="s">
        <v>20</v>
      </c>
      <c r="K288" s="99" t="s">
        <v>21</v>
      </c>
      <c r="L288" s="99" t="s">
        <v>21</v>
      </c>
      <c r="M288" s="100">
        <f t="shared" si="2"/>
        <v>61621</v>
      </c>
    </row>
    <row r="289" hidden="1" outlineLevel="1">
      <c r="A289" s="93" t="s">
        <v>876</v>
      </c>
      <c r="B289" s="93">
        <v>95.0</v>
      </c>
      <c r="C289" s="94" t="s">
        <v>29</v>
      </c>
      <c r="D289" s="107">
        <f>'ชีต12'!C160</f>
        <v>61620</v>
      </c>
      <c r="E289" s="108" t="str">
        <f>'ชีต12'!F157</f>
        <v>B101</v>
      </c>
      <c r="F289" s="108" t="str">
        <f>'ชีต12'!E80</f>
        <v>คุณศราวุฒิ</v>
      </c>
      <c r="G289" s="96" t="s">
        <v>19</v>
      </c>
      <c r="H289" s="93">
        <v>1.46864771421E12</v>
      </c>
      <c r="I289" s="110" t="s">
        <v>1304</v>
      </c>
      <c r="J289" s="98" t="s">
        <v>20</v>
      </c>
      <c r="K289" s="99" t="s">
        <v>21</v>
      </c>
      <c r="L289" s="99" t="s">
        <v>21</v>
      </c>
      <c r="M289" s="100">
        <f t="shared" si="2"/>
        <v>61621</v>
      </c>
    </row>
    <row r="290" hidden="1" outlineLevel="1">
      <c r="A290" s="93" t="s">
        <v>878</v>
      </c>
      <c r="B290" s="93">
        <v>96.0</v>
      </c>
      <c r="C290" s="94" t="s">
        <v>17</v>
      </c>
      <c r="D290" s="107">
        <f>'ชีต12'!C199</f>
        <v>61620</v>
      </c>
      <c r="E290" s="108" t="str">
        <f>'ชีต12'!F196</f>
        <v>A106</v>
      </c>
      <c r="F290" s="108" t="str">
        <f>'ชีต12'!E81</f>
        <v>คุณจิราวัฒน์</v>
      </c>
      <c r="G290" s="96" t="s">
        <v>19</v>
      </c>
      <c r="H290" s="93">
        <v>1.46864771421E12</v>
      </c>
      <c r="I290" s="110" t="s">
        <v>2030</v>
      </c>
      <c r="J290" s="98" t="s">
        <v>20</v>
      </c>
      <c r="K290" s="99" t="s">
        <v>21</v>
      </c>
      <c r="L290" s="99" t="s">
        <v>21</v>
      </c>
      <c r="M290" s="100">
        <f t="shared" si="2"/>
        <v>61621</v>
      </c>
    </row>
    <row r="291" hidden="1" outlineLevel="1">
      <c r="A291" s="93" t="s">
        <v>881</v>
      </c>
      <c r="B291" s="93">
        <v>97.0</v>
      </c>
      <c r="C291" s="94" t="s">
        <v>17</v>
      </c>
      <c r="D291" s="107">
        <f>'ชีต12'!C64</f>
        <v>61621</v>
      </c>
      <c r="E291" s="108" t="str">
        <f>'ชีต12'!F61</f>
        <v>B108</v>
      </c>
      <c r="F291" s="108" t="str">
        <f>'ชีต12'!E120</f>
        <v>คุณวิสัย</v>
      </c>
      <c r="G291" s="96" t="s">
        <v>19</v>
      </c>
      <c r="H291" s="93" t="s">
        <v>2027</v>
      </c>
      <c r="I291" s="110" t="s">
        <v>1304</v>
      </c>
      <c r="J291" s="98" t="s">
        <v>20</v>
      </c>
      <c r="K291" s="99" t="s">
        <v>21</v>
      </c>
      <c r="L291" s="99" t="s">
        <v>21</v>
      </c>
      <c r="M291" s="100">
        <f t="shared" si="2"/>
        <v>61622</v>
      </c>
    </row>
    <row r="292" hidden="1" outlineLevel="1">
      <c r="A292" s="93" t="s">
        <v>884</v>
      </c>
      <c r="B292" s="93">
        <v>98.0</v>
      </c>
      <c r="C292" s="94" t="s">
        <v>17</v>
      </c>
      <c r="D292" s="107">
        <f>'ชีต12'!C65</f>
        <v>61621</v>
      </c>
      <c r="E292" s="108" t="str">
        <f>'ชีต12'!F62</f>
        <v>B111</v>
      </c>
      <c r="F292" s="108" t="str">
        <f>VLOOKUP(A291, 'ฐานข้อมูลประวัติการเข้าพัก'!$A$1:$E$589, 2, FALSE)</f>
        <v>ธัญมน</v>
      </c>
      <c r="G292" s="96" t="s">
        <v>19</v>
      </c>
      <c r="H292" s="93" t="s">
        <v>2027</v>
      </c>
      <c r="I292" s="110" t="s">
        <v>1304</v>
      </c>
      <c r="J292" s="98" t="s">
        <v>20</v>
      </c>
      <c r="K292" s="99" t="s">
        <v>21</v>
      </c>
      <c r="L292" s="99" t="s">
        <v>21</v>
      </c>
      <c r="M292" s="100">
        <f t="shared" si="2"/>
        <v>61622</v>
      </c>
    </row>
    <row r="293" hidden="1" outlineLevel="1">
      <c r="A293" s="93" t="s">
        <v>886</v>
      </c>
      <c r="B293" s="93">
        <v>99.0</v>
      </c>
      <c r="C293" s="94" t="s">
        <v>29</v>
      </c>
      <c r="D293" s="107">
        <f>'ชีต12'!C66</f>
        <v>61621</v>
      </c>
      <c r="E293" s="108" t="str">
        <f>'ชีต12'!F63</f>
        <v>A107</v>
      </c>
      <c r="F293" s="108" t="str">
        <f>VLOOKUP(A292, 'ฐานข้อมูลประวัติการเข้าพัก'!$A$1:$E$589, 2, FALSE)</f>
        <v>ชีโร</v>
      </c>
      <c r="G293" s="96" t="s">
        <v>19</v>
      </c>
      <c r="H293" s="93">
        <v>3.849318155985E12</v>
      </c>
      <c r="I293" s="110" t="s">
        <v>1282</v>
      </c>
      <c r="J293" s="98" t="s">
        <v>20</v>
      </c>
      <c r="K293" s="99" t="s">
        <v>21</v>
      </c>
      <c r="L293" s="99" t="s">
        <v>21</v>
      </c>
      <c r="M293" s="100">
        <f t="shared" si="2"/>
        <v>61622</v>
      </c>
    </row>
    <row r="294" hidden="1" outlineLevel="1">
      <c r="A294" s="93" t="s">
        <v>888</v>
      </c>
      <c r="B294" s="93">
        <v>100.0</v>
      </c>
      <c r="C294" s="94" t="s">
        <v>29</v>
      </c>
      <c r="D294" s="107">
        <f>'ชีต12'!C161</f>
        <v>61621</v>
      </c>
      <c r="E294" s="108" t="str">
        <f>'ชีต12'!F158</f>
        <v>A106</v>
      </c>
      <c r="F294" s="108" t="str">
        <f>VLOOKUP(A293, 'ฐานข้อมูลประวัติการเข้าพัก'!$A$1:$E$589, 2, FALSE)</f>
        <v>เจษฎา</v>
      </c>
      <c r="G294" s="96" t="s">
        <v>19</v>
      </c>
      <c r="H294" s="93" t="s">
        <v>2027</v>
      </c>
      <c r="I294" s="110"/>
      <c r="J294" s="98" t="s">
        <v>20</v>
      </c>
      <c r="K294" s="99" t="s">
        <v>21</v>
      </c>
      <c r="L294" s="99" t="s">
        <v>21</v>
      </c>
      <c r="M294" s="100">
        <f t="shared" si="2"/>
        <v>61622</v>
      </c>
    </row>
    <row r="295" hidden="1" outlineLevel="1">
      <c r="A295" s="93" t="s">
        <v>890</v>
      </c>
      <c r="B295" s="93">
        <v>101.0</v>
      </c>
      <c r="C295" s="94" t="s">
        <v>29</v>
      </c>
      <c r="D295" s="107">
        <f>'ชีต12'!C162</f>
        <v>61621</v>
      </c>
      <c r="E295" s="108" t="str">
        <f>'ชีต12'!F159</f>
        <v>A101</v>
      </c>
      <c r="F295" s="108" t="str">
        <f>'ชีต12'!E82</f>
        <v>คุณกิติศักดิ์</v>
      </c>
      <c r="G295" s="96" t="s">
        <v>19</v>
      </c>
      <c r="H295" s="93" t="s">
        <v>2027</v>
      </c>
      <c r="I295" s="110" t="s">
        <v>2027</v>
      </c>
      <c r="J295" s="98" t="s">
        <v>20</v>
      </c>
      <c r="K295" s="99" t="s">
        <v>21</v>
      </c>
      <c r="L295" s="99" t="s">
        <v>21</v>
      </c>
      <c r="M295" s="100">
        <f t="shared" si="2"/>
        <v>61622</v>
      </c>
    </row>
    <row r="296" hidden="1" outlineLevel="1">
      <c r="A296" s="93" t="s">
        <v>892</v>
      </c>
      <c r="B296" s="93">
        <v>102.0</v>
      </c>
      <c r="C296" s="94" t="s">
        <v>29</v>
      </c>
      <c r="D296" s="107">
        <f>'ชีต12'!C163</f>
        <v>61621</v>
      </c>
      <c r="E296" s="108" t="str">
        <f>'ชีต12'!F160</f>
        <v>B107</v>
      </c>
      <c r="F296" s="108" t="str">
        <f>'ชีต12'!E83</f>
        <v>คุณจิราวัฒน์</v>
      </c>
      <c r="G296" s="96" t="s">
        <v>19</v>
      </c>
      <c r="H296" s="93" t="s">
        <v>2027</v>
      </c>
      <c r="I296" s="110" t="s">
        <v>2027</v>
      </c>
      <c r="J296" s="98" t="s">
        <v>20</v>
      </c>
      <c r="K296" s="99" t="s">
        <v>21</v>
      </c>
      <c r="L296" s="99" t="s">
        <v>21</v>
      </c>
      <c r="M296" s="100">
        <f t="shared" si="2"/>
        <v>61622</v>
      </c>
    </row>
    <row r="297" hidden="1" outlineLevel="1">
      <c r="A297" s="93" t="s">
        <v>895</v>
      </c>
      <c r="B297" s="93">
        <v>103.0</v>
      </c>
      <c r="C297" s="94" t="s">
        <v>17</v>
      </c>
      <c r="D297" s="107">
        <f>'ชีต12'!C67</f>
        <v>61622</v>
      </c>
      <c r="E297" s="108" t="str">
        <f>'ชีต12'!F64</f>
        <v>N1</v>
      </c>
      <c r="F297" s="108" t="str">
        <f>'ชีต12'!E84</f>
        <v>คุณนิราช</v>
      </c>
      <c r="G297" s="96" t="s">
        <v>19</v>
      </c>
      <c r="H297" s="93">
        <v>2.537637841198E12</v>
      </c>
      <c r="I297" s="110" t="s">
        <v>1304</v>
      </c>
      <c r="J297" s="98" t="s">
        <v>20</v>
      </c>
      <c r="K297" s="99" t="s">
        <v>21</v>
      </c>
      <c r="L297" s="99" t="s">
        <v>21</v>
      </c>
      <c r="M297" s="100">
        <f t="shared" si="2"/>
        <v>61623</v>
      </c>
    </row>
    <row r="298" hidden="1" outlineLevel="1">
      <c r="A298" s="93" t="s">
        <v>898</v>
      </c>
      <c r="B298" s="93">
        <v>104.0</v>
      </c>
      <c r="C298" s="94" t="s">
        <v>17</v>
      </c>
      <c r="D298" s="107">
        <f>'ชีต12'!C68</f>
        <v>61622</v>
      </c>
      <c r="E298" s="108" t="str">
        <f>'ชีต12'!F65</f>
        <v>A101</v>
      </c>
      <c r="F298" s="108" t="str">
        <f>VLOOKUP(A297, 'ฐานข้อมูลประวัติการเข้าพัก'!$A$1:$E$589, 2, FALSE)</f>
        <v>วิชัยยุทธ์</v>
      </c>
      <c r="G298" s="96" t="s">
        <v>19</v>
      </c>
      <c r="H298" s="93" t="s">
        <v>2027</v>
      </c>
      <c r="I298" s="110" t="s">
        <v>1304</v>
      </c>
      <c r="J298" s="98" t="s">
        <v>20</v>
      </c>
      <c r="K298" s="99" t="s">
        <v>21</v>
      </c>
      <c r="L298" s="99" t="s">
        <v>21</v>
      </c>
      <c r="M298" s="100">
        <f t="shared" si="2"/>
        <v>61623</v>
      </c>
    </row>
    <row r="299" hidden="1" outlineLevel="1">
      <c r="A299" s="93" t="s">
        <v>901</v>
      </c>
      <c r="B299" s="93">
        <v>105.0</v>
      </c>
      <c r="C299" s="94" t="s">
        <v>29</v>
      </c>
      <c r="D299" s="107">
        <f>'ชีต12'!C69</f>
        <v>61622</v>
      </c>
      <c r="E299" s="108" t="str">
        <f>'ชีต12'!F66</f>
        <v>B107</v>
      </c>
      <c r="F299" s="108" t="str">
        <f>VLOOKUP(A298, 'ฐานข้อมูลประวัติการเข้าพัก'!$A$1:$E$589, 2, FALSE)</f>
        <v>คุณโค๊ช</v>
      </c>
      <c r="G299" s="96" t="s">
        <v>19</v>
      </c>
      <c r="H299" s="93" t="s">
        <v>2027</v>
      </c>
      <c r="I299" s="110" t="s">
        <v>1286</v>
      </c>
      <c r="J299" s="98" t="s">
        <v>20</v>
      </c>
      <c r="K299" s="99" t="s">
        <v>21</v>
      </c>
      <c r="L299" s="99" t="s">
        <v>21</v>
      </c>
      <c r="M299" s="100">
        <f t="shared" si="2"/>
        <v>61623</v>
      </c>
    </row>
    <row r="300" hidden="1" outlineLevel="1">
      <c r="A300" s="93" t="s">
        <v>904</v>
      </c>
      <c r="B300" s="93">
        <v>106.0</v>
      </c>
      <c r="C300" s="94" t="s">
        <v>29</v>
      </c>
      <c r="D300" s="107">
        <f>'ชีต12'!C164</f>
        <v>61622</v>
      </c>
      <c r="E300" s="108" t="str">
        <f>'ชีต12'!F161</f>
        <v>B108</v>
      </c>
      <c r="F300" s="108" t="str">
        <f>VLOOKUP(A299, 'ฐานข้อมูลประวัติการเข้าพัก'!$A$1:$E$589, 2, FALSE)</f>
        <v>คุณจุฑา</v>
      </c>
      <c r="G300" s="96" t="s">
        <v>19</v>
      </c>
      <c r="H300" s="93">
        <v>1.46864771421E12</v>
      </c>
      <c r="I300" s="110" t="s">
        <v>2027</v>
      </c>
      <c r="J300" s="98" t="s">
        <v>20</v>
      </c>
      <c r="K300" s="99" t="s">
        <v>21</v>
      </c>
      <c r="L300" s="99" t="s">
        <v>21</v>
      </c>
      <c r="M300" s="100">
        <f t="shared" si="2"/>
        <v>61623</v>
      </c>
    </row>
    <row r="301" hidden="1" outlineLevel="1">
      <c r="A301" s="93" t="s">
        <v>907</v>
      </c>
      <c r="B301" s="93">
        <v>107.0</v>
      </c>
      <c r="C301" s="94" t="s">
        <v>29</v>
      </c>
      <c r="D301" s="107">
        <f>'ชีต12'!C165</f>
        <v>61622</v>
      </c>
      <c r="E301" s="108" t="str">
        <f>'ชีต12'!F162</f>
        <v>N2</v>
      </c>
      <c r="F301" s="108" t="str">
        <f>'ชีต12'!E85</f>
        <v>คุณแสงจันทร์</v>
      </c>
      <c r="G301" s="96" t="s">
        <v>19</v>
      </c>
      <c r="H301" s="93" t="s">
        <v>2027</v>
      </c>
      <c r="I301" s="110" t="s">
        <v>2031</v>
      </c>
      <c r="J301" s="98" t="s">
        <v>20</v>
      </c>
      <c r="K301" s="99" t="s">
        <v>21</v>
      </c>
      <c r="L301" s="99" t="s">
        <v>21</v>
      </c>
      <c r="M301" s="100">
        <f t="shared" si="2"/>
        <v>61623</v>
      </c>
    </row>
    <row r="302" hidden="1" outlineLevel="1">
      <c r="A302" s="93" t="s">
        <v>910</v>
      </c>
      <c r="B302" s="93">
        <v>108.0</v>
      </c>
      <c r="C302" s="94" t="s">
        <v>17</v>
      </c>
      <c r="D302" s="107">
        <f>'ชีต12'!C166</f>
        <v>61622</v>
      </c>
      <c r="E302" s="108" t="str">
        <f>'ชีต12'!F163</f>
        <v>N1</v>
      </c>
      <c r="F302" s="108" t="str">
        <f>'ชีต12'!E86</f>
        <v>คุณพิชยดล</v>
      </c>
      <c r="G302" s="96" t="s">
        <v>19</v>
      </c>
      <c r="H302" s="93">
        <v>1.68128470503E12</v>
      </c>
      <c r="I302" s="110" t="s">
        <v>2027</v>
      </c>
      <c r="J302" s="98" t="s">
        <v>20</v>
      </c>
      <c r="K302" s="99" t="s">
        <v>21</v>
      </c>
      <c r="L302" s="99" t="s">
        <v>21</v>
      </c>
      <c r="M302" s="100">
        <f t="shared" si="2"/>
        <v>61623</v>
      </c>
    </row>
    <row r="303" hidden="1" outlineLevel="1">
      <c r="A303" s="93" t="s">
        <v>913</v>
      </c>
      <c r="B303" s="93">
        <v>109.0</v>
      </c>
      <c r="C303" s="94" t="s">
        <v>29</v>
      </c>
      <c r="D303" s="107">
        <f>'ชีต12'!C70</f>
        <v>61623</v>
      </c>
      <c r="E303" s="108" t="str">
        <f>'ชีต12'!F67</f>
        <v>B108</v>
      </c>
      <c r="F303" s="108" t="str">
        <f>'ชีต12'!E87</f>
        <v>คุณจิราวัฒน์</v>
      </c>
      <c r="G303" s="96" t="s">
        <v>19</v>
      </c>
      <c r="H303" s="93">
        <v>1.46864771421E12</v>
      </c>
      <c r="I303" s="110" t="s">
        <v>1297</v>
      </c>
      <c r="J303" s="98" t="s">
        <v>20</v>
      </c>
      <c r="K303" s="99" t="s">
        <v>21</v>
      </c>
      <c r="L303" s="99" t="s">
        <v>21</v>
      </c>
      <c r="M303" s="100">
        <f t="shared" si="2"/>
        <v>61624</v>
      </c>
    </row>
    <row r="304" hidden="1" outlineLevel="1">
      <c r="A304" s="93" t="s">
        <v>916</v>
      </c>
      <c r="B304" s="93">
        <v>110.0</v>
      </c>
      <c r="C304" s="94" t="s">
        <v>29</v>
      </c>
      <c r="D304" s="107">
        <f>'ชีต12'!C71</f>
        <v>61623</v>
      </c>
      <c r="E304" s="108" t="str">
        <f>'ชีต12'!F68</f>
        <v>A106</v>
      </c>
      <c r="F304" s="108" t="str">
        <f>VLOOKUP(A303, 'ฐานข้อมูลประวัติการเข้าพัก'!$A$1:$E$589, 2, FALSE)</f>
        <v>ธีรพงษ์ สนองเดช</v>
      </c>
      <c r="G304" s="96" t="s">
        <v>19</v>
      </c>
      <c r="H304" s="93" t="s">
        <v>2027</v>
      </c>
      <c r="I304" s="110" t="s">
        <v>1297</v>
      </c>
      <c r="J304" s="98" t="s">
        <v>20</v>
      </c>
      <c r="K304" s="99" t="s">
        <v>21</v>
      </c>
      <c r="L304" s="99" t="s">
        <v>21</v>
      </c>
      <c r="M304" s="100">
        <f t="shared" si="2"/>
        <v>61624</v>
      </c>
    </row>
    <row r="305" hidden="1" outlineLevel="1">
      <c r="A305" s="93" t="s">
        <v>919</v>
      </c>
      <c r="B305" s="93">
        <v>111.0</v>
      </c>
      <c r="C305" s="94" t="s">
        <v>17</v>
      </c>
      <c r="D305" s="107">
        <f>'ชีต12'!C72</f>
        <v>61623</v>
      </c>
      <c r="E305" s="108" t="str">
        <f>'ชีต12'!F69</f>
        <v>A101</v>
      </c>
      <c r="F305" s="108" t="str">
        <f>VLOOKUP(A304, 'ฐานข้อมูลประวัติการเข้าพัก'!$A$1:$E$589, 2, FALSE)</f>
        <v>ตรียากร</v>
      </c>
      <c r="G305" s="96" t="s">
        <v>19</v>
      </c>
      <c r="H305" s="93">
        <v>5.599026409893E12</v>
      </c>
      <c r="I305" s="110"/>
      <c r="J305" s="98" t="s">
        <v>20</v>
      </c>
      <c r="K305" s="99" t="s">
        <v>21</v>
      </c>
      <c r="L305" s="99" t="s">
        <v>21</v>
      </c>
      <c r="M305" s="100">
        <f t="shared" si="2"/>
        <v>61624</v>
      </c>
    </row>
    <row r="306" hidden="1" outlineLevel="1">
      <c r="A306" s="93" t="s">
        <v>921</v>
      </c>
      <c r="B306" s="93">
        <v>112.0</v>
      </c>
      <c r="C306" s="94" t="s">
        <v>29</v>
      </c>
      <c r="D306" s="107">
        <f>'ชีต12'!C167</f>
        <v>61623</v>
      </c>
      <c r="E306" s="108" t="str">
        <f>'ชีต12'!F164</f>
        <v>B101</v>
      </c>
      <c r="F306" s="108" t="str">
        <f>VLOOKUP(A305, 'ฐานข้อมูลประวัติการเข้าพัก'!$A$1:$E$589, 2, FALSE)</f>
        <v>ลุงสุพจน์</v>
      </c>
      <c r="G306" s="96" t="s">
        <v>19</v>
      </c>
      <c r="H306" s="93">
        <v>1.46864771421E12</v>
      </c>
      <c r="I306" s="110" t="s">
        <v>2027</v>
      </c>
      <c r="J306" s="98" t="s">
        <v>20</v>
      </c>
      <c r="K306" s="99" t="s">
        <v>21</v>
      </c>
      <c r="L306" s="99" t="s">
        <v>21</v>
      </c>
      <c r="M306" s="100">
        <f t="shared" si="2"/>
        <v>61624</v>
      </c>
    </row>
    <row r="307" hidden="1" outlineLevel="1">
      <c r="A307" s="93" t="s">
        <v>924</v>
      </c>
      <c r="B307" s="93">
        <v>113.0</v>
      </c>
      <c r="C307" s="94" t="s">
        <v>17</v>
      </c>
      <c r="D307" s="107">
        <f>'ชีต12'!C168</f>
        <v>61623</v>
      </c>
      <c r="E307" s="108" t="str">
        <f>'ชีต12'!F165</f>
        <v>A106</v>
      </c>
      <c r="F307" s="108" t="str">
        <f>'ชีต12'!E88</f>
        <v>คุณอรินญา</v>
      </c>
      <c r="G307" s="96" t="s">
        <v>19</v>
      </c>
      <c r="H307" s="93" t="s">
        <v>2027</v>
      </c>
      <c r="I307" s="110" t="s">
        <v>2027</v>
      </c>
      <c r="J307" s="98" t="s">
        <v>20</v>
      </c>
      <c r="K307" s="99" t="s">
        <v>21</v>
      </c>
      <c r="L307" s="99" t="s">
        <v>21</v>
      </c>
      <c r="M307" s="100">
        <f t="shared" si="2"/>
        <v>61624</v>
      </c>
    </row>
    <row r="308" hidden="1" outlineLevel="1">
      <c r="A308" s="93" t="s">
        <v>927</v>
      </c>
      <c r="B308" s="93">
        <v>114.0</v>
      </c>
      <c r="C308" s="94" t="s">
        <v>17</v>
      </c>
      <c r="D308" s="107">
        <f>'ชีต12'!C169</f>
        <v>61623</v>
      </c>
      <c r="E308" s="108" t="str">
        <f>'ชีต12'!F166</f>
        <v>N1</v>
      </c>
      <c r="F308" s="108" t="str">
        <f>'ชีต12'!E89</f>
        <v>คุณทัจนีย์</v>
      </c>
      <c r="G308" s="96" t="s">
        <v>19</v>
      </c>
      <c r="H308" s="93" t="s">
        <v>2027</v>
      </c>
      <c r="I308" s="110" t="s">
        <v>2027</v>
      </c>
      <c r="J308" s="98" t="s">
        <v>20</v>
      </c>
      <c r="K308" s="99" t="s">
        <v>21</v>
      </c>
      <c r="L308" s="99" t="s">
        <v>21</v>
      </c>
      <c r="M308" s="100">
        <f t="shared" si="2"/>
        <v>61624</v>
      </c>
    </row>
    <row r="309" hidden="1" outlineLevel="1">
      <c r="A309" s="93" t="s">
        <v>929</v>
      </c>
      <c r="B309" s="93">
        <v>115.0</v>
      </c>
      <c r="C309" s="94" t="s">
        <v>29</v>
      </c>
      <c r="D309" s="107">
        <f>'ชีต12'!C73</f>
        <v>61624</v>
      </c>
      <c r="E309" s="108" t="str">
        <f>'ชีต12'!F70</f>
        <v>B107</v>
      </c>
      <c r="F309" s="108" t="str">
        <f>'ชีต12'!E90</f>
        <v>คุณปรีชา</v>
      </c>
      <c r="G309" s="96" t="s">
        <v>19</v>
      </c>
      <c r="H309" s="93">
        <v>1.842363725595E12</v>
      </c>
      <c r="I309" s="110" t="s">
        <v>1290</v>
      </c>
      <c r="J309" s="98" t="s">
        <v>20</v>
      </c>
      <c r="K309" s="99" t="s">
        <v>21</v>
      </c>
      <c r="L309" s="99" t="s">
        <v>21</v>
      </c>
      <c r="M309" s="100">
        <f t="shared" si="2"/>
        <v>61625</v>
      </c>
    </row>
    <row r="310" hidden="1" outlineLevel="1">
      <c r="A310" s="93" t="s">
        <v>932</v>
      </c>
      <c r="B310" s="93">
        <v>116.0</v>
      </c>
      <c r="C310" s="94" t="s">
        <v>17</v>
      </c>
      <c r="D310" s="107">
        <f>'ชีต12'!C74</f>
        <v>61624</v>
      </c>
      <c r="E310" s="108" t="str">
        <f>'ชีต12'!F71</f>
        <v>A107</v>
      </c>
      <c r="F310" s="108" t="str">
        <f>VLOOKUP(A309, 'ฐานข้อมูลประวัติการเข้าพัก'!$A$1:$E$589, 2, FALSE)</f>
        <v>ธนเดช</v>
      </c>
      <c r="G310" s="96" t="s">
        <v>19</v>
      </c>
      <c r="H310" s="93" t="s">
        <v>2027</v>
      </c>
      <c r="I310" s="110" t="s">
        <v>1304</v>
      </c>
      <c r="J310" s="98" t="s">
        <v>20</v>
      </c>
      <c r="K310" s="99" t="s">
        <v>21</v>
      </c>
      <c r="L310" s="99" t="s">
        <v>21</v>
      </c>
      <c r="M310" s="100">
        <f t="shared" si="2"/>
        <v>61625</v>
      </c>
    </row>
    <row r="311" hidden="1" outlineLevel="1">
      <c r="A311" s="93" t="s">
        <v>935</v>
      </c>
      <c r="B311" s="93">
        <v>117.0</v>
      </c>
      <c r="C311" s="94" t="s">
        <v>17</v>
      </c>
      <c r="D311" s="107">
        <f>'ชีต12'!C75</f>
        <v>61624</v>
      </c>
      <c r="E311" s="108" t="str">
        <f>'ชีต12'!F72</f>
        <v>N1</v>
      </c>
      <c r="F311" s="108" t="str">
        <f>VLOOKUP(A310, 'ฐานข้อมูลประวัติการเข้าพัก'!$A$1:$E$589, 2, FALSE)</f>
        <v>นายแสงจันทร์ โพธิ์คำพก</v>
      </c>
      <c r="G311" s="96" t="s">
        <v>19</v>
      </c>
      <c r="H311" s="93">
        <v>1.68128470503E12</v>
      </c>
      <c r="I311" s="110"/>
      <c r="J311" s="98" t="s">
        <v>20</v>
      </c>
      <c r="K311" s="99" t="s">
        <v>21</v>
      </c>
      <c r="L311" s="99" t="s">
        <v>21</v>
      </c>
      <c r="M311" s="100">
        <f t="shared" si="2"/>
        <v>61625</v>
      </c>
    </row>
    <row r="312" hidden="1" outlineLevel="1">
      <c r="A312" s="93" t="s">
        <v>938</v>
      </c>
      <c r="B312" s="93">
        <v>118.0</v>
      </c>
      <c r="C312" s="94" t="s">
        <v>17</v>
      </c>
      <c r="D312" s="107">
        <f>'ชีต12'!C170</f>
        <v>61624</v>
      </c>
      <c r="E312" s="108" t="str">
        <f>'ชีต12'!F167</f>
        <v>B101</v>
      </c>
      <c r="F312" s="108" t="str">
        <f>VLOOKUP(A311, 'ฐานข้อมูลประวัติการเข้าพัก'!$A$1:$E$589, 2, FALSE)</f>
        <v>นาย สุทธิ์พงษ์ พรรษา</v>
      </c>
      <c r="G312" s="96" t="s">
        <v>19</v>
      </c>
      <c r="H312" s="93">
        <v>1.46864771421E12</v>
      </c>
      <c r="I312" s="110" t="s">
        <v>2032</v>
      </c>
      <c r="J312" s="98" t="s">
        <v>20</v>
      </c>
      <c r="K312" s="99" t="s">
        <v>21</v>
      </c>
      <c r="L312" s="99" t="s">
        <v>21</v>
      </c>
      <c r="M312" s="100">
        <f t="shared" si="2"/>
        <v>61625</v>
      </c>
    </row>
    <row r="313" hidden="1" outlineLevel="1">
      <c r="A313" s="93" t="s">
        <v>940</v>
      </c>
      <c r="B313" s="93">
        <v>119.0</v>
      </c>
      <c r="C313" s="94" t="s">
        <v>29</v>
      </c>
      <c r="D313" s="107">
        <f>'ชีต12'!C171</f>
        <v>61624</v>
      </c>
      <c r="E313" s="108" t="str">
        <f>'ชีต12'!F168</f>
        <v>A106</v>
      </c>
      <c r="F313" s="108" t="str">
        <f>'ชีต12'!E91</f>
        <v>คุณสุดารัตน์</v>
      </c>
      <c r="G313" s="96" t="s">
        <v>19</v>
      </c>
      <c r="H313" s="93" t="s">
        <v>2027</v>
      </c>
      <c r="I313" s="110" t="s">
        <v>2027</v>
      </c>
      <c r="J313" s="98" t="s">
        <v>20</v>
      </c>
      <c r="K313" s="99" t="s">
        <v>21</v>
      </c>
      <c r="L313" s="99" t="s">
        <v>21</v>
      </c>
      <c r="M313" s="100">
        <f t="shared" si="2"/>
        <v>61625</v>
      </c>
    </row>
    <row r="314" hidden="1" outlineLevel="1">
      <c r="A314" s="93" t="s">
        <v>943</v>
      </c>
      <c r="B314" s="93">
        <v>120.0</v>
      </c>
      <c r="C314" s="94" t="s">
        <v>17</v>
      </c>
      <c r="D314" s="107">
        <f>'ชีต12'!C172</f>
        <v>61624</v>
      </c>
      <c r="E314" s="108" t="str">
        <f>'ชีต12'!F169</f>
        <v>A101</v>
      </c>
      <c r="F314" s="108" t="str">
        <f>'ชีต12'!E92</f>
        <v>คุณธนาธิป</v>
      </c>
      <c r="G314" s="96" t="s">
        <v>19</v>
      </c>
      <c r="H314" s="93" t="s">
        <v>2027</v>
      </c>
      <c r="I314" s="110" t="s">
        <v>2033</v>
      </c>
      <c r="J314" s="98" t="s">
        <v>20</v>
      </c>
      <c r="K314" s="99" t="s">
        <v>21</v>
      </c>
      <c r="L314" s="99" t="s">
        <v>21</v>
      </c>
      <c r="M314" s="100">
        <f t="shared" si="2"/>
        <v>61625</v>
      </c>
    </row>
    <row r="315" hidden="1" outlineLevel="1">
      <c r="A315" s="93" t="s">
        <v>946</v>
      </c>
      <c r="B315" s="93">
        <v>121.0</v>
      </c>
      <c r="C315" s="94" t="s">
        <v>17</v>
      </c>
      <c r="D315" s="107">
        <f>'ชีต12'!C76</f>
        <v>61625</v>
      </c>
      <c r="E315" s="108" t="str">
        <f>'ชีต12'!F73</f>
        <v>A106</v>
      </c>
      <c r="F315" s="108" t="str">
        <f>'ชีต12'!E93</f>
        <v>คุณศราวุฒิ</v>
      </c>
      <c r="G315" s="96" t="s">
        <v>19</v>
      </c>
      <c r="H315" s="93">
        <v>1.46864771421E12</v>
      </c>
      <c r="I315" s="110"/>
      <c r="J315" s="98" t="s">
        <v>20</v>
      </c>
      <c r="K315" s="99" t="s">
        <v>21</v>
      </c>
      <c r="L315" s="99" t="s">
        <v>21</v>
      </c>
      <c r="M315" s="100">
        <f t="shared" si="2"/>
        <v>61626</v>
      </c>
    </row>
    <row r="316" hidden="1" outlineLevel="1">
      <c r="A316" s="93" t="s">
        <v>949</v>
      </c>
      <c r="B316" s="93">
        <v>122.0</v>
      </c>
      <c r="C316" s="94" t="s">
        <v>29</v>
      </c>
      <c r="D316" s="107">
        <f>'ชีต12'!C77</f>
        <v>61625</v>
      </c>
      <c r="E316" s="108" t="str">
        <f>'ชีต12'!F74</f>
        <v>A101</v>
      </c>
      <c r="F316" s="108" t="str">
        <f>VLOOKUP(A315, 'ฐานข้อมูลประวัติการเข้าพัก'!$A$1:$E$589, 2, FALSE)</f>
        <v>จุฑาทิพย์ พารโท</v>
      </c>
      <c r="G316" s="96" t="s">
        <v>19</v>
      </c>
      <c r="H316" s="93" t="s">
        <v>2027</v>
      </c>
      <c r="I316" s="110" t="s">
        <v>1282</v>
      </c>
      <c r="J316" s="98" t="s">
        <v>20</v>
      </c>
      <c r="K316" s="99" t="s">
        <v>21</v>
      </c>
      <c r="L316" s="99" t="s">
        <v>21</v>
      </c>
      <c r="M316" s="100">
        <f t="shared" si="2"/>
        <v>61626</v>
      </c>
    </row>
    <row r="317" hidden="1" outlineLevel="1">
      <c r="A317" s="93" t="s">
        <v>952</v>
      </c>
      <c r="B317" s="93">
        <v>123.0</v>
      </c>
      <c r="C317" s="94" t="s">
        <v>17</v>
      </c>
      <c r="D317" s="107">
        <f>'ชีต12'!C78</f>
        <v>61625</v>
      </c>
      <c r="E317" s="108" t="str">
        <f>'ชีต12'!F75</f>
        <v>B107</v>
      </c>
      <c r="F317" s="108" t="str">
        <f>VLOOKUP(A316, 'ฐานข้อมูลประวัติการเข้าพัก'!$A$1:$E$589, 2, FALSE)</f>
        <v>พิมรภัชร</v>
      </c>
      <c r="G317" s="96" t="s">
        <v>19</v>
      </c>
      <c r="H317" s="93" t="s">
        <v>2027</v>
      </c>
      <c r="I317" s="110"/>
      <c r="J317" s="98" t="s">
        <v>20</v>
      </c>
      <c r="K317" s="99" t="s">
        <v>21</v>
      </c>
      <c r="L317" s="99" t="s">
        <v>21</v>
      </c>
      <c r="M317" s="100">
        <f t="shared" si="2"/>
        <v>61626</v>
      </c>
    </row>
    <row r="318" hidden="1" outlineLevel="1">
      <c r="A318" s="93" t="s">
        <v>955</v>
      </c>
      <c r="B318" s="93">
        <v>124.0</v>
      </c>
      <c r="C318" s="94" t="s">
        <v>17</v>
      </c>
      <c r="D318" s="107">
        <f>'ชีต12'!C79</f>
        <v>61625</v>
      </c>
      <c r="E318" s="108" t="str">
        <f>'ชีต12'!F76</f>
        <v>N2</v>
      </c>
      <c r="F318" s="108" t="str">
        <f>VLOOKUP(A317, 'ฐานข้อมูลประวัติการเข้าพัก'!$A$1:$E$589, 2, FALSE)</f>
        <v>นันทิพร</v>
      </c>
      <c r="G318" s="96" t="s">
        <v>19</v>
      </c>
      <c r="H318" s="93">
        <v>1.46864771421E12</v>
      </c>
      <c r="I318" s="110"/>
      <c r="J318" s="98" t="s">
        <v>20</v>
      </c>
      <c r="K318" s="99" t="s">
        <v>21</v>
      </c>
      <c r="L318" s="99" t="s">
        <v>21</v>
      </c>
      <c r="M318" s="100">
        <f t="shared" si="2"/>
        <v>61626</v>
      </c>
    </row>
    <row r="319" hidden="1" outlineLevel="1">
      <c r="A319" s="93" t="s">
        <v>958</v>
      </c>
      <c r="B319" s="93">
        <v>125.0</v>
      </c>
      <c r="C319" s="94" t="s">
        <v>29</v>
      </c>
      <c r="D319" s="107">
        <f>'ชีต12'!C80</f>
        <v>61625</v>
      </c>
      <c r="E319" s="108" t="str">
        <f>'ชีต12'!F77</f>
        <v>B108</v>
      </c>
      <c r="F319" s="108" t="str">
        <f>'ชีต12'!E2</f>
        <v>คุณพิชยดล</v>
      </c>
      <c r="G319" s="96" t="s">
        <v>19</v>
      </c>
      <c r="H319" s="93" t="s">
        <v>2027</v>
      </c>
      <c r="I319" s="110" t="s">
        <v>1290</v>
      </c>
      <c r="J319" s="98" t="s">
        <v>20</v>
      </c>
      <c r="K319" s="99" t="s">
        <v>21</v>
      </c>
      <c r="L319" s="99" t="s">
        <v>21</v>
      </c>
      <c r="M319" s="100">
        <f t="shared" si="2"/>
        <v>61626</v>
      </c>
    </row>
    <row r="320" hidden="1" outlineLevel="1">
      <c r="A320" s="93" t="s">
        <v>960</v>
      </c>
      <c r="B320" s="93">
        <v>126.0</v>
      </c>
      <c r="C320" s="94" t="s">
        <v>29</v>
      </c>
      <c r="D320" s="107">
        <f>'ชีต12'!C81</f>
        <v>61625</v>
      </c>
      <c r="E320" s="108" t="str">
        <f>'ชีต12'!F78</f>
        <v>A106</v>
      </c>
      <c r="F320" s="108" t="str">
        <f>'ชีต12'!E3</f>
        <v>คุณอนุรักษ์</v>
      </c>
      <c r="G320" s="96" t="s">
        <v>19</v>
      </c>
      <c r="H320" s="93" t="s">
        <v>2027</v>
      </c>
      <c r="I320" s="110" t="s">
        <v>1286</v>
      </c>
      <c r="J320" s="98" t="s">
        <v>20</v>
      </c>
      <c r="K320" s="99" t="s">
        <v>21</v>
      </c>
      <c r="L320" s="99" t="s">
        <v>21</v>
      </c>
      <c r="M320" s="100">
        <f t="shared" si="2"/>
        <v>61626</v>
      </c>
    </row>
    <row r="321" hidden="1" outlineLevel="1">
      <c r="A321" s="93" t="s">
        <v>963</v>
      </c>
      <c r="B321" s="93">
        <v>127.0</v>
      </c>
      <c r="C321" s="94" t="s">
        <v>17</v>
      </c>
      <c r="D321" s="107">
        <f>'ชีต12'!C173</f>
        <v>61625</v>
      </c>
      <c r="E321" s="108" t="str">
        <f>'ชีต12'!F170</f>
        <v>B107</v>
      </c>
      <c r="F321" s="108" t="str">
        <f>'ชีต12'!E4</f>
        <v>คุณพิชยดล</v>
      </c>
      <c r="G321" s="96" t="s">
        <v>19</v>
      </c>
      <c r="H321" s="93" t="s">
        <v>2027</v>
      </c>
      <c r="I321" s="110" t="s">
        <v>2027</v>
      </c>
      <c r="J321" s="98" t="s">
        <v>20</v>
      </c>
      <c r="K321" s="99" t="s">
        <v>21</v>
      </c>
      <c r="L321" s="99" t="s">
        <v>21</v>
      </c>
      <c r="M321" s="100">
        <f t="shared" si="2"/>
        <v>61626</v>
      </c>
    </row>
    <row r="322" hidden="1" outlineLevel="1">
      <c r="A322" s="93" t="s">
        <v>966</v>
      </c>
      <c r="B322" s="93">
        <v>128.0</v>
      </c>
      <c r="C322" s="94" t="s">
        <v>29</v>
      </c>
      <c r="D322" s="107">
        <f>'ชีต12'!C174</f>
        <v>61625</v>
      </c>
      <c r="E322" s="108" t="str">
        <f>'ชีต12'!F171</f>
        <v>B108</v>
      </c>
      <c r="F322" s="108" t="str">
        <f>'ชีต12'!E94</f>
        <v>คุณนุศรา</v>
      </c>
      <c r="G322" s="96" t="s">
        <v>19</v>
      </c>
      <c r="H322" s="93">
        <v>1.46864771421E12</v>
      </c>
      <c r="I322" s="110"/>
      <c r="J322" s="98" t="s">
        <v>20</v>
      </c>
      <c r="K322" s="99" t="s">
        <v>21</v>
      </c>
      <c r="L322" s="99" t="s">
        <v>21</v>
      </c>
      <c r="M322" s="100">
        <f t="shared" si="2"/>
        <v>61626</v>
      </c>
    </row>
    <row r="323" hidden="1" outlineLevel="1">
      <c r="A323" s="93" t="s">
        <v>969</v>
      </c>
      <c r="B323" s="93">
        <v>129.0</v>
      </c>
      <c r="C323" s="94" t="s">
        <v>29</v>
      </c>
      <c r="D323" s="107">
        <f>'ชีต12'!C175</f>
        <v>61625</v>
      </c>
      <c r="E323" s="108" t="str">
        <f>'ชีต12'!F172</f>
        <v>N2</v>
      </c>
      <c r="F323" s="108" t="str">
        <f>'ชีต12'!E95</f>
        <v>คุณชัชวาล</v>
      </c>
      <c r="G323" s="96" t="s">
        <v>19</v>
      </c>
      <c r="H323" s="93">
        <v>1.46864771421E12</v>
      </c>
      <c r="I323" s="110" t="s">
        <v>2034</v>
      </c>
      <c r="J323" s="98" t="s">
        <v>20</v>
      </c>
      <c r="K323" s="99" t="s">
        <v>21</v>
      </c>
      <c r="L323" s="99" t="s">
        <v>21</v>
      </c>
      <c r="M323" s="100">
        <f t="shared" si="2"/>
        <v>61626</v>
      </c>
    </row>
    <row r="324" hidden="1" outlineLevel="1">
      <c r="A324" s="93" t="s">
        <v>972</v>
      </c>
      <c r="B324" s="93">
        <v>130.0</v>
      </c>
      <c r="C324" s="94" t="s">
        <v>29</v>
      </c>
      <c r="D324" s="107">
        <f>'ชีต12'!C176</f>
        <v>61625</v>
      </c>
      <c r="E324" s="108" t="str">
        <f>'ชีต12'!F173</f>
        <v>N1</v>
      </c>
      <c r="F324" s="108" t="str">
        <f>'ชีต12'!E96</f>
        <v>คุณแสงจันทร์</v>
      </c>
      <c r="G324" s="96" t="s">
        <v>19</v>
      </c>
      <c r="H324" s="93">
        <v>1.46864771421E12</v>
      </c>
      <c r="I324" s="110"/>
      <c r="J324" s="98" t="s">
        <v>20</v>
      </c>
      <c r="K324" s="99" t="s">
        <v>21</v>
      </c>
      <c r="L324" s="99" t="s">
        <v>21</v>
      </c>
      <c r="M324" s="100">
        <f t="shared" si="2"/>
        <v>61626</v>
      </c>
    </row>
    <row r="325" hidden="1" outlineLevel="1">
      <c r="A325" s="93" t="s">
        <v>975</v>
      </c>
      <c r="B325" s="93">
        <v>131.0</v>
      </c>
      <c r="C325" s="94" t="s">
        <v>17</v>
      </c>
      <c r="D325" s="107">
        <f>'ชีต12'!C177</f>
        <v>61625</v>
      </c>
      <c r="E325" s="108" t="str">
        <f>'ชีต12'!F174</f>
        <v>B101</v>
      </c>
      <c r="F325" s="108" t="str">
        <f>'ชีต12'!E97</f>
        <v>คุณจิราวัฒน์</v>
      </c>
      <c r="G325" s="96" t="s">
        <v>19</v>
      </c>
      <c r="H325" s="93">
        <v>1.46864771421E12</v>
      </c>
      <c r="I325" s="110"/>
      <c r="J325" s="98" t="s">
        <v>20</v>
      </c>
      <c r="K325" s="99" t="s">
        <v>21</v>
      </c>
      <c r="L325" s="99" t="s">
        <v>21</v>
      </c>
      <c r="M325" s="100">
        <f t="shared" si="2"/>
        <v>61626</v>
      </c>
    </row>
    <row r="326" hidden="1" outlineLevel="1">
      <c r="A326" s="93" t="s">
        <v>978</v>
      </c>
      <c r="B326" s="93">
        <v>132.0</v>
      </c>
      <c r="C326" s="94" t="s">
        <v>29</v>
      </c>
      <c r="D326" s="107">
        <f>'ชีต12'!C178</f>
        <v>61625</v>
      </c>
      <c r="E326" s="108" t="str">
        <f>'ชีต12'!F175</f>
        <v>A106</v>
      </c>
      <c r="F326" s="108" t="str">
        <f>'ชีต12'!E98</f>
        <v>คุณแสงจันทร์</v>
      </c>
      <c r="G326" s="96" t="s">
        <v>19</v>
      </c>
      <c r="H326" s="93">
        <v>1.46864771421E12</v>
      </c>
      <c r="I326" s="110" t="s">
        <v>2035</v>
      </c>
      <c r="J326" s="98" t="s">
        <v>20</v>
      </c>
      <c r="K326" s="99" t="s">
        <v>21</v>
      </c>
      <c r="L326" s="99" t="s">
        <v>21</v>
      </c>
      <c r="M326" s="100">
        <f t="shared" si="2"/>
        <v>61626</v>
      </c>
    </row>
    <row r="327" hidden="1" outlineLevel="1">
      <c r="A327" s="93" t="s">
        <v>981</v>
      </c>
      <c r="B327" s="93">
        <v>133.0</v>
      </c>
      <c r="C327" s="94" t="s">
        <v>29</v>
      </c>
      <c r="D327" s="107">
        <f>'ชีต12'!C82</f>
        <v>61626</v>
      </c>
      <c r="E327" s="108" t="str">
        <f>'ชีต12'!F79</f>
        <v>A101</v>
      </c>
      <c r="F327" s="108" t="str">
        <f>'ชีต12'!E99</f>
        <v>คุณพิชยดล</v>
      </c>
      <c r="G327" s="96" t="s">
        <v>19</v>
      </c>
      <c r="H327" s="93" t="s">
        <v>2027</v>
      </c>
      <c r="I327" s="110"/>
      <c r="J327" s="98" t="s">
        <v>20</v>
      </c>
      <c r="K327" s="99" t="s">
        <v>21</v>
      </c>
      <c r="L327" s="99" t="s">
        <v>21</v>
      </c>
      <c r="M327" s="100">
        <f t="shared" si="2"/>
        <v>61627</v>
      </c>
    </row>
    <row r="328" hidden="1" outlineLevel="1">
      <c r="A328" s="93" t="s">
        <v>984</v>
      </c>
      <c r="B328" s="93">
        <v>134.0</v>
      </c>
      <c r="C328" s="94" t="s">
        <v>29</v>
      </c>
      <c r="D328" s="107">
        <f>'ชีต12'!C83</f>
        <v>61626</v>
      </c>
      <c r="E328" s="108" t="str">
        <f>'ชีต12'!F80</f>
        <v>B107</v>
      </c>
      <c r="F328" s="108" t="str">
        <f>'ชีต12'!E5</f>
        <v>คุณจิราวัฒน์</v>
      </c>
      <c r="G328" s="96" t="s">
        <v>19</v>
      </c>
      <c r="H328" s="93" t="s">
        <v>2027</v>
      </c>
      <c r="I328" s="110" t="s">
        <v>1297</v>
      </c>
      <c r="J328" s="98" t="s">
        <v>20</v>
      </c>
      <c r="K328" s="99" t="s">
        <v>21</v>
      </c>
      <c r="L328" s="99" t="s">
        <v>21</v>
      </c>
      <c r="M328" s="100">
        <f t="shared" si="2"/>
        <v>61627</v>
      </c>
    </row>
    <row r="329" hidden="1" outlineLevel="1">
      <c r="A329" s="93" t="s">
        <v>987</v>
      </c>
      <c r="B329" s="93">
        <v>135.0</v>
      </c>
      <c r="C329" s="94" t="s">
        <v>29</v>
      </c>
      <c r="D329" s="107">
        <f>'ชีต12'!C84</f>
        <v>61626</v>
      </c>
      <c r="E329" s="108" t="str">
        <f>'ชีต12'!F81</f>
        <v>B108</v>
      </c>
      <c r="F329" s="108" t="str">
        <f>'ชีต12'!E6</f>
        <v>คุณสุดารัตน์</v>
      </c>
      <c r="G329" s="96" t="s">
        <v>19</v>
      </c>
      <c r="H329" s="93">
        <v>1.46864771421E12</v>
      </c>
      <c r="I329" s="110" t="s">
        <v>1290</v>
      </c>
      <c r="J329" s="98" t="s">
        <v>20</v>
      </c>
      <c r="K329" s="99" t="s">
        <v>21</v>
      </c>
      <c r="L329" s="99" t="s">
        <v>21</v>
      </c>
      <c r="M329" s="100">
        <f t="shared" si="2"/>
        <v>61627</v>
      </c>
    </row>
    <row r="330" hidden="1" outlineLevel="1">
      <c r="A330" s="93" t="s">
        <v>989</v>
      </c>
      <c r="B330" s="93">
        <v>136.0</v>
      </c>
      <c r="C330" s="94" t="s">
        <v>29</v>
      </c>
      <c r="D330" s="107">
        <f>'ชีต12'!C85</f>
        <v>61626</v>
      </c>
      <c r="E330" s="108" t="str">
        <f>'ชีต12'!F82</f>
        <v>B101</v>
      </c>
      <c r="F330" s="108" t="str">
        <f>'ชีต12'!E7</f>
        <v>คุณกิตติชัย</v>
      </c>
      <c r="G330" s="96" t="s">
        <v>19</v>
      </c>
      <c r="H330" s="93" t="s">
        <v>2027</v>
      </c>
      <c r="I330" s="110" t="s">
        <v>1282</v>
      </c>
      <c r="J330" s="98" t="s">
        <v>20</v>
      </c>
      <c r="K330" s="99" t="s">
        <v>21</v>
      </c>
      <c r="L330" s="99" t="s">
        <v>21</v>
      </c>
      <c r="M330" s="100">
        <f t="shared" si="2"/>
        <v>61627</v>
      </c>
    </row>
    <row r="331" hidden="1" outlineLevel="1">
      <c r="A331" s="93" t="s">
        <v>992</v>
      </c>
      <c r="B331" s="93">
        <v>137.0</v>
      </c>
      <c r="C331" s="94" t="s">
        <v>17</v>
      </c>
      <c r="D331" s="107">
        <f>'ชีต12'!C86</f>
        <v>61626</v>
      </c>
      <c r="E331" s="108" t="str">
        <f>'ชีต12'!F83</f>
        <v>A107</v>
      </c>
      <c r="F331" s="108" t="str">
        <f>'ชีต12'!E8</f>
        <v>คุณกิติศักดิ์</v>
      </c>
      <c r="G331" s="96" t="s">
        <v>19</v>
      </c>
      <c r="H331" s="93" t="s">
        <v>2027</v>
      </c>
      <c r="I331" s="110"/>
      <c r="J331" s="98" t="s">
        <v>20</v>
      </c>
      <c r="K331" s="99" t="s">
        <v>21</v>
      </c>
      <c r="L331" s="99" t="s">
        <v>21</v>
      </c>
      <c r="M331" s="100">
        <f t="shared" si="2"/>
        <v>61627</v>
      </c>
    </row>
    <row r="332" hidden="1" outlineLevel="1">
      <c r="A332" s="93" t="s">
        <v>994</v>
      </c>
      <c r="B332" s="93">
        <v>138.0</v>
      </c>
      <c r="C332" s="94" t="s">
        <v>29</v>
      </c>
      <c r="D332" s="107">
        <f>'ชีต12'!C87</f>
        <v>61626</v>
      </c>
      <c r="E332" s="108" t="str">
        <f>'ชีต12'!F84</f>
        <v>N1</v>
      </c>
      <c r="F332" s="108" t="str">
        <f>'ชีต12'!E9</f>
        <v>คุณคเชนทร์</v>
      </c>
      <c r="G332" s="96" t="s">
        <v>19</v>
      </c>
      <c r="H332" s="93" t="s">
        <v>2027</v>
      </c>
      <c r="I332" s="110"/>
      <c r="J332" s="98" t="s">
        <v>20</v>
      </c>
      <c r="K332" s="99" t="s">
        <v>21</v>
      </c>
      <c r="L332" s="99" t="s">
        <v>21</v>
      </c>
      <c r="M332" s="100">
        <f t="shared" si="2"/>
        <v>61627</v>
      </c>
    </row>
    <row r="333" hidden="1" outlineLevel="1">
      <c r="A333" s="93" t="s">
        <v>996</v>
      </c>
      <c r="B333" s="93">
        <v>139.0</v>
      </c>
      <c r="C333" s="94" t="s">
        <v>17</v>
      </c>
      <c r="D333" s="107">
        <f>'ชีต12'!C179</f>
        <v>61626</v>
      </c>
      <c r="E333" s="108" t="str">
        <f>'ชีต12'!F176</f>
        <v>A101</v>
      </c>
      <c r="F333" s="108" t="str">
        <f>'ชีต12'!E10</f>
        <v>คุณธนาธิป</v>
      </c>
      <c r="G333" s="96" t="s">
        <v>19</v>
      </c>
      <c r="H333" s="93">
        <v>1.46864771421E12</v>
      </c>
      <c r="I333" s="110" t="s">
        <v>2036</v>
      </c>
      <c r="J333" s="98" t="s">
        <v>20</v>
      </c>
      <c r="K333" s="99" t="s">
        <v>21</v>
      </c>
      <c r="L333" s="99" t="s">
        <v>21</v>
      </c>
      <c r="M333" s="100">
        <f t="shared" si="2"/>
        <v>61627</v>
      </c>
    </row>
    <row r="334" hidden="1" outlineLevel="1">
      <c r="A334" s="93" t="s">
        <v>999</v>
      </c>
      <c r="B334" s="93">
        <v>140.0</v>
      </c>
      <c r="C334" s="94" t="s">
        <v>17</v>
      </c>
      <c r="D334" s="107">
        <f>'ชีต12'!C180</f>
        <v>61626</v>
      </c>
      <c r="E334" s="108" t="str">
        <f>'ชีต12'!F177</f>
        <v>B107</v>
      </c>
      <c r="F334" s="108" t="str">
        <f>'ชีต12'!E100</f>
        <v>คุณจันทรีจิรา</v>
      </c>
      <c r="G334" s="96" t="s">
        <v>19</v>
      </c>
      <c r="H334" s="93">
        <v>1.46864771421E12</v>
      </c>
      <c r="I334" s="110"/>
      <c r="J334" s="98" t="s">
        <v>20</v>
      </c>
      <c r="K334" s="99" t="s">
        <v>21</v>
      </c>
      <c r="L334" s="99" t="s">
        <v>21</v>
      </c>
      <c r="M334" s="100">
        <f t="shared" si="2"/>
        <v>61627</v>
      </c>
    </row>
    <row r="335" hidden="1" outlineLevel="1">
      <c r="A335" s="93" t="s">
        <v>1002</v>
      </c>
      <c r="B335" s="93">
        <v>141.0</v>
      </c>
      <c r="C335" s="94" t="s">
        <v>17</v>
      </c>
      <c r="D335" s="107">
        <f>'ชีต12'!C181</f>
        <v>61626</v>
      </c>
      <c r="E335" s="108" t="str">
        <f>'ชีต12'!F178</f>
        <v>B108</v>
      </c>
      <c r="F335" s="108" t="str">
        <f>'ชีต12'!E101</f>
        <v>คุณนุศรา</v>
      </c>
      <c r="G335" s="96" t="s">
        <v>19</v>
      </c>
      <c r="H335" s="93">
        <v>1.46864771421E12</v>
      </c>
      <c r="I335" s="110"/>
      <c r="J335" s="98" t="s">
        <v>20</v>
      </c>
      <c r="K335" s="99" t="s">
        <v>21</v>
      </c>
      <c r="L335" s="99" t="s">
        <v>21</v>
      </c>
      <c r="M335" s="100">
        <f t="shared" si="2"/>
        <v>61627</v>
      </c>
    </row>
    <row r="336" hidden="1" outlineLevel="1">
      <c r="A336" s="93" t="s">
        <v>1005</v>
      </c>
      <c r="B336" s="93">
        <v>142.0</v>
      </c>
      <c r="C336" s="94" t="s">
        <v>29</v>
      </c>
      <c r="D336" s="107">
        <f>'ชีต12'!C182</f>
        <v>61626</v>
      </c>
      <c r="E336" s="108" t="str">
        <f>'ชีต12'!F179</f>
        <v>N2</v>
      </c>
      <c r="F336" s="108" t="str">
        <f>'ชีต12'!E102</f>
        <v>คุณนุช</v>
      </c>
      <c r="G336" s="96" t="s">
        <v>19</v>
      </c>
      <c r="H336" s="93">
        <v>1.46864771421E12</v>
      </c>
      <c r="I336" s="110"/>
      <c r="J336" s="98" t="s">
        <v>20</v>
      </c>
      <c r="K336" s="99" t="s">
        <v>21</v>
      </c>
      <c r="L336" s="99" t="s">
        <v>21</v>
      </c>
      <c r="M336" s="100">
        <f t="shared" si="2"/>
        <v>61627</v>
      </c>
    </row>
    <row r="337" hidden="1" outlineLevel="1">
      <c r="A337" s="93" t="s">
        <v>1008</v>
      </c>
      <c r="B337" s="93">
        <v>143.0</v>
      </c>
      <c r="C337" s="94" t="s">
        <v>17</v>
      </c>
      <c r="D337" s="107">
        <f>'ชีต12'!C183</f>
        <v>61626</v>
      </c>
      <c r="E337" s="108" t="str">
        <f>'ชีต12'!F180</f>
        <v>N1</v>
      </c>
      <c r="F337" s="108" t="str">
        <f>'ชีต12'!E103</f>
        <v>คุณจิราวัฒน์</v>
      </c>
      <c r="G337" s="96" t="s">
        <v>19</v>
      </c>
      <c r="H337" s="93">
        <v>1.46864771421E12</v>
      </c>
      <c r="I337" s="110"/>
      <c r="J337" s="98" t="s">
        <v>20</v>
      </c>
      <c r="K337" s="99" t="s">
        <v>21</v>
      </c>
      <c r="L337" s="99" t="s">
        <v>21</v>
      </c>
      <c r="M337" s="100">
        <f t="shared" si="2"/>
        <v>61627</v>
      </c>
    </row>
    <row r="338" hidden="1" outlineLevel="1">
      <c r="A338" s="93" t="s">
        <v>1011</v>
      </c>
      <c r="B338" s="93">
        <v>144.0</v>
      </c>
      <c r="C338" s="94" t="s">
        <v>17</v>
      </c>
      <c r="D338" s="107">
        <f>'ชีต12'!C184</f>
        <v>61626</v>
      </c>
      <c r="E338" s="108" t="str">
        <f>'ชีต12'!F181</f>
        <v>B101</v>
      </c>
      <c r="F338" s="108" t="str">
        <f>'ชีต12'!E104</f>
        <v>คุณสุดารัตน์</v>
      </c>
      <c r="G338" s="96" t="s">
        <v>19</v>
      </c>
      <c r="H338" s="93">
        <v>1.46864771421E12</v>
      </c>
      <c r="I338" s="110" t="s">
        <v>2037</v>
      </c>
      <c r="J338" s="98" t="s">
        <v>20</v>
      </c>
      <c r="K338" s="99" t="s">
        <v>21</v>
      </c>
      <c r="L338" s="99" t="s">
        <v>21</v>
      </c>
      <c r="M338" s="100">
        <f t="shared" si="2"/>
        <v>61627</v>
      </c>
    </row>
    <row r="339" hidden="1" outlineLevel="1">
      <c r="A339" s="93" t="s">
        <v>1013</v>
      </c>
      <c r="B339" s="93">
        <v>145.0</v>
      </c>
      <c r="C339" s="94" t="s">
        <v>17</v>
      </c>
      <c r="D339" s="107">
        <f>'ชีต12'!C201</f>
        <v>61626</v>
      </c>
      <c r="E339" s="108" t="str">
        <f>'ชีต12'!F198</f>
        <v>B107</v>
      </c>
      <c r="F339" s="108" t="str">
        <f>'ชีต12'!E105</f>
        <v>คุณธนาธิป</v>
      </c>
      <c r="G339" s="96" t="s">
        <v>19</v>
      </c>
      <c r="H339" s="93">
        <v>1.46864771421E12</v>
      </c>
      <c r="I339" s="110" t="s">
        <v>2038</v>
      </c>
      <c r="J339" s="98" t="s">
        <v>20</v>
      </c>
      <c r="K339" s="99" t="s">
        <v>21</v>
      </c>
      <c r="L339" s="99" t="s">
        <v>21</v>
      </c>
      <c r="M339" s="100">
        <f t="shared" si="2"/>
        <v>61627</v>
      </c>
    </row>
    <row r="340" hidden="1" outlineLevel="1">
      <c r="A340" s="93" t="s">
        <v>1015</v>
      </c>
      <c r="B340" s="93">
        <v>146.0</v>
      </c>
      <c r="C340" s="94" t="s">
        <v>17</v>
      </c>
      <c r="D340" s="107">
        <f>'ชีต12'!C88</f>
        <v>61627</v>
      </c>
      <c r="E340" s="108" t="str">
        <f>'ชีต12'!F85</f>
        <v>N2</v>
      </c>
      <c r="F340" s="108" t="str">
        <f>'ชีต12'!E122</f>
        <v>คุณอรินญา</v>
      </c>
      <c r="G340" s="96" t="s">
        <v>19</v>
      </c>
      <c r="H340" s="93">
        <v>1.874984180491E12</v>
      </c>
      <c r="I340" s="110" t="s">
        <v>1282</v>
      </c>
      <c r="J340" s="98" t="s">
        <v>20</v>
      </c>
      <c r="K340" s="99" t="s">
        <v>21</v>
      </c>
      <c r="L340" s="99" t="s">
        <v>21</v>
      </c>
      <c r="M340" s="100">
        <f t="shared" si="2"/>
        <v>61628</v>
      </c>
    </row>
    <row r="341" hidden="1" outlineLevel="1">
      <c r="A341" s="93" t="s">
        <v>1017</v>
      </c>
      <c r="B341" s="93">
        <v>147.0</v>
      </c>
      <c r="C341" s="94" t="s">
        <v>17</v>
      </c>
      <c r="D341" s="107">
        <f>'ชีต12'!C89</f>
        <v>61627</v>
      </c>
      <c r="E341" s="108" t="str">
        <f>'ชีต12'!F86</f>
        <v>N1</v>
      </c>
      <c r="F341" s="108" t="str">
        <f>'ชีต12'!E11</f>
        <v>คุณศราวุฒิ</v>
      </c>
      <c r="G341" s="96" t="s">
        <v>19</v>
      </c>
      <c r="H341" s="93">
        <v>1.68128470503E12</v>
      </c>
      <c r="I341" s="110" t="s">
        <v>1286</v>
      </c>
      <c r="J341" s="98" t="s">
        <v>20</v>
      </c>
      <c r="K341" s="99" t="s">
        <v>21</v>
      </c>
      <c r="L341" s="99" t="s">
        <v>21</v>
      </c>
      <c r="M341" s="100">
        <f t="shared" si="2"/>
        <v>61628</v>
      </c>
    </row>
    <row r="342" hidden="1" outlineLevel="1">
      <c r="A342" s="93" t="s">
        <v>1020</v>
      </c>
      <c r="B342" s="93">
        <v>148.0</v>
      </c>
      <c r="C342" s="94" t="s">
        <v>17</v>
      </c>
      <c r="D342" s="107">
        <f>'ชีต12'!C90</f>
        <v>61627</v>
      </c>
      <c r="E342" s="108" t="str">
        <f>'ชีต12'!F87</f>
        <v>B101</v>
      </c>
      <c r="F342" s="108" t="str">
        <f>'ชีต12'!E12</f>
        <v>คุณจิราวัฒน์</v>
      </c>
      <c r="G342" s="96" t="s">
        <v>19</v>
      </c>
      <c r="H342" s="93">
        <v>1.46864771421E12</v>
      </c>
      <c r="I342" s="110"/>
      <c r="J342" s="98" t="s">
        <v>20</v>
      </c>
      <c r="K342" s="99" t="s">
        <v>21</v>
      </c>
      <c r="L342" s="99" t="s">
        <v>21</v>
      </c>
      <c r="M342" s="100">
        <f t="shared" si="2"/>
        <v>61628</v>
      </c>
    </row>
    <row r="343" hidden="1" outlineLevel="1">
      <c r="A343" s="93" t="s">
        <v>1022</v>
      </c>
      <c r="B343" s="93">
        <v>149.0</v>
      </c>
      <c r="C343" s="94" t="s">
        <v>29</v>
      </c>
      <c r="D343" s="107">
        <f>'ชีต12'!C91</f>
        <v>61627</v>
      </c>
      <c r="E343" s="108" t="str">
        <f>'ชีต12'!F88</f>
        <v>A106</v>
      </c>
      <c r="F343" s="108" t="str">
        <f>'ชีต12'!E13</f>
        <v>คุณศราวุฒิ</v>
      </c>
      <c r="G343" s="96" t="s">
        <v>19</v>
      </c>
      <c r="H343" s="93" t="s">
        <v>2027</v>
      </c>
      <c r="I343" s="110" t="s">
        <v>1286</v>
      </c>
      <c r="J343" s="98" t="s">
        <v>20</v>
      </c>
      <c r="K343" s="99" t="s">
        <v>21</v>
      </c>
      <c r="L343" s="99" t="s">
        <v>21</v>
      </c>
      <c r="M343" s="100">
        <f t="shared" si="2"/>
        <v>61628</v>
      </c>
    </row>
    <row r="344" hidden="1" outlineLevel="1">
      <c r="A344" s="93" t="s">
        <v>1025</v>
      </c>
      <c r="B344" s="93">
        <v>150.0</v>
      </c>
      <c r="C344" s="94" t="s">
        <v>17</v>
      </c>
      <c r="D344" s="107">
        <f>'ชีต12'!C92</f>
        <v>61627</v>
      </c>
      <c r="E344" s="108" t="str">
        <f>'ชีต12'!F89</f>
        <v>B107</v>
      </c>
      <c r="F344" s="108" t="str">
        <f>'ชีต12'!E14</f>
        <v>คุณศราวุฒิ</v>
      </c>
      <c r="G344" s="96" t="s">
        <v>19</v>
      </c>
      <c r="H344" s="93">
        <v>5.599026409893E12</v>
      </c>
      <c r="I344" s="110" t="s">
        <v>1297</v>
      </c>
      <c r="J344" s="98" t="s">
        <v>20</v>
      </c>
      <c r="K344" s="99" t="s">
        <v>21</v>
      </c>
      <c r="L344" s="99" t="s">
        <v>21</v>
      </c>
      <c r="M344" s="100">
        <f t="shared" si="2"/>
        <v>61628</v>
      </c>
    </row>
    <row r="345" hidden="1" outlineLevel="1">
      <c r="A345" s="93" t="s">
        <v>1028</v>
      </c>
      <c r="B345" s="93">
        <v>151.0</v>
      </c>
      <c r="C345" s="94" t="s">
        <v>17</v>
      </c>
      <c r="D345" s="107">
        <f>'ชีต12'!C93</f>
        <v>61627</v>
      </c>
      <c r="E345" s="108" t="str">
        <f>'ชีต12'!F90</f>
        <v>A101</v>
      </c>
      <c r="F345" s="108" t="str">
        <f>'ชีต12'!E15</f>
        <v>คุณแสงจันทร์</v>
      </c>
      <c r="G345" s="96" t="s">
        <v>19</v>
      </c>
      <c r="H345" s="93" t="s">
        <v>2027</v>
      </c>
      <c r="I345" s="110" t="s">
        <v>1290</v>
      </c>
      <c r="J345" s="98" t="s">
        <v>20</v>
      </c>
      <c r="K345" s="99" t="s">
        <v>21</v>
      </c>
      <c r="L345" s="99" t="s">
        <v>21</v>
      </c>
      <c r="M345" s="100">
        <f t="shared" si="2"/>
        <v>61628</v>
      </c>
    </row>
    <row r="346" hidden="1" outlineLevel="1">
      <c r="A346" s="93" t="s">
        <v>1031</v>
      </c>
      <c r="B346" s="93">
        <v>152.0</v>
      </c>
      <c r="C346" s="94" t="s">
        <v>29</v>
      </c>
      <c r="D346" s="107">
        <f>'ชีต12'!C185</f>
        <v>61627</v>
      </c>
      <c r="E346" s="108" t="str">
        <f>'ชีต12'!F182</f>
        <v>A106</v>
      </c>
      <c r="F346" s="108" t="str">
        <f>'ชีต12'!E16</f>
        <v>คุณพิชยดล</v>
      </c>
      <c r="G346" s="96" t="s">
        <v>19</v>
      </c>
      <c r="H346" s="93">
        <v>1.46864771421E12</v>
      </c>
      <c r="I346" s="110" t="s">
        <v>2039</v>
      </c>
      <c r="J346" s="98" t="s">
        <v>20</v>
      </c>
      <c r="K346" s="99" t="s">
        <v>21</v>
      </c>
      <c r="L346" s="99" t="s">
        <v>21</v>
      </c>
      <c r="M346" s="100">
        <f t="shared" si="2"/>
        <v>61628</v>
      </c>
    </row>
    <row r="347" hidden="1" outlineLevel="1">
      <c r="A347" s="93" t="s">
        <v>1034</v>
      </c>
      <c r="B347" s="93">
        <v>153.0</v>
      </c>
      <c r="C347" s="94" t="s">
        <v>29</v>
      </c>
      <c r="D347" s="107">
        <f>'ชีต12'!C186</f>
        <v>61627</v>
      </c>
      <c r="E347" s="108" t="str">
        <f>'ชีต12'!F183</f>
        <v>A101</v>
      </c>
      <c r="F347" s="108" t="str">
        <f>'ชีต12'!E106</f>
        <v>คุณวีระ</v>
      </c>
      <c r="G347" s="96" t="s">
        <v>19</v>
      </c>
      <c r="H347" s="93">
        <v>1.46864771421E12</v>
      </c>
      <c r="I347" s="110"/>
      <c r="J347" s="98" t="s">
        <v>20</v>
      </c>
      <c r="K347" s="99" t="s">
        <v>21</v>
      </c>
      <c r="L347" s="99" t="s">
        <v>21</v>
      </c>
      <c r="M347" s="100">
        <f t="shared" si="2"/>
        <v>61628</v>
      </c>
    </row>
    <row r="348" hidden="1" outlineLevel="1">
      <c r="A348" s="93" t="s">
        <v>1037</v>
      </c>
      <c r="B348" s="93">
        <v>154.0</v>
      </c>
      <c r="C348" s="94" t="s">
        <v>29</v>
      </c>
      <c r="D348" s="107">
        <f>'ชีต12'!C187</f>
        <v>61627</v>
      </c>
      <c r="E348" s="108" t="str">
        <f>'ชีต12'!F184</f>
        <v>B107</v>
      </c>
      <c r="F348" s="108" t="str">
        <f>'ชีต12'!E107</f>
        <v>คุณรัชดา</v>
      </c>
      <c r="G348" s="96" t="s">
        <v>19</v>
      </c>
      <c r="H348" s="93">
        <v>1.46864771421E12</v>
      </c>
      <c r="I348" s="110" t="s">
        <v>2040</v>
      </c>
      <c r="J348" s="98" t="s">
        <v>20</v>
      </c>
      <c r="K348" s="99" t="s">
        <v>21</v>
      </c>
      <c r="L348" s="99" t="s">
        <v>21</v>
      </c>
      <c r="M348" s="100">
        <f t="shared" si="2"/>
        <v>61628</v>
      </c>
    </row>
    <row r="349" hidden="1" outlineLevel="1">
      <c r="A349" s="93" t="s">
        <v>1040</v>
      </c>
      <c r="B349" s="93">
        <v>155.0</v>
      </c>
      <c r="C349" s="94" t="s">
        <v>17</v>
      </c>
      <c r="D349" s="107">
        <f>'ชีต12'!C202</f>
        <v>61627</v>
      </c>
      <c r="E349" s="108" t="str">
        <f>'ชีต12'!F199</f>
        <v>B108</v>
      </c>
      <c r="F349" s="108" t="str">
        <f>'ชีต12'!E108</f>
        <v>คุณทัจนีย์</v>
      </c>
      <c r="G349" s="96" t="s">
        <v>19</v>
      </c>
      <c r="H349" s="93">
        <v>1.46864771421E12</v>
      </c>
      <c r="I349" s="110"/>
      <c r="J349" s="98" t="s">
        <v>20</v>
      </c>
      <c r="K349" s="99" t="s">
        <v>21</v>
      </c>
      <c r="L349" s="99" t="s">
        <v>21</v>
      </c>
      <c r="M349" s="100">
        <f t="shared" si="2"/>
        <v>61628</v>
      </c>
    </row>
    <row r="350" hidden="1" outlineLevel="1">
      <c r="A350" s="93" t="s">
        <v>1043</v>
      </c>
      <c r="B350" s="93">
        <v>156.0</v>
      </c>
      <c r="C350" s="94" t="s">
        <v>17</v>
      </c>
      <c r="D350" s="107">
        <f>'ชีต12'!C203</f>
        <v>61627</v>
      </c>
      <c r="E350" s="108" t="str">
        <f>'ชีต12'!F200</f>
        <v>A101</v>
      </c>
      <c r="F350" s="108" t="str">
        <f>'ชีต12'!E123</f>
        <v>คุณจิราวัฒน์</v>
      </c>
      <c r="G350" s="96" t="s">
        <v>19</v>
      </c>
      <c r="H350" s="93">
        <v>1.46864771421E12</v>
      </c>
      <c r="I350" s="110"/>
      <c r="J350" s="98" t="s">
        <v>20</v>
      </c>
      <c r="K350" s="99" t="s">
        <v>21</v>
      </c>
      <c r="L350" s="99" t="s">
        <v>21</v>
      </c>
      <c r="M350" s="100">
        <f t="shared" si="2"/>
        <v>61628</v>
      </c>
    </row>
    <row r="351" hidden="1" outlineLevel="1">
      <c r="A351" s="93" t="s">
        <v>1046</v>
      </c>
      <c r="B351" s="93">
        <v>157.0</v>
      </c>
      <c r="C351" s="94" t="s">
        <v>29</v>
      </c>
      <c r="D351" s="107">
        <f>'ชีต12'!C204</f>
        <v>61627</v>
      </c>
      <c r="E351" s="108" t="str">
        <f>'ชีต12'!F201</f>
        <v>B101</v>
      </c>
      <c r="F351" s="108" t="str">
        <f>'ชีต12'!E124</f>
        <v>คุณคมกริช</v>
      </c>
      <c r="G351" s="96" t="s">
        <v>19</v>
      </c>
      <c r="H351" s="93">
        <v>1.46864771421E12</v>
      </c>
      <c r="I351" s="110"/>
      <c r="J351" s="98" t="s">
        <v>20</v>
      </c>
      <c r="K351" s="99" t="s">
        <v>21</v>
      </c>
      <c r="L351" s="99" t="s">
        <v>21</v>
      </c>
      <c r="M351" s="100">
        <f t="shared" si="2"/>
        <v>61628</v>
      </c>
    </row>
    <row r="352" hidden="1" outlineLevel="1">
      <c r="A352" s="93" t="s">
        <v>1049</v>
      </c>
      <c r="B352" s="93">
        <v>158.0</v>
      </c>
      <c r="C352" s="94" t="s">
        <v>17</v>
      </c>
      <c r="D352" s="107">
        <f>'ชีต12'!C205</f>
        <v>61627</v>
      </c>
      <c r="E352" s="108" t="str">
        <f>'ชีต12'!F202</f>
        <v>A106</v>
      </c>
      <c r="F352" s="108" t="str">
        <f>'ชีต12'!E125</f>
        <v>คุณนันทพงศ์</v>
      </c>
      <c r="G352" s="96" t="s">
        <v>19</v>
      </c>
      <c r="H352" s="93">
        <v>1.46864771421E12</v>
      </c>
      <c r="I352" s="110"/>
      <c r="J352" s="98" t="s">
        <v>20</v>
      </c>
      <c r="K352" s="99" t="s">
        <v>21</v>
      </c>
      <c r="L352" s="99" t="s">
        <v>21</v>
      </c>
      <c r="M352" s="100">
        <f t="shared" si="2"/>
        <v>61628</v>
      </c>
    </row>
    <row r="353" hidden="1" outlineLevel="1">
      <c r="A353" s="93" t="s">
        <v>1052</v>
      </c>
      <c r="B353" s="93">
        <v>159.0</v>
      </c>
      <c r="C353" s="94" t="s">
        <v>17</v>
      </c>
      <c r="D353" s="107">
        <f>'ชีต12'!C206</f>
        <v>61627</v>
      </c>
      <c r="E353" s="108" t="str">
        <f>'ชีต12'!F203</f>
        <v>B107</v>
      </c>
      <c r="F353" s="108" t="str">
        <f>'ชีต12'!E126</f>
        <v>คุณศราวุฒิ</v>
      </c>
      <c r="G353" s="96" t="s">
        <v>19</v>
      </c>
      <c r="H353" s="93">
        <v>1.46864771421E12</v>
      </c>
      <c r="I353" s="110" t="s">
        <v>2041</v>
      </c>
      <c r="J353" s="98" t="s">
        <v>20</v>
      </c>
      <c r="K353" s="99" t="s">
        <v>21</v>
      </c>
      <c r="L353" s="99" t="s">
        <v>21</v>
      </c>
      <c r="M353" s="100">
        <f t="shared" si="2"/>
        <v>61628</v>
      </c>
    </row>
    <row r="354" hidden="1" outlineLevel="1">
      <c r="A354" s="93" t="s">
        <v>1055</v>
      </c>
      <c r="B354" s="93">
        <v>160.0</v>
      </c>
      <c r="C354" s="94" t="s">
        <v>29</v>
      </c>
      <c r="D354" s="107">
        <f>'ชีต12'!C207</f>
        <v>61627</v>
      </c>
      <c r="E354" s="108" t="str">
        <f>'ชีต12'!F204</f>
        <v>A101</v>
      </c>
      <c r="F354" s="108" t="str">
        <f>'ชีต12'!E127</f>
        <v>คุณนุศรา</v>
      </c>
      <c r="G354" s="96" t="s">
        <v>19</v>
      </c>
      <c r="H354" s="93">
        <v>1.46864771421E12</v>
      </c>
      <c r="I354" s="110"/>
      <c r="J354" s="98" t="s">
        <v>20</v>
      </c>
      <c r="K354" s="99" t="s">
        <v>21</v>
      </c>
      <c r="L354" s="99" t="s">
        <v>21</v>
      </c>
      <c r="M354" s="100">
        <f t="shared" si="2"/>
        <v>61628</v>
      </c>
    </row>
    <row r="355" hidden="1" outlineLevel="1">
      <c r="A355" s="93" t="s">
        <v>1058</v>
      </c>
      <c r="B355" s="93">
        <v>161.0</v>
      </c>
      <c r="C355" s="94" t="s">
        <v>29</v>
      </c>
      <c r="D355" s="107">
        <f>'ชีต12'!C94</f>
        <v>61628</v>
      </c>
      <c r="E355" s="108" t="str">
        <f>'ชีต12'!F91</f>
        <v>A106</v>
      </c>
      <c r="F355" s="108" t="str">
        <f>'ชีต12'!E128</f>
        <v>คุณกิตติชัย</v>
      </c>
      <c r="G355" s="96" t="s">
        <v>19</v>
      </c>
      <c r="H355" s="93">
        <v>3.849318155985E12</v>
      </c>
      <c r="I355" s="110" t="s">
        <v>1282</v>
      </c>
      <c r="J355" s="98" t="s">
        <v>20</v>
      </c>
      <c r="K355" s="99" t="s">
        <v>21</v>
      </c>
      <c r="L355" s="99" t="s">
        <v>21</v>
      </c>
      <c r="M355" s="100">
        <f t="shared" si="2"/>
        <v>61629</v>
      </c>
    </row>
    <row r="356" hidden="1" outlineLevel="1">
      <c r="A356" s="93" t="s">
        <v>1062</v>
      </c>
      <c r="B356" s="93">
        <v>162.0</v>
      </c>
      <c r="C356" s="94" t="s">
        <v>29</v>
      </c>
      <c r="D356" s="107">
        <f>'ชีต12'!C95</f>
        <v>61628</v>
      </c>
      <c r="E356" s="108" t="str">
        <f>'ชีต12'!F92</f>
        <v>A101</v>
      </c>
      <c r="F356" s="108" t="str">
        <f>'ชีต12'!E17</f>
        <v>คุณปราโมทย์</v>
      </c>
      <c r="G356" s="96" t="s">
        <v>19</v>
      </c>
      <c r="H356" s="93" t="s">
        <v>2027</v>
      </c>
      <c r="I356" s="110"/>
      <c r="J356" s="98" t="s">
        <v>20</v>
      </c>
      <c r="K356" s="99" t="s">
        <v>21</v>
      </c>
      <c r="L356" s="99" t="s">
        <v>21</v>
      </c>
      <c r="M356" s="100">
        <f t="shared" si="2"/>
        <v>61629</v>
      </c>
    </row>
    <row r="357" hidden="1" outlineLevel="1">
      <c r="A357" s="93" t="s">
        <v>1065</v>
      </c>
      <c r="B357" s="93">
        <v>163.0</v>
      </c>
      <c r="C357" s="94" t="s">
        <v>29</v>
      </c>
      <c r="D357" s="107">
        <f>'ชีต12'!C96</f>
        <v>61628</v>
      </c>
      <c r="E357" s="108" t="str">
        <f>'ชีต12'!F93</f>
        <v>B107</v>
      </c>
      <c r="F357" s="108" t="str">
        <f>'ชีต12'!E18</f>
        <v>คุณรัศมี</v>
      </c>
      <c r="G357" s="96" t="s">
        <v>19</v>
      </c>
      <c r="H357" s="93" t="s">
        <v>2027</v>
      </c>
      <c r="I357" s="110" t="s">
        <v>1297</v>
      </c>
      <c r="J357" s="98" t="s">
        <v>20</v>
      </c>
      <c r="K357" s="99" t="s">
        <v>21</v>
      </c>
      <c r="L357" s="99" t="s">
        <v>21</v>
      </c>
      <c r="M357" s="100">
        <f t="shared" si="2"/>
        <v>61629</v>
      </c>
    </row>
    <row r="358" hidden="1" outlineLevel="1">
      <c r="A358" s="93" t="s">
        <v>1068</v>
      </c>
      <c r="B358" s="93">
        <v>164.0</v>
      </c>
      <c r="C358" s="94" t="s">
        <v>17</v>
      </c>
      <c r="D358" s="107">
        <f>'ชีต12'!C97</f>
        <v>61628</v>
      </c>
      <c r="E358" s="108" t="str">
        <f>'ชีต12'!F94</f>
        <v>B108</v>
      </c>
      <c r="F358" s="108" t="str">
        <f>'ชีต12'!E19</f>
        <v>คุณพงษ์</v>
      </c>
      <c r="G358" s="96" t="s">
        <v>19</v>
      </c>
      <c r="H358" s="93">
        <v>1.46864771421E12</v>
      </c>
      <c r="I358" s="110" t="s">
        <v>1304</v>
      </c>
      <c r="J358" s="98" t="s">
        <v>20</v>
      </c>
      <c r="K358" s="99" t="s">
        <v>21</v>
      </c>
      <c r="L358" s="99" t="s">
        <v>21</v>
      </c>
      <c r="M358" s="100">
        <f t="shared" si="2"/>
        <v>61629</v>
      </c>
    </row>
    <row r="359" hidden="1" outlineLevel="1">
      <c r="A359" s="93" t="s">
        <v>1071</v>
      </c>
      <c r="B359" s="93">
        <v>165.0</v>
      </c>
      <c r="C359" s="94" t="s">
        <v>29</v>
      </c>
      <c r="D359" s="107">
        <f>'ชีต12'!C98</f>
        <v>61628</v>
      </c>
      <c r="E359" s="108" t="str">
        <f>'ชีต12'!F95</f>
        <v>N2</v>
      </c>
      <c r="F359" s="108" t="str">
        <f>'ชีต12'!E20</f>
        <v>คุณจิราวัฒน์</v>
      </c>
      <c r="G359" s="96" t="s">
        <v>19</v>
      </c>
      <c r="H359" s="93" t="s">
        <v>2027</v>
      </c>
      <c r="I359" s="110" t="s">
        <v>1282</v>
      </c>
      <c r="J359" s="98" t="s">
        <v>20</v>
      </c>
      <c r="K359" s="99" t="s">
        <v>21</v>
      </c>
      <c r="L359" s="99" t="s">
        <v>21</v>
      </c>
      <c r="M359" s="100">
        <f t="shared" si="2"/>
        <v>61629</v>
      </c>
    </row>
    <row r="360" hidden="1" outlineLevel="1">
      <c r="A360" s="93" t="s">
        <v>1074</v>
      </c>
      <c r="B360" s="93">
        <v>166.0</v>
      </c>
      <c r="C360" s="94" t="s">
        <v>17</v>
      </c>
      <c r="D360" s="107">
        <f>'ชีต12'!C99</f>
        <v>61628</v>
      </c>
      <c r="E360" s="108" t="str">
        <f>'ชีต12'!F96</f>
        <v>N1</v>
      </c>
      <c r="F360" s="108" t="str">
        <f>'ชีต12'!E21</f>
        <v>คุณสุดารัตน์</v>
      </c>
      <c r="G360" s="96" t="s">
        <v>19</v>
      </c>
      <c r="H360" s="93">
        <v>1.68128470503E12</v>
      </c>
      <c r="I360" s="110" t="s">
        <v>1304</v>
      </c>
      <c r="J360" s="98" t="s">
        <v>20</v>
      </c>
      <c r="K360" s="99" t="s">
        <v>21</v>
      </c>
      <c r="L360" s="99" t="s">
        <v>21</v>
      </c>
      <c r="M360" s="100">
        <f t="shared" si="2"/>
        <v>61629</v>
      </c>
    </row>
    <row r="361" hidden="1" outlineLevel="1">
      <c r="A361" s="93" t="s">
        <v>1076</v>
      </c>
      <c r="B361" s="93">
        <v>167.0</v>
      </c>
      <c r="C361" s="94" t="s">
        <v>29</v>
      </c>
      <c r="D361" s="107">
        <f>'ชีต12'!C208</f>
        <v>61628</v>
      </c>
      <c r="E361" s="108" t="str">
        <f>'ชีต12'!F205</f>
        <v>A106</v>
      </c>
      <c r="F361" s="108" t="str">
        <f>'ชีต12'!E22</f>
        <v>คุณธนาธิป</v>
      </c>
      <c r="G361" s="96" t="s">
        <v>19</v>
      </c>
      <c r="H361" s="93">
        <v>1.46864771421E12</v>
      </c>
      <c r="I361" s="110"/>
      <c r="J361" s="98" t="s">
        <v>20</v>
      </c>
      <c r="K361" s="99" t="s">
        <v>21</v>
      </c>
      <c r="L361" s="99" t="s">
        <v>21</v>
      </c>
      <c r="M361" s="100">
        <f t="shared" si="2"/>
        <v>61629</v>
      </c>
    </row>
    <row r="362" hidden="1" outlineLevel="1">
      <c r="A362" s="93" t="s">
        <v>1079</v>
      </c>
      <c r="B362" s="93">
        <v>168.0</v>
      </c>
      <c r="C362" s="94" t="s">
        <v>29</v>
      </c>
      <c r="D362" s="107">
        <f>'ชีต12'!C209</f>
        <v>61628</v>
      </c>
      <c r="E362" s="108" t="str">
        <f>'ชีต12'!F206</f>
        <v>A101</v>
      </c>
      <c r="F362" s="108" t="str">
        <f>'ชีต12'!E129</f>
        <v>คุณนุศรา</v>
      </c>
      <c r="G362" s="96" t="s">
        <v>19</v>
      </c>
      <c r="H362" s="93">
        <v>1.46864771421E12</v>
      </c>
      <c r="I362" s="110"/>
      <c r="J362" s="98" t="s">
        <v>20</v>
      </c>
      <c r="K362" s="99" t="s">
        <v>21</v>
      </c>
      <c r="L362" s="99" t="s">
        <v>21</v>
      </c>
      <c r="M362" s="100">
        <f t="shared" si="2"/>
        <v>61629</v>
      </c>
    </row>
    <row r="363" hidden="1" outlineLevel="1">
      <c r="A363" s="93" t="s">
        <v>1082</v>
      </c>
      <c r="B363" s="93">
        <v>169.0</v>
      </c>
      <c r="C363" s="94" t="s">
        <v>17</v>
      </c>
      <c r="D363" s="107">
        <f>'ชีต12'!C210</f>
        <v>61628</v>
      </c>
      <c r="E363" s="108" t="str">
        <f>'ชีต12'!F207</f>
        <v>B107</v>
      </c>
      <c r="F363" s="108" t="str">
        <f>'ชีต12'!E130</f>
        <v>คุณธนาธิป</v>
      </c>
      <c r="G363" s="96" t="s">
        <v>19</v>
      </c>
      <c r="H363" s="93">
        <v>1.46864771421E12</v>
      </c>
      <c r="I363" s="110" t="s">
        <v>2042</v>
      </c>
      <c r="J363" s="98" t="s">
        <v>20</v>
      </c>
      <c r="K363" s="99" t="s">
        <v>21</v>
      </c>
      <c r="L363" s="99" t="s">
        <v>21</v>
      </c>
      <c r="M363" s="100">
        <f t="shared" si="2"/>
        <v>61629</v>
      </c>
    </row>
    <row r="364" hidden="1" outlineLevel="1">
      <c r="A364" s="93" t="s">
        <v>1085</v>
      </c>
      <c r="B364" s="93">
        <v>170.0</v>
      </c>
      <c r="C364" s="94" t="s">
        <v>29</v>
      </c>
      <c r="D364" s="107">
        <f>'ชีต12'!C211</f>
        <v>61628</v>
      </c>
      <c r="E364" s="108" t="str">
        <f>'ชีต12'!F208</f>
        <v>B108</v>
      </c>
      <c r="F364" s="108" t="str">
        <f>'ชีต12'!E131</f>
        <v>คุณธนาธิป</v>
      </c>
      <c r="G364" s="96" t="s">
        <v>19</v>
      </c>
      <c r="H364" s="93">
        <v>1.46864771421E12</v>
      </c>
      <c r="I364" s="110"/>
      <c r="J364" s="98" t="s">
        <v>20</v>
      </c>
      <c r="K364" s="99" t="s">
        <v>21</v>
      </c>
      <c r="L364" s="99" t="s">
        <v>21</v>
      </c>
      <c r="M364" s="100">
        <f t="shared" si="2"/>
        <v>61629</v>
      </c>
    </row>
    <row r="365" hidden="1" outlineLevel="1">
      <c r="A365" s="93" t="s">
        <v>1088</v>
      </c>
      <c r="B365" s="93">
        <v>171.0</v>
      </c>
      <c r="C365" s="94" t="s">
        <v>17</v>
      </c>
      <c r="D365" s="107">
        <f>'ชีต12'!C100</f>
        <v>61629</v>
      </c>
      <c r="E365" s="108" t="str">
        <f>'ชีต12'!F97</f>
        <v>B108</v>
      </c>
      <c r="F365" s="108" t="str">
        <f>'ชีต12'!E132</f>
        <v>คุณกิตติชัย</v>
      </c>
      <c r="G365" s="96" t="s">
        <v>19</v>
      </c>
      <c r="H365" s="93">
        <v>1.46864771421E12</v>
      </c>
      <c r="I365" s="110"/>
      <c r="J365" s="98" t="s">
        <v>20</v>
      </c>
      <c r="K365" s="99" t="s">
        <v>21</v>
      </c>
      <c r="L365" s="99" t="s">
        <v>21</v>
      </c>
      <c r="M365" s="100">
        <f t="shared" si="2"/>
        <v>61630</v>
      </c>
    </row>
    <row r="366" hidden="1" outlineLevel="1">
      <c r="A366" s="93" t="s">
        <v>1090</v>
      </c>
      <c r="B366" s="93">
        <v>172.0</v>
      </c>
      <c r="C366" s="94" t="s">
        <v>17</v>
      </c>
      <c r="D366" s="107">
        <f>'ชีต12'!C101</f>
        <v>61629</v>
      </c>
      <c r="E366" s="108" t="str">
        <f>'ชีต12'!F98</f>
        <v>N2</v>
      </c>
      <c r="F366" s="108" t="str">
        <f>'ชีต12'!E23</f>
        <v>คุณพิชยดล</v>
      </c>
      <c r="G366" s="96" t="s">
        <v>19</v>
      </c>
      <c r="H366" s="93" t="s">
        <v>2027</v>
      </c>
      <c r="I366" s="110"/>
      <c r="J366" s="98" t="s">
        <v>20</v>
      </c>
      <c r="K366" s="99" t="s">
        <v>21</v>
      </c>
      <c r="L366" s="99" t="s">
        <v>21</v>
      </c>
      <c r="M366" s="100">
        <f t="shared" si="2"/>
        <v>61630</v>
      </c>
    </row>
    <row r="367" hidden="1" outlineLevel="1">
      <c r="A367" s="93" t="s">
        <v>1092</v>
      </c>
      <c r="B367" s="93">
        <v>173.0</v>
      </c>
      <c r="C367" s="94" t="s">
        <v>29</v>
      </c>
      <c r="D367" s="107">
        <f>'ชีต12'!C102</f>
        <v>61629</v>
      </c>
      <c r="E367" s="108" t="str">
        <f>'ชีต12'!F99</f>
        <v>N1</v>
      </c>
      <c r="F367" s="108" t="str">
        <f>'ชีต12'!E24</f>
        <v>คุณกิตติคุณ</v>
      </c>
      <c r="G367" s="96" t="s">
        <v>19</v>
      </c>
      <c r="H367" s="93">
        <v>1.68128470503E12</v>
      </c>
      <c r="I367" s="110"/>
      <c r="J367" s="98" t="s">
        <v>20</v>
      </c>
      <c r="K367" s="99" t="s">
        <v>21</v>
      </c>
      <c r="L367" s="99" t="s">
        <v>21</v>
      </c>
      <c r="M367" s="100">
        <f t="shared" si="2"/>
        <v>61630</v>
      </c>
    </row>
    <row r="368" hidden="1" outlineLevel="1">
      <c r="A368" s="93" t="s">
        <v>1094</v>
      </c>
      <c r="B368" s="93">
        <v>174.0</v>
      </c>
      <c r="C368" s="94" t="s">
        <v>17</v>
      </c>
      <c r="D368" s="107">
        <f>'ชีต12'!C103</f>
        <v>61629</v>
      </c>
      <c r="E368" s="108" t="str">
        <f>'ชีต12'!F100</f>
        <v>B101</v>
      </c>
      <c r="F368" s="108" t="str">
        <f>'ชีต12'!E25</f>
        <v>คุณจินตนา</v>
      </c>
      <c r="G368" s="96" t="s">
        <v>19</v>
      </c>
      <c r="H368" s="93">
        <v>1.46864771421E12</v>
      </c>
      <c r="I368" s="110"/>
      <c r="J368" s="98" t="s">
        <v>20</v>
      </c>
      <c r="K368" s="99" t="s">
        <v>21</v>
      </c>
      <c r="L368" s="99" t="s">
        <v>21</v>
      </c>
      <c r="M368" s="100">
        <f t="shared" si="2"/>
        <v>61630</v>
      </c>
    </row>
    <row r="369" hidden="1" outlineLevel="1">
      <c r="A369" s="93" t="s">
        <v>1097</v>
      </c>
      <c r="B369" s="93">
        <v>175.0</v>
      </c>
      <c r="C369" s="94" t="s">
        <v>17</v>
      </c>
      <c r="D369" s="107">
        <f>'ชีต12'!C104</f>
        <v>61629</v>
      </c>
      <c r="E369" s="108" t="str">
        <f>'ชีต12'!F101</f>
        <v>A106</v>
      </c>
      <c r="F369" s="108" t="str">
        <f>'ชีต12'!E26</f>
        <v>คุณศราวุฒิ</v>
      </c>
      <c r="G369" s="96" t="s">
        <v>19</v>
      </c>
      <c r="H369" s="93" t="s">
        <v>2027</v>
      </c>
      <c r="I369" s="110" t="s">
        <v>1282</v>
      </c>
      <c r="J369" s="98" t="s">
        <v>20</v>
      </c>
      <c r="K369" s="99" t="s">
        <v>21</v>
      </c>
      <c r="L369" s="99" t="s">
        <v>21</v>
      </c>
      <c r="M369" s="100">
        <f t="shared" si="2"/>
        <v>61630</v>
      </c>
    </row>
    <row r="370" hidden="1" outlineLevel="1">
      <c r="A370" s="93" t="s">
        <v>1099</v>
      </c>
      <c r="B370" s="93">
        <v>176.0</v>
      </c>
      <c r="C370" s="94" t="s">
        <v>29</v>
      </c>
      <c r="D370" s="107">
        <f>'ชีต12'!C105</f>
        <v>61629</v>
      </c>
      <c r="E370" s="108" t="str">
        <f>'ชีต12'!F102</f>
        <v>A101</v>
      </c>
      <c r="F370" s="108" t="str">
        <f>'ชีต12'!E27</f>
        <v>คุณจิราวัฒน์</v>
      </c>
      <c r="G370" s="96" t="s">
        <v>19</v>
      </c>
      <c r="H370" s="93">
        <v>2.537637841198E12</v>
      </c>
      <c r="I370" s="110"/>
      <c r="J370" s="98" t="s">
        <v>20</v>
      </c>
      <c r="K370" s="99" t="s">
        <v>21</v>
      </c>
      <c r="L370" s="99" t="s">
        <v>21</v>
      </c>
      <c r="M370" s="100">
        <f t="shared" si="2"/>
        <v>61630</v>
      </c>
    </row>
    <row r="371" hidden="1" outlineLevel="1">
      <c r="A371" s="93" t="s">
        <v>1102</v>
      </c>
      <c r="B371" s="93">
        <v>177.0</v>
      </c>
      <c r="C371" s="94" t="s">
        <v>29</v>
      </c>
      <c r="D371" s="107">
        <f>'ชีต12'!C106</f>
        <v>61630</v>
      </c>
      <c r="E371" s="108" t="str">
        <f>'ชีต12'!F103</f>
        <v>B101</v>
      </c>
      <c r="F371" s="108" t="str">
        <f>'ชีต12'!E28</f>
        <v>คุณแสงจันทร์</v>
      </c>
      <c r="G371" s="96" t="s">
        <v>19</v>
      </c>
      <c r="H371" s="93" t="s">
        <v>2027</v>
      </c>
      <c r="I371" s="110"/>
      <c r="J371" s="98" t="s">
        <v>20</v>
      </c>
      <c r="K371" s="99" t="s">
        <v>21</v>
      </c>
      <c r="L371" s="99" t="s">
        <v>21</v>
      </c>
      <c r="M371" s="100">
        <f t="shared" si="2"/>
        <v>61631</v>
      </c>
    </row>
    <row r="372" hidden="1" outlineLevel="1">
      <c r="A372" s="93" t="s">
        <v>1105</v>
      </c>
      <c r="B372" s="93">
        <v>178.0</v>
      </c>
      <c r="C372" s="94" t="s">
        <v>29</v>
      </c>
      <c r="D372" s="107">
        <f>'ชีต12'!C107</f>
        <v>61630</v>
      </c>
      <c r="E372" s="108" t="str">
        <f>'ชีต12'!F104</f>
        <v>A106</v>
      </c>
      <c r="F372" s="108" t="str">
        <f>'ชีต12'!E29</f>
        <v>คุณทรงวุฒิ</v>
      </c>
      <c r="G372" s="96" t="s">
        <v>19</v>
      </c>
      <c r="H372" s="93" t="s">
        <v>2027</v>
      </c>
      <c r="I372" s="110" t="s">
        <v>1290</v>
      </c>
      <c r="J372" s="98" t="s">
        <v>20</v>
      </c>
      <c r="K372" s="99" t="s">
        <v>21</v>
      </c>
      <c r="L372" s="99" t="s">
        <v>21</v>
      </c>
      <c r="M372" s="100">
        <f t="shared" si="2"/>
        <v>61631</v>
      </c>
    </row>
    <row r="373" hidden="1" outlineLevel="1">
      <c r="A373" s="93" t="s">
        <v>1109</v>
      </c>
      <c r="B373" s="93">
        <v>179.0</v>
      </c>
      <c r="C373" s="94" t="s">
        <v>17</v>
      </c>
      <c r="D373" s="107">
        <f>'ชีต12'!C108</f>
        <v>61630</v>
      </c>
      <c r="E373" s="108" t="str">
        <f>'ชีต12'!F105</f>
        <v>A101</v>
      </c>
      <c r="F373" s="108" t="str">
        <f>'ชีต12'!E30</f>
        <v>คุณทรงวุฒิ</v>
      </c>
      <c r="G373" s="96" t="s">
        <v>19</v>
      </c>
      <c r="H373" s="93" t="s">
        <v>2027</v>
      </c>
      <c r="I373" s="110"/>
      <c r="J373" s="98" t="s">
        <v>20</v>
      </c>
      <c r="K373" s="99" t="s">
        <v>21</v>
      </c>
      <c r="L373" s="99" t="s">
        <v>21</v>
      </c>
      <c r="M373" s="100">
        <f t="shared" si="2"/>
        <v>61631</v>
      </c>
    </row>
    <row r="374" hidden="1" outlineLevel="1">
      <c r="A374" s="93" t="s">
        <v>1112</v>
      </c>
      <c r="B374" s="93">
        <v>180.0</v>
      </c>
      <c r="C374" s="94" t="s">
        <v>29</v>
      </c>
      <c r="D374" s="107">
        <f>'ชีต12'!C109</f>
        <v>61630</v>
      </c>
      <c r="E374" s="108" t="str">
        <f>'ชีต12'!F106</f>
        <v>B107</v>
      </c>
      <c r="F374" s="108" t="str">
        <f>'ชีต12'!E31</f>
        <v>คุณนฤวุฒิ</v>
      </c>
      <c r="G374" s="96" t="s">
        <v>19</v>
      </c>
      <c r="H374" s="93" t="s">
        <v>2027</v>
      </c>
      <c r="I374" s="110"/>
      <c r="J374" s="98" t="s">
        <v>20</v>
      </c>
      <c r="K374" s="99" t="s">
        <v>21</v>
      </c>
      <c r="L374" s="99" t="s">
        <v>21</v>
      </c>
      <c r="M374" s="100">
        <f t="shared" si="2"/>
        <v>61631</v>
      </c>
    </row>
    <row r="375" hidden="1" outlineLevel="1">
      <c r="A375" s="93" t="s">
        <v>1115</v>
      </c>
      <c r="B375" s="93">
        <v>181.0</v>
      </c>
      <c r="C375" s="94" t="s">
        <v>17</v>
      </c>
      <c r="D375" s="107">
        <f>'ชีต12'!C110</f>
        <v>61630</v>
      </c>
      <c r="E375" s="108" t="str">
        <f>'ชีต12'!F107</f>
        <v>B108</v>
      </c>
      <c r="F375" s="108" t="str">
        <f>'ชีต12'!E32</f>
        <v>คุณพิชยดล</v>
      </c>
      <c r="G375" s="96" t="s">
        <v>19</v>
      </c>
      <c r="H375" s="93">
        <v>1.46864771421E12</v>
      </c>
      <c r="I375" s="110" t="s">
        <v>1304</v>
      </c>
      <c r="J375" s="98" t="s">
        <v>20</v>
      </c>
      <c r="K375" s="99" t="s">
        <v>21</v>
      </c>
      <c r="L375" s="99" t="s">
        <v>21</v>
      </c>
      <c r="M375" s="100">
        <f t="shared" si="2"/>
        <v>61631</v>
      </c>
    </row>
    <row r="376" hidden="1" outlineLevel="1">
      <c r="A376" s="93" t="s">
        <v>1118</v>
      </c>
      <c r="B376" s="93">
        <v>182.0</v>
      </c>
      <c r="C376" s="94" t="s">
        <v>17</v>
      </c>
      <c r="D376" s="107">
        <f>'ชีต12'!C111</f>
        <v>61630</v>
      </c>
      <c r="E376" s="108" t="str">
        <f>'ชีต12'!F108</f>
        <v>A106</v>
      </c>
      <c r="F376" s="108" t="str">
        <f>'ชีต12'!E33</f>
        <v>คุณจิราวัฒน์</v>
      </c>
      <c r="G376" s="96" t="s">
        <v>19</v>
      </c>
      <c r="H376" s="93" t="s">
        <v>2027</v>
      </c>
      <c r="I376" s="110" t="s">
        <v>1282</v>
      </c>
      <c r="J376" s="98" t="s">
        <v>20</v>
      </c>
      <c r="K376" s="99" t="s">
        <v>21</v>
      </c>
      <c r="L376" s="99" t="s">
        <v>21</v>
      </c>
      <c r="M376" s="100">
        <f t="shared" si="2"/>
        <v>61631</v>
      </c>
    </row>
    <row r="377" hidden="1" outlineLevel="1">
      <c r="A377" s="93" t="s">
        <v>1120</v>
      </c>
      <c r="B377" s="93">
        <v>183.0</v>
      </c>
      <c r="C377" s="94" t="s">
        <v>17</v>
      </c>
      <c r="D377" s="107">
        <f>'ชีต12'!C112</f>
        <v>61631</v>
      </c>
      <c r="E377" s="108" t="str">
        <f>'ชีต12'!F109</f>
        <v>B107</v>
      </c>
      <c r="F377" s="108" t="str">
        <f>'ชีต12'!E34</f>
        <v>คุณสุดารัตน์</v>
      </c>
      <c r="G377" s="96" t="s">
        <v>19</v>
      </c>
      <c r="H377" s="93" t="s">
        <v>2027</v>
      </c>
      <c r="I377" s="110" t="s">
        <v>1286</v>
      </c>
      <c r="J377" s="98" t="s">
        <v>20</v>
      </c>
      <c r="K377" s="99" t="s">
        <v>21</v>
      </c>
      <c r="L377" s="99" t="s">
        <v>21</v>
      </c>
      <c r="M377" s="100">
        <f t="shared" si="2"/>
        <v>61632</v>
      </c>
    </row>
    <row r="378" hidden="1" outlineLevel="1">
      <c r="A378" s="93" t="s">
        <v>1123</v>
      </c>
      <c r="B378" s="93">
        <v>184.0</v>
      </c>
      <c r="C378" s="94" t="s">
        <v>29</v>
      </c>
      <c r="D378" s="107">
        <f>'ชีต12'!C113</f>
        <v>61631</v>
      </c>
      <c r="E378" s="108" t="str">
        <f>'ชีต12'!F110</f>
        <v>B108</v>
      </c>
      <c r="F378" s="108" t="str">
        <f>'ชีต12'!E35</f>
        <v>คุณสุดารัตน์</v>
      </c>
      <c r="G378" s="96" t="s">
        <v>19</v>
      </c>
      <c r="H378" s="93">
        <v>1.46864771421E12</v>
      </c>
      <c r="I378" s="110"/>
      <c r="J378" s="98" t="s">
        <v>20</v>
      </c>
      <c r="K378" s="99" t="s">
        <v>21</v>
      </c>
      <c r="L378" s="99" t="s">
        <v>21</v>
      </c>
      <c r="M378" s="100">
        <f t="shared" si="2"/>
        <v>61632</v>
      </c>
    </row>
    <row r="379" hidden="1" outlineLevel="1">
      <c r="A379" s="93" t="s">
        <v>1126</v>
      </c>
      <c r="B379" s="93">
        <v>185.0</v>
      </c>
      <c r="C379" s="94" t="s">
        <v>17</v>
      </c>
      <c r="D379" s="107">
        <f>'ชีต12'!C114</f>
        <v>61631</v>
      </c>
      <c r="E379" s="108" t="str">
        <f>'ชีต12'!F111</f>
        <v>N2</v>
      </c>
      <c r="F379" s="108" t="str">
        <f>'ชีต12'!E36</f>
        <v>คุณสมเกียรติ</v>
      </c>
      <c r="G379" s="96" t="s">
        <v>19</v>
      </c>
      <c r="H379" s="93" t="s">
        <v>2027</v>
      </c>
      <c r="I379" s="110"/>
      <c r="J379" s="98" t="s">
        <v>20</v>
      </c>
      <c r="K379" s="99" t="s">
        <v>21</v>
      </c>
      <c r="L379" s="99" t="s">
        <v>21</v>
      </c>
      <c r="M379" s="100">
        <f t="shared" si="2"/>
        <v>61632</v>
      </c>
    </row>
    <row r="380" hidden="1" outlineLevel="1">
      <c r="A380" s="93" t="s">
        <v>1129</v>
      </c>
      <c r="B380" s="93">
        <v>186.0</v>
      </c>
      <c r="C380" s="94" t="s">
        <v>17</v>
      </c>
      <c r="D380" s="107">
        <f>'ชีต12'!C115</f>
        <v>61632</v>
      </c>
      <c r="E380" s="108" t="str">
        <f>'ชีต12'!F112</f>
        <v>N2</v>
      </c>
      <c r="F380" s="108" t="str">
        <f>'ชีต12'!E37</f>
        <v>คุณอภินันท์</v>
      </c>
      <c r="G380" s="96" t="s">
        <v>19</v>
      </c>
      <c r="H380" s="93">
        <v>1.68128470503E12</v>
      </c>
      <c r="I380" s="110" t="s">
        <v>1297</v>
      </c>
      <c r="J380" s="98" t="s">
        <v>20</v>
      </c>
      <c r="K380" s="99" t="s">
        <v>21</v>
      </c>
      <c r="L380" s="99" t="s">
        <v>21</v>
      </c>
      <c r="M380" s="100">
        <f t="shared" si="2"/>
        <v>61633</v>
      </c>
    </row>
    <row r="381" hidden="1" outlineLevel="1">
      <c r="A381" s="93" t="s">
        <v>1132</v>
      </c>
      <c r="B381" s="93">
        <v>187.0</v>
      </c>
      <c r="C381" s="94" t="s">
        <v>29</v>
      </c>
      <c r="D381" s="107">
        <f>'ชีต12'!C116</f>
        <v>61632</v>
      </c>
      <c r="E381" s="108" t="str">
        <f>'ชีต12'!F113</f>
        <v>N1</v>
      </c>
      <c r="F381" s="108" t="str">
        <f>'ชีต12'!E38</f>
        <v>คุณธนาธิป</v>
      </c>
      <c r="G381" s="96" t="s">
        <v>19</v>
      </c>
      <c r="H381" s="93">
        <v>1.68128470503E12</v>
      </c>
      <c r="I381" s="110"/>
      <c r="J381" s="98" t="s">
        <v>20</v>
      </c>
      <c r="K381" s="99" t="s">
        <v>21</v>
      </c>
      <c r="L381" s="99" t="s">
        <v>21</v>
      </c>
      <c r="M381" s="100">
        <f t="shared" si="2"/>
        <v>61633</v>
      </c>
    </row>
    <row r="382" hidden="1" outlineLevel="1">
      <c r="A382" s="93" t="s">
        <v>1135</v>
      </c>
      <c r="B382" s="93">
        <v>188.0</v>
      </c>
      <c r="C382" s="94" t="s">
        <v>29</v>
      </c>
      <c r="D382" s="107">
        <f>'ชีต12'!C117</f>
        <v>61632</v>
      </c>
      <c r="E382" s="108" t="str">
        <f>'ชีต12'!F114</f>
        <v>B101</v>
      </c>
      <c r="F382" s="108" t="str">
        <f>'ชีต12'!E39</f>
        <v>คุณศราวุฒิ</v>
      </c>
      <c r="G382" s="96" t="s">
        <v>19</v>
      </c>
      <c r="H382" s="93">
        <v>1.46864771421E12</v>
      </c>
      <c r="I382" s="110" t="s">
        <v>1286</v>
      </c>
      <c r="J382" s="98" t="s">
        <v>20</v>
      </c>
      <c r="K382" s="99" t="s">
        <v>21</v>
      </c>
      <c r="L382" s="99" t="s">
        <v>21</v>
      </c>
      <c r="M382" s="100">
        <f t="shared" si="2"/>
        <v>61633</v>
      </c>
    </row>
    <row r="383" hidden="1" outlineLevel="1">
      <c r="A383" s="93" t="s">
        <v>1137</v>
      </c>
      <c r="B383" s="93">
        <v>189.0</v>
      </c>
      <c r="C383" s="94" t="s">
        <v>29</v>
      </c>
      <c r="D383" s="107">
        <f>'ชีต12'!C118</f>
        <v>61633</v>
      </c>
      <c r="E383" s="108" t="str">
        <f>'ชีต12'!F115</f>
        <v>A106</v>
      </c>
      <c r="F383" s="108" t="str">
        <f>'ชีต12'!E40</f>
        <v>คุณจิราวัฒน์</v>
      </c>
      <c r="G383" s="96" t="s">
        <v>19</v>
      </c>
      <c r="H383" s="93" t="s">
        <v>2027</v>
      </c>
      <c r="I383" s="110"/>
      <c r="J383" s="98" t="s">
        <v>20</v>
      </c>
      <c r="K383" s="99" t="s">
        <v>21</v>
      </c>
      <c r="L383" s="99" t="s">
        <v>21</v>
      </c>
      <c r="M383" s="100">
        <f t="shared" si="2"/>
        <v>61634</v>
      </c>
    </row>
    <row r="384" hidden="1" outlineLevel="1">
      <c r="A384" s="93" t="s">
        <v>1140</v>
      </c>
      <c r="B384" s="93">
        <v>190.0</v>
      </c>
      <c r="C384" s="94" t="s">
        <v>17</v>
      </c>
      <c r="D384" s="107">
        <f>'ชีต12'!C119</f>
        <v>61633</v>
      </c>
      <c r="E384" s="108" t="str">
        <f>'ชีต12'!F116</f>
        <v>A101</v>
      </c>
      <c r="F384" s="108" t="str">
        <f>'ชีต12'!E41</f>
        <v>คุณกิตติชัย</v>
      </c>
      <c r="G384" s="96" t="s">
        <v>19</v>
      </c>
      <c r="H384" s="93" t="s">
        <v>2027</v>
      </c>
      <c r="I384" s="110"/>
      <c r="J384" s="98" t="s">
        <v>20</v>
      </c>
      <c r="K384" s="99" t="s">
        <v>21</v>
      </c>
      <c r="L384" s="99" t="s">
        <v>21</v>
      </c>
      <c r="M384" s="100">
        <f t="shared" si="2"/>
        <v>61634</v>
      </c>
    </row>
    <row r="385" hidden="1" outlineLevel="1">
      <c r="A385" s="93" t="s">
        <v>1143</v>
      </c>
      <c r="B385" s="93">
        <v>191.0</v>
      </c>
      <c r="C385" s="94" t="s">
        <v>29</v>
      </c>
      <c r="D385" s="107">
        <f>'ชีต12'!C120</f>
        <v>61633</v>
      </c>
      <c r="E385" s="108" t="str">
        <f>'ชีต12'!F117</f>
        <v>B107</v>
      </c>
      <c r="F385" s="108" t="str">
        <f>'ชีต12'!E42</f>
        <v>คุณมิน</v>
      </c>
      <c r="G385" s="96" t="s">
        <v>19</v>
      </c>
      <c r="H385" s="93" t="s">
        <v>2027</v>
      </c>
      <c r="I385" s="110" t="s">
        <v>1282</v>
      </c>
      <c r="J385" s="98" t="s">
        <v>20</v>
      </c>
      <c r="K385" s="99" t="s">
        <v>21</v>
      </c>
      <c r="L385" s="99" t="s">
        <v>21</v>
      </c>
      <c r="M385" s="100">
        <f t="shared" si="2"/>
        <v>61634</v>
      </c>
    </row>
    <row r="386" hidden="1" outlineLevel="1">
      <c r="A386" s="93" t="s">
        <v>1145</v>
      </c>
      <c r="B386" s="93">
        <v>192.0</v>
      </c>
      <c r="C386" s="94" t="s">
        <v>17</v>
      </c>
      <c r="D386" s="107">
        <f>'ชีต12'!C121</f>
        <v>61634</v>
      </c>
      <c r="E386" s="108" t="str">
        <f>'ชีต12'!F118</f>
        <v>B108</v>
      </c>
      <c r="F386" s="108" t="str">
        <f>'ชีต12'!E43</f>
        <v>คุณคมกริช</v>
      </c>
      <c r="G386" s="96" t="s">
        <v>19</v>
      </c>
      <c r="H386" s="93">
        <v>1.46864771421E12</v>
      </c>
      <c r="I386" s="110" t="s">
        <v>1286</v>
      </c>
      <c r="J386" s="98" t="s">
        <v>20</v>
      </c>
      <c r="K386" s="99" t="s">
        <v>21</v>
      </c>
      <c r="L386" s="99" t="s">
        <v>21</v>
      </c>
      <c r="M386" s="100">
        <f t="shared" si="2"/>
        <v>61635</v>
      </c>
    </row>
    <row r="387" hidden="1" outlineLevel="1">
      <c r="A387" s="93" t="s">
        <v>1148</v>
      </c>
      <c r="B387" s="93">
        <v>193.0</v>
      </c>
      <c r="C387" s="94" t="s">
        <v>17</v>
      </c>
      <c r="D387" s="107">
        <f>'ชีต12'!C122</f>
        <v>61634</v>
      </c>
      <c r="E387" s="108" t="str">
        <f>'ชีต12'!F119</f>
        <v>N2</v>
      </c>
      <c r="F387" s="108" t="str">
        <f>'ชีต12'!E44</f>
        <v>คุณแสงจันทร์</v>
      </c>
      <c r="G387" s="96" t="s">
        <v>19</v>
      </c>
      <c r="H387" s="93" t="s">
        <v>2027</v>
      </c>
      <c r="I387" s="110" t="s">
        <v>1304</v>
      </c>
      <c r="J387" s="98" t="s">
        <v>20</v>
      </c>
      <c r="K387" s="99" t="s">
        <v>21</v>
      </c>
      <c r="L387" s="99" t="s">
        <v>21</v>
      </c>
      <c r="M387" s="100">
        <f t="shared" si="2"/>
        <v>61635</v>
      </c>
    </row>
    <row r="388" hidden="1" outlineLevel="1">
      <c r="A388" s="93" t="s">
        <v>1151</v>
      </c>
      <c r="B388" s="93">
        <v>194.0</v>
      </c>
      <c r="C388" s="94" t="s">
        <v>17</v>
      </c>
      <c r="D388" s="107">
        <f>'ชีต12'!C123</f>
        <v>61634</v>
      </c>
      <c r="E388" s="108" t="str">
        <f>'ชีต12'!F120</f>
        <v>N1</v>
      </c>
      <c r="F388" s="108" t="str">
        <f>'ชีต12'!E45</f>
        <v>คุณพิชยดล</v>
      </c>
      <c r="G388" s="96" t="s">
        <v>19</v>
      </c>
      <c r="H388" s="93">
        <v>1.68128470503E12</v>
      </c>
      <c r="I388" s="110" t="s">
        <v>1297</v>
      </c>
      <c r="J388" s="98" t="s">
        <v>20</v>
      </c>
      <c r="K388" s="99" t="s">
        <v>21</v>
      </c>
      <c r="L388" s="99" t="s">
        <v>21</v>
      </c>
      <c r="M388" s="100">
        <f t="shared" si="2"/>
        <v>61635</v>
      </c>
    </row>
    <row r="389" hidden="1" outlineLevel="1">
      <c r="A389" s="93" t="s">
        <v>1154</v>
      </c>
      <c r="B389" s="93">
        <v>195.0</v>
      </c>
      <c r="C389" s="94" t="s">
        <v>29</v>
      </c>
      <c r="D389" s="107">
        <f>'ชีต12'!C124</f>
        <v>61635</v>
      </c>
      <c r="E389" s="108" t="str">
        <f>'ชีต12'!F121</f>
        <v>B101</v>
      </c>
      <c r="F389" s="108" t="str">
        <f>'ชีต12'!E46</f>
        <v>คุณพิสุทธ</v>
      </c>
      <c r="G389" s="96" t="s">
        <v>19</v>
      </c>
      <c r="H389" s="93">
        <v>1.46864771421E12</v>
      </c>
      <c r="I389" s="110" t="s">
        <v>1282</v>
      </c>
      <c r="J389" s="98" t="s">
        <v>20</v>
      </c>
      <c r="K389" s="99" t="s">
        <v>21</v>
      </c>
      <c r="L389" s="99" t="s">
        <v>21</v>
      </c>
      <c r="M389" s="100">
        <f t="shared" si="2"/>
        <v>61636</v>
      </c>
    </row>
    <row r="390" hidden="1" outlineLevel="1">
      <c r="A390" s="93" t="s">
        <v>1156</v>
      </c>
      <c r="B390" s="93">
        <v>196.0</v>
      </c>
      <c r="C390" s="94" t="s">
        <v>17</v>
      </c>
      <c r="D390" s="107">
        <f>'ชีต12'!C125</f>
        <v>61635</v>
      </c>
      <c r="E390" s="108" t="str">
        <f>'ชีต12'!F122</f>
        <v>A106</v>
      </c>
      <c r="F390" s="108" t="str">
        <f>'ชีต12'!E46</f>
        <v>คุณพิสุทธ</v>
      </c>
      <c r="G390" s="96" t="s">
        <v>19</v>
      </c>
      <c r="H390" s="93" t="s">
        <v>2027</v>
      </c>
      <c r="I390" s="110" t="s">
        <v>1304</v>
      </c>
      <c r="J390" s="98" t="s">
        <v>20</v>
      </c>
      <c r="K390" s="99" t="s">
        <v>21</v>
      </c>
      <c r="L390" s="99" t="s">
        <v>21</v>
      </c>
      <c r="M390" s="100">
        <f t="shared" si="2"/>
        <v>61636</v>
      </c>
    </row>
    <row r="391" hidden="1" outlineLevel="1">
      <c r="A391" s="93" t="s">
        <v>1159</v>
      </c>
      <c r="B391" s="93">
        <v>197.0</v>
      </c>
      <c r="C391" s="94" t="s">
        <v>17</v>
      </c>
      <c r="D391" s="107">
        <f>'ชีต12'!C126</f>
        <v>61635</v>
      </c>
      <c r="E391" s="108" t="str">
        <f>'ชีต12'!F123</f>
        <v>A101</v>
      </c>
      <c r="F391" s="108" t="str">
        <f>'ชีต12'!E47</f>
        <v>คุณศราวุฒิ</v>
      </c>
      <c r="G391" s="96" t="s">
        <v>19</v>
      </c>
      <c r="H391" s="93" t="s">
        <v>2027</v>
      </c>
      <c r="I391" s="110" t="s">
        <v>1297</v>
      </c>
      <c r="J391" s="98" t="s">
        <v>20</v>
      </c>
      <c r="K391" s="99" t="s">
        <v>21</v>
      </c>
      <c r="L391" s="99" t="s">
        <v>21</v>
      </c>
      <c r="M391" s="100">
        <f t="shared" si="2"/>
        <v>61636</v>
      </c>
    </row>
    <row r="392" hidden="1" outlineLevel="1">
      <c r="A392" s="93" t="s">
        <v>1162</v>
      </c>
      <c r="B392" s="93">
        <v>198.0</v>
      </c>
      <c r="C392" s="94" t="s">
        <v>29</v>
      </c>
      <c r="D392" s="107">
        <f>'ชีต12'!C127</f>
        <v>61636</v>
      </c>
      <c r="E392" s="108" t="str">
        <f>'ชีต12'!F124</f>
        <v>B107</v>
      </c>
      <c r="F392" s="108" t="str">
        <f>'ชีต12'!E48</f>
        <v>คุณธนฤต</v>
      </c>
      <c r="G392" s="96" t="s">
        <v>19</v>
      </c>
      <c r="H392" s="93">
        <v>1.842363725595E12</v>
      </c>
      <c r="I392" s="110" t="s">
        <v>1286</v>
      </c>
      <c r="J392" s="98" t="s">
        <v>20</v>
      </c>
      <c r="K392" s="99" t="s">
        <v>21</v>
      </c>
      <c r="L392" s="99" t="s">
        <v>21</v>
      </c>
      <c r="M392" s="100">
        <f t="shared" si="2"/>
        <v>61637</v>
      </c>
    </row>
    <row r="393" hidden="1" outlineLevel="1">
      <c r="A393" s="93" t="s">
        <v>1165</v>
      </c>
      <c r="B393" s="93">
        <v>199.0</v>
      </c>
      <c r="C393" s="94" t="s">
        <v>29</v>
      </c>
      <c r="D393" s="107">
        <f>'ชีต12'!C128</f>
        <v>61636</v>
      </c>
      <c r="E393" s="108" t="str">
        <f>'ชีต12'!F125</f>
        <v>B108</v>
      </c>
      <c r="F393" s="108" t="str">
        <f>'ชีต12'!E49</f>
        <v>คุณกิติศักดิ์</v>
      </c>
      <c r="G393" s="96" t="s">
        <v>19</v>
      </c>
      <c r="H393" s="93" t="s">
        <v>2027</v>
      </c>
      <c r="I393" s="110" t="s">
        <v>1297</v>
      </c>
      <c r="J393" s="98" t="s">
        <v>20</v>
      </c>
      <c r="K393" s="99" t="s">
        <v>21</v>
      </c>
      <c r="L393" s="99" t="s">
        <v>21</v>
      </c>
      <c r="M393" s="100">
        <f t="shared" si="2"/>
        <v>61637</v>
      </c>
    </row>
    <row r="394" hidden="1" outlineLevel="1">
      <c r="A394" s="93" t="s">
        <v>1167</v>
      </c>
      <c r="B394" s="93">
        <v>200.0</v>
      </c>
      <c r="C394" s="94" t="s">
        <v>29</v>
      </c>
      <c r="D394" s="107">
        <f>'ชีต12'!C129</f>
        <v>61636</v>
      </c>
      <c r="E394" s="108" t="str">
        <f>'ชีต12'!F126</f>
        <v>A106</v>
      </c>
      <c r="F394" s="108" t="str">
        <f>'ชีต12'!E50</f>
        <v>คุณกิตติชัย</v>
      </c>
      <c r="G394" s="96" t="s">
        <v>19</v>
      </c>
      <c r="H394" s="93" t="s">
        <v>2027</v>
      </c>
      <c r="I394" s="110" t="s">
        <v>1304</v>
      </c>
      <c r="J394" s="98" t="s">
        <v>20</v>
      </c>
      <c r="K394" s="99" t="s">
        <v>21</v>
      </c>
      <c r="L394" s="99" t="s">
        <v>21</v>
      </c>
      <c r="M394" s="100">
        <f t="shared" si="2"/>
        <v>61637</v>
      </c>
    </row>
    <row r="395" hidden="1" outlineLevel="1">
      <c r="A395" s="93" t="s">
        <v>1170</v>
      </c>
      <c r="B395" s="93">
        <v>201.0</v>
      </c>
      <c r="C395" s="94" t="s">
        <v>17</v>
      </c>
      <c r="D395" s="107">
        <f>'ชีต12'!C130</f>
        <v>61636</v>
      </c>
      <c r="E395" s="108" t="str">
        <f>'ชีต12'!F127</f>
        <v>N2</v>
      </c>
      <c r="F395" s="108" t="str">
        <f>'ชีต12'!E50</f>
        <v>คุณกิตติชัย</v>
      </c>
      <c r="G395" s="96" t="s">
        <v>19</v>
      </c>
      <c r="H395" s="93" t="s">
        <v>2027</v>
      </c>
      <c r="I395" s="110" t="s">
        <v>1297</v>
      </c>
      <c r="J395" s="98" t="s">
        <v>20</v>
      </c>
      <c r="K395" s="99" t="s">
        <v>21</v>
      </c>
      <c r="L395" s="99" t="s">
        <v>21</v>
      </c>
      <c r="M395" s="100">
        <f t="shared" si="2"/>
        <v>61637</v>
      </c>
    </row>
    <row r="396" hidden="1" outlineLevel="1">
      <c r="A396" s="93" t="s">
        <v>1173</v>
      </c>
      <c r="B396" s="93">
        <v>202.0</v>
      </c>
      <c r="C396" s="94" t="s">
        <v>29</v>
      </c>
      <c r="D396" s="107">
        <f>'ชีต12'!C131</f>
        <v>61636</v>
      </c>
      <c r="E396" s="108" t="str">
        <f>'ชีต12'!F128</f>
        <v>N1</v>
      </c>
      <c r="F396" s="108" t="str">
        <f>'ชีต12'!E51</f>
        <v>คุณพงษ์</v>
      </c>
      <c r="G396" s="96" t="s">
        <v>19</v>
      </c>
      <c r="H396" s="93">
        <v>1.68128470503E12</v>
      </c>
      <c r="I396" s="110" t="s">
        <v>1290</v>
      </c>
      <c r="J396" s="98" t="s">
        <v>20</v>
      </c>
      <c r="K396" s="99" t="s">
        <v>21</v>
      </c>
      <c r="L396" s="99" t="s">
        <v>21</v>
      </c>
      <c r="M396" s="100">
        <f t="shared" si="2"/>
        <v>61637</v>
      </c>
    </row>
    <row r="397" hidden="1" outlineLevel="1">
      <c r="A397" s="93" t="s">
        <v>1176</v>
      </c>
      <c r="B397" s="93">
        <v>203.0</v>
      </c>
      <c r="C397" s="94" t="s">
        <v>17</v>
      </c>
      <c r="D397" s="107">
        <f>'ชีต12'!C132</f>
        <v>61636</v>
      </c>
      <c r="E397" s="108" t="str">
        <f>'ชีต12'!F129</f>
        <v>B101</v>
      </c>
      <c r="F397" s="108" t="str">
        <f>'ชีต12'!E52</f>
        <v>คุณศราวุฒิ</v>
      </c>
      <c r="G397" s="96" t="s">
        <v>19</v>
      </c>
      <c r="H397" s="93">
        <v>1.46864771421E12</v>
      </c>
      <c r="I397" s="110" t="s">
        <v>1290</v>
      </c>
      <c r="J397" s="98" t="s">
        <v>20</v>
      </c>
      <c r="K397" s="99" t="s">
        <v>21</v>
      </c>
      <c r="L397" s="99" t="s">
        <v>21</v>
      </c>
      <c r="M397" s="100">
        <f t="shared" si="2"/>
        <v>61637</v>
      </c>
    </row>
    <row r="398" hidden="1" outlineLevel="1">
      <c r="A398" s="93" t="s">
        <v>1179</v>
      </c>
      <c r="B398" s="93">
        <v>204.0</v>
      </c>
      <c r="C398" s="94" t="s">
        <v>17</v>
      </c>
      <c r="D398" s="107">
        <f>'ชีต12'!C133</f>
        <v>61636</v>
      </c>
      <c r="E398" s="108" t="str">
        <f>'ชีต12'!F130</f>
        <v>A106</v>
      </c>
      <c r="F398" s="108" t="str">
        <f>'ชีต12'!E53</f>
        <v>คุณศราวุฒิ</v>
      </c>
      <c r="G398" s="96" t="s">
        <v>19</v>
      </c>
      <c r="H398" s="93" t="s">
        <v>2027</v>
      </c>
      <c r="I398" s="110"/>
      <c r="J398" s="98" t="s">
        <v>20</v>
      </c>
      <c r="K398" s="99" t="s">
        <v>21</v>
      </c>
      <c r="L398" s="99" t="s">
        <v>21</v>
      </c>
      <c r="M398" s="100">
        <f t="shared" si="2"/>
        <v>61637</v>
      </c>
    </row>
    <row r="399" hidden="1" outlineLevel="1">
      <c r="A399" s="93" t="s">
        <v>1182</v>
      </c>
      <c r="B399" s="93">
        <v>205.0</v>
      </c>
      <c r="C399" s="94" t="s">
        <v>17</v>
      </c>
      <c r="D399" s="107">
        <f>'ชีต12'!C134</f>
        <v>61636</v>
      </c>
      <c r="E399" s="108" t="str">
        <f>'ชีต12'!F131</f>
        <v>A101</v>
      </c>
      <c r="F399" s="108" t="str">
        <f>'ชีต12'!E54</f>
        <v>คุณสุดารัตน์</v>
      </c>
      <c r="G399" s="96" t="s">
        <v>19</v>
      </c>
      <c r="H399" s="93" t="s">
        <v>2027</v>
      </c>
      <c r="I399" s="110" t="s">
        <v>1304</v>
      </c>
      <c r="J399" s="98" t="s">
        <v>20</v>
      </c>
      <c r="K399" s="99" t="s">
        <v>21</v>
      </c>
      <c r="L399" s="99" t="s">
        <v>21</v>
      </c>
      <c r="M399" s="100">
        <f t="shared" si="2"/>
        <v>61637</v>
      </c>
    </row>
    <row r="400" hidden="1" outlineLevel="1">
      <c r="A400" s="93" t="s">
        <v>1185</v>
      </c>
      <c r="B400" s="93">
        <v>206.0</v>
      </c>
      <c r="C400" s="94" t="s">
        <v>29</v>
      </c>
      <c r="D400" s="107">
        <f>'ชีต12'!C135</f>
        <v>61636</v>
      </c>
      <c r="E400" s="108" t="str">
        <f>'ชีต12'!F132</f>
        <v>B107</v>
      </c>
      <c r="F400" s="108" t="str">
        <f>'ชีต12'!E55</f>
        <v>คุณแสงจันทร์</v>
      </c>
      <c r="G400" s="96" t="s">
        <v>19</v>
      </c>
      <c r="H400" s="93" t="s">
        <v>2027</v>
      </c>
      <c r="I400" s="110" t="s">
        <v>1282</v>
      </c>
      <c r="J400" s="98" t="s">
        <v>20</v>
      </c>
      <c r="K400" s="99" t="s">
        <v>21</v>
      </c>
      <c r="L400" s="99" t="s">
        <v>21</v>
      </c>
      <c r="M400" s="100">
        <f t="shared" si="2"/>
        <v>61637</v>
      </c>
    </row>
    <row r="401" hidden="1" outlineLevel="1">
      <c r="A401" s="93" t="s">
        <v>1188</v>
      </c>
      <c r="B401" s="93">
        <v>207.0</v>
      </c>
      <c r="C401" s="94" t="s">
        <v>17</v>
      </c>
      <c r="D401" s="107">
        <f>'ชีต12'!C136</f>
        <v>61636</v>
      </c>
      <c r="E401" s="108" t="str">
        <f>'ชีต12'!F133</f>
        <v>B108</v>
      </c>
      <c r="F401" s="108" t="str">
        <f>'ชีต12'!E56</f>
        <v>คุณพิชยดล</v>
      </c>
      <c r="G401" s="96" t="s">
        <v>19</v>
      </c>
      <c r="H401" s="93" t="s">
        <v>2027</v>
      </c>
      <c r="I401" s="110" t="s">
        <v>1297</v>
      </c>
      <c r="J401" s="98" t="s">
        <v>20</v>
      </c>
      <c r="K401" s="99" t="s">
        <v>21</v>
      </c>
      <c r="L401" s="99" t="s">
        <v>21</v>
      </c>
      <c r="M401" s="100">
        <f t="shared" si="2"/>
        <v>61637</v>
      </c>
    </row>
    <row r="402" hidden="1" outlineLevel="1">
      <c r="A402" s="93" t="s">
        <v>1191</v>
      </c>
      <c r="B402" s="93">
        <v>208.0</v>
      </c>
      <c r="C402" s="94" t="s">
        <v>17</v>
      </c>
      <c r="D402" s="107">
        <f>'ชีต12'!C137</f>
        <v>61636</v>
      </c>
      <c r="E402" s="108" t="str">
        <f>'ชีต12'!F134</f>
        <v>N2</v>
      </c>
      <c r="F402" s="108" t="str">
        <f>'ชีต12'!E57</f>
        <v>คุณสุดารัตน์</v>
      </c>
      <c r="G402" s="96" t="s">
        <v>19</v>
      </c>
      <c r="H402" s="93" t="s">
        <v>2027</v>
      </c>
      <c r="I402" s="110" t="s">
        <v>1286</v>
      </c>
      <c r="J402" s="98" t="s">
        <v>20</v>
      </c>
      <c r="K402" s="99" t="s">
        <v>21</v>
      </c>
      <c r="L402" s="99" t="s">
        <v>21</v>
      </c>
      <c r="M402" s="100">
        <f t="shared" si="2"/>
        <v>61637</v>
      </c>
    </row>
    <row r="403" hidden="1" outlineLevel="1">
      <c r="A403" s="93" t="s">
        <v>1194</v>
      </c>
      <c r="B403" s="93">
        <v>209.0</v>
      </c>
      <c r="C403" s="94" t="s">
        <v>29</v>
      </c>
      <c r="D403" s="107">
        <f>'ชีต12'!C138</f>
        <v>61636</v>
      </c>
      <c r="E403" s="108" t="str">
        <f>'ชีต12'!F135</f>
        <v>N1</v>
      </c>
      <c r="F403" s="108" t="str">
        <f>'ชีต12'!E58</f>
        <v>คุณสุกัญญา</v>
      </c>
      <c r="G403" s="96" t="s">
        <v>19</v>
      </c>
      <c r="H403" s="93" t="s">
        <v>2027</v>
      </c>
      <c r="I403" s="110" t="s">
        <v>1286</v>
      </c>
      <c r="J403" s="98" t="s">
        <v>20</v>
      </c>
      <c r="K403" s="99" t="s">
        <v>21</v>
      </c>
      <c r="L403" s="99" t="s">
        <v>21</v>
      </c>
      <c r="M403" s="100">
        <f t="shared" si="2"/>
        <v>61637</v>
      </c>
    </row>
    <row r="404" hidden="1" outlineLevel="1">
      <c r="A404" s="93" t="s">
        <v>1197</v>
      </c>
      <c r="B404" s="93">
        <v>210.0</v>
      </c>
      <c r="C404" s="94" t="s">
        <v>29</v>
      </c>
      <c r="D404" s="107">
        <f>'ชีต12'!C139</f>
        <v>61636</v>
      </c>
      <c r="E404" s="108" t="str">
        <f>'ชีต12'!F136</f>
        <v>B101</v>
      </c>
      <c r="F404" s="108" t="str">
        <f>'ชีต12'!E59</f>
        <v>คุณธนาธิป</v>
      </c>
      <c r="G404" s="96" t="s">
        <v>19</v>
      </c>
      <c r="H404" s="93" t="s">
        <v>2027</v>
      </c>
      <c r="I404" s="110" t="s">
        <v>1290</v>
      </c>
      <c r="J404" s="98" t="s">
        <v>20</v>
      </c>
      <c r="K404" s="99" t="s">
        <v>21</v>
      </c>
      <c r="L404" s="99" t="s">
        <v>21</v>
      </c>
      <c r="M404" s="100">
        <f t="shared" si="2"/>
        <v>61637</v>
      </c>
    </row>
    <row r="405" hidden="1" outlineLevel="1">
      <c r="A405" s="93" t="s">
        <v>1197</v>
      </c>
      <c r="B405" s="93">
        <v>211.0</v>
      </c>
      <c r="C405" s="94" t="s">
        <v>17</v>
      </c>
      <c r="D405" s="107" t="str">
        <f>'ชีต12'!C212</f>
        <v/>
      </c>
      <c r="E405" s="108" t="str">
        <f>'ชีต12'!F209</f>
        <v>N2</v>
      </c>
      <c r="F405" s="108" t="str">
        <f>'ชีต12'!E60</f>
        <v>คุณนุจิรา</v>
      </c>
      <c r="G405" s="96" t="s">
        <v>19</v>
      </c>
      <c r="H405" s="93"/>
      <c r="I405" s="110"/>
      <c r="J405" s="98" t="s">
        <v>20</v>
      </c>
      <c r="K405" s="99" t="s">
        <v>21</v>
      </c>
      <c r="L405" s="99" t="s">
        <v>21</v>
      </c>
      <c r="M405" s="100">
        <f t="shared" si="2"/>
        <v>1</v>
      </c>
    </row>
    <row r="406" hidden="1" outlineLevel="1">
      <c r="A406" s="93" t="s">
        <v>1200</v>
      </c>
      <c r="B406" s="93">
        <v>211.0</v>
      </c>
      <c r="C406" s="94" t="s">
        <v>29</v>
      </c>
      <c r="D406" s="107">
        <f>'ชีต12'!C140</f>
        <v>61636</v>
      </c>
      <c r="E406" s="108" t="str">
        <f>'ชีต12'!F137</f>
        <v>A106</v>
      </c>
      <c r="F406" s="108" t="str">
        <f>'ชีต12'!E133</f>
        <v>คุณนุศรา</v>
      </c>
      <c r="G406" s="96" t="s">
        <v>19</v>
      </c>
      <c r="H406" s="93" t="s">
        <v>2027</v>
      </c>
      <c r="I406" s="110" t="s">
        <v>1282</v>
      </c>
      <c r="J406" s="98" t="s">
        <v>20</v>
      </c>
      <c r="K406" s="99" t="s">
        <v>21</v>
      </c>
      <c r="L406" s="99" t="s">
        <v>21</v>
      </c>
      <c r="M406" s="100">
        <f t="shared" si="2"/>
        <v>61637</v>
      </c>
    </row>
    <row r="407" hidden="1" collapsed="1">
      <c r="A407" s="93"/>
      <c r="B407" s="93"/>
      <c r="C407" s="94"/>
      <c r="D407" s="107"/>
      <c r="E407" s="108"/>
      <c r="F407" s="108" t="str">
        <f>'ชีต12'!E61</f>
        <v>คุณมิ้นท์</v>
      </c>
      <c r="G407" s="96"/>
      <c r="H407" s="93"/>
      <c r="I407" s="110"/>
      <c r="J407" s="98"/>
      <c r="K407" s="99"/>
      <c r="L407" s="99"/>
      <c r="M407" s="100"/>
    </row>
    <row r="408">
      <c r="A408" s="93" t="str">
        <f>IFERROR(__xludf.DUMMYFUNCTION("QUERY('ข้อมูลดิบ'!A:N, ""SELECT B, A, G, H, I, C, J, E, D, K, L, M, N WHERE B &gt;= 'VP01550' AND B &lt;= 'VP01733'"", 0)"),"#REF!")</f>
        <v>#REF!</v>
      </c>
      <c r="B408" s="112">
        <v>1.0</v>
      </c>
      <c r="C408" s="113"/>
      <c r="D408" s="114">
        <v>244289.0</v>
      </c>
      <c r="E408" s="113" t="s">
        <v>124</v>
      </c>
      <c r="F408" s="115" t="s">
        <v>2043</v>
      </c>
      <c r="H408" s="112">
        <v>1.0</v>
      </c>
      <c r="I408" s="116"/>
      <c r="J408" s="117"/>
      <c r="K408" s="118"/>
      <c r="L408" s="118"/>
      <c r="M408" s="119"/>
    </row>
    <row r="409">
      <c r="A409" s="93"/>
      <c r="B409" s="112">
        <v>2.0</v>
      </c>
      <c r="C409" s="113"/>
      <c r="D409" s="114">
        <v>244289.0</v>
      </c>
      <c r="E409" s="113" t="s">
        <v>88</v>
      </c>
      <c r="F409" s="115" t="s">
        <v>2044</v>
      </c>
      <c r="H409" s="112">
        <v>1.0</v>
      </c>
      <c r="I409" s="116"/>
      <c r="J409" s="117"/>
      <c r="K409" s="118"/>
      <c r="L409" s="118"/>
      <c r="M409" s="119"/>
    </row>
    <row r="410">
      <c r="A410" s="93"/>
      <c r="B410" s="112">
        <v>3.0</v>
      </c>
      <c r="C410" s="113"/>
      <c r="D410" s="114">
        <v>244289.0</v>
      </c>
      <c r="E410" s="113" t="s">
        <v>193</v>
      </c>
      <c r="F410" s="115" t="s">
        <v>637</v>
      </c>
      <c r="H410" s="112">
        <v>1.0</v>
      </c>
      <c r="I410" s="116"/>
      <c r="J410" s="117"/>
      <c r="K410" s="118"/>
      <c r="L410" s="118"/>
      <c r="M410" s="119"/>
    </row>
    <row r="411">
      <c r="A411" s="93"/>
      <c r="B411" s="112">
        <v>4.0</v>
      </c>
      <c r="C411" s="113"/>
      <c r="D411" s="114">
        <v>244289.0</v>
      </c>
      <c r="E411" s="113" t="s">
        <v>64</v>
      </c>
      <c r="F411" s="115" t="s">
        <v>1966</v>
      </c>
      <c r="H411" s="112">
        <v>1.0</v>
      </c>
      <c r="I411" s="116"/>
      <c r="J411" s="117"/>
      <c r="K411" s="118"/>
      <c r="L411" s="118"/>
      <c r="M411" s="119"/>
    </row>
    <row r="412">
      <c r="A412" s="93"/>
      <c r="B412" s="112">
        <v>5.0</v>
      </c>
      <c r="C412" s="113"/>
      <c r="D412" s="114">
        <v>244289.0</v>
      </c>
      <c r="E412" s="113" t="s">
        <v>38</v>
      </c>
      <c r="F412" s="115" t="s">
        <v>1966</v>
      </c>
      <c r="H412" s="112">
        <v>1.0</v>
      </c>
      <c r="I412" s="116"/>
      <c r="J412" s="117"/>
      <c r="K412" s="118"/>
      <c r="L412" s="118"/>
      <c r="M412" s="119"/>
    </row>
    <row r="413">
      <c r="A413" s="93"/>
      <c r="B413" s="112">
        <v>6.0</v>
      </c>
      <c r="C413" s="113"/>
      <c r="D413" s="114">
        <v>244289.0</v>
      </c>
      <c r="E413" s="113" t="s">
        <v>34</v>
      </c>
      <c r="F413" s="115" t="s">
        <v>1966</v>
      </c>
      <c r="H413" s="112">
        <v>1.0</v>
      </c>
      <c r="I413" s="116"/>
      <c r="J413" s="117"/>
      <c r="K413" s="118"/>
      <c r="L413" s="118"/>
      <c r="M413" s="119"/>
    </row>
    <row r="414">
      <c r="A414" s="93"/>
      <c r="B414" s="112">
        <v>7.0</v>
      </c>
      <c r="C414" s="113"/>
      <c r="D414" s="114">
        <v>244289.0</v>
      </c>
      <c r="E414" s="113" t="s">
        <v>80</v>
      </c>
      <c r="F414" s="115" t="s">
        <v>2045</v>
      </c>
      <c r="H414" s="112">
        <v>1.0</v>
      </c>
      <c r="I414" s="116"/>
      <c r="J414" s="117"/>
      <c r="K414" s="118"/>
      <c r="L414" s="118"/>
      <c r="M414" s="119"/>
    </row>
    <row r="415">
      <c r="A415" s="93"/>
      <c r="B415" s="112">
        <v>8.0</v>
      </c>
      <c r="C415" s="113"/>
      <c r="D415" s="114">
        <v>244289.0</v>
      </c>
      <c r="E415" s="113" t="s">
        <v>60</v>
      </c>
      <c r="F415" s="115" t="s">
        <v>2046</v>
      </c>
      <c r="H415" s="112">
        <v>1.0</v>
      </c>
      <c r="I415" s="116"/>
      <c r="J415" s="117"/>
      <c r="K415" s="118"/>
      <c r="L415" s="118"/>
      <c r="M415" s="119"/>
    </row>
    <row r="416">
      <c r="A416" s="93"/>
      <c r="B416" s="112">
        <v>9.0</v>
      </c>
      <c r="C416" s="113"/>
      <c r="D416" s="114">
        <v>244289.0</v>
      </c>
      <c r="E416" s="113" t="s">
        <v>25</v>
      </c>
      <c r="F416" s="115" t="s">
        <v>2047</v>
      </c>
      <c r="H416" s="112">
        <v>1.0</v>
      </c>
      <c r="I416" s="116"/>
      <c r="J416" s="117"/>
      <c r="K416" s="118"/>
      <c r="L416" s="118"/>
      <c r="M416" s="119"/>
    </row>
    <row r="417">
      <c r="A417" s="93"/>
      <c r="B417" s="112">
        <v>10.0</v>
      </c>
      <c r="C417" s="113"/>
      <c r="D417" s="114">
        <v>244289.0</v>
      </c>
      <c r="E417" s="113" t="s">
        <v>50</v>
      </c>
      <c r="F417" s="115" t="s">
        <v>2048</v>
      </c>
      <c r="H417" s="112">
        <v>1.0</v>
      </c>
      <c r="I417" s="116"/>
      <c r="J417" s="117"/>
      <c r="K417" s="118"/>
      <c r="L417" s="118"/>
      <c r="M417" s="119"/>
    </row>
    <row r="418">
      <c r="A418" s="93"/>
      <c r="B418" s="112">
        <v>11.0</v>
      </c>
      <c r="C418" s="113"/>
      <c r="D418" s="114">
        <v>244289.0</v>
      </c>
      <c r="E418" s="113" t="s">
        <v>46</v>
      </c>
      <c r="F418" s="115" t="s">
        <v>2048</v>
      </c>
      <c r="H418" s="112">
        <v>1.0</v>
      </c>
      <c r="I418" s="116"/>
      <c r="J418" s="117"/>
      <c r="K418" s="118"/>
      <c r="L418" s="118"/>
      <c r="M418" s="119"/>
    </row>
    <row r="419">
      <c r="A419" s="93"/>
      <c r="B419" s="112">
        <v>12.0</v>
      </c>
      <c r="C419" s="113"/>
      <c r="D419" s="114">
        <v>244290.0</v>
      </c>
      <c r="E419" s="113" t="s">
        <v>124</v>
      </c>
      <c r="F419" s="115" t="s">
        <v>2043</v>
      </c>
      <c r="H419" s="112">
        <v>1.0</v>
      </c>
      <c r="I419" s="116"/>
      <c r="J419" s="117"/>
      <c r="K419" s="118"/>
      <c r="L419" s="118"/>
      <c r="M419" s="119"/>
    </row>
    <row r="420">
      <c r="A420" s="93"/>
      <c r="B420" s="112">
        <v>13.0</v>
      </c>
      <c r="C420" s="113"/>
      <c r="D420" s="114">
        <v>244290.0</v>
      </c>
      <c r="E420" s="113" t="s">
        <v>193</v>
      </c>
      <c r="F420" s="115" t="s">
        <v>637</v>
      </c>
      <c r="H420" s="112">
        <v>1.0</v>
      </c>
      <c r="I420" s="116"/>
      <c r="J420" s="117"/>
      <c r="K420" s="118"/>
      <c r="L420" s="118"/>
      <c r="M420" s="119"/>
    </row>
    <row r="421">
      <c r="A421" s="93"/>
      <c r="B421" s="112">
        <v>14.0</v>
      </c>
      <c r="C421" s="113"/>
      <c r="D421" s="114">
        <v>244291.0</v>
      </c>
      <c r="E421" s="113" t="s">
        <v>111</v>
      </c>
      <c r="F421" s="115" t="s">
        <v>2043</v>
      </c>
      <c r="H421" s="112">
        <v>1.0</v>
      </c>
      <c r="I421" s="116"/>
      <c r="J421" s="117"/>
      <c r="K421" s="118"/>
      <c r="L421" s="118"/>
      <c r="M421" s="119"/>
    </row>
    <row r="422">
      <c r="A422" s="93"/>
      <c r="B422" s="112">
        <v>15.0</v>
      </c>
      <c r="C422" s="113"/>
      <c r="D422" s="114">
        <v>244291.0</v>
      </c>
      <c r="E422" s="113" t="s">
        <v>193</v>
      </c>
      <c r="F422" s="115" t="s">
        <v>637</v>
      </c>
      <c r="H422" s="112">
        <v>1.0</v>
      </c>
      <c r="I422" s="116"/>
      <c r="J422" s="117"/>
      <c r="K422" s="118"/>
      <c r="L422" s="118"/>
      <c r="M422" s="119"/>
    </row>
    <row r="423">
      <c r="A423" s="93"/>
      <c r="B423" s="112">
        <v>16.0</v>
      </c>
      <c r="C423" s="113"/>
      <c r="D423" s="114">
        <v>244291.0</v>
      </c>
      <c r="E423" s="113" t="s">
        <v>80</v>
      </c>
      <c r="F423" s="115" t="s">
        <v>2049</v>
      </c>
      <c r="H423" s="112">
        <v>1.0</v>
      </c>
      <c r="I423" s="116"/>
      <c r="J423" s="117"/>
      <c r="K423" s="118"/>
      <c r="L423" s="118"/>
      <c r="M423" s="119"/>
    </row>
    <row r="424">
      <c r="A424" s="93"/>
      <c r="B424" s="112">
        <v>17.0</v>
      </c>
      <c r="C424" s="113"/>
      <c r="D424" s="114">
        <v>244291.0</v>
      </c>
      <c r="E424" s="113" t="s">
        <v>34</v>
      </c>
      <c r="F424" s="115" t="s">
        <v>2050</v>
      </c>
      <c r="H424" s="112">
        <v>1.0</v>
      </c>
      <c r="I424" s="116"/>
      <c r="J424" s="117"/>
      <c r="K424" s="118"/>
      <c r="L424" s="118"/>
      <c r="M424" s="119"/>
    </row>
    <row r="425">
      <c r="A425" s="93"/>
      <c r="B425" s="112">
        <v>18.0</v>
      </c>
      <c r="C425" s="113"/>
      <c r="D425" s="114">
        <v>244291.0</v>
      </c>
      <c r="E425" s="113" t="s">
        <v>54</v>
      </c>
      <c r="F425" s="115" t="s">
        <v>2051</v>
      </c>
      <c r="H425" s="112">
        <v>1.0</v>
      </c>
      <c r="I425" s="116"/>
      <c r="J425" s="117"/>
      <c r="K425" s="118"/>
      <c r="L425" s="118"/>
      <c r="M425" s="119"/>
    </row>
    <row r="426">
      <c r="A426" s="93"/>
      <c r="B426" s="112">
        <v>19.0</v>
      </c>
      <c r="C426" s="113"/>
      <c r="D426" s="114">
        <v>244291.0</v>
      </c>
      <c r="E426" s="113" t="s">
        <v>42</v>
      </c>
      <c r="F426" s="115" t="s">
        <v>2052</v>
      </c>
      <c r="H426" s="112">
        <v>1.0</v>
      </c>
      <c r="I426" s="116"/>
      <c r="J426" s="117"/>
      <c r="K426" s="118"/>
      <c r="L426" s="118"/>
      <c r="M426" s="119"/>
    </row>
    <row r="427">
      <c r="A427" s="93"/>
      <c r="B427" s="112">
        <v>20.0</v>
      </c>
      <c r="C427" s="113"/>
      <c r="D427" s="114">
        <v>244291.0</v>
      </c>
      <c r="E427" s="113" t="s">
        <v>144</v>
      </c>
      <c r="F427" s="115" t="s">
        <v>2053</v>
      </c>
      <c r="H427" s="112">
        <v>1.0</v>
      </c>
      <c r="I427" s="116"/>
      <c r="J427" s="117"/>
      <c r="K427" s="118"/>
      <c r="L427" s="118"/>
      <c r="M427" s="119"/>
    </row>
    <row r="428">
      <c r="A428" s="93"/>
      <c r="B428" s="112">
        <v>21.0</v>
      </c>
      <c r="C428" s="113"/>
      <c r="D428" s="114">
        <v>244291.0</v>
      </c>
      <c r="E428" s="113" t="s">
        <v>1359</v>
      </c>
      <c r="F428" s="115" t="s">
        <v>602</v>
      </c>
      <c r="H428" s="112">
        <v>1.0</v>
      </c>
      <c r="I428" s="116"/>
      <c r="J428" s="117"/>
      <c r="K428" s="118"/>
      <c r="L428" s="118"/>
      <c r="M428" s="119"/>
    </row>
    <row r="429">
      <c r="A429" s="93"/>
      <c r="B429" s="112">
        <v>22.0</v>
      </c>
      <c r="C429" s="113"/>
      <c r="D429" s="114">
        <v>244291.0</v>
      </c>
      <c r="E429" s="113" t="s">
        <v>46</v>
      </c>
      <c r="F429" s="115" t="s">
        <v>2054</v>
      </c>
      <c r="H429" s="112">
        <v>1.0</v>
      </c>
      <c r="I429" s="116"/>
      <c r="J429" s="117"/>
      <c r="K429" s="118"/>
      <c r="L429" s="118"/>
      <c r="M429" s="119"/>
    </row>
    <row r="430">
      <c r="A430" s="93"/>
      <c r="B430" s="112">
        <v>23.0</v>
      </c>
      <c r="C430" s="113"/>
      <c r="D430" s="114">
        <v>244292.0</v>
      </c>
      <c r="E430" s="113" t="s">
        <v>111</v>
      </c>
      <c r="F430" s="115" t="s">
        <v>2055</v>
      </c>
      <c r="H430" s="112">
        <v>1.0</v>
      </c>
      <c r="I430" s="116"/>
      <c r="J430" s="117"/>
      <c r="K430" s="118"/>
      <c r="L430" s="118"/>
      <c r="M430" s="119"/>
    </row>
    <row r="431">
      <c r="A431" s="93"/>
      <c r="B431" s="112">
        <v>24.0</v>
      </c>
      <c r="C431" s="113"/>
      <c r="D431" s="114">
        <v>244292.0</v>
      </c>
      <c r="E431" s="113" t="s">
        <v>54</v>
      </c>
      <c r="F431" s="115" t="s">
        <v>2056</v>
      </c>
      <c r="H431" s="112">
        <v>1.0</v>
      </c>
      <c r="I431" s="116"/>
      <c r="J431" s="117"/>
      <c r="K431" s="118"/>
      <c r="L431" s="118"/>
      <c r="M431" s="119"/>
    </row>
    <row r="432">
      <c r="A432" s="93"/>
      <c r="B432" s="112">
        <v>25.0</v>
      </c>
      <c r="C432" s="113"/>
      <c r="D432" s="114">
        <v>244292.0</v>
      </c>
      <c r="E432" s="113" t="s">
        <v>50</v>
      </c>
      <c r="F432" s="115" t="s">
        <v>469</v>
      </c>
      <c r="H432" s="112">
        <v>1.0</v>
      </c>
      <c r="I432" s="116"/>
      <c r="J432" s="117"/>
      <c r="K432" s="118"/>
      <c r="L432" s="118"/>
      <c r="M432" s="119"/>
    </row>
    <row r="433">
      <c r="A433" s="93"/>
      <c r="B433" s="112">
        <v>26.0</v>
      </c>
      <c r="C433" s="113"/>
      <c r="D433" s="114">
        <v>244292.0</v>
      </c>
      <c r="E433" s="113" t="s">
        <v>193</v>
      </c>
      <c r="F433" s="115" t="s">
        <v>637</v>
      </c>
      <c r="H433" s="112">
        <v>1.0</v>
      </c>
      <c r="I433" s="116"/>
      <c r="J433" s="117"/>
      <c r="K433" s="118"/>
      <c r="L433" s="118"/>
      <c r="M433" s="119"/>
    </row>
    <row r="434">
      <c r="A434" s="93"/>
      <c r="B434" s="112">
        <v>27.0</v>
      </c>
      <c r="C434" s="113"/>
      <c r="D434" s="114">
        <v>244292.0</v>
      </c>
      <c r="E434" s="113" t="s">
        <v>46</v>
      </c>
      <c r="F434" s="115" t="s">
        <v>2054</v>
      </c>
      <c r="H434" s="112">
        <v>1.0</v>
      </c>
      <c r="I434" s="116"/>
      <c r="J434" s="117"/>
      <c r="K434" s="118"/>
      <c r="L434" s="118"/>
      <c r="M434" s="119"/>
    </row>
    <row r="435">
      <c r="A435" s="93"/>
      <c r="B435" s="112">
        <v>28.0</v>
      </c>
      <c r="C435" s="113"/>
      <c r="D435" s="114">
        <v>244292.0</v>
      </c>
      <c r="E435" s="113" t="s">
        <v>80</v>
      </c>
      <c r="F435" s="115" t="s">
        <v>2057</v>
      </c>
      <c r="H435" s="112">
        <v>1.0</v>
      </c>
      <c r="I435" s="116"/>
      <c r="J435" s="117"/>
      <c r="K435" s="118"/>
      <c r="L435" s="118"/>
      <c r="M435" s="119"/>
    </row>
    <row r="436">
      <c r="A436" s="93"/>
      <c r="B436" s="112">
        <v>29.0</v>
      </c>
      <c r="C436" s="113"/>
      <c r="D436" s="114">
        <v>244292.0</v>
      </c>
      <c r="E436" s="113" t="s">
        <v>95</v>
      </c>
      <c r="F436" s="115" t="s">
        <v>275</v>
      </c>
      <c r="H436" s="112">
        <v>1.0</v>
      </c>
      <c r="I436" s="116"/>
      <c r="J436" s="117"/>
      <c r="K436" s="118"/>
      <c r="L436" s="118"/>
      <c r="M436" s="119"/>
    </row>
    <row r="437">
      <c r="A437" s="93"/>
      <c r="B437" s="112">
        <v>30.0</v>
      </c>
      <c r="C437" s="113"/>
      <c r="D437" s="114">
        <v>244292.0</v>
      </c>
      <c r="E437" s="113" t="s">
        <v>133</v>
      </c>
      <c r="F437" s="115" t="s">
        <v>893</v>
      </c>
      <c r="H437" s="112">
        <v>1.0</v>
      </c>
      <c r="I437" s="116"/>
      <c r="J437" s="117"/>
      <c r="K437" s="118"/>
      <c r="L437" s="118"/>
      <c r="M437" s="119"/>
    </row>
    <row r="438">
      <c r="A438" s="93"/>
      <c r="B438" s="112">
        <v>31.0</v>
      </c>
      <c r="C438" s="113"/>
      <c r="D438" s="114">
        <v>244292.0</v>
      </c>
      <c r="E438" s="113" t="s">
        <v>64</v>
      </c>
      <c r="F438" s="115" t="s">
        <v>2058</v>
      </c>
      <c r="H438" s="112">
        <v>1.0</v>
      </c>
      <c r="I438" s="116"/>
      <c r="J438" s="117"/>
      <c r="K438" s="118"/>
      <c r="L438" s="118"/>
      <c r="M438" s="119"/>
    </row>
    <row r="439">
      <c r="A439" s="93"/>
      <c r="B439" s="112">
        <v>32.0</v>
      </c>
      <c r="C439" s="113"/>
      <c r="D439" s="114">
        <v>244297.0</v>
      </c>
      <c r="E439" s="113" t="s">
        <v>50</v>
      </c>
      <c r="F439" s="115" t="s">
        <v>2059</v>
      </c>
      <c r="H439" s="112">
        <v>1.0</v>
      </c>
      <c r="I439" s="116"/>
      <c r="J439" s="117"/>
      <c r="K439" s="118"/>
      <c r="L439" s="118"/>
      <c r="M439" s="119"/>
    </row>
    <row r="440">
      <c r="A440" s="93"/>
      <c r="B440" s="112">
        <v>33.0</v>
      </c>
      <c r="C440" s="113"/>
      <c r="D440" s="114">
        <v>244297.0</v>
      </c>
      <c r="E440" s="113" t="s">
        <v>600</v>
      </c>
      <c r="F440" s="115" t="s">
        <v>2060</v>
      </c>
      <c r="H440" s="112">
        <v>1.0</v>
      </c>
      <c r="I440" s="116"/>
      <c r="J440" s="117"/>
      <c r="K440" s="118"/>
      <c r="L440" s="118"/>
      <c r="M440" s="119"/>
    </row>
    <row r="441">
      <c r="A441" s="93"/>
      <c r="B441" s="112">
        <v>34.0</v>
      </c>
      <c r="C441" s="113"/>
      <c r="D441" s="114">
        <v>244297.0</v>
      </c>
      <c r="E441" s="113" t="s">
        <v>133</v>
      </c>
      <c r="F441" s="115" t="s">
        <v>2061</v>
      </c>
      <c r="H441" s="112">
        <v>1.0</v>
      </c>
      <c r="I441" s="116"/>
      <c r="J441" s="117"/>
      <c r="K441" s="118"/>
      <c r="L441" s="118"/>
      <c r="M441" s="119"/>
    </row>
    <row r="442">
      <c r="A442" s="93"/>
      <c r="B442" s="112">
        <v>35.0</v>
      </c>
      <c r="C442" s="113"/>
      <c r="D442" s="114">
        <v>244297.0</v>
      </c>
      <c r="E442" s="113" t="s">
        <v>64</v>
      </c>
      <c r="F442" s="115" t="s">
        <v>2062</v>
      </c>
      <c r="H442" s="112">
        <v>1.0</v>
      </c>
      <c r="I442" s="116"/>
      <c r="J442" s="117"/>
      <c r="K442" s="118"/>
      <c r="L442" s="118"/>
      <c r="M442" s="119"/>
    </row>
    <row r="443">
      <c r="A443" s="93"/>
      <c r="B443" s="112">
        <v>36.0</v>
      </c>
      <c r="C443" s="113"/>
      <c r="D443" s="114">
        <v>244297.0</v>
      </c>
      <c r="E443" s="113" t="s">
        <v>101</v>
      </c>
      <c r="F443" s="115" t="s">
        <v>2063</v>
      </c>
      <c r="H443" s="112">
        <v>1.0</v>
      </c>
      <c r="I443" s="116"/>
      <c r="J443" s="117"/>
      <c r="K443" s="118"/>
      <c r="L443" s="118"/>
      <c r="M443" s="119"/>
    </row>
    <row r="444">
      <c r="A444" s="93"/>
      <c r="B444" s="112">
        <v>37.0</v>
      </c>
      <c r="C444" s="113"/>
      <c r="D444" s="114">
        <v>244297.0</v>
      </c>
      <c r="E444" s="113" t="s">
        <v>144</v>
      </c>
      <c r="F444" s="115" t="s">
        <v>2060</v>
      </c>
      <c r="H444" s="112">
        <v>1.0</v>
      </c>
      <c r="I444" s="116"/>
      <c r="J444" s="117"/>
      <c r="K444" s="118"/>
      <c r="L444" s="118"/>
      <c r="M444" s="119"/>
    </row>
    <row r="445">
      <c r="A445" s="93"/>
      <c r="B445" s="112">
        <v>38.0</v>
      </c>
      <c r="C445" s="113"/>
      <c r="D445" s="114">
        <v>244297.0</v>
      </c>
      <c r="E445" s="113" t="s">
        <v>34</v>
      </c>
      <c r="F445" s="115" t="s">
        <v>2064</v>
      </c>
      <c r="H445" s="112">
        <v>1.0</v>
      </c>
      <c r="I445" s="116"/>
      <c r="J445" s="117"/>
      <c r="K445" s="118"/>
      <c r="L445" s="118"/>
      <c r="M445" s="119"/>
    </row>
    <row r="446">
      <c r="A446" s="93"/>
      <c r="B446" s="112">
        <v>39.0</v>
      </c>
      <c r="C446" s="113"/>
      <c r="D446" s="114">
        <v>244297.0</v>
      </c>
      <c r="E446" s="113" t="s">
        <v>88</v>
      </c>
      <c r="F446" s="115" t="s">
        <v>2054</v>
      </c>
      <c r="H446" s="112">
        <v>1.0</v>
      </c>
      <c r="I446" s="116"/>
      <c r="J446" s="117"/>
      <c r="K446" s="118"/>
      <c r="L446" s="118"/>
      <c r="M446" s="119"/>
    </row>
    <row r="447">
      <c r="A447" s="93"/>
      <c r="B447" s="112">
        <v>40.0</v>
      </c>
      <c r="C447" s="113"/>
      <c r="D447" s="114">
        <v>244297.0</v>
      </c>
      <c r="E447" s="113" t="s">
        <v>42</v>
      </c>
      <c r="F447" s="115" t="s">
        <v>2065</v>
      </c>
      <c r="H447" s="112">
        <v>1.0</v>
      </c>
      <c r="I447" s="116"/>
      <c r="J447" s="117"/>
      <c r="K447" s="118"/>
      <c r="L447" s="118"/>
      <c r="M447" s="119"/>
    </row>
    <row r="448">
      <c r="A448" s="93"/>
      <c r="B448" s="112">
        <v>41.0</v>
      </c>
      <c r="C448" s="113"/>
      <c r="D448" s="114">
        <v>244297.0</v>
      </c>
      <c r="E448" s="113" t="s">
        <v>95</v>
      </c>
      <c r="F448" s="115" t="s">
        <v>2066</v>
      </c>
      <c r="H448" s="112">
        <v>1.0</v>
      </c>
      <c r="I448" s="116"/>
      <c r="J448" s="117"/>
      <c r="K448" s="118"/>
      <c r="L448" s="118"/>
      <c r="M448" s="119"/>
    </row>
    <row r="449">
      <c r="A449" s="93"/>
      <c r="B449" s="112">
        <v>42.0</v>
      </c>
      <c r="C449" s="113"/>
      <c r="D449" s="114">
        <v>244298.0</v>
      </c>
      <c r="E449" s="113" t="s">
        <v>95</v>
      </c>
      <c r="F449" s="115" t="s">
        <v>2066</v>
      </c>
      <c r="H449" s="112">
        <v>1.0</v>
      </c>
      <c r="I449" s="116"/>
      <c r="J449" s="117"/>
      <c r="K449" s="118"/>
      <c r="L449" s="118"/>
      <c r="M449" s="119"/>
    </row>
    <row r="450">
      <c r="A450" s="93"/>
      <c r="B450" s="112">
        <v>43.0</v>
      </c>
      <c r="C450" s="113"/>
      <c r="D450" s="114">
        <v>244298.0</v>
      </c>
      <c r="E450" s="113" t="s">
        <v>80</v>
      </c>
      <c r="F450" s="115" t="s">
        <v>2067</v>
      </c>
      <c r="H450" s="112">
        <v>1.0</v>
      </c>
      <c r="I450" s="116"/>
      <c r="J450" s="117"/>
      <c r="K450" s="118"/>
      <c r="L450" s="118"/>
      <c r="M450" s="119"/>
    </row>
    <row r="451">
      <c r="A451" s="93"/>
      <c r="B451" s="112">
        <v>44.0</v>
      </c>
      <c r="C451" s="113"/>
      <c r="D451" s="114">
        <v>244298.0</v>
      </c>
      <c r="E451" s="113" t="s">
        <v>133</v>
      </c>
      <c r="F451" s="115" t="s">
        <v>2061</v>
      </c>
      <c r="H451" s="112">
        <v>1.0</v>
      </c>
      <c r="I451" s="116"/>
      <c r="J451" s="117"/>
      <c r="K451" s="118"/>
      <c r="L451" s="118"/>
      <c r="M451" s="119"/>
    </row>
    <row r="452">
      <c r="A452" s="93"/>
      <c r="B452" s="112">
        <v>45.0</v>
      </c>
      <c r="C452" s="113"/>
      <c r="D452" s="114">
        <v>244298.0</v>
      </c>
      <c r="E452" s="113" t="s">
        <v>64</v>
      </c>
      <c r="F452" s="115" t="s">
        <v>2062</v>
      </c>
      <c r="H452" s="112">
        <v>1.0</v>
      </c>
      <c r="I452" s="116"/>
      <c r="J452" s="117"/>
      <c r="K452" s="118"/>
      <c r="L452" s="118"/>
      <c r="M452" s="119"/>
    </row>
    <row r="453">
      <c r="A453" s="93"/>
      <c r="B453" s="112">
        <v>46.0</v>
      </c>
      <c r="C453" s="113"/>
      <c r="D453" s="114">
        <v>244298.0</v>
      </c>
      <c r="E453" s="113" t="s">
        <v>144</v>
      </c>
      <c r="F453" s="115" t="s">
        <v>2060</v>
      </c>
      <c r="H453" s="112">
        <v>1.0</v>
      </c>
      <c r="I453" s="116"/>
      <c r="J453" s="117"/>
      <c r="K453" s="118"/>
      <c r="L453" s="118"/>
      <c r="M453" s="119"/>
    </row>
    <row r="454">
      <c r="A454" s="93"/>
      <c r="B454" s="112">
        <v>47.0</v>
      </c>
      <c r="C454" s="113"/>
      <c r="D454" s="114">
        <v>244298.0</v>
      </c>
      <c r="E454" s="113" t="s">
        <v>42</v>
      </c>
      <c r="F454" s="115" t="s">
        <v>552</v>
      </c>
      <c r="H454" s="112">
        <v>1.0</v>
      </c>
      <c r="I454" s="116"/>
      <c r="J454" s="117"/>
      <c r="K454" s="118"/>
      <c r="L454" s="118"/>
      <c r="M454" s="119"/>
    </row>
    <row r="455">
      <c r="A455" s="93"/>
      <c r="B455" s="112">
        <v>48.0</v>
      </c>
      <c r="C455" s="113"/>
      <c r="D455" s="114">
        <v>244298.0</v>
      </c>
      <c r="E455" s="113" t="s">
        <v>60</v>
      </c>
      <c r="F455" s="115" t="s">
        <v>2068</v>
      </c>
      <c r="H455" s="112">
        <v>1.0</v>
      </c>
      <c r="I455" s="116"/>
      <c r="J455" s="117"/>
      <c r="K455" s="118"/>
      <c r="L455" s="118"/>
      <c r="M455" s="119"/>
    </row>
    <row r="456">
      <c r="A456" s="93"/>
      <c r="B456" s="112">
        <v>49.0</v>
      </c>
      <c r="C456" s="113"/>
      <c r="D456" s="114">
        <v>244298.0</v>
      </c>
      <c r="E456" s="113" t="s">
        <v>124</v>
      </c>
      <c r="F456" s="115" t="s">
        <v>2069</v>
      </c>
      <c r="H456" s="112">
        <v>1.0</v>
      </c>
      <c r="I456" s="116"/>
      <c r="J456" s="117"/>
      <c r="K456" s="118"/>
      <c r="L456" s="118"/>
      <c r="M456" s="119"/>
    </row>
    <row r="457">
      <c r="A457" s="93"/>
      <c r="B457" s="112">
        <v>50.0</v>
      </c>
      <c r="C457" s="113"/>
      <c r="D457" s="114">
        <v>244298.0</v>
      </c>
      <c r="E457" s="113" t="s">
        <v>50</v>
      </c>
      <c r="F457" s="115" t="s">
        <v>2070</v>
      </c>
      <c r="H457" s="112">
        <v>1.0</v>
      </c>
      <c r="I457" s="116"/>
      <c r="J457" s="117"/>
      <c r="K457" s="118"/>
      <c r="L457" s="118"/>
      <c r="M457" s="119"/>
    </row>
    <row r="458">
      <c r="A458" s="93"/>
      <c r="B458" s="112">
        <v>51.0</v>
      </c>
      <c r="C458" s="113"/>
      <c r="D458" s="114">
        <v>244298.0</v>
      </c>
      <c r="E458" s="113" t="s">
        <v>46</v>
      </c>
      <c r="F458" s="115" t="s">
        <v>2070</v>
      </c>
      <c r="H458" s="112">
        <v>0.0</v>
      </c>
      <c r="I458" s="116"/>
      <c r="J458" s="117"/>
      <c r="K458" s="118"/>
      <c r="L458" s="118"/>
      <c r="M458" s="119"/>
    </row>
    <row r="459">
      <c r="A459" s="93"/>
      <c r="B459" s="112">
        <v>52.0</v>
      </c>
      <c r="C459" s="113"/>
      <c r="D459" s="114">
        <v>244298.0</v>
      </c>
      <c r="E459" s="113" t="s">
        <v>38</v>
      </c>
      <c r="F459" s="115" t="s">
        <v>2071</v>
      </c>
      <c r="H459" s="112">
        <v>1.0</v>
      </c>
      <c r="I459" s="116"/>
      <c r="J459" s="117"/>
      <c r="K459" s="118"/>
      <c r="L459" s="118"/>
      <c r="M459" s="119"/>
    </row>
    <row r="460">
      <c r="A460" s="93"/>
      <c r="B460" s="112">
        <v>53.0</v>
      </c>
      <c r="C460" s="113"/>
      <c r="D460" s="114">
        <v>244298.0</v>
      </c>
      <c r="E460" s="113" t="s">
        <v>111</v>
      </c>
      <c r="F460" s="115" t="s">
        <v>2057</v>
      </c>
      <c r="H460" s="112">
        <v>1.0</v>
      </c>
      <c r="I460" s="116"/>
      <c r="J460" s="117"/>
      <c r="K460" s="118"/>
      <c r="L460" s="118"/>
      <c r="M460" s="119"/>
    </row>
    <row r="461">
      <c r="A461" s="93"/>
      <c r="B461" s="112">
        <v>54.0</v>
      </c>
      <c r="C461" s="113"/>
      <c r="D461" s="114">
        <v>244298.0</v>
      </c>
      <c r="E461" s="113" t="s">
        <v>34</v>
      </c>
      <c r="F461" s="115" t="s">
        <v>2072</v>
      </c>
      <c r="H461" s="112">
        <v>1.0</v>
      </c>
      <c r="I461" s="116"/>
      <c r="J461" s="117"/>
      <c r="K461" s="118"/>
      <c r="L461" s="118"/>
      <c r="M461" s="119"/>
    </row>
    <row r="462">
      <c r="A462" s="93"/>
      <c r="B462" s="112">
        <v>55.0</v>
      </c>
      <c r="C462" s="113"/>
      <c r="D462" s="114">
        <v>244298.0</v>
      </c>
      <c r="E462" s="113" t="s">
        <v>88</v>
      </c>
      <c r="F462" s="115" t="s">
        <v>2054</v>
      </c>
      <c r="H462" s="112">
        <v>1.0</v>
      </c>
      <c r="I462" s="116"/>
      <c r="J462" s="117"/>
      <c r="K462" s="118"/>
      <c r="L462" s="118"/>
      <c r="M462" s="119"/>
    </row>
    <row r="463">
      <c r="A463" s="93"/>
      <c r="B463" s="112">
        <v>56.0</v>
      </c>
      <c r="C463" s="113"/>
      <c r="D463" s="114">
        <v>244299.0</v>
      </c>
      <c r="E463" s="113" t="s">
        <v>95</v>
      </c>
      <c r="F463" s="115" t="s">
        <v>2066</v>
      </c>
      <c r="H463" s="112">
        <v>1.0</v>
      </c>
      <c r="I463" s="116"/>
      <c r="J463" s="117"/>
      <c r="K463" s="118"/>
      <c r="L463" s="118"/>
      <c r="M463" s="119"/>
    </row>
    <row r="464">
      <c r="A464" s="93"/>
      <c r="B464" s="112">
        <v>57.0</v>
      </c>
      <c r="C464" s="113"/>
      <c r="D464" s="114">
        <v>244299.0</v>
      </c>
      <c r="E464" s="113" t="s">
        <v>133</v>
      </c>
      <c r="F464" s="115" t="s">
        <v>2061</v>
      </c>
      <c r="H464" s="112">
        <v>1.0</v>
      </c>
      <c r="I464" s="116"/>
      <c r="J464" s="117"/>
      <c r="K464" s="118"/>
      <c r="L464" s="118"/>
      <c r="M464" s="119"/>
    </row>
    <row r="465">
      <c r="A465" s="93"/>
      <c r="B465" s="112">
        <v>58.0</v>
      </c>
      <c r="C465" s="113"/>
      <c r="D465" s="114">
        <v>244299.0</v>
      </c>
      <c r="E465" s="113" t="s">
        <v>30</v>
      </c>
      <c r="F465" s="115" t="s">
        <v>887</v>
      </c>
      <c r="H465" s="112">
        <v>1.0</v>
      </c>
      <c r="I465" s="116"/>
      <c r="J465" s="117"/>
      <c r="K465" s="118"/>
      <c r="L465" s="118"/>
      <c r="M465" s="119"/>
    </row>
    <row r="466">
      <c r="A466" s="93"/>
      <c r="B466" s="112">
        <v>59.0</v>
      </c>
      <c r="C466" s="113"/>
      <c r="D466" s="114">
        <v>244299.0</v>
      </c>
      <c r="E466" s="113" t="s">
        <v>50</v>
      </c>
      <c r="F466" s="115" t="s">
        <v>2073</v>
      </c>
      <c r="H466" s="112">
        <v>1.0</v>
      </c>
      <c r="I466" s="116"/>
      <c r="J466" s="117"/>
      <c r="K466" s="118"/>
      <c r="L466" s="118"/>
      <c r="M466" s="119"/>
    </row>
    <row r="467">
      <c r="A467" s="93"/>
      <c r="B467" s="112">
        <v>60.0</v>
      </c>
      <c r="C467" s="113"/>
      <c r="D467" s="114">
        <v>244299.0</v>
      </c>
      <c r="E467" s="113" t="s">
        <v>64</v>
      </c>
      <c r="F467" s="115" t="s">
        <v>2063</v>
      </c>
      <c r="H467" s="112">
        <v>1.0</v>
      </c>
      <c r="I467" s="116"/>
      <c r="J467" s="117"/>
      <c r="K467" s="118"/>
      <c r="L467" s="118"/>
      <c r="M467" s="119"/>
    </row>
    <row r="468">
      <c r="A468" s="93"/>
      <c r="B468" s="112">
        <v>61.0</v>
      </c>
      <c r="C468" s="113"/>
      <c r="D468" s="114">
        <v>244299.0</v>
      </c>
      <c r="E468" s="113" t="s">
        <v>144</v>
      </c>
      <c r="F468" s="115" t="s">
        <v>2074</v>
      </c>
      <c r="H468" s="112">
        <v>1.0</v>
      </c>
      <c r="I468" s="116"/>
      <c r="J468" s="117"/>
      <c r="K468" s="118"/>
      <c r="L468" s="118"/>
      <c r="M468" s="119"/>
    </row>
    <row r="469">
      <c r="A469" s="93"/>
      <c r="B469" s="112">
        <v>62.0</v>
      </c>
      <c r="C469" s="113"/>
      <c r="D469" s="114">
        <v>244299.0</v>
      </c>
      <c r="E469" s="113" t="s">
        <v>335</v>
      </c>
      <c r="F469" s="115" t="s">
        <v>2074</v>
      </c>
      <c r="H469" s="112">
        <v>1.0</v>
      </c>
      <c r="I469" s="116"/>
      <c r="J469" s="117"/>
      <c r="K469" s="118"/>
      <c r="L469" s="118"/>
      <c r="M469" s="119"/>
    </row>
    <row r="470">
      <c r="A470" s="93"/>
      <c r="B470" s="112">
        <v>63.0</v>
      </c>
      <c r="C470" s="113"/>
      <c r="D470" s="114">
        <v>244299.0</v>
      </c>
      <c r="E470" s="113" t="s">
        <v>34</v>
      </c>
      <c r="F470" s="115" t="s">
        <v>2075</v>
      </c>
      <c r="H470" s="112">
        <v>1.0</v>
      </c>
      <c r="I470" s="116"/>
      <c r="J470" s="117"/>
      <c r="K470" s="118"/>
      <c r="L470" s="118"/>
      <c r="M470" s="119"/>
    </row>
    <row r="471">
      <c r="A471" s="93"/>
      <c r="B471" s="112">
        <v>64.0</v>
      </c>
      <c r="C471" s="113"/>
      <c r="D471" s="114">
        <v>244299.0</v>
      </c>
      <c r="E471" s="113" t="s">
        <v>101</v>
      </c>
      <c r="F471" s="115" t="s">
        <v>2063</v>
      </c>
      <c r="H471" s="112">
        <v>1.0</v>
      </c>
      <c r="I471" s="116"/>
      <c r="J471" s="117"/>
      <c r="K471" s="118"/>
      <c r="L471" s="118"/>
      <c r="M471" s="119"/>
    </row>
    <row r="472">
      <c r="A472" s="93"/>
      <c r="B472" s="112">
        <v>65.0</v>
      </c>
      <c r="C472" s="113"/>
      <c r="D472" s="114">
        <v>244299.0</v>
      </c>
      <c r="E472" s="113" t="s">
        <v>193</v>
      </c>
      <c r="F472" s="115" t="s">
        <v>637</v>
      </c>
      <c r="H472" s="112">
        <v>1.0</v>
      </c>
      <c r="I472" s="116"/>
      <c r="J472" s="117"/>
      <c r="K472" s="118"/>
      <c r="L472" s="118"/>
      <c r="M472" s="119"/>
    </row>
    <row r="473">
      <c r="A473" s="93"/>
      <c r="B473" s="112">
        <v>66.0</v>
      </c>
      <c r="C473" s="113"/>
      <c r="D473" s="114">
        <v>244300.0</v>
      </c>
      <c r="E473" s="113" t="s">
        <v>193</v>
      </c>
      <c r="F473" s="115" t="s">
        <v>637</v>
      </c>
      <c r="H473" s="112">
        <v>1.0</v>
      </c>
      <c r="I473" s="116"/>
      <c r="J473" s="117"/>
      <c r="K473" s="118"/>
      <c r="L473" s="118"/>
      <c r="M473" s="119"/>
    </row>
    <row r="474">
      <c r="A474" s="93"/>
      <c r="B474" s="112">
        <v>67.0</v>
      </c>
      <c r="C474" s="113"/>
      <c r="D474" s="114">
        <v>244300.0</v>
      </c>
      <c r="E474" s="113" t="s">
        <v>95</v>
      </c>
      <c r="F474" s="115" t="s">
        <v>2066</v>
      </c>
      <c r="H474" s="112">
        <v>1.0</v>
      </c>
      <c r="I474" s="116"/>
      <c r="J474" s="117"/>
      <c r="K474" s="118"/>
      <c r="L474" s="118"/>
      <c r="M474" s="119"/>
    </row>
    <row r="475">
      <c r="A475" s="93"/>
      <c r="B475" s="112">
        <v>68.0</v>
      </c>
      <c r="C475" s="113"/>
      <c r="D475" s="114">
        <v>244300.0</v>
      </c>
      <c r="E475" s="113" t="s">
        <v>133</v>
      </c>
      <c r="F475" s="115" t="s">
        <v>2061</v>
      </c>
      <c r="H475" s="112">
        <v>1.0</v>
      </c>
      <c r="I475" s="116"/>
      <c r="J475" s="117"/>
      <c r="K475" s="118"/>
      <c r="L475" s="118"/>
      <c r="M475" s="119"/>
    </row>
    <row r="476">
      <c r="A476" s="93"/>
      <c r="B476" s="112">
        <v>69.0</v>
      </c>
      <c r="C476" s="113"/>
      <c r="D476" s="114">
        <v>244300.0</v>
      </c>
      <c r="E476" s="113" t="s">
        <v>50</v>
      </c>
      <c r="F476" s="115" t="s">
        <v>2076</v>
      </c>
      <c r="H476" s="112">
        <v>2.0</v>
      </c>
      <c r="I476" s="116"/>
      <c r="J476" s="117"/>
      <c r="K476" s="118"/>
      <c r="L476" s="118"/>
      <c r="M476" s="119"/>
    </row>
    <row r="477">
      <c r="A477" s="93"/>
      <c r="B477" s="112">
        <v>70.0</v>
      </c>
      <c r="C477" s="113"/>
      <c r="D477" s="114">
        <v>244300.0</v>
      </c>
      <c r="E477" s="113" t="s">
        <v>232</v>
      </c>
      <c r="F477" s="115" t="s">
        <v>2077</v>
      </c>
      <c r="H477" s="112">
        <v>1.0</v>
      </c>
      <c r="I477" s="116"/>
      <c r="J477" s="117"/>
      <c r="K477" s="118"/>
      <c r="L477" s="118"/>
      <c r="M477" s="119"/>
    </row>
    <row r="478">
      <c r="A478" s="93"/>
      <c r="B478" s="112">
        <v>71.0</v>
      </c>
      <c r="C478" s="113"/>
      <c r="D478" s="114">
        <v>244300.0</v>
      </c>
      <c r="E478" s="113" t="s">
        <v>1359</v>
      </c>
      <c r="F478" s="115" t="s">
        <v>2078</v>
      </c>
      <c r="H478" s="112">
        <v>1.0</v>
      </c>
      <c r="I478" s="116"/>
      <c r="J478" s="117"/>
      <c r="K478" s="118"/>
      <c r="L478" s="118"/>
      <c r="M478" s="119"/>
    </row>
    <row r="479">
      <c r="A479" s="93"/>
      <c r="B479" s="112">
        <v>72.0</v>
      </c>
      <c r="C479" s="113"/>
      <c r="D479" s="114">
        <v>244300.0</v>
      </c>
      <c r="E479" s="113" t="s">
        <v>46</v>
      </c>
      <c r="F479" s="115" t="s">
        <v>2079</v>
      </c>
      <c r="H479" s="112">
        <v>1.0</v>
      </c>
      <c r="I479" s="116"/>
      <c r="J479" s="117"/>
      <c r="K479" s="118"/>
      <c r="L479" s="118"/>
      <c r="M479" s="119"/>
    </row>
    <row r="480">
      <c r="A480" s="93"/>
      <c r="B480" s="112">
        <v>73.0</v>
      </c>
      <c r="C480" s="113"/>
      <c r="D480" s="114">
        <v>244300.0</v>
      </c>
      <c r="E480" s="113" t="s">
        <v>38</v>
      </c>
      <c r="F480" s="115" t="s">
        <v>2080</v>
      </c>
      <c r="H480" s="112">
        <v>1.0</v>
      </c>
      <c r="I480" s="116"/>
      <c r="J480" s="117"/>
      <c r="K480" s="118"/>
      <c r="L480" s="118"/>
      <c r="M480" s="119"/>
    </row>
    <row r="481">
      <c r="A481" s="93"/>
      <c r="B481" s="112">
        <v>74.0</v>
      </c>
      <c r="C481" s="113"/>
      <c r="D481" s="114">
        <v>244300.0</v>
      </c>
      <c r="E481" s="113" t="s">
        <v>18</v>
      </c>
      <c r="F481" s="115" t="s">
        <v>2081</v>
      </c>
      <c r="H481" s="112">
        <v>2.0</v>
      </c>
      <c r="I481" s="116"/>
      <c r="J481" s="117"/>
      <c r="K481" s="118"/>
      <c r="L481" s="118"/>
      <c r="M481" s="119"/>
    </row>
    <row r="482">
      <c r="A482" s="93"/>
      <c r="B482" s="112">
        <v>75.0</v>
      </c>
      <c r="C482" s="113"/>
      <c r="D482" s="114">
        <v>244300.0</v>
      </c>
      <c r="E482" s="113" t="s">
        <v>64</v>
      </c>
      <c r="F482" s="115" t="s">
        <v>2082</v>
      </c>
      <c r="H482" s="112">
        <v>1.0</v>
      </c>
      <c r="I482" s="116"/>
      <c r="J482" s="117"/>
      <c r="K482" s="118"/>
      <c r="L482" s="118"/>
      <c r="M482" s="119"/>
    </row>
    <row r="483">
      <c r="A483" s="93"/>
      <c r="B483" s="112">
        <v>76.0</v>
      </c>
      <c r="C483" s="113"/>
      <c r="D483" s="114">
        <v>244301.0</v>
      </c>
      <c r="E483" s="113" t="s">
        <v>133</v>
      </c>
      <c r="F483" s="115" t="s">
        <v>2061</v>
      </c>
      <c r="H483" s="112">
        <v>1.0</v>
      </c>
      <c r="I483" s="116"/>
      <c r="J483" s="117"/>
      <c r="K483" s="118"/>
      <c r="L483" s="118"/>
      <c r="M483" s="119"/>
    </row>
    <row r="484">
      <c r="A484" s="93"/>
      <c r="B484" s="112">
        <v>77.0</v>
      </c>
      <c r="C484" s="113"/>
      <c r="D484" s="114">
        <v>244301.0</v>
      </c>
      <c r="E484" s="113" t="s">
        <v>80</v>
      </c>
      <c r="F484" s="115" t="s">
        <v>2083</v>
      </c>
      <c r="H484" s="112">
        <v>3.0</v>
      </c>
      <c r="I484" s="116"/>
      <c r="J484" s="117"/>
      <c r="K484" s="118"/>
      <c r="L484" s="118"/>
      <c r="M484" s="119"/>
    </row>
    <row r="485">
      <c r="A485" s="93"/>
      <c r="B485" s="112">
        <v>78.0</v>
      </c>
      <c r="C485" s="113"/>
      <c r="D485" s="114">
        <v>244301.0</v>
      </c>
      <c r="E485" s="113" t="s">
        <v>232</v>
      </c>
      <c r="F485" s="115" t="s">
        <v>432</v>
      </c>
      <c r="H485" s="112">
        <v>1.0</v>
      </c>
      <c r="I485" s="116"/>
      <c r="J485" s="117"/>
      <c r="K485" s="118"/>
      <c r="L485" s="118"/>
      <c r="M485" s="119"/>
    </row>
    <row r="486">
      <c r="A486" s="93"/>
      <c r="B486" s="112">
        <v>79.0</v>
      </c>
      <c r="C486" s="113"/>
      <c r="D486" s="114">
        <v>244301.0</v>
      </c>
      <c r="E486" s="113" t="s">
        <v>124</v>
      </c>
      <c r="F486" s="115" t="s">
        <v>366</v>
      </c>
      <c r="H486" s="112">
        <v>1.0</v>
      </c>
      <c r="I486" s="116"/>
      <c r="J486" s="117"/>
      <c r="K486" s="118"/>
      <c r="L486" s="118"/>
      <c r="M486" s="119"/>
    </row>
    <row r="487">
      <c r="A487" s="93"/>
      <c r="B487" s="112">
        <v>80.0</v>
      </c>
      <c r="C487" s="113"/>
      <c r="D487" s="114">
        <v>244301.0</v>
      </c>
      <c r="E487" s="113" t="s">
        <v>60</v>
      </c>
      <c r="F487" s="115" t="s">
        <v>2084</v>
      </c>
      <c r="H487" s="112">
        <v>1.0</v>
      </c>
      <c r="I487" s="116"/>
      <c r="J487" s="117"/>
      <c r="K487" s="118"/>
      <c r="L487" s="118"/>
      <c r="M487" s="119"/>
    </row>
    <row r="488">
      <c r="A488" s="93"/>
      <c r="B488" s="112">
        <v>81.0</v>
      </c>
      <c r="C488" s="113"/>
      <c r="D488" s="114">
        <v>244301.0</v>
      </c>
      <c r="E488" s="113" t="s">
        <v>193</v>
      </c>
      <c r="F488" s="115" t="s">
        <v>2085</v>
      </c>
      <c r="H488" s="112">
        <v>1.0</v>
      </c>
      <c r="I488" s="116"/>
      <c r="J488" s="117"/>
      <c r="K488" s="118"/>
      <c r="L488" s="118"/>
      <c r="M488" s="119"/>
    </row>
    <row r="489">
      <c r="A489" s="93"/>
      <c r="B489" s="112">
        <v>82.0</v>
      </c>
      <c r="C489" s="113"/>
      <c r="D489" s="114">
        <v>244301.0</v>
      </c>
      <c r="E489" s="113" t="s">
        <v>2086</v>
      </c>
      <c r="F489" s="115" t="s">
        <v>2087</v>
      </c>
      <c r="H489" s="112">
        <v>1.0</v>
      </c>
      <c r="I489" s="116"/>
      <c r="J489" s="117"/>
      <c r="K489" s="118"/>
      <c r="L489" s="118"/>
      <c r="M489" s="119"/>
    </row>
    <row r="490">
      <c r="A490" s="93"/>
      <c r="B490" s="112">
        <v>83.0</v>
      </c>
      <c r="C490" s="113"/>
      <c r="D490" s="114">
        <v>244301.0</v>
      </c>
      <c r="E490" s="113" t="s">
        <v>38</v>
      </c>
      <c r="F490" s="115" t="s">
        <v>2088</v>
      </c>
      <c r="H490" s="112">
        <v>1.0</v>
      </c>
      <c r="I490" s="116"/>
      <c r="J490" s="117"/>
      <c r="K490" s="118"/>
      <c r="L490" s="118"/>
      <c r="M490" s="119"/>
    </row>
    <row r="491">
      <c r="A491" s="93"/>
      <c r="B491" s="112">
        <v>84.0</v>
      </c>
      <c r="C491" s="113"/>
      <c r="D491" s="114">
        <v>244301.0</v>
      </c>
      <c r="E491" s="113" t="s">
        <v>2089</v>
      </c>
      <c r="F491" s="115" t="s">
        <v>2090</v>
      </c>
      <c r="H491" s="112">
        <v>1.0</v>
      </c>
      <c r="I491" s="116"/>
      <c r="J491" s="117"/>
      <c r="K491" s="118"/>
      <c r="L491" s="118"/>
      <c r="M491" s="119"/>
    </row>
    <row r="492">
      <c r="A492" s="93"/>
      <c r="B492" s="112">
        <v>85.0</v>
      </c>
      <c r="C492" s="113"/>
      <c r="D492" s="114">
        <v>244301.0</v>
      </c>
      <c r="E492" s="113" t="s">
        <v>34</v>
      </c>
      <c r="F492" s="115" t="s">
        <v>2062</v>
      </c>
      <c r="H492" s="112">
        <v>1.0</v>
      </c>
      <c r="I492" s="116"/>
      <c r="J492" s="117"/>
      <c r="K492" s="118"/>
      <c r="L492" s="118"/>
      <c r="M492" s="119"/>
    </row>
    <row r="493">
      <c r="A493" s="93"/>
      <c r="B493" s="112">
        <v>86.0</v>
      </c>
      <c r="C493" s="113"/>
      <c r="D493" s="114">
        <v>244301.0</v>
      </c>
      <c r="E493" s="113" t="s">
        <v>101</v>
      </c>
      <c r="F493" s="115" t="s">
        <v>2063</v>
      </c>
      <c r="H493" s="112">
        <v>1.0</v>
      </c>
      <c r="I493" s="116"/>
      <c r="J493" s="117"/>
      <c r="K493" s="118"/>
      <c r="L493" s="118"/>
      <c r="M493" s="119"/>
    </row>
    <row r="494">
      <c r="A494" s="93"/>
      <c r="B494" s="112">
        <v>87.0</v>
      </c>
      <c r="C494" s="113"/>
      <c r="D494" s="114">
        <v>244301.0</v>
      </c>
      <c r="E494" s="113" t="s">
        <v>95</v>
      </c>
      <c r="F494" s="115" t="s">
        <v>637</v>
      </c>
      <c r="H494" s="112">
        <v>1.0</v>
      </c>
      <c r="I494" s="116"/>
      <c r="J494" s="117"/>
      <c r="K494" s="118"/>
      <c r="L494" s="118"/>
      <c r="M494" s="119"/>
    </row>
    <row r="495">
      <c r="A495" s="93"/>
      <c r="B495" s="112">
        <v>88.0</v>
      </c>
      <c r="C495" s="113"/>
      <c r="D495" s="114">
        <v>244301.0</v>
      </c>
      <c r="E495" s="113" t="s">
        <v>111</v>
      </c>
      <c r="F495" s="115" t="s">
        <v>2091</v>
      </c>
      <c r="H495" s="112">
        <v>1.0</v>
      </c>
      <c r="I495" s="116"/>
      <c r="J495" s="117"/>
      <c r="K495" s="118"/>
      <c r="L495" s="118"/>
      <c r="M495" s="119"/>
    </row>
    <row r="496">
      <c r="A496" s="93"/>
      <c r="B496" s="112">
        <v>89.0</v>
      </c>
      <c r="C496" s="113"/>
      <c r="D496" s="114">
        <v>244301.0</v>
      </c>
      <c r="E496" s="113" t="s">
        <v>25</v>
      </c>
      <c r="F496" s="115" t="s">
        <v>2092</v>
      </c>
      <c r="H496" s="112">
        <v>1.0</v>
      </c>
      <c r="I496" s="116"/>
      <c r="J496" s="117"/>
      <c r="K496" s="118"/>
      <c r="L496" s="118"/>
      <c r="M496" s="119"/>
    </row>
    <row r="497">
      <c r="A497" s="93"/>
      <c r="B497" s="112">
        <v>90.0</v>
      </c>
      <c r="C497" s="113"/>
      <c r="D497" s="114">
        <v>244301.0</v>
      </c>
      <c r="E497" s="113" t="s">
        <v>25</v>
      </c>
      <c r="F497" s="115" t="s">
        <v>2092</v>
      </c>
      <c r="H497" s="112">
        <v>0.0</v>
      </c>
      <c r="I497" s="116"/>
      <c r="J497" s="117"/>
      <c r="K497" s="118"/>
      <c r="L497" s="118"/>
      <c r="M497" s="119"/>
    </row>
    <row r="498">
      <c r="A498" s="93"/>
      <c r="B498" s="112">
        <v>91.0</v>
      </c>
      <c r="C498" s="113"/>
      <c r="D498" s="114">
        <v>244301.0</v>
      </c>
      <c r="E498" s="113" t="s">
        <v>88</v>
      </c>
      <c r="F498" s="115" t="s">
        <v>2093</v>
      </c>
      <c r="H498" s="112">
        <v>1.0</v>
      </c>
      <c r="I498" s="116"/>
      <c r="J498" s="117"/>
      <c r="K498" s="118"/>
      <c r="L498" s="118"/>
      <c r="M498" s="119"/>
    </row>
    <row r="499">
      <c r="A499" s="93"/>
      <c r="B499" s="112">
        <v>92.0</v>
      </c>
      <c r="C499" s="113"/>
      <c r="D499" s="114">
        <v>244301.0</v>
      </c>
      <c r="E499" s="113" t="s">
        <v>144</v>
      </c>
      <c r="F499" s="115" t="s">
        <v>2053</v>
      </c>
      <c r="H499" s="112">
        <v>1.0</v>
      </c>
      <c r="I499" s="116"/>
      <c r="J499" s="117"/>
      <c r="K499" s="118"/>
      <c r="L499" s="118"/>
      <c r="M499" s="119"/>
    </row>
    <row r="500">
      <c r="A500" s="93"/>
      <c r="B500" s="112">
        <v>93.0</v>
      </c>
      <c r="C500" s="113"/>
      <c r="D500" s="114">
        <v>244303.0</v>
      </c>
      <c r="E500" s="113" t="s">
        <v>144</v>
      </c>
      <c r="F500" s="115" t="s">
        <v>2081</v>
      </c>
      <c r="H500" s="112">
        <v>1.0</v>
      </c>
      <c r="I500" s="116"/>
      <c r="J500" s="117"/>
      <c r="K500" s="118"/>
      <c r="L500" s="118"/>
      <c r="M500" s="119"/>
    </row>
    <row r="501">
      <c r="A501" s="93"/>
      <c r="B501" s="112">
        <v>94.0</v>
      </c>
      <c r="C501" s="113"/>
      <c r="D501" s="114">
        <v>244303.0</v>
      </c>
      <c r="E501" s="113" t="s">
        <v>64</v>
      </c>
      <c r="F501" s="115" t="s">
        <v>2094</v>
      </c>
      <c r="H501" s="112">
        <v>1.0</v>
      </c>
      <c r="I501" s="116"/>
      <c r="J501" s="117"/>
      <c r="K501" s="118"/>
      <c r="L501" s="118"/>
      <c r="M501" s="119"/>
    </row>
    <row r="502">
      <c r="A502" s="93"/>
      <c r="B502" s="112">
        <v>95.0</v>
      </c>
      <c r="C502" s="113"/>
      <c r="D502" s="114">
        <v>244303.0</v>
      </c>
      <c r="E502" s="113" t="s">
        <v>193</v>
      </c>
      <c r="F502" s="115" t="s">
        <v>275</v>
      </c>
      <c r="H502" s="112">
        <v>1.0</v>
      </c>
      <c r="I502" s="116"/>
      <c r="J502" s="117"/>
      <c r="K502" s="118"/>
      <c r="L502" s="118"/>
      <c r="M502" s="119"/>
    </row>
    <row r="503">
      <c r="A503" s="93"/>
      <c r="B503" s="112">
        <v>96.0</v>
      </c>
      <c r="C503" s="113"/>
      <c r="D503" s="114">
        <v>244303.0</v>
      </c>
      <c r="E503" s="113" t="s">
        <v>18</v>
      </c>
      <c r="F503" s="115" t="s">
        <v>2095</v>
      </c>
      <c r="H503" s="112">
        <v>1.0</v>
      </c>
      <c r="I503" s="116"/>
      <c r="J503" s="117"/>
      <c r="K503" s="118"/>
      <c r="L503" s="118"/>
      <c r="M503" s="119"/>
    </row>
    <row r="504">
      <c r="A504" s="93"/>
      <c r="B504" s="112">
        <v>97.0</v>
      </c>
      <c r="C504" s="113"/>
      <c r="D504" s="114">
        <v>244303.0</v>
      </c>
      <c r="E504" s="113" t="s">
        <v>232</v>
      </c>
      <c r="F504" s="115" t="s">
        <v>2095</v>
      </c>
      <c r="H504" s="112">
        <v>1.0</v>
      </c>
      <c r="I504" s="116"/>
      <c r="J504" s="117"/>
      <c r="K504" s="118"/>
      <c r="L504" s="118"/>
      <c r="M504" s="119"/>
    </row>
    <row r="505">
      <c r="A505" s="93"/>
      <c r="B505" s="112">
        <v>98.0</v>
      </c>
      <c r="C505" s="113"/>
      <c r="D505" s="114">
        <v>244303.0</v>
      </c>
      <c r="E505" s="113" t="s">
        <v>50</v>
      </c>
      <c r="F505" s="115" t="s">
        <v>2096</v>
      </c>
      <c r="H505" s="112">
        <v>1.0</v>
      </c>
      <c r="I505" s="116"/>
      <c r="J505" s="117"/>
      <c r="K505" s="118"/>
      <c r="L505" s="118"/>
      <c r="M505" s="119"/>
    </row>
    <row r="506">
      <c r="A506" s="93"/>
      <c r="B506" s="112">
        <v>99.0</v>
      </c>
      <c r="C506" s="113"/>
      <c r="D506" s="114">
        <v>244303.0</v>
      </c>
      <c r="E506" s="113" t="s">
        <v>42</v>
      </c>
      <c r="F506" s="115" t="s">
        <v>2052</v>
      </c>
      <c r="H506" s="112">
        <v>1.0</v>
      </c>
      <c r="I506" s="116"/>
      <c r="J506" s="117"/>
      <c r="K506" s="118"/>
      <c r="L506" s="118"/>
      <c r="M506" s="119"/>
    </row>
    <row r="507">
      <c r="A507" s="93"/>
      <c r="B507" s="112">
        <v>100.0</v>
      </c>
      <c r="C507" s="113"/>
      <c r="D507" s="114">
        <v>244303.0</v>
      </c>
      <c r="E507" s="113" t="s">
        <v>46</v>
      </c>
      <c r="F507" s="115" t="s">
        <v>2097</v>
      </c>
      <c r="H507" s="112">
        <v>1.0</v>
      </c>
      <c r="I507" s="116"/>
      <c r="J507" s="117"/>
      <c r="K507" s="118"/>
      <c r="L507" s="118"/>
      <c r="M507" s="119"/>
    </row>
    <row r="508">
      <c r="A508" s="93"/>
      <c r="B508" s="112">
        <v>101.0</v>
      </c>
      <c r="C508" s="113"/>
      <c r="D508" s="114">
        <v>244303.0</v>
      </c>
      <c r="E508" s="113" t="s">
        <v>95</v>
      </c>
      <c r="F508" s="115" t="s">
        <v>2098</v>
      </c>
      <c r="H508" s="112">
        <v>1.0</v>
      </c>
      <c r="I508" s="116"/>
      <c r="J508" s="117"/>
      <c r="K508" s="118"/>
      <c r="L508" s="118"/>
      <c r="M508" s="119"/>
    </row>
    <row r="509">
      <c r="A509" s="93"/>
      <c r="B509" s="112">
        <v>102.0</v>
      </c>
      <c r="C509" s="113"/>
      <c r="D509" s="114">
        <v>244303.0</v>
      </c>
      <c r="E509" s="113" t="s">
        <v>1471</v>
      </c>
      <c r="F509" s="115" t="s">
        <v>2098</v>
      </c>
      <c r="H509" s="112">
        <v>1.0</v>
      </c>
      <c r="I509" s="116"/>
      <c r="J509" s="117"/>
      <c r="K509" s="118"/>
      <c r="L509" s="118"/>
      <c r="M509" s="119"/>
    </row>
    <row r="510">
      <c r="A510" s="93"/>
      <c r="B510" s="112">
        <v>103.0</v>
      </c>
      <c r="C510" s="113"/>
      <c r="D510" s="114">
        <v>244304.0</v>
      </c>
      <c r="E510" s="113" t="s">
        <v>2099</v>
      </c>
      <c r="F510" s="115" t="s">
        <v>2100</v>
      </c>
      <c r="H510" s="112">
        <v>1.0</v>
      </c>
      <c r="I510" s="116"/>
      <c r="J510" s="117"/>
      <c r="K510" s="118"/>
      <c r="L510" s="118"/>
      <c r="M510" s="119"/>
    </row>
    <row r="511">
      <c r="A511" s="93"/>
      <c r="B511" s="112">
        <v>104.0</v>
      </c>
      <c r="C511" s="113"/>
      <c r="D511" s="114">
        <v>244304.0</v>
      </c>
      <c r="E511" s="113" t="s">
        <v>2101</v>
      </c>
      <c r="F511" s="115" t="s">
        <v>2102</v>
      </c>
      <c r="H511" s="112">
        <v>1.0</v>
      </c>
      <c r="I511" s="116"/>
      <c r="J511" s="117"/>
      <c r="K511" s="118"/>
      <c r="L511" s="118"/>
      <c r="M511" s="119"/>
    </row>
    <row r="512">
      <c r="A512" s="93"/>
      <c r="B512" s="112">
        <v>105.0</v>
      </c>
      <c r="C512" s="113"/>
      <c r="D512" s="114">
        <v>244304.0</v>
      </c>
      <c r="E512" s="113" t="s">
        <v>34</v>
      </c>
      <c r="F512" s="115" t="s">
        <v>2103</v>
      </c>
      <c r="H512" s="112">
        <v>2.0</v>
      </c>
      <c r="I512" s="116"/>
      <c r="J512" s="117"/>
      <c r="K512" s="118"/>
      <c r="L512" s="118"/>
      <c r="M512" s="119"/>
    </row>
    <row r="513">
      <c r="A513" s="93"/>
      <c r="B513" s="112">
        <v>106.0</v>
      </c>
      <c r="C513" s="113"/>
      <c r="D513" s="114">
        <v>244304.0</v>
      </c>
      <c r="E513" s="113" t="s">
        <v>193</v>
      </c>
      <c r="F513" s="115" t="s">
        <v>2104</v>
      </c>
      <c r="H513" s="112">
        <v>2.0</v>
      </c>
      <c r="I513" s="116"/>
      <c r="J513" s="117"/>
      <c r="K513" s="118"/>
      <c r="L513" s="118"/>
      <c r="M513" s="119"/>
    </row>
    <row r="514">
      <c r="A514" s="93"/>
      <c r="B514" s="112">
        <v>107.0</v>
      </c>
      <c r="C514" s="113"/>
      <c r="D514" s="114">
        <v>244304.0</v>
      </c>
      <c r="E514" s="113" t="s">
        <v>1359</v>
      </c>
      <c r="F514" s="115" t="s">
        <v>2105</v>
      </c>
      <c r="H514" s="112">
        <v>1.0</v>
      </c>
      <c r="I514" s="116"/>
      <c r="J514" s="117"/>
      <c r="K514" s="118"/>
      <c r="L514" s="118"/>
      <c r="M514" s="119"/>
    </row>
    <row r="515">
      <c r="A515" s="93"/>
      <c r="B515" s="112">
        <v>108.0</v>
      </c>
      <c r="C515" s="113"/>
      <c r="D515" s="114">
        <v>244304.0</v>
      </c>
      <c r="E515" s="113" t="s">
        <v>38</v>
      </c>
      <c r="F515" s="115" t="s">
        <v>2106</v>
      </c>
      <c r="H515" s="112">
        <v>1.0</v>
      </c>
      <c r="I515" s="116"/>
      <c r="J515" s="117"/>
      <c r="K515" s="118"/>
      <c r="L515" s="118"/>
      <c r="M515" s="119"/>
    </row>
    <row r="516">
      <c r="A516" s="93"/>
      <c r="B516" s="112">
        <v>109.0</v>
      </c>
      <c r="C516" s="113"/>
      <c r="D516" s="114">
        <v>244304.0</v>
      </c>
      <c r="E516" s="113" t="s">
        <v>2107</v>
      </c>
      <c r="F516" s="115" t="s">
        <v>2108</v>
      </c>
      <c r="H516" s="112">
        <v>1.0</v>
      </c>
      <c r="I516" s="116"/>
      <c r="J516" s="117"/>
      <c r="K516" s="118"/>
      <c r="L516" s="118"/>
      <c r="M516" s="119"/>
    </row>
    <row r="517">
      <c r="A517" s="93"/>
      <c r="B517" s="112">
        <v>110.0</v>
      </c>
      <c r="C517" s="113"/>
      <c r="D517" s="114">
        <v>244304.0</v>
      </c>
      <c r="E517" s="113" t="s">
        <v>42</v>
      </c>
      <c r="F517" s="115" t="s">
        <v>2057</v>
      </c>
      <c r="H517" s="112">
        <v>1.0</v>
      </c>
      <c r="I517" s="116"/>
      <c r="J517" s="117"/>
      <c r="K517" s="118"/>
      <c r="L517" s="118"/>
      <c r="M517" s="119"/>
    </row>
    <row r="518">
      <c r="A518" s="93"/>
      <c r="B518" s="112">
        <v>111.0</v>
      </c>
      <c r="C518" s="113"/>
      <c r="D518" s="114">
        <v>244305.0</v>
      </c>
      <c r="E518" s="113" t="s">
        <v>64</v>
      </c>
      <c r="F518" s="115" t="s">
        <v>2109</v>
      </c>
      <c r="H518" s="112">
        <v>1.0</v>
      </c>
      <c r="I518" s="116"/>
      <c r="J518" s="117"/>
      <c r="K518" s="118"/>
      <c r="L518" s="118"/>
      <c r="M518" s="119"/>
    </row>
    <row r="519">
      <c r="A519" s="93"/>
      <c r="B519" s="112">
        <v>112.0</v>
      </c>
      <c r="C519" s="113"/>
      <c r="D519" s="114">
        <v>244305.0</v>
      </c>
      <c r="E519" s="113" t="s">
        <v>335</v>
      </c>
      <c r="F519" s="115" t="s">
        <v>2110</v>
      </c>
      <c r="H519" s="112">
        <v>1.0</v>
      </c>
      <c r="I519" s="116"/>
      <c r="J519" s="117"/>
      <c r="K519" s="118"/>
      <c r="L519" s="118"/>
      <c r="M519" s="119"/>
    </row>
    <row r="520">
      <c r="A520" s="93"/>
      <c r="B520" s="112">
        <v>113.0</v>
      </c>
      <c r="C520" s="113"/>
      <c r="D520" s="114">
        <v>244305.0</v>
      </c>
      <c r="E520" s="113" t="s">
        <v>133</v>
      </c>
      <c r="F520" s="115" t="s">
        <v>2111</v>
      </c>
      <c r="H520" s="112">
        <v>1.0</v>
      </c>
      <c r="I520" s="116"/>
      <c r="J520" s="117"/>
      <c r="K520" s="118"/>
      <c r="L520" s="118"/>
      <c r="M520" s="119"/>
    </row>
    <row r="521">
      <c r="A521" s="93"/>
      <c r="B521" s="112">
        <v>114.0</v>
      </c>
      <c r="C521" s="113"/>
      <c r="D521" s="114">
        <v>244305.0</v>
      </c>
      <c r="E521" s="113" t="s">
        <v>144</v>
      </c>
      <c r="F521" s="115" t="s">
        <v>2111</v>
      </c>
      <c r="H521" s="112">
        <v>1.0</v>
      </c>
      <c r="I521" s="116"/>
      <c r="J521" s="117"/>
      <c r="K521" s="118"/>
      <c r="L521" s="118"/>
      <c r="M521" s="119"/>
    </row>
    <row r="522">
      <c r="A522" s="93"/>
      <c r="B522" s="112">
        <v>115.0</v>
      </c>
      <c r="C522" s="113"/>
      <c r="D522" s="114">
        <v>244305.0</v>
      </c>
      <c r="E522" s="113" t="s">
        <v>38</v>
      </c>
      <c r="F522" s="115" t="s">
        <v>165</v>
      </c>
      <c r="H522" s="112">
        <v>2.0</v>
      </c>
      <c r="I522" s="116"/>
      <c r="J522" s="117"/>
      <c r="K522" s="118"/>
      <c r="L522" s="118"/>
      <c r="M522" s="119"/>
    </row>
    <row r="523">
      <c r="A523" s="93"/>
      <c r="B523" s="112">
        <v>116.0</v>
      </c>
      <c r="C523" s="113"/>
      <c r="D523" s="114">
        <v>244305.0</v>
      </c>
      <c r="E523" s="113" t="s">
        <v>232</v>
      </c>
      <c r="F523" s="115" t="s">
        <v>471</v>
      </c>
      <c r="H523" s="112">
        <v>1.0</v>
      </c>
      <c r="I523" s="116"/>
      <c r="J523" s="117"/>
      <c r="K523" s="118"/>
      <c r="L523" s="118"/>
      <c r="M523" s="119"/>
    </row>
    <row r="524">
      <c r="A524" s="93"/>
      <c r="B524" s="112">
        <v>117.0</v>
      </c>
      <c r="C524" s="113"/>
      <c r="D524" s="114">
        <v>244305.0</v>
      </c>
      <c r="E524" s="113" t="s">
        <v>18</v>
      </c>
      <c r="F524" s="115" t="s">
        <v>400</v>
      </c>
      <c r="H524" s="112">
        <v>1.0</v>
      </c>
      <c r="I524" s="116"/>
      <c r="J524" s="117"/>
      <c r="K524" s="118"/>
      <c r="L524" s="118"/>
      <c r="M524" s="119"/>
    </row>
    <row r="525">
      <c r="A525" s="109"/>
      <c r="B525" s="112">
        <v>118.0</v>
      </c>
      <c r="C525" s="113"/>
      <c r="D525" s="114">
        <v>244305.0</v>
      </c>
      <c r="E525" s="113" t="s">
        <v>1359</v>
      </c>
      <c r="F525" s="115" t="s">
        <v>400</v>
      </c>
      <c r="H525" s="112">
        <v>1.0</v>
      </c>
      <c r="I525" s="116"/>
      <c r="J525" s="117"/>
      <c r="K525" s="118"/>
      <c r="L525" s="118"/>
      <c r="M525" s="119"/>
    </row>
    <row r="526">
      <c r="A526" s="109"/>
      <c r="B526" s="112">
        <v>119.0</v>
      </c>
      <c r="C526" s="113"/>
      <c r="D526" s="114">
        <v>244305.0</v>
      </c>
      <c r="E526" s="113" t="s">
        <v>588</v>
      </c>
      <c r="F526" s="115" t="s">
        <v>2112</v>
      </c>
      <c r="H526" s="112">
        <v>1.0</v>
      </c>
      <c r="I526" s="116"/>
      <c r="J526" s="117"/>
      <c r="K526" s="118"/>
      <c r="L526" s="118"/>
      <c r="M526" s="119"/>
    </row>
    <row r="527">
      <c r="A527" s="109"/>
      <c r="B527" s="112">
        <v>120.0</v>
      </c>
      <c r="C527" s="113"/>
      <c r="D527" s="114">
        <v>244305.0</v>
      </c>
      <c r="E527" s="113" t="s">
        <v>579</v>
      </c>
      <c r="F527" s="115" t="s">
        <v>2113</v>
      </c>
      <c r="H527" s="112">
        <v>1.0</v>
      </c>
      <c r="I527" s="116"/>
      <c r="J527" s="117"/>
      <c r="K527" s="118"/>
      <c r="L527" s="118"/>
      <c r="M527" s="119"/>
    </row>
    <row r="528">
      <c r="A528" s="109"/>
      <c r="B528" s="112">
        <v>121.0</v>
      </c>
      <c r="C528" s="113"/>
      <c r="D528" s="114">
        <v>244305.0</v>
      </c>
      <c r="E528" s="113" t="s">
        <v>42</v>
      </c>
      <c r="F528" s="115" t="s">
        <v>2114</v>
      </c>
      <c r="H528" s="112">
        <v>1.0</v>
      </c>
      <c r="I528" s="116"/>
      <c r="J528" s="117"/>
      <c r="K528" s="118"/>
      <c r="L528" s="118"/>
      <c r="M528" s="119"/>
    </row>
    <row r="529">
      <c r="A529" s="109"/>
      <c r="B529" s="112">
        <v>122.0</v>
      </c>
      <c r="C529" s="113"/>
      <c r="D529" s="114">
        <v>244306.0</v>
      </c>
      <c r="E529" s="113" t="s">
        <v>193</v>
      </c>
      <c r="F529" s="115" t="s">
        <v>2115</v>
      </c>
      <c r="H529" s="112">
        <v>1.0</v>
      </c>
      <c r="I529" s="116"/>
      <c r="J529" s="117"/>
      <c r="K529" s="118"/>
      <c r="L529" s="118"/>
      <c r="M529" s="119"/>
    </row>
    <row r="530">
      <c r="A530" s="109"/>
      <c r="B530" s="112">
        <v>123.0</v>
      </c>
      <c r="C530" s="113"/>
      <c r="D530" s="114">
        <v>244306.0</v>
      </c>
      <c r="E530" s="113" t="s">
        <v>34</v>
      </c>
      <c r="F530" s="115" t="s">
        <v>2116</v>
      </c>
      <c r="H530" s="112">
        <v>1.0</v>
      </c>
      <c r="I530" s="116"/>
      <c r="J530" s="117"/>
      <c r="K530" s="118"/>
      <c r="L530" s="118"/>
      <c r="M530" s="119"/>
    </row>
    <row r="531">
      <c r="A531" s="109"/>
      <c r="B531" s="112">
        <v>124.0</v>
      </c>
      <c r="C531" s="113"/>
      <c r="D531" s="114">
        <v>244306.0</v>
      </c>
      <c r="E531" s="113" t="s">
        <v>18</v>
      </c>
      <c r="F531" s="115" t="s">
        <v>2117</v>
      </c>
      <c r="H531" s="112">
        <v>1.0</v>
      </c>
      <c r="I531" s="116"/>
      <c r="J531" s="117"/>
      <c r="K531" s="118"/>
      <c r="L531" s="118"/>
      <c r="M531" s="119"/>
    </row>
    <row r="532">
      <c r="A532" s="109"/>
      <c r="B532" s="112">
        <v>125.0</v>
      </c>
      <c r="C532" s="113"/>
      <c r="D532" s="114">
        <v>244306.0</v>
      </c>
      <c r="E532" s="113" t="s">
        <v>18</v>
      </c>
      <c r="F532" s="115" t="s">
        <v>2117</v>
      </c>
      <c r="H532" s="112">
        <v>1.0</v>
      </c>
      <c r="I532" s="116"/>
      <c r="J532" s="117"/>
      <c r="K532" s="118"/>
      <c r="L532" s="118"/>
      <c r="M532" s="119"/>
    </row>
    <row r="533">
      <c r="A533" s="109"/>
      <c r="B533" s="112">
        <v>126.0</v>
      </c>
      <c r="C533" s="113"/>
      <c r="D533" s="114">
        <v>244306.0</v>
      </c>
      <c r="E533" s="113" t="s">
        <v>232</v>
      </c>
      <c r="F533" s="115" t="s">
        <v>2118</v>
      </c>
      <c r="H533" s="112">
        <v>1.0</v>
      </c>
      <c r="I533" s="116"/>
      <c r="J533" s="117"/>
      <c r="K533" s="118"/>
      <c r="L533" s="118"/>
      <c r="M533" s="119"/>
    </row>
    <row r="534">
      <c r="A534" s="109"/>
      <c r="B534" s="112">
        <v>127.0</v>
      </c>
      <c r="C534" s="113"/>
      <c r="D534" s="114">
        <v>244306.0</v>
      </c>
      <c r="E534" s="113" t="s">
        <v>64</v>
      </c>
      <c r="F534" s="115" t="s">
        <v>2118</v>
      </c>
      <c r="H534" s="112">
        <v>1.0</v>
      </c>
      <c r="I534" s="116"/>
      <c r="J534" s="117"/>
      <c r="K534" s="118"/>
      <c r="L534" s="118"/>
      <c r="M534" s="119"/>
    </row>
    <row r="535">
      <c r="A535" s="109"/>
      <c r="B535" s="112">
        <v>128.0</v>
      </c>
      <c r="C535" s="113"/>
      <c r="D535" s="114">
        <v>244306.0</v>
      </c>
      <c r="E535" s="113" t="s">
        <v>144</v>
      </c>
      <c r="F535" s="115" t="s">
        <v>2057</v>
      </c>
      <c r="H535" s="112">
        <v>1.0</v>
      </c>
      <c r="I535" s="116"/>
      <c r="J535" s="117"/>
      <c r="K535" s="118"/>
      <c r="L535" s="118"/>
      <c r="M535" s="119"/>
    </row>
    <row r="536">
      <c r="A536" s="109"/>
      <c r="B536" s="112">
        <v>129.0</v>
      </c>
      <c r="C536" s="113"/>
      <c r="D536" s="114">
        <v>244306.0</v>
      </c>
      <c r="E536" s="113" t="s">
        <v>1387</v>
      </c>
      <c r="F536" s="115" t="s">
        <v>275</v>
      </c>
      <c r="H536" s="112">
        <v>1.0</v>
      </c>
      <c r="I536" s="116"/>
      <c r="J536" s="117"/>
      <c r="K536" s="118"/>
      <c r="L536" s="118"/>
      <c r="M536" s="119"/>
    </row>
    <row r="537">
      <c r="A537" s="109"/>
      <c r="B537" s="112">
        <v>130.0</v>
      </c>
      <c r="C537" s="113"/>
      <c r="D537" s="114">
        <v>244307.0</v>
      </c>
      <c r="E537" s="113" t="s">
        <v>30</v>
      </c>
      <c r="F537" s="115" t="s">
        <v>2119</v>
      </c>
      <c r="H537" s="112">
        <v>1.0</v>
      </c>
      <c r="I537" s="116"/>
      <c r="J537" s="117"/>
      <c r="K537" s="118"/>
      <c r="L537" s="118"/>
      <c r="M537" s="119"/>
    </row>
    <row r="538">
      <c r="A538" s="109"/>
      <c r="B538" s="112">
        <v>131.0</v>
      </c>
      <c r="C538" s="113"/>
      <c r="D538" s="114">
        <v>244307.0</v>
      </c>
      <c r="E538" s="113" t="s">
        <v>42</v>
      </c>
      <c r="F538" s="115" t="s">
        <v>2120</v>
      </c>
      <c r="H538" s="112">
        <v>1.0</v>
      </c>
      <c r="I538" s="116"/>
      <c r="J538" s="117"/>
      <c r="K538" s="118"/>
      <c r="L538" s="118"/>
      <c r="M538" s="119"/>
    </row>
    <row r="539">
      <c r="A539" s="109"/>
      <c r="B539" s="112">
        <v>132.0</v>
      </c>
      <c r="C539" s="113"/>
      <c r="D539" s="114">
        <v>244307.0</v>
      </c>
      <c r="E539" s="113" t="s">
        <v>46</v>
      </c>
      <c r="F539" s="115" t="s">
        <v>2121</v>
      </c>
      <c r="H539" s="112">
        <v>1.0</v>
      </c>
      <c r="I539" s="116"/>
      <c r="J539" s="117"/>
      <c r="K539" s="118"/>
      <c r="L539" s="118"/>
      <c r="M539" s="119"/>
    </row>
    <row r="540">
      <c r="A540" s="109"/>
      <c r="B540" s="112">
        <v>133.0</v>
      </c>
      <c r="C540" s="113"/>
      <c r="D540" s="114">
        <v>244307.0</v>
      </c>
      <c r="E540" s="113" t="s">
        <v>80</v>
      </c>
      <c r="F540" s="115" t="s">
        <v>2122</v>
      </c>
      <c r="H540" s="112">
        <v>1.0</v>
      </c>
      <c r="I540" s="116"/>
      <c r="J540" s="117"/>
      <c r="K540" s="118"/>
      <c r="L540" s="118"/>
      <c r="M540" s="119"/>
    </row>
    <row r="541">
      <c r="A541" s="109"/>
      <c r="B541" s="112">
        <v>134.0</v>
      </c>
      <c r="C541" s="113"/>
      <c r="D541" s="114">
        <v>244307.0</v>
      </c>
      <c r="E541" s="113" t="s">
        <v>50</v>
      </c>
      <c r="F541" s="115" t="s">
        <v>469</v>
      </c>
      <c r="H541" s="112">
        <v>1.0</v>
      </c>
      <c r="I541" s="116"/>
      <c r="J541" s="117"/>
      <c r="K541" s="118"/>
      <c r="L541" s="118"/>
      <c r="M541" s="119"/>
    </row>
    <row r="542">
      <c r="A542" s="109"/>
      <c r="B542" s="112">
        <v>135.0</v>
      </c>
      <c r="C542" s="113"/>
      <c r="D542" s="114">
        <v>244307.0</v>
      </c>
      <c r="E542" s="113" t="s">
        <v>144</v>
      </c>
      <c r="F542" s="115" t="s">
        <v>2123</v>
      </c>
      <c r="H542" s="112">
        <v>1.0</v>
      </c>
      <c r="I542" s="116"/>
      <c r="J542" s="117"/>
      <c r="K542" s="118"/>
      <c r="L542" s="118"/>
      <c r="M542" s="119"/>
    </row>
    <row r="543">
      <c r="A543" s="109"/>
      <c r="B543" s="112">
        <v>136.0</v>
      </c>
      <c r="C543" s="113"/>
      <c r="D543" s="114">
        <v>244307.0</v>
      </c>
      <c r="E543" s="113" t="s">
        <v>193</v>
      </c>
      <c r="F543" s="115" t="s">
        <v>2078</v>
      </c>
      <c r="H543" s="112">
        <v>1.0</v>
      </c>
      <c r="I543" s="116"/>
      <c r="J543" s="117"/>
      <c r="K543" s="118"/>
      <c r="L543" s="118"/>
      <c r="M543" s="119"/>
    </row>
    <row r="544">
      <c r="A544" s="109"/>
      <c r="B544" s="112">
        <v>137.0</v>
      </c>
      <c r="C544" s="113"/>
      <c r="D544" s="114">
        <v>244307.0</v>
      </c>
      <c r="E544" s="113" t="s">
        <v>111</v>
      </c>
      <c r="F544" s="115" t="s">
        <v>366</v>
      </c>
      <c r="H544" s="112">
        <v>1.0</v>
      </c>
      <c r="I544" s="116"/>
      <c r="J544" s="117"/>
      <c r="K544" s="118"/>
      <c r="L544" s="118"/>
      <c r="M544" s="119"/>
    </row>
    <row r="545">
      <c r="A545" s="109"/>
      <c r="B545" s="112">
        <v>138.0</v>
      </c>
      <c r="C545" s="113"/>
      <c r="D545" s="114">
        <v>244307.0</v>
      </c>
      <c r="E545" s="113" t="s">
        <v>133</v>
      </c>
      <c r="F545" s="115" t="s">
        <v>2124</v>
      </c>
      <c r="H545" s="112">
        <v>1.0</v>
      </c>
      <c r="I545" s="116"/>
      <c r="J545" s="117"/>
      <c r="K545" s="118"/>
      <c r="L545" s="118"/>
      <c r="M545" s="119"/>
    </row>
    <row r="546">
      <c r="A546" s="109"/>
      <c r="B546" s="112">
        <v>139.0</v>
      </c>
      <c r="C546" s="113"/>
      <c r="D546" s="114">
        <v>244308.0</v>
      </c>
      <c r="E546" s="113" t="s">
        <v>50</v>
      </c>
      <c r="F546" s="115" t="s">
        <v>2125</v>
      </c>
      <c r="H546" s="112">
        <v>1.0</v>
      </c>
      <c r="I546" s="116"/>
      <c r="J546" s="117"/>
      <c r="K546" s="118"/>
      <c r="L546" s="118"/>
      <c r="M546" s="119"/>
    </row>
    <row r="547">
      <c r="A547" s="109"/>
      <c r="B547" s="112">
        <v>140.0</v>
      </c>
      <c r="C547" s="113"/>
      <c r="D547" s="114">
        <v>244308.0</v>
      </c>
      <c r="E547" s="113" t="s">
        <v>46</v>
      </c>
      <c r="F547" s="115" t="s">
        <v>2125</v>
      </c>
      <c r="H547" s="112">
        <v>1.0</v>
      </c>
      <c r="I547" s="116"/>
      <c r="J547" s="117"/>
      <c r="K547" s="118"/>
      <c r="L547" s="118"/>
      <c r="M547" s="119"/>
    </row>
    <row r="548">
      <c r="A548" s="109"/>
      <c r="B548" s="112">
        <v>141.0</v>
      </c>
      <c r="C548" s="113"/>
      <c r="D548" s="114">
        <v>244308.0</v>
      </c>
      <c r="E548" s="113" t="s">
        <v>42</v>
      </c>
      <c r="F548" s="115" t="s">
        <v>2120</v>
      </c>
      <c r="H548" s="112">
        <v>1.0</v>
      </c>
      <c r="I548" s="116"/>
      <c r="J548" s="117"/>
      <c r="K548" s="118"/>
      <c r="L548" s="118"/>
      <c r="M548" s="119"/>
    </row>
    <row r="549">
      <c r="A549" s="109"/>
      <c r="B549" s="112">
        <v>142.0</v>
      </c>
      <c r="C549" s="113"/>
      <c r="D549" s="114">
        <v>244308.0</v>
      </c>
      <c r="E549" s="113" t="s">
        <v>80</v>
      </c>
      <c r="F549" s="115" t="s">
        <v>2126</v>
      </c>
      <c r="H549" s="112">
        <v>1.0</v>
      </c>
      <c r="I549" s="116"/>
      <c r="J549" s="117"/>
      <c r="K549" s="118"/>
      <c r="L549" s="118"/>
      <c r="M549" s="119"/>
    </row>
    <row r="550">
      <c r="A550" s="109"/>
      <c r="B550" s="112">
        <v>143.0</v>
      </c>
      <c r="C550" s="113"/>
      <c r="D550" s="114">
        <v>244308.0</v>
      </c>
      <c r="E550" s="113" t="s">
        <v>38</v>
      </c>
      <c r="F550" s="115" t="s">
        <v>2127</v>
      </c>
      <c r="H550" s="112">
        <v>1.0</v>
      </c>
      <c r="I550" s="116"/>
      <c r="J550" s="117"/>
      <c r="K550" s="118"/>
      <c r="L550" s="118"/>
      <c r="M550" s="119"/>
    </row>
    <row r="551">
      <c r="A551" s="109"/>
      <c r="B551" s="112">
        <v>144.0</v>
      </c>
      <c r="C551" s="113"/>
      <c r="D551" s="114">
        <v>244309.0</v>
      </c>
      <c r="E551" s="113" t="s">
        <v>144</v>
      </c>
      <c r="F551" s="115" t="s">
        <v>2128</v>
      </c>
      <c r="H551" s="112">
        <v>1.0</v>
      </c>
      <c r="I551" s="116"/>
      <c r="J551" s="117"/>
      <c r="K551" s="118"/>
      <c r="L551" s="118"/>
      <c r="M551" s="119"/>
    </row>
    <row r="552">
      <c r="A552" s="109"/>
      <c r="B552" s="112">
        <v>145.0</v>
      </c>
      <c r="C552" s="113"/>
      <c r="D552" s="114">
        <v>244309.0</v>
      </c>
      <c r="E552" s="113" t="s">
        <v>50</v>
      </c>
      <c r="F552" s="115" t="s">
        <v>637</v>
      </c>
      <c r="H552" s="112">
        <v>1.0</v>
      </c>
      <c r="I552" s="116"/>
      <c r="J552" s="117"/>
      <c r="K552" s="118"/>
      <c r="L552" s="118"/>
      <c r="M552" s="119"/>
    </row>
    <row r="553">
      <c r="A553" s="109"/>
      <c r="B553" s="112">
        <v>146.0</v>
      </c>
      <c r="C553" s="113"/>
      <c r="D553" s="114">
        <v>244309.0</v>
      </c>
      <c r="E553" s="113" t="s">
        <v>133</v>
      </c>
      <c r="F553" s="115" t="s">
        <v>2129</v>
      </c>
      <c r="H553" s="112">
        <v>1.0</v>
      </c>
      <c r="I553" s="116"/>
      <c r="J553" s="117"/>
      <c r="K553" s="118"/>
      <c r="L553" s="118"/>
      <c r="M553" s="119"/>
    </row>
    <row r="554">
      <c r="A554" s="109"/>
      <c r="B554" s="112">
        <v>147.0</v>
      </c>
      <c r="C554" s="113"/>
      <c r="D554" s="114">
        <v>244309.0</v>
      </c>
      <c r="E554" s="113" t="s">
        <v>46</v>
      </c>
      <c r="F554" s="115" t="s">
        <v>2130</v>
      </c>
      <c r="H554" s="112">
        <v>1.0</v>
      </c>
      <c r="I554" s="116"/>
      <c r="J554" s="117"/>
      <c r="K554" s="118"/>
      <c r="L554" s="118"/>
      <c r="M554" s="119"/>
    </row>
    <row r="555">
      <c r="A555" s="109"/>
      <c r="B555" s="112">
        <v>148.0</v>
      </c>
      <c r="C555" s="113"/>
      <c r="D555" s="114">
        <v>244309.0</v>
      </c>
      <c r="E555" s="113" t="s">
        <v>54</v>
      </c>
      <c r="F555" s="115" t="s">
        <v>2115</v>
      </c>
      <c r="H555" s="112">
        <v>1.0</v>
      </c>
      <c r="I555" s="116"/>
      <c r="J555" s="117"/>
      <c r="K555" s="118"/>
      <c r="L555" s="118"/>
      <c r="M555" s="119"/>
    </row>
    <row r="556">
      <c r="A556" s="109"/>
      <c r="B556" s="112">
        <v>149.0</v>
      </c>
      <c r="C556" s="113"/>
      <c r="D556" s="114">
        <v>244310.0</v>
      </c>
      <c r="E556" s="113" t="s">
        <v>46</v>
      </c>
      <c r="F556" s="115" t="s">
        <v>2131</v>
      </c>
      <c r="H556" s="112">
        <v>1.0</v>
      </c>
      <c r="I556" s="116"/>
      <c r="J556" s="117"/>
      <c r="K556" s="118"/>
      <c r="L556" s="118"/>
      <c r="M556" s="119"/>
    </row>
    <row r="557">
      <c r="A557" s="109"/>
      <c r="B557" s="112">
        <v>150.0</v>
      </c>
      <c r="C557" s="113"/>
      <c r="D557" s="114">
        <v>244310.0</v>
      </c>
      <c r="E557" s="113" t="s">
        <v>95</v>
      </c>
      <c r="F557" s="115" t="s">
        <v>2132</v>
      </c>
      <c r="H557" s="112">
        <v>2.0</v>
      </c>
      <c r="I557" s="116"/>
      <c r="J557" s="117"/>
      <c r="K557" s="118"/>
      <c r="L557" s="118"/>
      <c r="M557" s="119"/>
    </row>
    <row r="558">
      <c r="A558" s="109"/>
      <c r="B558" s="112">
        <v>151.0</v>
      </c>
      <c r="C558" s="113"/>
      <c r="D558" s="114">
        <v>244310.0</v>
      </c>
      <c r="E558" s="113" t="s">
        <v>133</v>
      </c>
      <c r="F558" s="115" t="s">
        <v>2133</v>
      </c>
      <c r="H558" s="112">
        <v>1.0</v>
      </c>
      <c r="I558" s="116"/>
      <c r="J558" s="117"/>
      <c r="K558" s="118"/>
      <c r="L558" s="118"/>
      <c r="M558" s="119"/>
    </row>
    <row r="559">
      <c r="A559" s="109"/>
      <c r="B559" s="112">
        <v>152.0</v>
      </c>
      <c r="C559" s="113"/>
      <c r="D559" s="114">
        <v>244310.0</v>
      </c>
      <c r="E559" s="113" t="s">
        <v>54</v>
      </c>
      <c r="F559" s="115" t="s">
        <v>2134</v>
      </c>
      <c r="H559" s="112">
        <v>1.0</v>
      </c>
      <c r="I559" s="116"/>
      <c r="J559" s="117"/>
      <c r="K559" s="118"/>
      <c r="L559" s="118"/>
      <c r="M559" s="119"/>
    </row>
    <row r="560">
      <c r="A560" s="109"/>
      <c r="B560" s="112">
        <v>153.0</v>
      </c>
      <c r="C560" s="113"/>
      <c r="D560" s="114">
        <v>244310.0</v>
      </c>
      <c r="E560" s="113" t="s">
        <v>25</v>
      </c>
      <c r="F560" s="115" t="s">
        <v>2135</v>
      </c>
      <c r="H560" s="112">
        <v>1.0</v>
      </c>
      <c r="I560" s="116"/>
      <c r="J560" s="117"/>
      <c r="K560" s="118"/>
      <c r="L560" s="118"/>
      <c r="M560" s="119"/>
    </row>
    <row r="561">
      <c r="A561" s="109"/>
      <c r="B561" s="112">
        <v>154.0</v>
      </c>
      <c r="C561" s="113"/>
      <c r="D561" s="114">
        <v>244310.0</v>
      </c>
      <c r="E561" s="113" t="s">
        <v>193</v>
      </c>
      <c r="F561" s="115" t="s">
        <v>2136</v>
      </c>
      <c r="H561" s="112">
        <v>1.0</v>
      </c>
      <c r="I561" s="116"/>
      <c r="J561" s="117"/>
      <c r="K561" s="118"/>
      <c r="L561" s="118"/>
      <c r="M561" s="119"/>
    </row>
    <row r="562">
      <c r="A562" s="109"/>
      <c r="B562" s="112">
        <v>155.0</v>
      </c>
      <c r="C562" s="113"/>
      <c r="D562" s="114">
        <v>244310.0</v>
      </c>
      <c r="E562" s="113" t="s">
        <v>42</v>
      </c>
      <c r="F562" s="115" t="s">
        <v>2120</v>
      </c>
      <c r="H562" s="112">
        <v>1.0</v>
      </c>
      <c r="I562" s="116"/>
      <c r="J562" s="117"/>
      <c r="K562" s="118"/>
      <c r="L562" s="118"/>
      <c r="M562" s="119"/>
    </row>
    <row r="563">
      <c r="A563" s="109"/>
      <c r="B563" s="112">
        <v>156.0</v>
      </c>
      <c r="C563" s="113"/>
      <c r="D563" s="114">
        <v>244310.0</v>
      </c>
      <c r="E563" s="113" t="s">
        <v>42</v>
      </c>
      <c r="F563" s="115" t="s">
        <v>2120</v>
      </c>
      <c r="H563" s="112">
        <v>1.0</v>
      </c>
      <c r="I563" s="116"/>
      <c r="J563" s="117"/>
      <c r="K563" s="118"/>
      <c r="L563" s="118"/>
      <c r="M563" s="119"/>
    </row>
    <row r="564">
      <c r="A564" s="109"/>
      <c r="B564" s="112">
        <v>157.0</v>
      </c>
      <c r="C564" s="113"/>
      <c r="D564" s="114">
        <v>244313.0</v>
      </c>
      <c r="E564" s="113" t="s">
        <v>95</v>
      </c>
      <c r="F564" s="115" t="s">
        <v>2137</v>
      </c>
      <c r="H564" s="112">
        <v>1.0</v>
      </c>
      <c r="I564" s="116"/>
      <c r="J564" s="117"/>
      <c r="K564" s="118"/>
      <c r="L564" s="118"/>
      <c r="M564" s="119"/>
    </row>
    <row r="565">
      <c r="A565" s="109"/>
      <c r="B565" s="112">
        <v>158.0</v>
      </c>
      <c r="C565" s="113"/>
      <c r="D565" s="114">
        <v>244313.0</v>
      </c>
      <c r="E565" s="113" t="s">
        <v>80</v>
      </c>
      <c r="F565" s="115" t="s">
        <v>2138</v>
      </c>
      <c r="H565" s="112">
        <v>1.0</v>
      </c>
      <c r="I565" s="116"/>
      <c r="J565" s="117"/>
      <c r="K565" s="118"/>
      <c r="L565" s="118"/>
      <c r="M565" s="119"/>
    </row>
    <row r="566">
      <c r="A566" s="109"/>
      <c r="B566" s="112">
        <v>159.0</v>
      </c>
      <c r="C566" s="113"/>
      <c r="D566" s="114">
        <v>244313.0</v>
      </c>
      <c r="E566" s="113" t="s">
        <v>60</v>
      </c>
      <c r="F566" s="115" t="s">
        <v>2139</v>
      </c>
      <c r="H566" s="112">
        <v>1.0</v>
      </c>
      <c r="I566" s="116"/>
      <c r="J566" s="117"/>
      <c r="K566" s="118"/>
      <c r="L566" s="118"/>
      <c r="M566" s="119"/>
    </row>
    <row r="567">
      <c r="A567" s="109"/>
      <c r="B567" s="112">
        <v>160.0</v>
      </c>
      <c r="C567" s="113"/>
      <c r="D567" s="114">
        <v>244313.0</v>
      </c>
      <c r="E567" s="113" t="s">
        <v>46</v>
      </c>
      <c r="F567" s="115" t="s">
        <v>2140</v>
      </c>
      <c r="H567" s="112">
        <v>1.0</v>
      </c>
      <c r="I567" s="116"/>
      <c r="J567" s="117"/>
      <c r="K567" s="118"/>
      <c r="L567" s="118"/>
      <c r="M567" s="119"/>
    </row>
    <row r="568">
      <c r="A568" s="109"/>
      <c r="B568" s="112">
        <v>161.0</v>
      </c>
      <c r="C568" s="113"/>
      <c r="D568" s="114">
        <v>244313.0</v>
      </c>
      <c r="E568" s="113" t="s">
        <v>42</v>
      </c>
      <c r="F568" s="115" t="s">
        <v>2141</v>
      </c>
      <c r="H568" s="112">
        <v>1.0</v>
      </c>
      <c r="I568" s="116"/>
      <c r="J568" s="117"/>
      <c r="K568" s="118"/>
      <c r="L568" s="118"/>
      <c r="M568" s="119"/>
    </row>
    <row r="569">
      <c r="A569" s="109"/>
      <c r="B569" s="112">
        <v>162.0</v>
      </c>
      <c r="C569" s="113"/>
      <c r="D569" s="114">
        <v>244313.0</v>
      </c>
      <c r="E569" s="113" t="s">
        <v>124</v>
      </c>
      <c r="F569" s="115" t="s">
        <v>2142</v>
      </c>
      <c r="H569" s="112">
        <v>1.0</v>
      </c>
      <c r="I569" s="116"/>
      <c r="J569" s="117"/>
      <c r="K569" s="118"/>
      <c r="L569" s="118"/>
      <c r="M569" s="119"/>
    </row>
    <row r="570">
      <c r="A570" s="109"/>
      <c r="B570" s="112">
        <v>163.0</v>
      </c>
      <c r="C570" s="113"/>
      <c r="D570" s="114">
        <v>244313.0</v>
      </c>
      <c r="E570" s="113" t="s">
        <v>54</v>
      </c>
      <c r="F570" s="115" t="s">
        <v>637</v>
      </c>
      <c r="H570" s="112">
        <v>1.0</v>
      </c>
      <c r="I570" s="116"/>
      <c r="J570" s="117"/>
      <c r="K570" s="118"/>
      <c r="L570" s="118"/>
      <c r="M570" s="119"/>
    </row>
    <row r="571">
      <c r="A571" s="109"/>
      <c r="B571" s="112">
        <v>164.0</v>
      </c>
      <c r="C571" s="113"/>
      <c r="D571" s="114">
        <v>244313.0</v>
      </c>
      <c r="E571" s="113" t="s">
        <v>144</v>
      </c>
      <c r="F571" s="115" t="s">
        <v>2127</v>
      </c>
      <c r="H571" s="112">
        <v>1.0</v>
      </c>
      <c r="I571" s="116"/>
      <c r="J571" s="117"/>
      <c r="K571" s="118"/>
      <c r="L571" s="118"/>
      <c r="M571" s="119"/>
    </row>
    <row r="572">
      <c r="A572" s="109"/>
      <c r="B572" s="112">
        <v>165.0</v>
      </c>
      <c r="C572" s="113"/>
      <c r="D572" s="114">
        <v>244314.0</v>
      </c>
      <c r="E572" s="113" t="s">
        <v>50</v>
      </c>
      <c r="F572" s="115" t="s">
        <v>2143</v>
      </c>
      <c r="H572" s="112">
        <v>1.0</v>
      </c>
      <c r="I572" s="116"/>
      <c r="J572" s="117"/>
      <c r="K572" s="118"/>
      <c r="L572" s="118"/>
      <c r="M572" s="119"/>
    </row>
    <row r="573">
      <c r="A573" s="109"/>
      <c r="B573" s="112">
        <v>166.0</v>
      </c>
      <c r="C573" s="113"/>
      <c r="D573" s="114">
        <v>244315.0</v>
      </c>
      <c r="E573" s="115" t="s">
        <v>42</v>
      </c>
      <c r="F573" s="115" t="s">
        <v>2120</v>
      </c>
      <c r="H573" s="115">
        <v>1.0</v>
      </c>
      <c r="I573" s="120"/>
      <c r="J573" s="120"/>
      <c r="K573" s="120"/>
      <c r="L573" s="120"/>
      <c r="M573" s="120"/>
    </row>
    <row r="574">
      <c r="A574" s="109"/>
      <c r="B574" s="112">
        <v>167.0</v>
      </c>
      <c r="C574" s="113"/>
      <c r="D574" s="114">
        <v>244315.0</v>
      </c>
      <c r="E574" s="115" t="s">
        <v>124</v>
      </c>
      <c r="F574" s="115" t="s">
        <v>2144</v>
      </c>
      <c r="H574" s="115">
        <v>1.0</v>
      </c>
      <c r="I574" s="120"/>
      <c r="J574" s="120"/>
      <c r="K574" s="120"/>
      <c r="L574" s="120"/>
      <c r="M574" s="120"/>
    </row>
    <row r="575">
      <c r="A575" s="109"/>
      <c r="B575" s="112">
        <v>168.0</v>
      </c>
      <c r="C575" s="113"/>
      <c r="D575" s="114">
        <v>244315.0</v>
      </c>
      <c r="E575" s="115" t="s">
        <v>60</v>
      </c>
      <c r="F575" s="115" t="s">
        <v>2144</v>
      </c>
      <c r="H575" s="115">
        <v>1.0</v>
      </c>
      <c r="I575" s="120"/>
      <c r="J575" s="120"/>
      <c r="K575" s="120"/>
      <c r="L575" s="120"/>
      <c r="M575" s="120"/>
    </row>
    <row r="576">
      <c r="A576" s="109"/>
      <c r="B576" s="112">
        <v>169.0</v>
      </c>
      <c r="C576" s="113"/>
      <c r="D576" s="114">
        <v>244315.0</v>
      </c>
      <c r="E576" s="115" t="s">
        <v>193</v>
      </c>
      <c r="F576" s="115" t="s">
        <v>2145</v>
      </c>
      <c r="H576" s="115">
        <v>1.0</v>
      </c>
      <c r="I576" s="120"/>
      <c r="J576" s="120"/>
      <c r="K576" s="120"/>
      <c r="L576" s="120"/>
      <c r="M576" s="120"/>
    </row>
    <row r="577">
      <c r="A577" s="109"/>
      <c r="B577" s="112">
        <v>170.0</v>
      </c>
      <c r="C577" s="113"/>
      <c r="D577" s="114">
        <v>244315.0</v>
      </c>
      <c r="E577" s="115" t="s">
        <v>60</v>
      </c>
      <c r="F577" s="115" t="s">
        <v>2146</v>
      </c>
      <c r="H577" s="115">
        <v>1.0</v>
      </c>
      <c r="I577" s="120"/>
      <c r="J577" s="120"/>
      <c r="K577" s="120"/>
      <c r="L577" s="120"/>
      <c r="M577" s="120"/>
    </row>
    <row r="578">
      <c r="A578" s="109"/>
      <c r="B578" s="112">
        <v>171.0</v>
      </c>
      <c r="C578" s="113"/>
      <c r="D578" s="114">
        <v>244315.0</v>
      </c>
      <c r="E578" s="115" t="s">
        <v>50</v>
      </c>
      <c r="F578" s="115" t="s">
        <v>2146</v>
      </c>
      <c r="H578" s="115">
        <v>1.0</v>
      </c>
      <c r="I578" s="120"/>
      <c r="J578" s="120"/>
      <c r="K578" s="120"/>
      <c r="L578" s="120"/>
      <c r="M578" s="120"/>
    </row>
    <row r="579">
      <c r="A579" s="109"/>
      <c r="B579" s="112">
        <v>172.0</v>
      </c>
      <c r="C579" s="113"/>
      <c r="D579" s="114">
        <v>244315.0</v>
      </c>
      <c r="E579" s="115" t="s">
        <v>133</v>
      </c>
      <c r="F579" s="115" t="s">
        <v>2057</v>
      </c>
      <c r="H579" s="115">
        <v>1.0</v>
      </c>
      <c r="I579" s="120"/>
      <c r="J579" s="120"/>
      <c r="K579" s="120"/>
      <c r="L579" s="120"/>
      <c r="M579" s="120"/>
    </row>
    <row r="580">
      <c r="A580" s="109"/>
      <c r="B580" s="112">
        <v>173.0</v>
      </c>
      <c r="C580" s="113"/>
      <c r="D580" s="114">
        <v>244315.0</v>
      </c>
      <c r="E580" s="115" t="s">
        <v>46</v>
      </c>
      <c r="F580" s="115" t="s">
        <v>66</v>
      </c>
      <c r="H580" s="115">
        <v>1.0</v>
      </c>
      <c r="I580" s="120"/>
      <c r="J580" s="120"/>
      <c r="K580" s="120"/>
      <c r="L580" s="120"/>
      <c r="M580" s="120"/>
    </row>
    <row r="581">
      <c r="A581" s="109"/>
      <c r="B581" s="112">
        <v>174.0</v>
      </c>
      <c r="C581" s="113"/>
      <c r="D581" s="114">
        <v>244315.0</v>
      </c>
      <c r="E581" s="115" t="s">
        <v>144</v>
      </c>
      <c r="F581" s="115" t="s">
        <v>2147</v>
      </c>
      <c r="H581" s="115">
        <v>1.0</v>
      </c>
      <c r="I581" s="120"/>
      <c r="J581" s="120"/>
      <c r="K581" s="120"/>
      <c r="L581" s="120"/>
      <c r="M581" s="120"/>
    </row>
    <row r="582">
      <c r="A582" s="109"/>
      <c r="B582" s="112">
        <v>175.0</v>
      </c>
      <c r="C582" s="113"/>
      <c r="D582" s="114">
        <v>244316.0</v>
      </c>
      <c r="E582" s="115" t="s">
        <v>144</v>
      </c>
      <c r="F582" s="115" t="s">
        <v>2148</v>
      </c>
      <c r="H582" s="115">
        <v>1.0</v>
      </c>
      <c r="I582" s="120"/>
      <c r="J582" s="120"/>
      <c r="K582" s="120"/>
      <c r="L582" s="120"/>
      <c r="M582" s="120"/>
    </row>
    <row r="583">
      <c r="A583" s="109"/>
      <c r="B583" s="112">
        <v>176.0</v>
      </c>
      <c r="C583" s="113"/>
      <c r="D583" s="114">
        <v>244316.0</v>
      </c>
      <c r="E583" s="115" t="s">
        <v>80</v>
      </c>
      <c r="F583" s="115" t="s">
        <v>2144</v>
      </c>
      <c r="H583" s="115">
        <v>1.0</v>
      </c>
      <c r="I583" s="120"/>
      <c r="J583" s="120"/>
      <c r="K583" s="120"/>
      <c r="L583" s="120"/>
      <c r="M583" s="120"/>
    </row>
    <row r="584">
      <c r="A584" s="109"/>
      <c r="B584" s="112">
        <v>177.0</v>
      </c>
      <c r="C584" s="113"/>
      <c r="D584" s="114">
        <v>244316.0</v>
      </c>
      <c r="E584" s="115" t="s">
        <v>133</v>
      </c>
      <c r="F584" s="115" t="s">
        <v>2129</v>
      </c>
      <c r="H584" s="115">
        <v>1.0</v>
      </c>
      <c r="I584" s="120"/>
      <c r="J584" s="120"/>
      <c r="K584" s="120"/>
      <c r="L584" s="120"/>
      <c r="M584" s="120"/>
    </row>
    <row r="585">
      <c r="A585" s="109"/>
      <c r="B585" s="112">
        <v>178.0</v>
      </c>
      <c r="C585" s="113"/>
      <c r="D585" s="114">
        <v>244316.0</v>
      </c>
      <c r="E585" s="115" t="s">
        <v>60</v>
      </c>
      <c r="F585" s="115" t="s">
        <v>2144</v>
      </c>
      <c r="H585" s="115">
        <v>1.0</v>
      </c>
      <c r="I585" s="120"/>
      <c r="J585" s="120"/>
      <c r="K585" s="120"/>
      <c r="L585" s="120"/>
      <c r="M585" s="120"/>
    </row>
    <row r="586">
      <c r="A586" s="109"/>
      <c r="B586" s="112">
        <v>179.0</v>
      </c>
      <c r="C586" s="113"/>
      <c r="D586" s="114">
        <v>244316.0</v>
      </c>
      <c r="E586" s="115" t="s">
        <v>64</v>
      </c>
      <c r="F586" s="115" t="s">
        <v>2149</v>
      </c>
      <c r="H586" s="115">
        <v>1.0</v>
      </c>
      <c r="I586" s="120"/>
      <c r="J586" s="120"/>
      <c r="K586" s="120"/>
      <c r="L586" s="120"/>
      <c r="M586" s="120"/>
    </row>
    <row r="587">
      <c r="A587" s="109"/>
      <c r="B587" s="112">
        <v>180.0</v>
      </c>
      <c r="C587" s="113"/>
      <c r="D587" s="114">
        <v>244316.0</v>
      </c>
      <c r="E587" s="115" t="s">
        <v>335</v>
      </c>
      <c r="F587" s="115" t="s">
        <v>2150</v>
      </c>
      <c r="H587" s="115">
        <v>1.0</v>
      </c>
      <c r="I587" s="120"/>
      <c r="J587" s="120"/>
      <c r="K587" s="120"/>
      <c r="L587" s="120"/>
      <c r="M587" s="120"/>
    </row>
    <row r="588">
      <c r="A588" s="109"/>
      <c r="B588" s="112">
        <v>181.0</v>
      </c>
      <c r="C588" s="113"/>
      <c r="D588" s="114">
        <v>244317.0</v>
      </c>
      <c r="E588" s="115" t="s">
        <v>193</v>
      </c>
      <c r="F588" s="115" t="s">
        <v>2151</v>
      </c>
      <c r="H588" s="115">
        <v>1.0</v>
      </c>
      <c r="I588" s="120"/>
      <c r="J588" s="120"/>
      <c r="K588" s="120"/>
      <c r="L588" s="120"/>
      <c r="M588" s="120"/>
    </row>
    <row r="589">
      <c r="A589" s="109"/>
      <c r="B589" s="112">
        <v>182.0</v>
      </c>
      <c r="C589" s="113"/>
      <c r="D589" s="114">
        <v>244317.0</v>
      </c>
      <c r="E589" s="115" t="s">
        <v>80</v>
      </c>
      <c r="F589" s="115" t="s">
        <v>2152</v>
      </c>
      <c r="H589" s="115">
        <v>1.0</v>
      </c>
      <c r="I589" s="120"/>
      <c r="J589" s="120"/>
      <c r="K589" s="120"/>
      <c r="L589" s="120"/>
      <c r="M589" s="120"/>
    </row>
    <row r="590">
      <c r="A590" s="109"/>
      <c r="B590" s="112">
        <v>183.0</v>
      </c>
      <c r="C590" s="113"/>
      <c r="D590" s="114">
        <v>244317.0</v>
      </c>
      <c r="E590" s="115" t="s">
        <v>34</v>
      </c>
      <c r="F590" s="115" t="s">
        <v>2153</v>
      </c>
      <c r="H590" s="115">
        <v>2.0</v>
      </c>
      <c r="I590" s="120"/>
      <c r="J590" s="120"/>
      <c r="K590" s="120"/>
      <c r="L590" s="120"/>
      <c r="M590" s="120"/>
    </row>
    <row r="591">
      <c r="A591" s="109"/>
      <c r="B591" s="112">
        <v>184.0</v>
      </c>
      <c r="C591" s="113"/>
      <c r="D591" s="114">
        <v>244317.0</v>
      </c>
      <c r="E591" s="115" t="s">
        <v>60</v>
      </c>
      <c r="F591" s="115" t="s">
        <v>2144</v>
      </c>
      <c r="H591" s="115">
        <v>1.0</v>
      </c>
      <c r="I591" s="120"/>
      <c r="J591" s="120"/>
      <c r="K591" s="120"/>
      <c r="L591" s="120"/>
      <c r="M591" s="120"/>
    </row>
    <row r="592">
      <c r="A592" s="108"/>
      <c r="B592" s="112">
        <v>185.0</v>
      </c>
      <c r="C592" s="108"/>
      <c r="D592" s="121">
        <v>244317.0</v>
      </c>
      <c r="E592" s="109" t="s">
        <v>50</v>
      </c>
      <c r="F592" s="109" t="s">
        <v>2154</v>
      </c>
      <c r="H592" s="109">
        <v>1.0</v>
      </c>
      <c r="I592" s="108"/>
      <c r="J592" s="108"/>
      <c r="K592" s="108"/>
      <c r="L592" s="108"/>
      <c r="M592" s="108"/>
    </row>
    <row r="593">
      <c r="A593" s="108"/>
      <c r="B593" s="112">
        <v>186.0</v>
      </c>
      <c r="C593" s="108"/>
      <c r="D593" s="121">
        <v>244317.0</v>
      </c>
      <c r="E593" s="109" t="s">
        <v>46</v>
      </c>
      <c r="F593" s="109" t="s">
        <v>2155</v>
      </c>
      <c r="H593" s="109">
        <v>1.0</v>
      </c>
      <c r="I593" s="108"/>
      <c r="J593" s="108"/>
      <c r="K593" s="108"/>
      <c r="L593" s="108"/>
      <c r="M593" s="108"/>
    </row>
    <row r="594">
      <c r="A594" s="108"/>
      <c r="B594" s="112">
        <v>187.0</v>
      </c>
      <c r="C594" s="108"/>
      <c r="D594" s="121">
        <v>244317.0</v>
      </c>
      <c r="E594" s="109" t="s">
        <v>133</v>
      </c>
      <c r="F594" s="109" t="s">
        <v>2156</v>
      </c>
      <c r="H594" s="109">
        <v>1.0</v>
      </c>
      <c r="I594" s="108"/>
      <c r="J594" s="108"/>
      <c r="K594" s="108"/>
      <c r="L594" s="108"/>
      <c r="M594" s="108"/>
    </row>
    <row r="595">
      <c r="A595" s="108"/>
      <c r="B595" s="112">
        <v>188.0</v>
      </c>
      <c r="C595" s="108"/>
      <c r="D595" s="121">
        <v>244317.0</v>
      </c>
      <c r="E595" s="109" t="s">
        <v>42</v>
      </c>
      <c r="F595" s="109" t="s">
        <v>2157</v>
      </c>
      <c r="H595" s="109">
        <v>1.0</v>
      </c>
      <c r="I595" s="108"/>
      <c r="J595" s="108"/>
      <c r="K595" s="108"/>
      <c r="L595" s="108"/>
      <c r="M595" s="108"/>
    </row>
    <row r="596">
      <c r="A596" s="108"/>
      <c r="B596" s="112">
        <v>189.0</v>
      </c>
      <c r="C596" s="108"/>
      <c r="D596" s="121">
        <v>244317.0</v>
      </c>
      <c r="E596" s="109" t="s">
        <v>54</v>
      </c>
      <c r="F596" s="109" t="s">
        <v>275</v>
      </c>
      <c r="H596" s="109">
        <v>1.0</v>
      </c>
      <c r="I596" s="108"/>
      <c r="J596" s="108"/>
      <c r="K596" s="108"/>
      <c r="L596" s="108"/>
      <c r="M596" s="108"/>
    </row>
    <row r="597">
      <c r="A597" s="108"/>
      <c r="B597" s="112">
        <v>190.0</v>
      </c>
      <c r="C597" s="108"/>
      <c r="D597" s="121">
        <v>244317.0</v>
      </c>
      <c r="E597" s="109" t="s">
        <v>88</v>
      </c>
      <c r="F597" s="109" t="s">
        <v>2158</v>
      </c>
      <c r="H597" s="109">
        <v>1.0</v>
      </c>
      <c r="I597" s="108"/>
      <c r="J597" s="108"/>
      <c r="K597" s="108"/>
      <c r="L597" s="108"/>
      <c r="M597" s="108"/>
    </row>
    <row r="598">
      <c r="A598" s="108"/>
      <c r="B598" s="112">
        <v>191.0</v>
      </c>
      <c r="C598" s="108"/>
      <c r="D598" s="121">
        <v>244318.0</v>
      </c>
      <c r="E598" s="109" t="s">
        <v>50</v>
      </c>
      <c r="F598" s="109" t="s">
        <v>2159</v>
      </c>
      <c r="H598" s="109">
        <v>1.0</v>
      </c>
      <c r="I598" s="108"/>
      <c r="J598" s="108"/>
      <c r="K598" s="108"/>
      <c r="L598" s="108"/>
      <c r="M598" s="108"/>
    </row>
    <row r="599">
      <c r="A599" s="108"/>
      <c r="B599" s="112">
        <v>192.0</v>
      </c>
      <c r="C599" s="108"/>
      <c r="D599" s="121">
        <v>244318.0</v>
      </c>
      <c r="E599" s="109" t="s">
        <v>124</v>
      </c>
      <c r="F599" s="109" t="s">
        <v>2160</v>
      </c>
      <c r="H599" s="109">
        <v>2.0</v>
      </c>
      <c r="I599" s="108"/>
      <c r="J599" s="108"/>
      <c r="K599" s="108"/>
      <c r="L599" s="108"/>
      <c r="M599" s="108"/>
    </row>
    <row r="600">
      <c r="A600" s="108"/>
      <c r="B600" s="112">
        <v>193.0</v>
      </c>
      <c r="C600" s="108"/>
      <c r="D600" s="121">
        <v>244318.0</v>
      </c>
      <c r="E600" s="109" t="s">
        <v>54</v>
      </c>
      <c r="F600" s="109" t="s">
        <v>637</v>
      </c>
      <c r="H600" s="109">
        <v>1.0</v>
      </c>
      <c r="I600" s="108"/>
      <c r="J600" s="108"/>
      <c r="K600" s="108"/>
      <c r="L600" s="108"/>
      <c r="M600" s="108"/>
    </row>
    <row r="601">
      <c r="A601" s="108"/>
      <c r="B601" s="112">
        <v>194.0</v>
      </c>
      <c r="C601" s="108"/>
      <c r="D601" s="121">
        <v>244318.0</v>
      </c>
      <c r="E601" s="109" t="s">
        <v>80</v>
      </c>
      <c r="F601" s="109" t="s">
        <v>2144</v>
      </c>
      <c r="H601" s="109">
        <v>1.0</v>
      </c>
      <c r="I601" s="108"/>
      <c r="J601" s="108"/>
      <c r="K601" s="108"/>
      <c r="L601" s="108"/>
      <c r="M601" s="108"/>
    </row>
    <row r="602">
      <c r="A602" s="108"/>
      <c r="B602" s="112">
        <v>195.0</v>
      </c>
      <c r="C602" s="108"/>
      <c r="D602" s="121">
        <v>244318.0</v>
      </c>
      <c r="E602" s="109" t="s">
        <v>64</v>
      </c>
      <c r="F602" s="109" t="s">
        <v>2161</v>
      </c>
      <c r="H602" s="109">
        <v>1.0</v>
      </c>
      <c r="I602" s="108"/>
      <c r="J602" s="108"/>
      <c r="K602" s="108"/>
      <c r="L602" s="108"/>
      <c r="M602" s="108"/>
    </row>
    <row r="603">
      <c r="A603" s="108"/>
      <c r="B603" s="112">
        <v>196.0</v>
      </c>
      <c r="C603" s="108"/>
      <c r="D603" s="121">
        <v>244318.0</v>
      </c>
      <c r="E603" s="109" t="s">
        <v>111</v>
      </c>
      <c r="F603" s="109" t="s">
        <v>2162</v>
      </c>
      <c r="H603" s="109">
        <v>1.0</v>
      </c>
      <c r="I603" s="108"/>
      <c r="J603" s="108"/>
      <c r="K603" s="108"/>
      <c r="L603" s="108"/>
      <c r="M603" s="108"/>
    </row>
    <row r="604">
      <c r="A604" s="108"/>
      <c r="B604" s="112">
        <v>197.0</v>
      </c>
      <c r="C604" s="108"/>
      <c r="D604" s="121">
        <v>244318.0</v>
      </c>
      <c r="E604" s="109" t="s">
        <v>60</v>
      </c>
      <c r="F604" s="109" t="s">
        <v>2144</v>
      </c>
      <c r="H604" s="109">
        <v>1.0</v>
      </c>
      <c r="I604" s="108"/>
      <c r="J604" s="108"/>
      <c r="K604" s="108"/>
      <c r="L604" s="108"/>
      <c r="M604" s="108"/>
    </row>
    <row r="605">
      <c r="A605" s="108"/>
      <c r="B605" s="112">
        <v>198.0</v>
      </c>
      <c r="C605" s="108"/>
      <c r="D605" s="121">
        <v>244318.0</v>
      </c>
      <c r="E605" s="109" t="s">
        <v>232</v>
      </c>
      <c r="F605" s="109" t="s">
        <v>2156</v>
      </c>
      <c r="H605" s="109">
        <v>1.0</v>
      </c>
      <c r="I605" s="108"/>
      <c r="J605" s="108"/>
      <c r="K605" s="108"/>
      <c r="L605" s="108"/>
      <c r="M605" s="108"/>
    </row>
    <row r="606">
      <c r="A606" s="108"/>
      <c r="B606" s="112">
        <v>199.0</v>
      </c>
      <c r="C606" s="108"/>
      <c r="D606" s="121">
        <v>244318.0</v>
      </c>
      <c r="E606" s="109" t="s">
        <v>232</v>
      </c>
      <c r="F606" s="109" t="s">
        <v>2163</v>
      </c>
      <c r="H606" s="109">
        <v>1.0</v>
      </c>
      <c r="I606" s="108"/>
      <c r="J606" s="108"/>
      <c r="K606" s="108"/>
      <c r="L606" s="108"/>
      <c r="M606" s="108"/>
    </row>
    <row r="607">
      <c r="A607" s="108"/>
      <c r="B607" s="108"/>
      <c r="C607" s="108"/>
      <c r="D607" s="107"/>
      <c r="E607" s="108"/>
      <c r="F607" s="108"/>
      <c r="G607" s="108"/>
      <c r="H607" s="108"/>
      <c r="I607" s="108"/>
      <c r="J607" s="108"/>
      <c r="K607" s="108"/>
      <c r="L607" s="108"/>
      <c r="M607" s="108"/>
    </row>
    <row r="608">
      <c r="A608" s="108"/>
      <c r="B608" s="108"/>
      <c r="C608" s="108"/>
      <c r="D608" s="107"/>
      <c r="E608" s="108"/>
      <c r="F608" s="108"/>
      <c r="G608" s="108"/>
      <c r="H608" s="108"/>
      <c r="I608" s="108"/>
      <c r="J608" s="108"/>
      <c r="K608" s="108"/>
      <c r="L608" s="108"/>
      <c r="M608" s="108"/>
    </row>
    <row r="609">
      <c r="A609" s="108"/>
      <c r="B609" s="108"/>
      <c r="C609" s="108"/>
      <c r="D609" s="107"/>
      <c r="E609" s="108"/>
      <c r="F609" s="108"/>
      <c r="G609" s="108"/>
      <c r="H609" s="108"/>
      <c r="I609" s="108"/>
      <c r="J609" s="108"/>
      <c r="K609" s="108"/>
      <c r="L609" s="108"/>
      <c r="M609" s="108"/>
    </row>
    <row r="610">
      <c r="A610" s="108"/>
      <c r="B610" s="108"/>
      <c r="C610" s="108"/>
      <c r="D610" s="107"/>
      <c r="E610" s="108"/>
      <c r="F610" s="108"/>
      <c r="G610" s="108"/>
      <c r="H610" s="108"/>
      <c r="I610" s="108"/>
      <c r="J610" s="108"/>
      <c r="K610" s="108"/>
      <c r="L610" s="108"/>
      <c r="M610" s="108"/>
    </row>
    <row r="611">
      <c r="A611" s="108"/>
      <c r="B611" s="108"/>
      <c r="C611" s="108"/>
      <c r="D611" s="107"/>
      <c r="E611" s="108"/>
      <c r="F611" s="108"/>
      <c r="G611" s="108"/>
      <c r="H611" s="108"/>
      <c r="I611" s="108"/>
      <c r="J611" s="108"/>
      <c r="K611" s="108"/>
      <c r="L611" s="108"/>
      <c r="M611" s="108"/>
    </row>
    <row r="612">
      <c r="A612" s="108"/>
      <c r="B612" s="108"/>
      <c r="C612" s="108"/>
      <c r="D612" s="107"/>
      <c r="E612" s="108"/>
      <c r="F612" s="108"/>
      <c r="G612" s="108"/>
      <c r="H612" s="108"/>
      <c r="I612" s="108"/>
      <c r="J612" s="108"/>
      <c r="K612" s="108"/>
      <c r="L612" s="108"/>
      <c r="M612" s="108"/>
    </row>
    <row r="613">
      <c r="A613" s="108"/>
      <c r="B613" s="108"/>
      <c r="C613" s="108"/>
      <c r="D613" s="107"/>
      <c r="E613" s="108"/>
      <c r="F613" s="108"/>
      <c r="G613" s="108"/>
      <c r="H613" s="108"/>
      <c r="I613" s="108"/>
      <c r="J613" s="108"/>
      <c r="K613" s="108"/>
      <c r="L613" s="108"/>
      <c r="M613" s="108"/>
    </row>
    <row r="614">
      <c r="A614" s="108"/>
      <c r="B614" s="108"/>
      <c r="C614" s="108"/>
      <c r="D614" s="107"/>
      <c r="E614" s="108"/>
      <c r="F614" s="108"/>
      <c r="G614" s="108"/>
      <c r="H614" s="108"/>
      <c r="I614" s="108"/>
      <c r="J614" s="108"/>
      <c r="K614" s="108"/>
      <c r="L614" s="108"/>
      <c r="M614" s="108"/>
    </row>
    <row r="615">
      <c r="A615" s="108"/>
      <c r="B615" s="108"/>
      <c r="C615" s="108"/>
      <c r="D615" s="107"/>
      <c r="E615" s="108"/>
      <c r="F615" s="108"/>
      <c r="G615" s="108"/>
      <c r="H615" s="108"/>
      <c r="I615" s="108"/>
      <c r="J615" s="108"/>
      <c r="K615" s="108"/>
      <c r="L615" s="108"/>
      <c r="M615" s="108"/>
    </row>
    <row r="616">
      <c r="A616" s="108"/>
      <c r="B616" s="108"/>
      <c r="C616" s="108"/>
      <c r="D616" s="107"/>
      <c r="E616" s="108"/>
      <c r="F616" s="108"/>
      <c r="G616" s="108"/>
      <c r="H616" s="108"/>
      <c r="I616" s="108"/>
      <c r="J616" s="108"/>
      <c r="K616" s="108"/>
      <c r="L616" s="108"/>
      <c r="M616" s="108"/>
    </row>
    <row r="617">
      <c r="A617" s="108"/>
      <c r="B617" s="108"/>
      <c r="C617" s="108"/>
      <c r="D617" s="107"/>
      <c r="E617" s="108"/>
      <c r="F617" s="108"/>
      <c r="G617" s="108"/>
      <c r="H617" s="108"/>
      <c r="I617" s="108"/>
      <c r="J617" s="108"/>
      <c r="K617" s="108"/>
      <c r="L617" s="108"/>
      <c r="M617" s="108"/>
    </row>
    <row r="618">
      <c r="A618" s="108"/>
      <c r="B618" s="108"/>
      <c r="C618" s="108"/>
      <c r="D618" s="107"/>
      <c r="E618" s="108"/>
      <c r="F618" s="108"/>
      <c r="G618" s="108"/>
      <c r="H618" s="108"/>
      <c r="I618" s="108"/>
      <c r="J618" s="108"/>
      <c r="K618" s="108"/>
      <c r="L618" s="108"/>
      <c r="M618" s="108"/>
    </row>
    <row r="619">
      <c r="A619" s="108"/>
      <c r="B619" s="108"/>
      <c r="C619" s="108"/>
      <c r="D619" s="107"/>
      <c r="E619" s="108"/>
      <c r="F619" s="108"/>
      <c r="G619" s="108"/>
      <c r="H619" s="108"/>
      <c r="I619" s="108"/>
      <c r="J619" s="108"/>
      <c r="K619" s="108"/>
      <c r="L619" s="108"/>
      <c r="M619" s="108"/>
    </row>
    <row r="620">
      <c r="A620" s="108"/>
      <c r="B620" s="108"/>
      <c r="C620" s="108"/>
      <c r="D620" s="107"/>
      <c r="E620" s="108"/>
      <c r="F620" s="108"/>
      <c r="G620" s="108"/>
      <c r="H620" s="108"/>
      <c r="I620" s="108"/>
      <c r="J620" s="108"/>
      <c r="K620" s="108"/>
      <c r="L620" s="108"/>
      <c r="M620" s="108"/>
    </row>
    <row r="621">
      <c r="A621" s="108"/>
      <c r="B621" s="108"/>
      <c r="C621" s="108"/>
      <c r="D621" s="107"/>
      <c r="E621" s="108"/>
      <c r="F621" s="108"/>
      <c r="G621" s="108"/>
      <c r="H621" s="108"/>
      <c r="I621" s="108"/>
      <c r="J621" s="108"/>
      <c r="K621" s="108"/>
      <c r="L621" s="108"/>
      <c r="M621" s="108"/>
    </row>
    <row r="622">
      <c r="A622" s="108"/>
      <c r="B622" s="108"/>
      <c r="C622" s="108"/>
      <c r="D622" s="107"/>
      <c r="E622" s="108"/>
      <c r="F622" s="108"/>
      <c r="G622" s="108"/>
      <c r="H622" s="108"/>
      <c r="I622" s="108"/>
      <c r="J622" s="108"/>
      <c r="K622" s="108"/>
      <c r="L622" s="108"/>
      <c r="M622" s="108"/>
    </row>
    <row r="623">
      <c r="A623" s="108"/>
      <c r="B623" s="108"/>
      <c r="C623" s="108"/>
      <c r="D623" s="107"/>
      <c r="E623" s="108"/>
      <c r="F623" s="108"/>
      <c r="G623" s="108"/>
      <c r="H623" s="108"/>
      <c r="I623" s="108"/>
      <c r="J623" s="108"/>
      <c r="K623" s="108"/>
      <c r="L623" s="108"/>
      <c r="M623" s="108"/>
    </row>
    <row r="624">
      <c r="A624" s="108"/>
      <c r="B624" s="108"/>
      <c r="C624" s="108"/>
      <c r="D624" s="107"/>
      <c r="E624" s="108"/>
      <c r="F624" s="108"/>
      <c r="G624" s="108"/>
      <c r="H624" s="108"/>
      <c r="I624" s="108"/>
      <c r="J624" s="108"/>
      <c r="K624" s="108"/>
      <c r="L624" s="108"/>
      <c r="M624" s="108"/>
    </row>
    <row r="625">
      <c r="A625" s="108"/>
      <c r="B625" s="108"/>
      <c r="C625" s="108"/>
      <c r="D625" s="107"/>
      <c r="E625" s="108"/>
      <c r="F625" s="108"/>
      <c r="G625" s="108"/>
      <c r="H625" s="108"/>
      <c r="I625" s="108"/>
      <c r="J625" s="108"/>
      <c r="K625" s="108"/>
      <c r="L625" s="108"/>
      <c r="M625" s="108"/>
    </row>
    <row r="626">
      <c r="A626" s="108"/>
      <c r="B626" s="108"/>
      <c r="C626" s="108"/>
      <c r="D626" s="107"/>
      <c r="E626" s="108"/>
      <c r="F626" s="108"/>
      <c r="G626" s="108"/>
      <c r="H626" s="108"/>
      <c r="I626" s="108"/>
      <c r="J626" s="108"/>
      <c r="K626" s="108"/>
      <c r="L626" s="108"/>
      <c r="M626" s="108"/>
    </row>
    <row r="627">
      <c r="A627" s="108"/>
      <c r="B627" s="108"/>
      <c r="C627" s="108"/>
      <c r="D627" s="107"/>
      <c r="E627" s="108"/>
      <c r="F627" s="108"/>
      <c r="G627" s="108"/>
      <c r="H627" s="108"/>
      <c r="I627" s="108"/>
      <c r="J627" s="108"/>
      <c r="K627" s="108"/>
      <c r="L627" s="108"/>
      <c r="M627" s="108"/>
    </row>
    <row r="628">
      <c r="A628" s="108"/>
      <c r="B628" s="108"/>
      <c r="C628" s="108"/>
      <c r="D628" s="107"/>
      <c r="E628" s="108"/>
      <c r="F628" s="108"/>
      <c r="G628" s="108"/>
      <c r="H628" s="108"/>
      <c r="I628" s="108"/>
      <c r="J628" s="108"/>
      <c r="K628" s="108"/>
      <c r="L628" s="108"/>
      <c r="M628" s="108"/>
    </row>
    <row r="629">
      <c r="A629" s="108"/>
      <c r="B629" s="108"/>
      <c r="C629" s="108"/>
      <c r="D629" s="107"/>
      <c r="E629" s="108"/>
      <c r="F629" s="108"/>
      <c r="G629" s="108"/>
      <c r="H629" s="108"/>
      <c r="I629" s="108"/>
      <c r="J629" s="108"/>
      <c r="K629" s="108"/>
      <c r="L629" s="108"/>
      <c r="M629" s="108"/>
    </row>
    <row r="630">
      <c r="A630" s="108"/>
      <c r="B630" s="108"/>
      <c r="C630" s="108"/>
      <c r="D630" s="107"/>
      <c r="E630" s="108"/>
      <c r="F630" s="108"/>
      <c r="G630" s="108"/>
      <c r="H630" s="108"/>
      <c r="I630" s="108"/>
      <c r="J630" s="108"/>
      <c r="K630" s="108"/>
      <c r="L630" s="108"/>
      <c r="M630" s="108"/>
    </row>
    <row r="631">
      <c r="A631" s="108"/>
      <c r="B631" s="108"/>
      <c r="C631" s="108"/>
      <c r="D631" s="107"/>
      <c r="E631" s="108"/>
      <c r="F631" s="108"/>
      <c r="G631" s="108"/>
      <c r="H631" s="108"/>
      <c r="I631" s="108"/>
      <c r="J631" s="108"/>
      <c r="K631" s="108"/>
      <c r="L631" s="108"/>
      <c r="M631" s="108"/>
    </row>
    <row r="632">
      <c r="A632" s="108"/>
      <c r="B632" s="108"/>
      <c r="C632" s="108"/>
      <c r="D632" s="107"/>
      <c r="E632" s="108"/>
      <c r="F632" s="108"/>
      <c r="G632" s="108"/>
      <c r="H632" s="108"/>
      <c r="I632" s="108"/>
      <c r="J632" s="108"/>
      <c r="K632" s="108"/>
      <c r="L632" s="108"/>
      <c r="M632" s="108"/>
    </row>
    <row r="633">
      <c r="A633" s="108"/>
      <c r="B633" s="108"/>
      <c r="C633" s="108"/>
      <c r="D633" s="107"/>
      <c r="E633" s="108"/>
      <c r="F633" s="108"/>
      <c r="G633" s="108"/>
      <c r="H633" s="108"/>
      <c r="I633" s="108"/>
      <c r="J633" s="108"/>
      <c r="K633" s="108"/>
      <c r="L633" s="108"/>
      <c r="M633" s="108"/>
    </row>
    <row r="634">
      <c r="A634" s="108"/>
      <c r="B634" s="108"/>
      <c r="C634" s="108"/>
      <c r="D634" s="107"/>
      <c r="E634" s="108"/>
      <c r="F634" s="108"/>
      <c r="G634" s="108"/>
      <c r="H634" s="108"/>
      <c r="I634" s="108"/>
      <c r="J634" s="108"/>
      <c r="K634" s="108"/>
      <c r="L634" s="108"/>
      <c r="M634" s="108"/>
    </row>
    <row r="635">
      <c r="A635" s="108"/>
      <c r="B635" s="108"/>
      <c r="C635" s="108"/>
      <c r="D635" s="107"/>
      <c r="E635" s="108"/>
      <c r="F635" s="108"/>
      <c r="G635" s="108"/>
      <c r="H635" s="108"/>
      <c r="I635" s="108"/>
      <c r="J635" s="108"/>
      <c r="K635" s="108"/>
      <c r="L635" s="108"/>
      <c r="M635" s="108"/>
    </row>
    <row r="636">
      <c r="A636" s="108"/>
      <c r="B636" s="108"/>
      <c r="C636" s="108"/>
      <c r="D636" s="107"/>
      <c r="E636" s="108"/>
      <c r="F636" s="108"/>
      <c r="G636" s="108"/>
      <c r="H636" s="108"/>
      <c r="I636" s="108"/>
      <c r="J636" s="108"/>
      <c r="K636" s="108"/>
      <c r="L636" s="108"/>
      <c r="M636" s="108"/>
    </row>
    <row r="637">
      <c r="A637" s="108"/>
      <c r="B637" s="108"/>
      <c r="C637" s="108"/>
      <c r="D637" s="107"/>
      <c r="E637" s="108"/>
      <c r="F637" s="108"/>
      <c r="G637" s="108"/>
      <c r="H637" s="108"/>
      <c r="I637" s="108"/>
      <c r="J637" s="108"/>
      <c r="K637" s="108"/>
      <c r="L637" s="108"/>
      <c r="M637" s="108"/>
    </row>
    <row r="638">
      <c r="A638" s="108"/>
      <c r="B638" s="108"/>
      <c r="C638" s="108"/>
      <c r="D638" s="107"/>
      <c r="E638" s="108"/>
      <c r="F638" s="108"/>
      <c r="G638" s="108"/>
      <c r="H638" s="108"/>
      <c r="I638" s="108"/>
      <c r="J638" s="108"/>
      <c r="K638" s="108"/>
      <c r="L638" s="108"/>
      <c r="M638" s="108"/>
    </row>
    <row r="639">
      <c r="A639" s="108"/>
      <c r="B639" s="108"/>
      <c r="C639" s="108"/>
      <c r="D639" s="107"/>
      <c r="E639" s="108"/>
      <c r="F639" s="108"/>
      <c r="G639" s="108"/>
      <c r="H639" s="108"/>
      <c r="I639" s="108"/>
      <c r="J639" s="108"/>
      <c r="K639" s="108"/>
      <c r="L639" s="108"/>
      <c r="M639" s="108"/>
    </row>
    <row r="640">
      <c r="A640" s="108"/>
      <c r="B640" s="108"/>
      <c r="C640" s="108"/>
      <c r="D640" s="107"/>
      <c r="E640" s="108"/>
      <c r="F640" s="108"/>
      <c r="G640" s="108"/>
      <c r="H640" s="108"/>
      <c r="I640" s="108"/>
      <c r="J640" s="108"/>
      <c r="K640" s="108"/>
      <c r="L640" s="108"/>
      <c r="M640" s="108"/>
    </row>
    <row r="641">
      <c r="A641" s="108"/>
      <c r="B641" s="108"/>
      <c r="C641" s="108"/>
      <c r="D641" s="107"/>
      <c r="E641" s="108"/>
      <c r="F641" s="108"/>
      <c r="G641" s="108"/>
      <c r="H641" s="108"/>
      <c r="I641" s="108"/>
      <c r="J641" s="108"/>
      <c r="K641" s="108"/>
      <c r="L641" s="108"/>
      <c r="M641" s="108"/>
    </row>
    <row r="642">
      <c r="A642" s="108"/>
      <c r="B642" s="108"/>
      <c r="C642" s="108"/>
      <c r="D642" s="107"/>
      <c r="E642" s="108"/>
      <c r="F642" s="108"/>
      <c r="G642" s="108"/>
      <c r="H642" s="108"/>
      <c r="I642" s="108"/>
      <c r="J642" s="108"/>
      <c r="K642" s="108"/>
      <c r="L642" s="108"/>
      <c r="M642" s="108"/>
    </row>
    <row r="643">
      <c r="A643" s="108"/>
      <c r="B643" s="108"/>
      <c r="C643" s="108"/>
      <c r="D643" s="107"/>
      <c r="E643" s="108"/>
      <c r="F643" s="108"/>
      <c r="G643" s="108"/>
      <c r="H643" s="108"/>
      <c r="I643" s="108"/>
      <c r="J643" s="108"/>
      <c r="K643" s="108"/>
      <c r="L643" s="108"/>
      <c r="M643" s="108"/>
    </row>
    <row r="644">
      <c r="A644" s="108"/>
      <c r="B644" s="108"/>
      <c r="C644" s="108"/>
      <c r="D644" s="107"/>
      <c r="E644" s="108"/>
      <c r="F644" s="108"/>
      <c r="G644" s="108"/>
      <c r="H644" s="108"/>
      <c r="I644" s="108"/>
      <c r="J644" s="108"/>
      <c r="K644" s="108"/>
      <c r="L644" s="108"/>
      <c r="M644" s="108"/>
    </row>
    <row r="645">
      <c r="A645" s="108"/>
      <c r="B645" s="108"/>
      <c r="C645" s="108"/>
      <c r="D645" s="107"/>
      <c r="E645" s="108"/>
      <c r="F645" s="108"/>
      <c r="G645" s="108"/>
      <c r="H645" s="108"/>
      <c r="I645" s="108"/>
      <c r="J645" s="108"/>
      <c r="K645" s="108"/>
      <c r="L645" s="108"/>
      <c r="M645" s="108"/>
    </row>
    <row r="646">
      <c r="A646" s="108"/>
      <c r="B646" s="108"/>
      <c r="C646" s="108"/>
      <c r="D646" s="107"/>
      <c r="E646" s="108"/>
      <c r="F646" s="108"/>
      <c r="G646" s="108"/>
      <c r="H646" s="108"/>
      <c r="I646" s="108"/>
      <c r="J646" s="108"/>
      <c r="K646" s="108"/>
      <c r="L646" s="108"/>
      <c r="M646" s="108"/>
    </row>
    <row r="647">
      <c r="A647" s="108"/>
      <c r="B647" s="108"/>
      <c r="C647" s="108"/>
      <c r="D647" s="107"/>
      <c r="E647" s="108"/>
      <c r="F647" s="108"/>
      <c r="G647" s="108"/>
      <c r="H647" s="108"/>
      <c r="I647" s="108"/>
      <c r="J647" s="108"/>
      <c r="K647" s="108"/>
      <c r="L647" s="108"/>
      <c r="M647" s="108"/>
    </row>
    <row r="648">
      <c r="A648" s="108"/>
      <c r="B648" s="108"/>
      <c r="C648" s="108"/>
      <c r="D648" s="107"/>
      <c r="E648" s="108"/>
      <c r="F648" s="108"/>
      <c r="G648" s="108"/>
      <c r="H648" s="108"/>
      <c r="I648" s="108"/>
      <c r="J648" s="108"/>
      <c r="K648" s="108"/>
      <c r="L648" s="108"/>
      <c r="M648" s="108"/>
    </row>
    <row r="649">
      <c r="A649" s="108"/>
      <c r="B649" s="108"/>
      <c r="C649" s="108"/>
      <c r="D649" s="107"/>
      <c r="E649" s="108"/>
      <c r="F649" s="108"/>
      <c r="G649" s="108"/>
      <c r="H649" s="108"/>
      <c r="I649" s="108"/>
      <c r="J649" s="108"/>
      <c r="K649" s="108"/>
      <c r="L649" s="108"/>
      <c r="M649" s="108"/>
    </row>
    <row r="650">
      <c r="A650" s="108"/>
      <c r="B650" s="108"/>
      <c r="C650" s="108"/>
      <c r="D650" s="107"/>
      <c r="E650" s="108"/>
      <c r="F650" s="108"/>
      <c r="G650" s="108"/>
      <c r="H650" s="108"/>
      <c r="I650" s="108"/>
      <c r="J650" s="108"/>
      <c r="K650" s="108"/>
      <c r="L650" s="108"/>
      <c r="M650" s="108"/>
    </row>
    <row r="651">
      <c r="A651" s="108"/>
      <c r="B651" s="108"/>
      <c r="C651" s="108"/>
      <c r="D651" s="107"/>
      <c r="E651" s="108"/>
      <c r="F651" s="108"/>
      <c r="G651" s="108"/>
      <c r="H651" s="108"/>
      <c r="I651" s="108"/>
      <c r="J651" s="108"/>
      <c r="K651" s="108"/>
      <c r="L651" s="108"/>
      <c r="M651" s="108"/>
    </row>
    <row r="652">
      <c r="A652" s="108"/>
      <c r="B652" s="108"/>
      <c r="C652" s="108"/>
      <c r="D652" s="107"/>
      <c r="E652" s="108"/>
      <c r="F652" s="108"/>
      <c r="G652" s="108"/>
      <c r="H652" s="108"/>
      <c r="I652" s="108"/>
      <c r="J652" s="108"/>
      <c r="K652" s="108"/>
      <c r="L652" s="108"/>
      <c r="M652" s="108"/>
    </row>
    <row r="653">
      <c r="A653" s="108"/>
      <c r="B653" s="108"/>
      <c r="C653" s="108"/>
      <c r="D653" s="107"/>
      <c r="E653" s="108"/>
      <c r="F653" s="108"/>
      <c r="G653" s="108"/>
      <c r="H653" s="108"/>
      <c r="I653" s="108"/>
      <c r="J653" s="108"/>
      <c r="K653" s="108"/>
      <c r="L653" s="108"/>
      <c r="M653" s="108"/>
    </row>
    <row r="654">
      <c r="A654" s="108"/>
      <c r="B654" s="108"/>
      <c r="C654" s="108"/>
      <c r="D654" s="107"/>
      <c r="E654" s="108"/>
      <c r="F654" s="108"/>
      <c r="G654" s="108"/>
      <c r="H654" s="108"/>
      <c r="I654" s="108"/>
      <c r="J654" s="108"/>
      <c r="K654" s="108"/>
      <c r="L654" s="108"/>
      <c r="M654" s="108"/>
    </row>
    <row r="655">
      <c r="A655" s="108"/>
      <c r="B655" s="108"/>
      <c r="C655" s="108"/>
      <c r="D655" s="107"/>
      <c r="E655" s="108"/>
      <c r="F655" s="108"/>
      <c r="G655" s="108"/>
      <c r="H655" s="108"/>
      <c r="I655" s="108"/>
      <c r="J655" s="108"/>
      <c r="K655" s="108"/>
      <c r="L655" s="108"/>
      <c r="M655" s="108"/>
    </row>
    <row r="656">
      <c r="A656" s="108"/>
      <c r="B656" s="108"/>
      <c r="C656" s="108"/>
      <c r="D656" s="107"/>
      <c r="E656" s="108"/>
      <c r="F656" s="108"/>
      <c r="G656" s="108"/>
      <c r="H656" s="108"/>
      <c r="I656" s="108"/>
      <c r="J656" s="108"/>
      <c r="K656" s="108"/>
      <c r="L656" s="108"/>
      <c r="M656" s="108"/>
    </row>
    <row r="657">
      <c r="A657" s="108"/>
      <c r="B657" s="108"/>
      <c r="C657" s="108"/>
      <c r="D657" s="107"/>
      <c r="E657" s="108"/>
      <c r="F657" s="108"/>
      <c r="G657" s="108"/>
      <c r="H657" s="108"/>
      <c r="I657" s="108"/>
      <c r="J657" s="108"/>
      <c r="K657" s="108"/>
      <c r="L657" s="108"/>
      <c r="M657" s="108"/>
    </row>
    <row r="658">
      <c r="A658" s="108"/>
      <c r="B658" s="108"/>
      <c r="C658" s="108"/>
      <c r="D658" s="107"/>
      <c r="E658" s="108"/>
      <c r="F658" s="108"/>
      <c r="G658" s="108"/>
      <c r="H658" s="108"/>
      <c r="I658" s="108"/>
      <c r="J658" s="108"/>
      <c r="K658" s="108"/>
      <c r="L658" s="108"/>
      <c r="M658" s="108"/>
    </row>
    <row r="659">
      <c r="A659" s="108"/>
      <c r="B659" s="108"/>
      <c r="C659" s="108"/>
      <c r="D659" s="107"/>
      <c r="E659" s="108"/>
      <c r="F659" s="108"/>
      <c r="G659" s="108"/>
      <c r="H659" s="108"/>
      <c r="I659" s="108"/>
      <c r="J659" s="108"/>
      <c r="K659" s="108"/>
      <c r="L659" s="108"/>
      <c r="M659" s="108"/>
    </row>
    <row r="660">
      <c r="A660" s="108"/>
      <c r="B660" s="108"/>
      <c r="C660" s="108"/>
      <c r="D660" s="107"/>
      <c r="E660" s="108"/>
      <c r="F660" s="108"/>
      <c r="G660" s="108"/>
      <c r="H660" s="108"/>
      <c r="I660" s="108"/>
      <c r="J660" s="108"/>
      <c r="K660" s="108"/>
      <c r="L660" s="108"/>
      <c r="M660" s="108"/>
    </row>
    <row r="661">
      <c r="A661" s="108"/>
      <c r="B661" s="108"/>
      <c r="C661" s="108"/>
      <c r="D661" s="107"/>
      <c r="E661" s="108"/>
      <c r="F661" s="108"/>
      <c r="G661" s="108"/>
      <c r="H661" s="108"/>
      <c r="I661" s="108"/>
      <c r="J661" s="108"/>
      <c r="K661" s="108"/>
      <c r="L661" s="108"/>
      <c r="M661" s="108"/>
    </row>
    <row r="662">
      <c r="A662" s="108"/>
      <c r="B662" s="108"/>
      <c r="C662" s="108"/>
      <c r="D662" s="107"/>
      <c r="E662" s="108"/>
      <c r="F662" s="108"/>
      <c r="G662" s="108"/>
      <c r="H662" s="108"/>
      <c r="I662" s="108"/>
      <c r="J662" s="108"/>
      <c r="K662" s="108"/>
      <c r="L662" s="108"/>
      <c r="M662" s="108"/>
    </row>
    <row r="663">
      <c r="A663" s="108"/>
      <c r="B663" s="108"/>
      <c r="C663" s="108"/>
      <c r="D663" s="107"/>
      <c r="E663" s="108"/>
      <c r="F663" s="108"/>
      <c r="G663" s="108"/>
      <c r="H663" s="108"/>
      <c r="I663" s="108"/>
      <c r="J663" s="108"/>
      <c r="K663" s="108"/>
      <c r="L663" s="108"/>
      <c r="M663" s="108"/>
    </row>
    <row r="664">
      <c r="A664" s="108"/>
      <c r="B664" s="108"/>
      <c r="C664" s="108"/>
      <c r="D664" s="107"/>
      <c r="E664" s="108"/>
      <c r="F664" s="108"/>
      <c r="G664" s="108"/>
      <c r="H664" s="108"/>
      <c r="I664" s="108"/>
      <c r="J664" s="108"/>
      <c r="K664" s="108"/>
      <c r="L664" s="108"/>
      <c r="M664" s="108"/>
    </row>
    <row r="665">
      <c r="A665" s="108"/>
      <c r="B665" s="108"/>
      <c r="C665" s="108"/>
      <c r="D665" s="107"/>
      <c r="E665" s="108"/>
      <c r="F665" s="108"/>
      <c r="G665" s="108"/>
      <c r="H665" s="108"/>
      <c r="I665" s="108"/>
      <c r="J665" s="108"/>
      <c r="K665" s="108"/>
      <c r="L665" s="108"/>
      <c r="M665" s="108"/>
    </row>
    <row r="666">
      <c r="A666" s="108"/>
      <c r="B666" s="108"/>
      <c r="C666" s="108"/>
      <c r="D666" s="107"/>
      <c r="E666" s="108"/>
      <c r="F666" s="108"/>
      <c r="G666" s="108"/>
      <c r="H666" s="108"/>
      <c r="I666" s="108"/>
      <c r="J666" s="108"/>
      <c r="K666" s="108"/>
      <c r="L666" s="108"/>
      <c r="M666" s="108"/>
    </row>
    <row r="667">
      <c r="A667" s="108"/>
      <c r="B667" s="108"/>
      <c r="C667" s="108"/>
      <c r="D667" s="107"/>
      <c r="E667" s="108"/>
      <c r="F667" s="108"/>
      <c r="G667" s="108"/>
      <c r="H667" s="108"/>
      <c r="I667" s="108"/>
      <c r="J667" s="108"/>
      <c r="K667" s="108"/>
      <c r="L667" s="108"/>
      <c r="M667" s="108"/>
    </row>
    <row r="668">
      <c r="A668" s="108"/>
      <c r="B668" s="108"/>
      <c r="C668" s="108"/>
      <c r="D668" s="107"/>
      <c r="E668" s="108"/>
      <c r="F668" s="108"/>
      <c r="G668" s="108"/>
      <c r="H668" s="108"/>
      <c r="I668" s="108"/>
      <c r="J668" s="108"/>
      <c r="K668" s="108"/>
      <c r="L668" s="108"/>
      <c r="M668" s="108"/>
    </row>
    <row r="669">
      <c r="A669" s="108"/>
      <c r="B669" s="108"/>
      <c r="C669" s="108"/>
      <c r="D669" s="107"/>
      <c r="E669" s="108"/>
      <c r="F669" s="108"/>
      <c r="G669" s="108"/>
      <c r="H669" s="108"/>
      <c r="I669" s="108"/>
      <c r="J669" s="108"/>
      <c r="K669" s="108"/>
      <c r="L669" s="108"/>
      <c r="M669" s="108"/>
    </row>
    <row r="670">
      <c r="A670" s="108"/>
      <c r="B670" s="108"/>
      <c r="C670" s="108"/>
      <c r="D670" s="107"/>
      <c r="E670" s="108"/>
      <c r="F670" s="108"/>
      <c r="G670" s="108"/>
      <c r="H670" s="108"/>
      <c r="I670" s="108"/>
      <c r="J670" s="108"/>
      <c r="K670" s="108"/>
      <c r="L670" s="108"/>
      <c r="M670" s="108"/>
    </row>
    <row r="671">
      <c r="A671" s="108"/>
      <c r="B671" s="108"/>
      <c r="C671" s="108"/>
      <c r="D671" s="107"/>
      <c r="E671" s="108"/>
      <c r="F671" s="108"/>
      <c r="G671" s="108"/>
      <c r="H671" s="108"/>
      <c r="I671" s="108"/>
      <c r="J671" s="108"/>
      <c r="K671" s="108"/>
      <c r="L671" s="108"/>
      <c r="M671" s="108"/>
    </row>
    <row r="672">
      <c r="A672" s="108"/>
      <c r="B672" s="108"/>
      <c r="C672" s="108"/>
      <c r="D672" s="107"/>
      <c r="E672" s="108"/>
      <c r="F672" s="108"/>
      <c r="G672" s="108"/>
      <c r="H672" s="108"/>
      <c r="I672" s="108"/>
      <c r="J672" s="108"/>
      <c r="K672" s="108"/>
      <c r="L672" s="108"/>
      <c r="M672" s="108"/>
    </row>
    <row r="673">
      <c r="A673" s="108"/>
      <c r="B673" s="108"/>
      <c r="C673" s="108"/>
      <c r="D673" s="107"/>
      <c r="E673" s="108"/>
      <c r="F673" s="108"/>
      <c r="G673" s="108"/>
      <c r="H673" s="108"/>
      <c r="I673" s="108"/>
      <c r="J673" s="108"/>
      <c r="K673" s="108"/>
      <c r="L673" s="108"/>
      <c r="M673" s="108"/>
    </row>
    <row r="674">
      <c r="A674" s="108"/>
      <c r="B674" s="108"/>
      <c r="C674" s="108"/>
      <c r="D674" s="107"/>
      <c r="E674" s="108"/>
      <c r="F674" s="108"/>
      <c r="G674" s="108"/>
      <c r="H674" s="108"/>
      <c r="I674" s="108"/>
      <c r="J674" s="108"/>
      <c r="K674" s="108"/>
      <c r="L674" s="108"/>
      <c r="M674" s="108"/>
    </row>
    <row r="675">
      <c r="A675" s="108"/>
      <c r="B675" s="108"/>
      <c r="C675" s="108"/>
      <c r="D675" s="107"/>
      <c r="E675" s="108"/>
      <c r="F675" s="108"/>
      <c r="G675" s="108"/>
      <c r="H675" s="108"/>
      <c r="I675" s="108"/>
      <c r="J675" s="108"/>
      <c r="K675" s="108"/>
      <c r="L675" s="108"/>
      <c r="M675" s="108"/>
    </row>
    <row r="676">
      <c r="A676" s="108"/>
      <c r="B676" s="108"/>
      <c r="C676" s="108"/>
      <c r="D676" s="107"/>
      <c r="E676" s="108"/>
      <c r="F676" s="108"/>
      <c r="G676" s="108"/>
      <c r="H676" s="108"/>
      <c r="I676" s="108"/>
      <c r="J676" s="108"/>
      <c r="K676" s="108"/>
      <c r="L676" s="108"/>
      <c r="M676" s="108"/>
    </row>
    <row r="677">
      <c r="A677" s="108"/>
      <c r="B677" s="108"/>
      <c r="C677" s="108"/>
      <c r="D677" s="107"/>
      <c r="E677" s="108"/>
      <c r="F677" s="108"/>
      <c r="G677" s="108"/>
      <c r="H677" s="108"/>
      <c r="I677" s="108"/>
      <c r="J677" s="108"/>
      <c r="K677" s="108"/>
      <c r="L677" s="108"/>
      <c r="M677" s="108"/>
    </row>
    <row r="678">
      <c r="A678" s="108"/>
      <c r="B678" s="108"/>
      <c r="C678" s="108"/>
      <c r="D678" s="107"/>
      <c r="E678" s="108"/>
      <c r="F678" s="108"/>
      <c r="G678" s="108"/>
      <c r="H678" s="108"/>
      <c r="I678" s="108"/>
      <c r="J678" s="108"/>
      <c r="K678" s="108"/>
      <c r="L678" s="108"/>
      <c r="M678" s="108"/>
    </row>
    <row r="679">
      <c r="A679" s="108"/>
      <c r="B679" s="108"/>
      <c r="C679" s="108"/>
      <c r="D679" s="107"/>
      <c r="E679" s="108"/>
      <c r="F679" s="108"/>
      <c r="G679" s="108"/>
      <c r="H679" s="108"/>
      <c r="I679" s="108"/>
      <c r="J679" s="108"/>
      <c r="K679" s="108"/>
      <c r="L679" s="108"/>
      <c r="M679" s="108"/>
    </row>
    <row r="680">
      <c r="A680" s="108"/>
      <c r="B680" s="108"/>
      <c r="C680" s="108"/>
      <c r="D680" s="107"/>
      <c r="E680" s="108"/>
      <c r="F680" s="108"/>
      <c r="G680" s="108"/>
      <c r="H680" s="108"/>
      <c r="I680" s="108"/>
      <c r="J680" s="108"/>
      <c r="K680" s="108"/>
      <c r="L680" s="108"/>
      <c r="M680" s="108"/>
    </row>
    <row r="681">
      <c r="A681" s="108"/>
      <c r="B681" s="108"/>
      <c r="C681" s="108"/>
      <c r="D681" s="107"/>
      <c r="E681" s="108"/>
      <c r="F681" s="108"/>
      <c r="G681" s="108"/>
      <c r="H681" s="108"/>
      <c r="I681" s="108"/>
      <c r="J681" s="108"/>
      <c r="K681" s="108"/>
      <c r="L681" s="108"/>
      <c r="M681" s="108"/>
    </row>
    <row r="682">
      <c r="A682" s="108"/>
      <c r="B682" s="108"/>
      <c r="C682" s="108"/>
      <c r="D682" s="107"/>
      <c r="E682" s="108"/>
      <c r="F682" s="108"/>
      <c r="G682" s="108"/>
      <c r="H682" s="108"/>
      <c r="I682" s="108"/>
      <c r="J682" s="108"/>
      <c r="K682" s="108"/>
      <c r="L682" s="108"/>
      <c r="M682" s="108"/>
    </row>
    <row r="683">
      <c r="A683" s="108"/>
      <c r="B683" s="108"/>
      <c r="C683" s="108"/>
      <c r="D683" s="107"/>
      <c r="E683" s="108"/>
      <c r="F683" s="108"/>
      <c r="G683" s="108"/>
      <c r="H683" s="108"/>
      <c r="I683" s="108"/>
      <c r="J683" s="108"/>
      <c r="K683" s="108"/>
      <c r="L683" s="108"/>
      <c r="M683" s="108"/>
    </row>
    <row r="684">
      <c r="A684" s="108"/>
      <c r="B684" s="108"/>
      <c r="C684" s="108"/>
      <c r="D684" s="107"/>
      <c r="E684" s="108"/>
      <c r="F684" s="108"/>
      <c r="G684" s="108"/>
      <c r="H684" s="108"/>
      <c r="I684" s="108"/>
      <c r="J684" s="108"/>
      <c r="K684" s="108"/>
      <c r="L684" s="108"/>
      <c r="M684" s="108"/>
    </row>
    <row r="685">
      <c r="A685" s="108"/>
      <c r="B685" s="108"/>
      <c r="C685" s="108"/>
      <c r="D685" s="107"/>
      <c r="E685" s="108"/>
      <c r="F685" s="108"/>
      <c r="G685" s="108"/>
      <c r="H685" s="108"/>
      <c r="I685" s="108"/>
      <c r="J685" s="108"/>
      <c r="K685" s="108"/>
      <c r="L685" s="108"/>
      <c r="M685" s="108"/>
    </row>
    <row r="686">
      <c r="A686" s="108"/>
      <c r="B686" s="108"/>
      <c r="C686" s="108"/>
      <c r="D686" s="107"/>
      <c r="E686" s="108"/>
      <c r="F686" s="108"/>
      <c r="G686" s="108"/>
      <c r="H686" s="108"/>
      <c r="I686" s="108"/>
      <c r="J686" s="108"/>
      <c r="K686" s="108"/>
      <c r="L686" s="108"/>
      <c r="M686" s="108"/>
    </row>
    <row r="687">
      <c r="A687" s="108"/>
      <c r="B687" s="108"/>
      <c r="C687" s="108"/>
      <c r="D687" s="107"/>
      <c r="E687" s="108"/>
      <c r="F687" s="108"/>
      <c r="G687" s="108"/>
      <c r="H687" s="108"/>
      <c r="I687" s="108"/>
      <c r="J687" s="108"/>
      <c r="K687" s="108"/>
      <c r="L687" s="108"/>
      <c r="M687" s="108"/>
    </row>
    <row r="688">
      <c r="A688" s="108"/>
      <c r="B688" s="108"/>
      <c r="C688" s="108"/>
      <c r="D688" s="107"/>
      <c r="E688" s="108"/>
      <c r="F688" s="108"/>
      <c r="G688" s="108"/>
      <c r="H688" s="108"/>
      <c r="I688" s="108"/>
      <c r="J688" s="108"/>
      <c r="K688" s="108"/>
      <c r="L688" s="108"/>
      <c r="M688" s="108"/>
    </row>
    <row r="689">
      <c r="A689" s="108"/>
      <c r="B689" s="108"/>
      <c r="C689" s="108"/>
      <c r="D689" s="107"/>
      <c r="E689" s="108"/>
      <c r="F689" s="108"/>
      <c r="G689" s="108"/>
      <c r="H689" s="108"/>
      <c r="I689" s="108"/>
      <c r="J689" s="108"/>
      <c r="K689" s="108"/>
      <c r="L689" s="108"/>
      <c r="M689" s="108"/>
    </row>
    <row r="690">
      <c r="A690" s="108"/>
      <c r="B690" s="108"/>
      <c r="C690" s="108"/>
      <c r="D690" s="107"/>
      <c r="E690" s="108"/>
      <c r="F690" s="108"/>
      <c r="G690" s="108"/>
      <c r="H690" s="108"/>
      <c r="I690" s="108"/>
      <c r="J690" s="108"/>
      <c r="K690" s="108"/>
      <c r="L690" s="108"/>
      <c r="M690" s="108"/>
    </row>
    <row r="691">
      <c r="A691" s="108"/>
      <c r="B691" s="108"/>
      <c r="C691" s="108"/>
      <c r="D691" s="107"/>
      <c r="E691" s="108"/>
      <c r="F691" s="108"/>
      <c r="G691" s="108"/>
      <c r="H691" s="108"/>
      <c r="I691" s="108"/>
      <c r="J691" s="108"/>
      <c r="K691" s="108"/>
      <c r="L691" s="108"/>
      <c r="M691" s="108"/>
    </row>
    <row r="692">
      <c r="A692" s="108"/>
      <c r="B692" s="108"/>
      <c r="C692" s="108"/>
      <c r="D692" s="107"/>
      <c r="E692" s="108"/>
      <c r="F692" s="108"/>
      <c r="G692" s="108"/>
      <c r="H692" s="108"/>
      <c r="I692" s="108"/>
      <c r="J692" s="108"/>
      <c r="K692" s="108"/>
      <c r="L692" s="108"/>
      <c r="M692" s="108"/>
    </row>
    <row r="693">
      <c r="A693" s="108"/>
      <c r="B693" s="108"/>
      <c r="C693" s="108"/>
      <c r="D693" s="107"/>
      <c r="E693" s="108"/>
      <c r="F693" s="108"/>
      <c r="G693" s="108"/>
      <c r="H693" s="108"/>
      <c r="I693" s="108"/>
      <c r="J693" s="108"/>
      <c r="K693" s="108"/>
      <c r="L693" s="108"/>
      <c r="M693" s="108"/>
    </row>
    <row r="694">
      <c r="A694" s="108"/>
      <c r="B694" s="108"/>
      <c r="C694" s="108"/>
      <c r="D694" s="107"/>
      <c r="E694" s="108"/>
      <c r="F694" s="108"/>
      <c r="G694" s="108"/>
      <c r="H694" s="108"/>
      <c r="I694" s="108"/>
      <c r="J694" s="108"/>
      <c r="K694" s="108"/>
      <c r="L694" s="108"/>
      <c r="M694" s="108"/>
    </row>
    <row r="695">
      <c r="A695" s="108"/>
      <c r="B695" s="108"/>
      <c r="C695" s="108"/>
      <c r="D695" s="107"/>
      <c r="E695" s="108"/>
      <c r="F695" s="108"/>
      <c r="G695" s="108"/>
      <c r="H695" s="108"/>
      <c r="I695" s="108"/>
      <c r="J695" s="108"/>
      <c r="K695" s="108"/>
      <c r="L695" s="108"/>
      <c r="M695" s="108"/>
    </row>
    <row r="696">
      <c r="A696" s="108"/>
      <c r="B696" s="108"/>
      <c r="C696" s="108"/>
      <c r="D696" s="107"/>
      <c r="E696" s="108"/>
      <c r="F696" s="108"/>
      <c r="G696" s="108"/>
      <c r="H696" s="108"/>
      <c r="I696" s="108"/>
      <c r="J696" s="108"/>
      <c r="K696" s="108"/>
      <c r="L696" s="108"/>
      <c r="M696" s="108"/>
    </row>
    <row r="697">
      <c r="A697" s="108"/>
      <c r="B697" s="108"/>
      <c r="C697" s="108"/>
      <c r="D697" s="107"/>
      <c r="E697" s="108"/>
      <c r="F697" s="108"/>
      <c r="G697" s="108"/>
      <c r="H697" s="108"/>
      <c r="I697" s="108"/>
      <c r="J697" s="108"/>
      <c r="K697" s="108"/>
      <c r="L697" s="108"/>
      <c r="M697" s="108"/>
    </row>
    <row r="698">
      <c r="A698" s="108"/>
      <c r="B698" s="108"/>
      <c r="C698" s="108"/>
      <c r="D698" s="107"/>
      <c r="E698" s="108"/>
      <c r="F698" s="108"/>
      <c r="G698" s="108"/>
      <c r="H698" s="108"/>
      <c r="I698" s="108"/>
      <c r="J698" s="108"/>
      <c r="K698" s="108"/>
      <c r="L698" s="108"/>
      <c r="M698" s="108"/>
    </row>
    <row r="699">
      <c r="A699" s="108"/>
      <c r="B699" s="108"/>
      <c r="C699" s="108"/>
      <c r="D699" s="107"/>
      <c r="E699" s="108"/>
      <c r="F699" s="108"/>
      <c r="G699" s="108"/>
      <c r="H699" s="108"/>
      <c r="I699" s="108"/>
      <c r="J699" s="108"/>
      <c r="K699" s="108"/>
      <c r="L699" s="108"/>
      <c r="M699" s="108"/>
    </row>
    <row r="700">
      <c r="A700" s="108"/>
      <c r="B700" s="108"/>
      <c r="C700" s="108"/>
      <c r="D700" s="107"/>
      <c r="E700" s="108"/>
      <c r="F700" s="108"/>
      <c r="G700" s="108"/>
      <c r="H700" s="108"/>
      <c r="I700" s="108"/>
      <c r="J700" s="108"/>
      <c r="K700" s="108"/>
      <c r="L700" s="108"/>
      <c r="M700" s="108"/>
    </row>
    <row r="701">
      <c r="A701" s="108"/>
      <c r="B701" s="108"/>
      <c r="C701" s="108"/>
      <c r="D701" s="107"/>
      <c r="E701" s="108"/>
      <c r="F701" s="108"/>
      <c r="G701" s="108"/>
      <c r="H701" s="108"/>
      <c r="I701" s="108"/>
      <c r="J701" s="108"/>
      <c r="K701" s="108"/>
      <c r="L701" s="108"/>
      <c r="M701" s="108"/>
    </row>
    <row r="702">
      <c r="A702" s="108"/>
      <c r="B702" s="108"/>
      <c r="C702" s="108"/>
      <c r="D702" s="107"/>
      <c r="E702" s="108"/>
      <c r="F702" s="108"/>
      <c r="G702" s="108"/>
      <c r="H702" s="108"/>
      <c r="I702" s="108"/>
      <c r="J702" s="108"/>
      <c r="K702" s="108"/>
      <c r="L702" s="108"/>
      <c r="M702" s="108"/>
    </row>
    <row r="703">
      <c r="A703" s="108"/>
      <c r="B703" s="108"/>
      <c r="C703" s="108"/>
      <c r="D703" s="107"/>
      <c r="E703" s="108"/>
      <c r="F703" s="108"/>
      <c r="G703" s="108"/>
      <c r="H703" s="108"/>
      <c r="I703" s="108"/>
      <c r="J703" s="108"/>
      <c r="K703" s="108"/>
      <c r="L703" s="108"/>
      <c r="M703" s="108"/>
    </row>
    <row r="704">
      <c r="A704" s="108"/>
      <c r="B704" s="108"/>
      <c r="C704" s="108"/>
      <c r="D704" s="107"/>
      <c r="E704" s="108"/>
      <c r="F704" s="108"/>
      <c r="G704" s="108"/>
      <c r="H704" s="108"/>
      <c r="I704" s="108"/>
      <c r="J704" s="108"/>
      <c r="K704" s="108"/>
      <c r="L704" s="108"/>
      <c r="M704" s="108"/>
    </row>
    <row r="705">
      <c r="A705" s="108"/>
      <c r="B705" s="108"/>
      <c r="C705" s="108"/>
      <c r="D705" s="107"/>
      <c r="E705" s="108"/>
      <c r="F705" s="108"/>
      <c r="G705" s="108"/>
      <c r="H705" s="108"/>
      <c r="I705" s="108"/>
      <c r="J705" s="108"/>
      <c r="K705" s="108"/>
      <c r="L705" s="108"/>
      <c r="M705" s="108"/>
    </row>
    <row r="706">
      <c r="A706" s="108"/>
      <c r="B706" s="108"/>
      <c r="C706" s="108"/>
      <c r="D706" s="107"/>
      <c r="E706" s="108"/>
      <c r="F706" s="108"/>
      <c r="G706" s="108"/>
      <c r="H706" s="108"/>
      <c r="I706" s="108"/>
      <c r="J706" s="108"/>
      <c r="K706" s="108"/>
      <c r="L706" s="108"/>
      <c r="M706" s="108"/>
    </row>
    <row r="707">
      <c r="A707" s="108"/>
      <c r="B707" s="108"/>
      <c r="C707" s="108"/>
      <c r="D707" s="107"/>
      <c r="E707" s="108"/>
      <c r="F707" s="108"/>
      <c r="G707" s="108"/>
      <c r="H707" s="108"/>
      <c r="I707" s="108"/>
      <c r="J707" s="108"/>
      <c r="K707" s="108"/>
      <c r="L707" s="108"/>
      <c r="M707" s="108"/>
    </row>
    <row r="708">
      <c r="A708" s="108"/>
      <c r="B708" s="108"/>
      <c r="C708" s="108"/>
      <c r="D708" s="107"/>
      <c r="E708" s="108"/>
      <c r="F708" s="108"/>
      <c r="G708" s="108"/>
      <c r="H708" s="108"/>
      <c r="I708" s="108"/>
      <c r="J708" s="108"/>
      <c r="K708" s="108"/>
      <c r="L708" s="108"/>
      <c r="M708" s="108"/>
    </row>
    <row r="709">
      <c r="A709" s="108"/>
      <c r="B709" s="108"/>
      <c r="C709" s="108"/>
      <c r="D709" s="107"/>
      <c r="E709" s="108"/>
      <c r="F709" s="108"/>
      <c r="G709" s="108"/>
      <c r="H709" s="108"/>
      <c r="I709" s="108"/>
      <c r="J709" s="108"/>
      <c r="K709" s="108"/>
      <c r="L709" s="108"/>
      <c r="M709" s="108"/>
    </row>
    <row r="710">
      <c r="A710" s="108"/>
      <c r="B710" s="108"/>
      <c r="C710" s="108"/>
      <c r="D710" s="107"/>
      <c r="E710" s="108"/>
      <c r="F710" s="108"/>
      <c r="G710" s="108"/>
      <c r="H710" s="108"/>
      <c r="I710" s="108"/>
      <c r="J710" s="108"/>
      <c r="K710" s="108"/>
      <c r="L710" s="108"/>
      <c r="M710" s="108"/>
    </row>
    <row r="711">
      <c r="A711" s="108"/>
      <c r="B711" s="108"/>
      <c r="C711" s="108"/>
      <c r="D711" s="107"/>
      <c r="E711" s="108"/>
      <c r="F711" s="108"/>
      <c r="G711" s="108"/>
      <c r="H711" s="108"/>
      <c r="I711" s="108"/>
      <c r="J711" s="108"/>
      <c r="K711" s="108"/>
      <c r="L711" s="108"/>
      <c r="M711" s="108"/>
    </row>
    <row r="712">
      <c r="A712" s="108"/>
      <c r="B712" s="108"/>
      <c r="C712" s="108"/>
      <c r="D712" s="107"/>
      <c r="E712" s="108"/>
      <c r="F712" s="108"/>
      <c r="G712" s="108"/>
      <c r="H712" s="108"/>
      <c r="I712" s="108"/>
      <c r="J712" s="108"/>
      <c r="K712" s="108"/>
      <c r="L712" s="108"/>
      <c r="M712" s="108"/>
    </row>
    <row r="713">
      <c r="A713" s="108"/>
      <c r="B713" s="108"/>
      <c r="C713" s="108"/>
      <c r="D713" s="107"/>
      <c r="E713" s="108"/>
      <c r="F713" s="108"/>
      <c r="G713" s="108"/>
      <c r="H713" s="108"/>
      <c r="I713" s="108"/>
      <c r="J713" s="108"/>
      <c r="K713" s="108"/>
      <c r="L713" s="108"/>
      <c r="M713" s="108"/>
    </row>
    <row r="714">
      <c r="A714" s="108"/>
      <c r="B714" s="108"/>
      <c r="C714" s="108"/>
      <c r="D714" s="107"/>
      <c r="E714" s="108"/>
      <c r="F714" s="108"/>
      <c r="G714" s="108"/>
      <c r="H714" s="108"/>
      <c r="I714" s="108"/>
      <c r="J714" s="108"/>
      <c r="K714" s="108"/>
      <c r="L714" s="108"/>
      <c r="M714" s="108"/>
    </row>
    <row r="715">
      <c r="A715" s="108"/>
      <c r="B715" s="108"/>
      <c r="C715" s="108"/>
      <c r="D715" s="107"/>
      <c r="E715" s="108"/>
      <c r="F715" s="108"/>
      <c r="G715" s="108"/>
      <c r="H715" s="108"/>
      <c r="I715" s="108"/>
      <c r="J715" s="108"/>
      <c r="K715" s="108"/>
      <c r="L715" s="108"/>
      <c r="M715" s="108"/>
    </row>
    <row r="716">
      <c r="A716" s="108"/>
      <c r="B716" s="108"/>
      <c r="C716" s="108"/>
      <c r="D716" s="107"/>
      <c r="E716" s="108"/>
      <c r="F716" s="108"/>
      <c r="G716" s="108"/>
      <c r="H716" s="108"/>
      <c r="I716" s="108"/>
      <c r="J716" s="108"/>
      <c r="K716" s="108"/>
      <c r="L716" s="108"/>
      <c r="M716" s="108"/>
    </row>
    <row r="717">
      <c r="A717" s="108"/>
      <c r="B717" s="108"/>
      <c r="C717" s="108"/>
      <c r="D717" s="107"/>
      <c r="E717" s="108"/>
      <c r="F717" s="108"/>
      <c r="G717" s="108"/>
      <c r="H717" s="108"/>
      <c r="I717" s="108"/>
      <c r="J717" s="108"/>
      <c r="K717" s="108"/>
      <c r="L717" s="108"/>
      <c r="M717" s="108"/>
    </row>
    <row r="718">
      <c r="A718" s="108"/>
      <c r="B718" s="108"/>
      <c r="C718" s="108"/>
      <c r="D718" s="107"/>
      <c r="E718" s="108"/>
      <c r="F718" s="108"/>
      <c r="G718" s="108"/>
      <c r="H718" s="108"/>
      <c r="I718" s="108"/>
      <c r="J718" s="108"/>
      <c r="K718" s="108"/>
      <c r="L718" s="108"/>
      <c r="M718" s="108"/>
    </row>
    <row r="719">
      <c r="A719" s="108"/>
      <c r="B719" s="108"/>
      <c r="C719" s="108"/>
      <c r="D719" s="107"/>
      <c r="E719" s="108"/>
      <c r="F719" s="108"/>
      <c r="G719" s="108"/>
      <c r="H719" s="108"/>
      <c r="I719" s="108"/>
      <c r="J719" s="108"/>
      <c r="K719" s="108"/>
      <c r="L719" s="108"/>
      <c r="M719" s="108"/>
    </row>
    <row r="720">
      <c r="A720" s="108"/>
      <c r="B720" s="108"/>
      <c r="C720" s="108"/>
      <c r="D720" s="107"/>
      <c r="E720" s="108"/>
      <c r="F720" s="108"/>
      <c r="G720" s="108"/>
      <c r="H720" s="108"/>
      <c r="I720" s="108"/>
      <c r="J720" s="108"/>
      <c r="K720" s="108"/>
      <c r="L720" s="108"/>
      <c r="M720" s="108"/>
    </row>
    <row r="721">
      <c r="A721" s="108"/>
      <c r="B721" s="108"/>
      <c r="C721" s="108"/>
      <c r="D721" s="107"/>
      <c r="E721" s="108"/>
      <c r="F721" s="108"/>
      <c r="G721" s="108"/>
      <c r="H721" s="108"/>
      <c r="I721" s="108"/>
      <c r="J721" s="108"/>
      <c r="K721" s="108"/>
      <c r="L721" s="108"/>
      <c r="M721" s="108"/>
    </row>
    <row r="722">
      <c r="A722" s="108"/>
      <c r="B722" s="108"/>
      <c r="C722" s="108"/>
      <c r="D722" s="107"/>
      <c r="E722" s="108"/>
      <c r="F722" s="108"/>
      <c r="G722" s="108"/>
      <c r="H722" s="108"/>
      <c r="I722" s="108"/>
      <c r="J722" s="108"/>
      <c r="K722" s="108"/>
      <c r="L722" s="108"/>
      <c r="M722" s="108"/>
    </row>
    <row r="723">
      <c r="A723" s="108"/>
      <c r="B723" s="108"/>
      <c r="C723" s="108"/>
      <c r="D723" s="107"/>
      <c r="E723" s="108"/>
      <c r="F723" s="108"/>
      <c r="G723" s="108"/>
      <c r="H723" s="108"/>
      <c r="I723" s="108"/>
      <c r="J723" s="108"/>
      <c r="K723" s="108"/>
      <c r="L723" s="108"/>
      <c r="M723" s="108"/>
    </row>
    <row r="724">
      <c r="A724" s="108"/>
      <c r="B724" s="108"/>
      <c r="C724" s="108"/>
      <c r="D724" s="107"/>
      <c r="E724" s="108"/>
      <c r="F724" s="108"/>
      <c r="G724" s="108"/>
      <c r="H724" s="108"/>
      <c r="I724" s="108"/>
      <c r="J724" s="108"/>
      <c r="K724" s="108"/>
      <c r="L724" s="108"/>
      <c r="M724" s="108"/>
    </row>
    <row r="725">
      <c r="A725" s="108"/>
      <c r="B725" s="108"/>
      <c r="C725" s="108"/>
      <c r="D725" s="107"/>
      <c r="E725" s="108"/>
      <c r="F725" s="108"/>
      <c r="G725" s="108"/>
      <c r="H725" s="108"/>
      <c r="I725" s="108"/>
      <c r="J725" s="108"/>
      <c r="K725" s="108"/>
      <c r="L725" s="108"/>
      <c r="M725" s="108"/>
    </row>
    <row r="726">
      <c r="A726" s="108"/>
      <c r="B726" s="108"/>
      <c r="C726" s="108"/>
      <c r="D726" s="107"/>
      <c r="E726" s="108"/>
      <c r="F726" s="108"/>
      <c r="G726" s="108"/>
      <c r="H726" s="108"/>
      <c r="I726" s="108"/>
      <c r="J726" s="108"/>
      <c r="K726" s="108"/>
      <c r="L726" s="108"/>
      <c r="M726" s="108"/>
    </row>
    <row r="727">
      <c r="A727" s="108"/>
      <c r="B727" s="108"/>
      <c r="C727" s="108"/>
      <c r="D727" s="107"/>
      <c r="E727" s="108"/>
      <c r="F727" s="108"/>
      <c r="G727" s="108"/>
      <c r="H727" s="108"/>
      <c r="I727" s="108"/>
      <c r="J727" s="108"/>
      <c r="K727" s="108"/>
      <c r="L727" s="108"/>
      <c r="M727" s="108"/>
    </row>
    <row r="728">
      <c r="A728" s="108"/>
      <c r="B728" s="108"/>
      <c r="C728" s="108"/>
      <c r="D728" s="107"/>
      <c r="E728" s="108"/>
      <c r="F728" s="108"/>
      <c r="G728" s="108"/>
      <c r="H728" s="108"/>
      <c r="I728" s="108"/>
      <c r="J728" s="108"/>
      <c r="K728" s="108"/>
      <c r="L728" s="108"/>
      <c r="M728" s="108"/>
    </row>
    <row r="729">
      <c r="A729" s="108"/>
      <c r="B729" s="108"/>
      <c r="C729" s="108"/>
      <c r="D729" s="107"/>
      <c r="E729" s="108"/>
      <c r="F729" s="108"/>
      <c r="G729" s="108"/>
      <c r="H729" s="108"/>
      <c r="I729" s="108"/>
      <c r="J729" s="108"/>
      <c r="K729" s="108"/>
      <c r="L729" s="108"/>
      <c r="M729" s="108"/>
    </row>
    <row r="730">
      <c r="A730" s="108"/>
      <c r="B730" s="108"/>
      <c r="C730" s="108"/>
      <c r="D730" s="107"/>
      <c r="E730" s="108"/>
      <c r="F730" s="108"/>
      <c r="G730" s="108"/>
      <c r="H730" s="108"/>
      <c r="I730" s="108"/>
      <c r="J730" s="108"/>
      <c r="K730" s="108"/>
      <c r="L730" s="108"/>
      <c r="M730" s="108"/>
    </row>
    <row r="731">
      <c r="A731" s="108"/>
      <c r="B731" s="108"/>
      <c r="C731" s="108"/>
      <c r="D731" s="107"/>
      <c r="E731" s="108"/>
      <c r="F731" s="108"/>
      <c r="G731" s="108"/>
      <c r="H731" s="108"/>
      <c r="I731" s="108"/>
      <c r="J731" s="108"/>
      <c r="K731" s="108"/>
      <c r="L731" s="108"/>
      <c r="M731" s="108"/>
    </row>
    <row r="732">
      <c r="A732" s="108"/>
      <c r="B732" s="108"/>
      <c r="C732" s="108"/>
      <c r="D732" s="107"/>
      <c r="E732" s="108"/>
      <c r="F732" s="108"/>
      <c r="G732" s="108"/>
      <c r="H732" s="108"/>
      <c r="I732" s="108"/>
      <c r="J732" s="108"/>
      <c r="K732" s="108"/>
      <c r="L732" s="108"/>
      <c r="M732" s="108"/>
    </row>
    <row r="733">
      <c r="A733" s="108"/>
      <c r="B733" s="108"/>
      <c r="C733" s="108"/>
      <c r="D733" s="107"/>
      <c r="E733" s="108"/>
      <c r="F733" s="108"/>
      <c r="G733" s="108"/>
      <c r="H733" s="108"/>
      <c r="I733" s="108"/>
      <c r="J733" s="108"/>
      <c r="K733" s="108"/>
      <c r="L733" s="108"/>
      <c r="M733" s="108"/>
    </row>
    <row r="734">
      <c r="A734" s="108"/>
      <c r="B734" s="108"/>
      <c r="C734" s="108"/>
      <c r="D734" s="107"/>
      <c r="E734" s="108"/>
      <c r="F734" s="108"/>
      <c r="G734" s="108"/>
      <c r="H734" s="108"/>
      <c r="I734" s="108"/>
      <c r="J734" s="108"/>
      <c r="K734" s="108"/>
      <c r="L734" s="108"/>
      <c r="M734" s="108"/>
    </row>
    <row r="735">
      <c r="A735" s="108"/>
      <c r="B735" s="108"/>
      <c r="C735" s="108"/>
      <c r="D735" s="107"/>
      <c r="E735" s="108"/>
      <c r="F735" s="108"/>
      <c r="G735" s="108"/>
      <c r="H735" s="108"/>
      <c r="I735" s="108"/>
      <c r="J735" s="108"/>
      <c r="K735" s="108"/>
      <c r="L735" s="108"/>
      <c r="M735" s="108"/>
    </row>
    <row r="736">
      <c r="A736" s="108"/>
      <c r="B736" s="108"/>
      <c r="C736" s="108"/>
      <c r="D736" s="107"/>
      <c r="E736" s="108"/>
      <c r="F736" s="108"/>
      <c r="G736" s="108"/>
      <c r="H736" s="108"/>
      <c r="I736" s="108"/>
      <c r="J736" s="108"/>
      <c r="K736" s="108"/>
      <c r="L736" s="108"/>
      <c r="M736" s="108"/>
    </row>
    <row r="737">
      <c r="A737" s="108"/>
      <c r="B737" s="108"/>
      <c r="C737" s="108"/>
      <c r="D737" s="107"/>
      <c r="E737" s="108"/>
      <c r="F737" s="108"/>
      <c r="G737" s="108"/>
      <c r="H737" s="108"/>
      <c r="I737" s="108"/>
      <c r="J737" s="108"/>
      <c r="K737" s="108"/>
      <c r="L737" s="108"/>
      <c r="M737" s="108"/>
    </row>
    <row r="738">
      <c r="A738" s="108"/>
      <c r="B738" s="108"/>
      <c r="C738" s="108"/>
      <c r="D738" s="107"/>
      <c r="E738" s="108"/>
      <c r="F738" s="108"/>
      <c r="G738" s="108"/>
      <c r="H738" s="108"/>
      <c r="I738" s="108"/>
      <c r="J738" s="108"/>
      <c r="K738" s="108"/>
      <c r="L738" s="108"/>
      <c r="M738" s="108"/>
    </row>
    <row r="739">
      <c r="A739" s="108"/>
      <c r="B739" s="108"/>
      <c r="C739" s="108"/>
      <c r="D739" s="107"/>
      <c r="E739" s="108"/>
      <c r="F739" s="108"/>
      <c r="G739" s="108"/>
      <c r="H739" s="108"/>
      <c r="I739" s="108"/>
      <c r="J739" s="108"/>
      <c r="K739" s="108"/>
      <c r="L739" s="108"/>
      <c r="M739" s="108"/>
    </row>
    <row r="740">
      <c r="A740" s="108"/>
      <c r="B740" s="108"/>
      <c r="C740" s="108"/>
      <c r="D740" s="107"/>
      <c r="E740" s="108"/>
      <c r="F740" s="108"/>
      <c r="G740" s="108"/>
      <c r="H740" s="108"/>
      <c r="I740" s="108"/>
      <c r="J740" s="108"/>
      <c r="K740" s="108"/>
      <c r="L740" s="108"/>
      <c r="M740" s="108"/>
    </row>
    <row r="741">
      <c r="A741" s="108"/>
      <c r="B741" s="108"/>
      <c r="C741" s="108"/>
      <c r="D741" s="107"/>
      <c r="E741" s="108"/>
      <c r="F741" s="108"/>
      <c r="G741" s="108"/>
      <c r="H741" s="108"/>
      <c r="I741" s="108"/>
      <c r="J741" s="108"/>
      <c r="K741" s="108"/>
      <c r="L741" s="108"/>
      <c r="M741" s="108"/>
    </row>
    <row r="742">
      <c r="A742" s="108"/>
      <c r="B742" s="108"/>
      <c r="C742" s="108"/>
      <c r="D742" s="107"/>
      <c r="E742" s="108"/>
      <c r="F742" s="108"/>
      <c r="G742" s="108"/>
      <c r="H742" s="108"/>
      <c r="I742" s="108"/>
      <c r="J742" s="108"/>
      <c r="K742" s="108"/>
      <c r="L742" s="108"/>
      <c r="M742" s="108"/>
    </row>
    <row r="743">
      <c r="A743" s="108"/>
      <c r="B743" s="108"/>
      <c r="C743" s="108"/>
      <c r="D743" s="107"/>
      <c r="E743" s="108"/>
      <c r="F743" s="108"/>
      <c r="G743" s="108"/>
      <c r="H743" s="108"/>
      <c r="I743" s="108"/>
      <c r="J743" s="108"/>
      <c r="K743" s="108"/>
      <c r="L743" s="108"/>
      <c r="M743" s="108"/>
    </row>
    <row r="744">
      <c r="A744" s="108"/>
      <c r="B744" s="108"/>
      <c r="C744" s="108"/>
      <c r="D744" s="107"/>
      <c r="E744" s="108"/>
      <c r="F744" s="108"/>
      <c r="G744" s="108"/>
      <c r="H744" s="108"/>
      <c r="I744" s="108"/>
      <c r="J744" s="108"/>
      <c r="K744" s="108"/>
      <c r="L744" s="108"/>
      <c r="M744" s="108"/>
    </row>
    <row r="745">
      <c r="A745" s="108"/>
      <c r="B745" s="108"/>
      <c r="C745" s="108"/>
      <c r="D745" s="107"/>
      <c r="E745" s="108"/>
      <c r="F745" s="108"/>
      <c r="G745" s="108"/>
      <c r="H745" s="108"/>
      <c r="I745" s="108"/>
      <c r="J745" s="108"/>
      <c r="K745" s="108"/>
      <c r="L745" s="108"/>
      <c r="M745" s="108"/>
    </row>
    <row r="746">
      <c r="A746" s="108"/>
      <c r="B746" s="108"/>
      <c r="C746" s="108"/>
      <c r="D746" s="107"/>
      <c r="E746" s="108"/>
      <c r="F746" s="108"/>
      <c r="G746" s="108"/>
      <c r="H746" s="108"/>
      <c r="I746" s="108"/>
      <c r="J746" s="108"/>
      <c r="K746" s="108"/>
      <c r="L746" s="108"/>
      <c r="M746" s="108"/>
    </row>
    <row r="747">
      <c r="A747" s="108"/>
      <c r="B747" s="108"/>
      <c r="C747" s="108"/>
      <c r="D747" s="107"/>
      <c r="E747" s="108"/>
      <c r="F747" s="108"/>
      <c r="G747" s="108"/>
      <c r="H747" s="108"/>
      <c r="I747" s="108"/>
      <c r="J747" s="108"/>
      <c r="K747" s="108"/>
      <c r="L747" s="108"/>
      <c r="M747" s="108"/>
    </row>
    <row r="748">
      <c r="A748" s="108"/>
      <c r="B748" s="108"/>
      <c r="C748" s="108"/>
      <c r="D748" s="107"/>
      <c r="E748" s="108"/>
      <c r="F748" s="108"/>
      <c r="G748" s="108"/>
      <c r="H748" s="108"/>
      <c r="I748" s="108"/>
      <c r="J748" s="108"/>
      <c r="K748" s="108"/>
      <c r="L748" s="108"/>
      <c r="M748" s="108"/>
    </row>
    <row r="749">
      <c r="A749" s="108"/>
      <c r="B749" s="108"/>
      <c r="C749" s="108"/>
      <c r="D749" s="107"/>
      <c r="E749" s="108"/>
      <c r="F749" s="108"/>
      <c r="G749" s="108"/>
      <c r="H749" s="108"/>
      <c r="I749" s="108"/>
      <c r="J749" s="108"/>
      <c r="K749" s="108"/>
      <c r="L749" s="108"/>
      <c r="M749" s="108"/>
    </row>
    <row r="750">
      <c r="A750" s="108"/>
      <c r="B750" s="108"/>
      <c r="C750" s="108"/>
      <c r="D750" s="107"/>
      <c r="E750" s="108"/>
      <c r="F750" s="108"/>
      <c r="G750" s="108"/>
      <c r="H750" s="108"/>
      <c r="I750" s="108"/>
      <c r="J750" s="108"/>
      <c r="K750" s="108"/>
      <c r="L750" s="108"/>
      <c r="M750" s="108"/>
    </row>
    <row r="751">
      <c r="A751" s="108"/>
      <c r="B751" s="108"/>
      <c r="C751" s="108"/>
      <c r="D751" s="107"/>
      <c r="E751" s="108"/>
      <c r="F751" s="108"/>
      <c r="G751" s="108"/>
      <c r="H751" s="108"/>
      <c r="I751" s="108"/>
      <c r="J751" s="108"/>
      <c r="K751" s="108"/>
      <c r="L751" s="108"/>
      <c r="M751" s="108"/>
    </row>
    <row r="752">
      <c r="A752" s="108"/>
      <c r="B752" s="108"/>
      <c r="C752" s="108"/>
      <c r="D752" s="107"/>
      <c r="E752" s="108"/>
      <c r="F752" s="108"/>
      <c r="G752" s="108"/>
      <c r="H752" s="108"/>
      <c r="I752" s="108"/>
      <c r="J752" s="108"/>
      <c r="K752" s="108"/>
      <c r="L752" s="108"/>
      <c r="M752" s="108"/>
    </row>
    <row r="753">
      <c r="A753" s="108"/>
      <c r="B753" s="108"/>
      <c r="C753" s="108"/>
      <c r="D753" s="107"/>
      <c r="E753" s="108"/>
      <c r="F753" s="108"/>
      <c r="G753" s="108"/>
      <c r="H753" s="108"/>
      <c r="I753" s="108"/>
      <c r="J753" s="108"/>
      <c r="K753" s="108"/>
      <c r="L753" s="108"/>
      <c r="M753" s="108"/>
    </row>
    <row r="754">
      <c r="A754" s="108"/>
      <c r="B754" s="108"/>
      <c r="C754" s="108"/>
      <c r="D754" s="107"/>
      <c r="E754" s="108"/>
      <c r="F754" s="108"/>
      <c r="G754" s="108"/>
      <c r="H754" s="108"/>
      <c r="I754" s="108"/>
      <c r="J754" s="108"/>
      <c r="K754" s="108"/>
      <c r="L754" s="108"/>
      <c r="M754" s="108"/>
    </row>
    <row r="755">
      <c r="A755" s="108"/>
      <c r="B755" s="108"/>
      <c r="C755" s="108"/>
      <c r="D755" s="107"/>
      <c r="E755" s="108"/>
      <c r="F755" s="108"/>
      <c r="G755" s="108"/>
      <c r="H755" s="108"/>
      <c r="I755" s="108"/>
      <c r="J755" s="108"/>
      <c r="K755" s="108"/>
      <c r="L755" s="108"/>
      <c r="M755" s="108"/>
    </row>
    <row r="756">
      <c r="A756" s="108"/>
      <c r="B756" s="108"/>
      <c r="C756" s="108"/>
      <c r="D756" s="107"/>
      <c r="E756" s="108"/>
      <c r="F756" s="108"/>
      <c r="G756" s="108"/>
      <c r="H756" s="108"/>
      <c r="I756" s="108"/>
      <c r="J756" s="108"/>
      <c r="K756" s="108"/>
      <c r="L756" s="108"/>
      <c r="M756" s="108"/>
    </row>
    <row r="757">
      <c r="A757" s="108"/>
      <c r="B757" s="108"/>
      <c r="C757" s="108"/>
      <c r="D757" s="107"/>
      <c r="E757" s="108"/>
      <c r="F757" s="108"/>
      <c r="G757" s="108"/>
      <c r="H757" s="108"/>
      <c r="I757" s="108"/>
      <c r="J757" s="108"/>
      <c r="K757" s="108"/>
      <c r="L757" s="108"/>
      <c r="M757" s="108"/>
    </row>
    <row r="758">
      <c r="A758" s="108"/>
      <c r="B758" s="108"/>
      <c r="C758" s="108"/>
      <c r="D758" s="107"/>
      <c r="E758" s="108"/>
      <c r="F758" s="108"/>
      <c r="G758" s="108"/>
      <c r="H758" s="108"/>
      <c r="I758" s="108"/>
      <c r="J758" s="108"/>
      <c r="K758" s="108"/>
      <c r="L758" s="108"/>
      <c r="M758" s="108"/>
    </row>
    <row r="759">
      <c r="A759" s="108"/>
      <c r="B759" s="108"/>
      <c r="C759" s="108"/>
      <c r="D759" s="107"/>
      <c r="E759" s="108"/>
      <c r="F759" s="108"/>
      <c r="G759" s="108"/>
      <c r="H759" s="108"/>
      <c r="I759" s="108"/>
      <c r="J759" s="108"/>
      <c r="K759" s="108"/>
      <c r="L759" s="108"/>
      <c r="M759" s="108"/>
    </row>
    <row r="760">
      <c r="A760" s="108"/>
      <c r="B760" s="108"/>
      <c r="C760" s="108"/>
      <c r="D760" s="107"/>
      <c r="E760" s="108"/>
      <c r="F760" s="108"/>
      <c r="G760" s="108"/>
      <c r="H760" s="108"/>
      <c r="I760" s="108"/>
      <c r="J760" s="108"/>
      <c r="K760" s="108"/>
      <c r="L760" s="108"/>
      <c r="M760" s="108"/>
    </row>
    <row r="761">
      <c r="A761" s="108"/>
      <c r="B761" s="108"/>
      <c r="C761" s="108"/>
      <c r="D761" s="107"/>
      <c r="E761" s="108"/>
      <c r="F761" s="108"/>
      <c r="G761" s="108"/>
      <c r="H761" s="108"/>
      <c r="I761" s="108"/>
      <c r="J761" s="108"/>
      <c r="K761" s="108"/>
      <c r="L761" s="108"/>
      <c r="M761" s="108"/>
    </row>
    <row r="762">
      <c r="A762" s="108"/>
      <c r="B762" s="108"/>
      <c r="C762" s="108"/>
      <c r="D762" s="107"/>
      <c r="E762" s="108"/>
      <c r="F762" s="108"/>
      <c r="G762" s="108"/>
      <c r="H762" s="108"/>
      <c r="I762" s="108"/>
      <c r="J762" s="108"/>
      <c r="K762" s="108"/>
      <c r="L762" s="108"/>
      <c r="M762" s="108"/>
    </row>
    <row r="763">
      <c r="A763" s="108"/>
      <c r="B763" s="108"/>
      <c r="C763" s="108"/>
      <c r="D763" s="107"/>
      <c r="E763" s="108"/>
      <c r="F763" s="108"/>
      <c r="G763" s="108"/>
      <c r="H763" s="108"/>
      <c r="I763" s="108"/>
      <c r="J763" s="108"/>
      <c r="K763" s="108"/>
      <c r="L763" s="108"/>
      <c r="M763" s="108"/>
    </row>
    <row r="764">
      <c r="A764" s="108"/>
      <c r="B764" s="108"/>
      <c r="C764" s="108"/>
      <c r="D764" s="107"/>
      <c r="E764" s="108"/>
      <c r="F764" s="108"/>
      <c r="G764" s="108"/>
      <c r="H764" s="108"/>
      <c r="I764" s="108"/>
      <c r="J764" s="108"/>
      <c r="K764" s="108"/>
      <c r="L764" s="108"/>
      <c r="M764" s="108"/>
    </row>
    <row r="765">
      <c r="A765" s="108"/>
      <c r="B765" s="108"/>
      <c r="C765" s="108"/>
      <c r="D765" s="107"/>
      <c r="E765" s="108"/>
      <c r="F765" s="108"/>
      <c r="G765" s="108"/>
      <c r="H765" s="108"/>
      <c r="I765" s="108"/>
      <c r="J765" s="108"/>
      <c r="K765" s="108"/>
      <c r="L765" s="108"/>
      <c r="M765" s="108"/>
    </row>
    <row r="766">
      <c r="A766" s="108"/>
      <c r="B766" s="108"/>
      <c r="C766" s="108"/>
      <c r="D766" s="107"/>
      <c r="E766" s="108"/>
      <c r="F766" s="108"/>
      <c r="G766" s="108"/>
      <c r="H766" s="108"/>
      <c r="I766" s="108"/>
      <c r="J766" s="108"/>
      <c r="K766" s="108"/>
      <c r="L766" s="108"/>
      <c r="M766" s="108"/>
    </row>
    <row r="767">
      <c r="A767" s="108"/>
      <c r="B767" s="108"/>
      <c r="C767" s="108"/>
      <c r="D767" s="107"/>
      <c r="E767" s="108"/>
      <c r="F767" s="108"/>
      <c r="G767" s="108"/>
      <c r="H767" s="108"/>
      <c r="I767" s="108"/>
      <c r="J767" s="108"/>
      <c r="K767" s="108"/>
      <c r="L767" s="108"/>
      <c r="M767" s="108"/>
    </row>
    <row r="768">
      <c r="A768" s="108"/>
      <c r="B768" s="108"/>
      <c r="C768" s="108"/>
      <c r="D768" s="107"/>
      <c r="E768" s="108"/>
      <c r="F768" s="108"/>
      <c r="G768" s="108"/>
      <c r="H768" s="108"/>
      <c r="I768" s="108"/>
      <c r="J768" s="108"/>
      <c r="K768" s="108"/>
      <c r="L768" s="108"/>
      <c r="M768" s="108"/>
    </row>
    <row r="769">
      <c r="A769" s="108"/>
      <c r="B769" s="108"/>
      <c r="C769" s="108"/>
      <c r="D769" s="107"/>
      <c r="E769" s="108"/>
      <c r="F769" s="108"/>
      <c r="G769" s="108"/>
      <c r="H769" s="108"/>
      <c r="I769" s="108"/>
      <c r="J769" s="108"/>
      <c r="K769" s="108"/>
      <c r="L769" s="108"/>
      <c r="M769" s="108"/>
    </row>
    <row r="770">
      <c r="A770" s="108"/>
      <c r="B770" s="108"/>
      <c r="C770" s="108"/>
      <c r="D770" s="107"/>
      <c r="E770" s="108"/>
      <c r="F770" s="108"/>
      <c r="G770" s="108"/>
      <c r="H770" s="108"/>
      <c r="I770" s="108"/>
      <c r="J770" s="108"/>
      <c r="K770" s="108"/>
      <c r="L770" s="108"/>
      <c r="M770" s="108"/>
    </row>
    <row r="771">
      <c r="A771" s="108"/>
      <c r="B771" s="108"/>
      <c r="C771" s="108"/>
      <c r="D771" s="107"/>
      <c r="E771" s="108"/>
      <c r="F771" s="108"/>
      <c r="G771" s="108"/>
      <c r="H771" s="108"/>
      <c r="I771" s="108"/>
      <c r="J771" s="108"/>
      <c r="K771" s="108"/>
      <c r="L771" s="108"/>
      <c r="M771" s="108"/>
    </row>
    <row r="772">
      <c r="A772" s="108"/>
      <c r="B772" s="108"/>
      <c r="C772" s="108"/>
      <c r="D772" s="107"/>
      <c r="E772" s="108"/>
      <c r="F772" s="108"/>
      <c r="G772" s="108"/>
      <c r="H772" s="108"/>
      <c r="I772" s="108"/>
      <c r="J772" s="108"/>
      <c r="K772" s="108"/>
      <c r="L772" s="108"/>
      <c r="M772" s="108"/>
    </row>
    <row r="773">
      <c r="A773" s="108"/>
      <c r="B773" s="108"/>
      <c r="C773" s="108"/>
      <c r="D773" s="107"/>
      <c r="E773" s="108"/>
      <c r="F773" s="108"/>
      <c r="G773" s="108"/>
      <c r="H773" s="108"/>
      <c r="I773" s="108"/>
      <c r="J773" s="108"/>
      <c r="K773" s="108"/>
      <c r="L773" s="108"/>
      <c r="M773" s="108"/>
    </row>
    <row r="774">
      <c r="A774" s="108"/>
      <c r="B774" s="108"/>
      <c r="C774" s="108"/>
      <c r="D774" s="107"/>
      <c r="E774" s="108"/>
      <c r="F774" s="108"/>
      <c r="G774" s="108"/>
      <c r="H774" s="108"/>
      <c r="I774" s="108"/>
      <c r="J774" s="108"/>
      <c r="K774" s="108"/>
      <c r="L774" s="108"/>
      <c r="M774" s="108"/>
    </row>
    <row r="775">
      <c r="A775" s="108"/>
      <c r="B775" s="108"/>
      <c r="C775" s="108"/>
      <c r="D775" s="107"/>
      <c r="E775" s="108"/>
      <c r="F775" s="108"/>
      <c r="G775" s="108"/>
      <c r="H775" s="108"/>
      <c r="I775" s="108"/>
      <c r="J775" s="108"/>
      <c r="K775" s="108"/>
      <c r="L775" s="108"/>
      <c r="M775" s="108"/>
    </row>
    <row r="776">
      <c r="A776" s="108"/>
      <c r="B776" s="108"/>
      <c r="C776" s="108"/>
      <c r="D776" s="107"/>
      <c r="E776" s="108"/>
      <c r="F776" s="108"/>
      <c r="G776" s="108"/>
      <c r="H776" s="108"/>
      <c r="I776" s="108"/>
      <c r="J776" s="108"/>
      <c r="K776" s="108"/>
      <c r="L776" s="108"/>
      <c r="M776" s="108"/>
    </row>
    <row r="777">
      <c r="A777" s="108"/>
      <c r="B777" s="108"/>
      <c r="C777" s="108"/>
      <c r="D777" s="107"/>
      <c r="E777" s="108"/>
      <c r="F777" s="108"/>
      <c r="G777" s="108"/>
      <c r="H777" s="108"/>
      <c r="I777" s="108"/>
      <c r="J777" s="108"/>
      <c r="K777" s="108"/>
      <c r="L777" s="108"/>
      <c r="M777" s="108"/>
    </row>
    <row r="778">
      <c r="A778" s="108"/>
      <c r="B778" s="108"/>
      <c r="C778" s="108"/>
      <c r="D778" s="107"/>
      <c r="E778" s="108"/>
      <c r="F778" s="108"/>
      <c r="G778" s="108"/>
      <c r="H778" s="108"/>
      <c r="I778" s="108"/>
      <c r="J778" s="108"/>
      <c r="K778" s="108"/>
      <c r="L778" s="108"/>
      <c r="M778" s="108"/>
    </row>
    <row r="779">
      <c r="A779" s="108"/>
      <c r="B779" s="108"/>
      <c r="C779" s="108"/>
      <c r="D779" s="107"/>
      <c r="E779" s="108"/>
      <c r="F779" s="108"/>
      <c r="G779" s="108"/>
      <c r="H779" s="108"/>
      <c r="I779" s="108"/>
      <c r="J779" s="108"/>
      <c r="K779" s="108"/>
      <c r="L779" s="108"/>
      <c r="M779" s="108"/>
    </row>
    <row r="780">
      <c r="A780" s="108"/>
      <c r="B780" s="108"/>
      <c r="C780" s="108"/>
      <c r="D780" s="107"/>
      <c r="E780" s="108"/>
      <c r="F780" s="108"/>
      <c r="G780" s="108"/>
      <c r="H780" s="108"/>
      <c r="I780" s="108"/>
      <c r="J780" s="108"/>
      <c r="K780" s="108"/>
      <c r="L780" s="108"/>
      <c r="M780" s="108"/>
    </row>
    <row r="781">
      <c r="A781" s="108"/>
      <c r="B781" s="108"/>
      <c r="C781" s="108"/>
      <c r="D781" s="107"/>
      <c r="E781" s="108"/>
      <c r="F781" s="108"/>
      <c r="G781" s="108"/>
      <c r="H781" s="108"/>
      <c r="I781" s="108"/>
      <c r="J781" s="108"/>
      <c r="K781" s="108"/>
      <c r="L781" s="108"/>
      <c r="M781" s="108"/>
    </row>
    <row r="782">
      <c r="A782" s="108"/>
      <c r="B782" s="108"/>
      <c r="C782" s="108"/>
      <c r="D782" s="107"/>
      <c r="E782" s="108"/>
      <c r="F782" s="108"/>
      <c r="G782" s="108"/>
      <c r="H782" s="108"/>
      <c r="I782" s="108"/>
      <c r="J782" s="108"/>
      <c r="K782" s="108"/>
      <c r="L782" s="108"/>
      <c r="M782" s="108"/>
    </row>
    <row r="783">
      <c r="A783" s="108"/>
      <c r="B783" s="108"/>
      <c r="C783" s="108"/>
      <c r="D783" s="107"/>
      <c r="E783" s="108"/>
      <c r="F783" s="108"/>
      <c r="G783" s="108"/>
      <c r="H783" s="108"/>
      <c r="I783" s="108"/>
      <c r="J783" s="108"/>
      <c r="K783" s="108"/>
      <c r="L783" s="108"/>
      <c r="M783" s="108"/>
    </row>
    <row r="784">
      <c r="A784" s="108"/>
      <c r="B784" s="108"/>
      <c r="C784" s="108"/>
      <c r="D784" s="107"/>
      <c r="E784" s="108"/>
      <c r="F784" s="108"/>
      <c r="G784" s="108"/>
      <c r="H784" s="108"/>
      <c r="I784" s="108"/>
      <c r="J784" s="108"/>
      <c r="K784" s="108"/>
      <c r="L784" s="108"/>
      <c r="M784" s="108"/>
    </row>
    <row r="785">
      <c r="A785" s="108"/>
      <c r="B785" s="108"/>
      <c r="C785" s="108"/>
      <c r="D785" s="107"/>
      <c r="E785" s="108"/>
      <c r="F785" s="108"/>
      <c r="G785" s="108"/>
      <c r="H785" s="108"/>
      <c r="I785" s="108"/>
      <c r="J785" s="108"/>
      <c r="K785" s="108"/>
      <c r="L785" s="108"/>
      <c r="M785" s="108"/>
    </row>
    <row r="786">
      <c r="A786" s="108"/>
      <c r="B786" s="108"/>
      <c r="C786" s="108"/>
      <c r="D786" s="107"/>
      <c r="E786" s="108"/>
      <c r="F786" s="108"/>
      <c r="G786" s="108"/>
      <c r="H786" s="108"/>
      <c r="I786" s="108"/>
      <c r="J786" s="108"/>
      <c r="K786" s="108"/>
      <c r="L786" s="108"/>
      <c r="M786" s="108"/>
    </row>
    <row r="787">
      <c r="A787" s="108"/>
      <c r="B787" s="108"/>
      <c r="C787" s="108"/>
      <c r="D787" s="107"/>
      <c r="E787" s="108"/>
      <c r="F787" s="108"/>
      <c r="G787" s="108"/>
      <c r="H787" s="108"/>
      <c r="I787" s="108"/>
      <c r="J787" s="108"/>
      <c r="K787" s="108"/>
      <c r="L787" s="108"/>
      <c r="M787" s="108"/>
    </row>
    <row r="788">
      <c r="A788" s="108"/>
      <c r="B788" s="108"/>
      <c r="C788" s="108"/>
      <c r="D788" s="107"/>
      <c r="E788" s="108"/>
      <c r="F788" s="108"/>
      <c r="G788" s="108"/>
      <c r="H788" s="108"/>
      <c r="I788" s="108"/>
      <c r="J788" s="108"/>
      <c r="K788" s="108"/>
      <c r="L788" s="108"/>
      <c r="M788" s="108"/>
    </row>
    <row r="789">
      <c r="A789" s="108"/>
      <c r="B789" s="108"/>
      <c r="C789" s="108"/>
      <c r="D789" s="107"/>
      <c r="E789" s="108"/>
      <c r="F789" s="108"/>
      <c r="G789" s="108"/>
      <c r="H789" s="108"/>
      <c r="I789" s="108"/>
      <c r="J789" s="108"/>
      <c r="K789" s="108"/>
      <c r="L789" s="108"/>
      <c r="M789" s="108"/>
    </row>
    <row r="790">
      <c r="A790" s="108"/>
      <c r="B790" s="108"/>
      <c r="C790" s="108"/>
      <c r="D790" s="107"/>
      <c r="E790" s="108"/>
      <c r="F790" s="108"/>
      <c r="G790" s="108"/>
      <c r="H790" s="108"/>
      <c r="I790" s="108"/>
      <c r="J790" s="108"/>
      <c r="K790" s="108"/>
      <c r="L790" s="108"/>
      <c r="M790" s="108"/>
    </row>
    <row r="791">
      <c r="A791" s="108"/>
      <c r="B791" s="108"/>
      <c r="C791" s="108"/>
      <c r="D791" s="107"/>
      <c r="E791" s="108"/>
      <c r="F791" s="108"/>
      <c r="G791" s="108"/>
      <c r="H791" s="108"/>
      <c r="I791" s="108"/>
      <c r="J791" s="108"/>
      <c r="K791" s="108"/>
      <c r="L791" s="108"/>
      <c r="M791" s="108"/>
    </row>
    <row r="792">
      <c r="A792" s="108"/>
      <c r="B792" s="108"/>
      <c r="C792" s="108"/>
      <c r="D792" s="107"/>
      <c r="E792" s="108"/>
      <c r="F792" s="108"/>
      <c r="G792" s="108"/>
      <c r="H792" s="108"/>
      <c r="I792" s="108"/>
      <c r="J792" s="108"/>
      <c r="K792" s="108"/>
      <c r="L792" s="108"/>
      <c r="M792" s="108"/>
    </row>
    <row r="793">
      <c r="A793" s="108"/>
      <c r="B793" s="108"/>
      <c r="C793" s="108"/>
      <c r="D793" s="107"/>
      <c r="E793" s="108"/>
      <c r="F793" s="108"/>
      <c r="G793" s="108"/>
      <c r="H793" s="108"/>
      <c r="I793" s="108"/>
      <c r="J793" s="108"/>
      <c r="K793" s="108"/>
      <c r="L793" s="108"/>
      <c r="M793" s="108"/>
    </row>
    <row r="794">
      <c r="A794" s="108"/>
      <c r="B794" s="108"/>
      <c r="C794" s="108"/>
      <c r="D794" s="107"/>
      <c r="E794" s="108"/>
      <c r="F794" s="108"/>
      <c r="G794" s="108"/>
      <c r="H794" s="108"/>
      <c r="I794" s="108"/>
      <c r="J794" s="108"/>
      <c r="K794" s="108"/>
      <c r="L794" s="108"/>
      <c r="M794" s="108"/>
    </row>
    <row r="795">
      <c r="A795" s="108"/>
      <c r="B795" s="108"/>
      <c r="C795" s="108"/>
      <c r="D795" s="107"/>
      <c r="E795" s="108"/>
      <c r="F795" s="108"/>
      <c r="G795" s="108"/>
      <c r="H795" s="108"/>
      <c r="I795" s="108"/>
      <c r="J795" s="108"/>
      <c r="K795" s="108"/>
      <c r="L795" s="108"/>
      <c r="M795" s="108"/>
    </row>
    <row r="796">
      <c r="A796" s="108"/>
      <c r="B796" s="108"/>
      <c r="C796" s="108"/>
      <c r="D796" s="107"/>
      <c r="E796" s="108"/>
      <c r="F796" s="108"/>
      <c r="G796" s="108"/>
      <c r="H796" s="108"/>
      <c r="I796" s="108"/>
      <c r="J796" s="108"/>
      <c r="K796" s="108"/>
      <c r="L796" s="108"/>
      <c r="M796" s="108"/>
    </row>
    <row r="797">
      <c r="A797" s="108"/>
      <c r="B797" s="108"/>
      <c r="C797" s="108"/>
      <c r="D797" s="107"/>
      <c r="E797" s="108"/>
      <c r="F797" s="108"/>
      <c r="G797" s="108"/>
      <c r="H797" s="108"/>
      <c r="I797" s="108"/>
      <c r="J797" s="108"/>
      <c r="K797" s="108"/>
      <c r="L797" s="108"/>
      <c r="M797" s="108"/>
    </row>
    <row r="798">
      <c r="A798" s="108"/>
      <c r="B798" s="108"/>
      <c r="C798" s="108"/>
      <c r="D798" s="107"/>
      <c r="E798" s="108"/>
      <c r="F798" s="108"/>
      <c r="G798" s="108"/>
      <c r="H798" s="108"/>
      <c r="I798" s="108"/>
      <c r="J798" s="108"/>
      <c r="K798" s="108"/>
      <c r="L798" s="108"/>
      <c r="M798" s="108"/>
    </row>
    <row r="799">
      <c r="A799" s="108"/>
      <c r="B799" s="108"/>
      <c r="C799" s="108"/>
      <c r="D799" s="107"/>
      <c r="E799" s="108"/>
      <c r="F799" s="108"/>
      <c r="G799" s="108"/>
      <c r="H799" s="108"/>
      <c r="I799" s="108"/>
      <c r="J799" s="108"/>
      <c r="K799" s="108"/>
      <c r="L799" s="108"/>
      <c r="M799" s="108"/>
    </row>
    <row r="800">
      <c r="A800" s="108"/>
      <c r="B800" s="108"/>
      <c r="C800" s="108"/>
      <c r="D800" s="107"/>
      <c r="E800" s="108"/>
      <c r="F800" s="108"/>
      <c r="G800" s="108"/>
      <c r="H800" s="108"/>
      <c r="I800" s="108"/>
      <c r="J800" s="108"/>
      <c r="K800" s="108"/>
      <c r="L800" s="108"/>
      <c r="M800" s="108"/>
    </row>
    <row r="801">
      <c r="A801" s="108"/>
      <c r="B801" s="108"/>
      <c r="C801" s="108"/>
      <c r="D801" s="107"/>
      <c r="E801" s="108"/>
      <c r="F801" s="108"/>
      <c r="G801" s="108"/>
      <c r="H801" s="108"/>
      <c r="I801" s="108"/>
      <c r="J801" s="108"/>
      <c r="K801" s="108"/>
      <c r="L801" s="108"/>
      <c r="M801" s="108"/>
    </row>
    <row r="802">
      <c r="A802" s="108"/>
      <c r="B802" s="108"/>
      <c r="C802" s="108"/>
      <c r="D802" s="107"/>
      <c r="E802" s="108"/>
      <c r="F802" s="108"/>
      <c r="G802" s="108"/>
      <c r="H802" s="108"/>
      <c r="I802" s="108"/>
      <c r="J802" s="108"/>
      <c r="K802" s="108"/>
      <c r="L802" s="108"/>
      <c r="M802" s="108"/>
    </row>
    <row r="803">
      <c r="A803" s="108"/>
      <c r="B803" s="108"/>
      <c r="C803" s="108"/>
      <c r="D803" s="107"/>
      <c r="E803" s="108"/>
      <c r="F803" s="108"/>
      <c r="G803" s="108"/>
      <c r="H803" s="108"/>
      <c r="I803" s="108"/>
      <c r="J803" s="108"/>
      <c r="K803" s="108"/>
      <c r="L803" s="108"/>
      <c r="M803" s="108"/>
    </row>
    <row r="804">
      <c r="A804" s="108"/>
      <c r="B804" s="108"/>
      <c r="C804" s="108"/>
      <c r="D804" s="107"/>
      <c r="E804" s="108"/>
      <c r="F804" s="108"/>
      <c r="G804" s="108"/>
      <c r="H804" s="108"/>
      <c r="I804" s="108"/>
      <c r="J804" s="108"/>
      <c r="K804" s="108"/>
      <c r="L804" s="108"/>
      <c r="M804" s="108"/>
    </row>
    <row r="805">
      <c r="A805" s="108"/>
      <c r="B805" s="108"/>
      <c r="C805" s="108"/>
      <c r="D805" s="107"/>
      <c r="E805" s="108"/>
      <c r="F805" s="108"/>
      <c r="G805" s="108"/>
      <c r="H805" s="108"/>
      <c r="I805" s="108"/>
      <c r="J805" s="108"/>
      <c r="K805" s="108"/>
      <c r="L805" s="108"/>
      <c r="M805" s="108"/>
    </row>
    <row r="806">
      <c r="A806" s="108"/>
      <c r="B806" s="108"/>
      <c r="C806" s="108"/>
      <c r="D806" s="107"/>
      <c r="E806" s="108"/>
      <c r="F806" s="108"/>
      <c r="G806" s="108"/>
      <c r="H806" s="108"/>
      <c r="I806" s="108"/>
      <c r="J806" s="108"/>
      <c r="K806" s="108"/>
      <c r="L806" s="108"/>
      <c r="M806" s="108"/>
    </row>
    <row r="807">
      <c r="A807" s="108"/>
      <c r="B807" s="108"/>
      <c r="C807" s="108"/>
      <c r="D807" s="107"/>
      <c r="E807" s="108"/>
      <c r="F807" s="108"/>
      <c r="G807" s="108"/>
      <c r="H807" s="108"/>
      <c r="I807" s="108"/>
      <c r="J807" s="108"/>
      <c r="K807" s="108"/>
      <c r="L807" s="108"/>
      <c r="M807" s="108"/>
    </row>
    <row r="808">
      <c r="A808" s="108"/>
      <c r="B808" s="108"/>
      <c r="C808" s="108"/>
      <c r="D808" s="107"/>
      <c r="E808" s="108"/>
      <c r="F808" s="108"/>
      <c r="G808" s="108"/>
      <c r="H808" s="108"/>
      <c r="I808" s="108"/>
      <c r="J808" s="108"/>
      <c r="K808" s="108"/>
      <c r="L808" s="108"/>
      <c r="M808" s="108"/>
    </row>
    <row r="809">
      <c r="A809" s="108"/>
      <c r="B809" s="108"/>
      <c r="C809" s="108"/>
      <c r="D809" s="107"/>
      <c r="E809" s="108"/>
      <c r="F809" s="108"/>
      <c r="G809" s="108"/>
      <c r="H809" s="108"/>
      <c r="I809" s="108"/>
      <c r="J809" s="108"/>
      <c r="K809" s="108"/>
      <c r="L809" s="108"/>
      <c r="M809" s="108"/>
    </row>
    <row r="810">
      <c r="A810" s="108"/>
      <c r="B810" s="108"/>
      <c r="C810" s="108"/>
      <c r="D810" s="107"/>
      <c r="E810" s="108"/>
      <c r="F810" s="108"/>
      <c r="G810" s="108"/>
      <c r="H810" s="108"/>
      <c r="I810" s="108"/>
      <c r="J810" s="108"/>
      <c r="K810" s="108"/>
      <c r="L810" s="108"/>
      <c r="M810" s="108"/>
    </row>
    <row r="811">
      <c r="A811" s="108"/>
      <c r="B811" s="108"/>
      <c r="C811" s="108"/>
      <c r="D811" s="107"/>
      <c r="E811" s="108"/>
      <c r="F811" s="108"/>
      <c r="G811" s="108"/>
      <c r="H811" s="108"/>
      <c r="I811" s="108"/>
      <c r="J811" s="108"/>
      <c r="K811" s="108"/>
      <c r="L811" s="108"/>
      <c r="M811" s="108"/>
    </row>
    <row r="812">
      <c r="A812" s="108"/>
      <c r="B812" s="108"/>
      <c r="C812" s="108"/>
      <c r="D812" s="107"/>
      <c r="E812" s="108"/>
      <c r="F812" s="108"/>
      <c r="G812" s="108"/>
      <c r="H812" s="108"/>
      <c r="I812" s="108"/>
      <c r="J812" s="108"/>
      <c r="K812" s="108"/>
      <c r="L812" s="108"/>
      <c r="M812" s="108"/>
    </row>
    <row r="813">
      <c r="A813" s="108"/>
      <c r="B813" s="108"/>
      <c r="C813" s="108"/>
      <c r="D813" s="107"/>
      <c r="E813" s="108"/>
      <c r="F813" s="108"/>
      <c r="G813" s="108"/>
      <c r="H813" s="108"/>
      <c r="I813" s="108"/>
      <c r="J813" s="108"/>
      <c r="K813" s="108"/>
      <c r="L813" s="108"/>
      <c r="M813" s="108"/>
    </row>
    <row r="814">
      <c r="A814" s="108"/>
      <c r="B814" s="108"/>
      <c r="C814" s="108"/>
      <c r="D814" s="107"/>
      <c r="E814" s="108"/>
      <c r="F814" s="108"/>
      <c r="G814" s="108"/>
      <c r="H814" s="108"/>
      <c r="I814" s="108"/>
      <c r="J814" s="108"/>
      <c r="K814" s="108"/>
      <c r="L814" s="108"/>
      <c r="M814" s="108"/>
    </row>
    <row r="815">
      <c r="A815" s="108"/>
      <c r="B815" s="108"/>
      <c r="C815" s="108"/>
      <c r="D815" s="107"/>
      <c r="E815" s="108"/>
      <c r="F815" s="108"/>
      <c r="G815" s="108"/>
      <c r="H815" s="108"/>
      <c r="I815" s="108"/>
      <c r="J815" s="108"/>
      <c r="K815" s="108"/>
      <c r="L815" s="108"/>
      <c r="M815" s="108"/>
    </row>
    <row r="816">
      <c r="A816" s="108"/>
      <c r="B816" s="108"/>
      <c r="C816" s="108"/>
      <c r="D816" s="107"/>
      <c r="E816" s="108"/>
      <c r="F816" s="108"/>
      <c r="G816" s="108"/>
      <c r="H816" s="108"/>
      <c r="I816" s="108"/>
      <c r="J816" s="108"/>
      <c r="K816" s="108"/>
      <c r="L816" s="108"/>
      <c r="M816" s="108"/>
    </row>
    <row r="817">
      <c r="A817" s="108"/>
      <c r="B817" s="108"/>
      <c r="C817" s="108"/>
      <c r="D817" s="107"/>
      <c r="E817" s="108"/>
      <c r="F817" s="108"/>
      <c r="G817" s="108"/>
      <c r="H817" s="108"/>
      <c r="I817" s="108"/>
      <c r="J817" s="108"/>
      <c r="K817" s="108"/>
      <c r="L817" s="108"/>
      <c r="M817" s="108"/>
    </row>
    <row r="818">
      <c r="A818" s="108"/>
      <c r="B818" s="108"/>
      <c r="C818" s="108"/>
      <c r="D818" s="107"/>
      <c r="E818" s="108"/>
      <c r="F818" s="108"/>
      <c r="G818" s="108"/>
      <c r="H818" s="108"/>
      <c r="I818" s="108"/>
      <c r="J818" s="108"/>
      <c r="K818" s="108"/>
      <c r="L818" s="108"/>
      <c r="M818" s="108"/>
    </row>
    <row r="819">
      <c r="A819" s="108"/>
      <c r="B819" s="108"/>
      <c r="C819" s="108"/>
      <c r="D819" s="107"/>
      <c r="E819" s="108"/>
      <c r="F819" s="108"/>
      <c r="G819" s="108"/>
      <c r="H819" s="108"/>
      <c r="I819" s="108"/>
      <c r="J819" s="108"/>
      <c r="K819" s="108"/>
      <c r="L819" s="108"/>
      <c r="M819" s="108"/>
    </row>
    <row r="820">
      <c r="A820" s="108"/>
      <c r="B820" s="108"/>
      <c r="C820" s="108"/>
      <c r="D820" s="107"/>
      <c r="E820" s="108"/>
      <c r="F820" s="108"/>
      <c r="G820" s="108"/>
      <c r="H820" s="108"/>
      <c r="I820" s="108"/>
      <c r="J820" s="108"/>
      <c r="K820" s="108"/>
      <c r="L820" s="108"/>
      <c r="M820" s="108"/>
    </row>
    <row r="821">
      <c r="A821" s="108"/>
      <c r="B821" s="108"/>
      <c r="C821" s="108"/>
      <c r="D821" s="107"/>
      <c r="E821" s="108"/>
      <c r="F821" s="108"/>
      <c r="G821" s="108"/>
      <c r="H821" s="108"/>
      <c r="I821" s="108"/>
      <c r="J821" s="108"/>
      <c r="K821" s="108"/>
      <c r="L821" s="108"/>
      <c r="M821" s="108"/>
    </row>
    <row r="822">
      <c r="A822" s="108"/>
      <c r="B822" s="108"/>
      <c r="C822" s="108"/>
      <c r="D822" s="107"/>
      <c r="E822" s="108"/>
      <c r="F822" s="108"/>
      <c r="G822" s="108"/>
      <c r="H822" s="108"/>
      <c r="I822" s="108"/>
      <c r="J822" s="108"/>
      <c r="K822" s="108"/>
      <c r="L822" s="108"/>
      <c r="M822" s="108"/>
    </row>
    <row r="823">
      <c r="A823" s="108"/>
      <c r="B823" s="108"/>
      <c r="C823" s="108"/>
      <c r="D823" s="107"/>
      <c r="E823" s="108"/>
      <c r="F823" s="108"/>
      <c r="G823" s="108"/>
      <c r="H823" s="108"/>
      <c r="I823" s="108"/>
      <c r="J823" s="108"/>
      <c r="K823" s="108"/>
      <c r="L823" s="108"/>
      <c r="M823" s="108"/>
    </row>
    <row r="824">
      <c r="A824" s="108"/>
      <c r="B824" s="108"/>
      <c r="C824" s="108"/>
      <c r="D824" s="107"/>
      <c r="E824" s="108"/>
      <c r="F824" s="108"/>
      <c r="G824" s="108"/>
      <c r="H824" s="108"/>
      <c r="I824" s="108"/>
      <c r="J824" s="108"/>
      <c r="K824" s="108"/>
      <c r="L824" s="108"/>
      <c r="M824" s="108"/>
    </row>
    <row r="825">
      <c r="A825" s="108"/>
      <c r="B825" s="108"/>
      <c r="C825" s="108"/>
      <c r="D825" s="107"/>
      <c r="E825" s="108"/>
      <c r="F825" s="108"/>
      <c r="G825" s="108"/>
      <c r="H825" s="108"/>
      <c r="I825" s="108"/>
      <c r="J825" s="108"/>
      <c r="K825" s="108"/>
      <c r="L825" s="108"/>
      <c r="M825" s="108"/>
    </row>
    <row r="826">
      <c r="A826" s="108"/>
      <c r="B826" s="108"/>
      <c r="C826" s="108"/>
      <c r="D826" s="107"/>
      <c r="E826" s="108"/>
      <c r="F826" s="108"/>
      <c r="G826" s="108"/>
      <c r="H826" s="108"/>
      <c r="I826" s="108"/>
      <c r="J826" s="108"/>
      <c r="K826" s="108"/>
      <c r="L826" s="108"/>
      <c r="M826" s="108"/>
    </row>
    <row r="827">
      <c r="A827" s="108"/>
      <c r="B827" s="108"/>
      <c r="C827" s="108"/>
      <c r="D827" s="107"/>
      <c r="E827" s="108"/>
      <c r="F827" s="108"/>
      <c r="G827" s="108"/>
      <c r="H827" s="108"/>
      <c r="I827" s="108"/>
      <c r="J827" s="108"/>
      <c r="K827" s="108"/>
      <c r="L827" s="108"/>
      <c r="M827" s="108"/>
    </row>
    <row r="828">
      <c r="A828" s="108"/>
      <c r="B828" s="108"/>
      <c r="C828" s="108"/>
      <c r="D828" s="107"/>
      <c r="E828" s="108"/>
      <c r="F828" s="108"/>
      <c r="G828" s="108"/>
      <c r="H828" s="108"/>
      <c r="I828" s="108"/>
      <c r="J828" s="108"/>
      <c r="K828" s="108"/>
      <c r="L828" s="108"/>
      <c r="M828" s="108"/>
    </row>
    <row r="829">
      <c r="A829" s="108"/>
      <c r="B829" s="108"/>
      <c r="C829" s="108"/>
      <c r="D829" s="107"/>
      <c r="E829" s="108"/>
      <c r="F829" s="108"/>
      <c r="G829" s="108"/>
      <c r="H829" s="108"/>
      <c r="I829" s="108"/>
      <c r="J829" s="108"/>
      <c r="K829" s="108"/>
      <c r="L829" s="108"/>
      <c r="M829" s="108"/>
    </row>
    <row r="830">
      <c r="A830" s="108"/>
      <c r="B830" s="108"/>
      <c r="C830" s="108"/>
      <c r="D830" s="107"/>
      <c r="E830" s="108"/>
      <c r="F830" s="108"/>
      <c r="G830" s="108"/>
      <c r="H830" s="108"/>
      <c r="I830" s="108"/>
      <c r="J830" s="108"/>
      <c r="K830" s="108"/>
      <c r="L830" s="108"/>
      <c r="M830" s="108"/>
    </row>
    <row r="831">
      <c r="A831" s="108"/>
      <c r="B831" s="108"/>
      <c r="C831" s="108"/>
      <c r="D831" s="107"/>
      <c r="E831" s="108"/>
      <c r="F831" s="108"/>
      <c r="G831" s="108"/>
      <c r="H831" s="108"/>
      <c r="I831" s="108"/>
      <c r="J831" s="108"/>
      <c r="K831" s="108"/>
      <c r="L831" s="108"/>
      <c r="M831" s="108"/>
    </row>
    <row r="832">
      <c r="A832" s="108"/>
      <c r="B832" s="108"/>
      <c r="C832" s="108"/>
      <c r="D832" s="107"/>
      <c r="E832" s="108"/>
      <c r="F832" s="108"/>
      <c r="G832" s="108"/>
      <c r="H832" s="108"/>
      <c r="I832" s="108"/>
      <c r="J832" s="108"/>
      <c r="K832" s="108"/>
      <c r="L832" s="108"/>
      <c r="M832" s="108"/>
    </row>
    <row r="833">
      <c r="A833" s="108"/>
      <c r="B833" s="108"/>
      <c r="C833" s="108"/>
      <c r="D833" s="107"/>
      <c r="E833" s="108"/>
      <c r="F833" s="108"/>
      <c r="G833" s="108"/>
      <c r="H833" s="108"/>
      <c r="I833" s="108"/>
      <c r="J833" s="108"/>
      <c r="K833" s="108"/>
      <c r="L833" s="108"/>
      <c r="M833" s="108"/>
    </row>
    <row r="834">
      <c r="A834" s="108"/>
      <c r="B834" s="108"/>
      <c r="C834" s="108"/>
      <c r="D834" s="107"/>
      <c r="E834" s="108"/>
      <c r="F834" s="108"/>
      <c r="G834" s="108"/>
      <c r="H834" s="108"/>
      <c r="I834" s="108"/>
      <c r="J834" s="108"/>
      <c r="K834" s="108"/>
      <c r="L834" s="108"/>
      <c r="M834" s="108"/>
    </row>
    <row r="835">
      <c r="A835" s="108"/>
      <c r="B835" s="108"/>
      <c r="C835" s="108"/>
      <c r="D835" s="107"/>
      <c r="E835" s="108"/>
      <c r="F835" s="108"/>
      <c r="G835" s="108"/>
      <c r="H835" s="108"/>
      <c r="I835" s="108"/>
      <c r="J835" s="108"/>
      <c r="K835" s="108"/>
      <c r="L835" s="108"/>
      <c r="M835" s="108"/>
    </row>
    <row r="836">
      <c r="A836" s="108"/>
      <c r="B836" s="108"/>
      <c r="C836" s="108"/>
      <c r="D836" s="107"/>
      <c r="E836" s="108"/>
      <c r="F836" s="108"/>
      <c r="G836" s="108"/>
      <c r="H836" s="108"/>
      <c r="I836" s="108"/>
      <c r="J836" s="108"/>
      <c r="K836" s="108"/>
      <c r="L836" s="108"/>
      <c r="M836" s="108"/>
    </row>
    <row r="837">
      <c r="A837" s="108"/>
      <c r="B837" s="108"/>
      <c r="C837" s="108"/>
      <c r="D837" s="107"/>
      <c r="E837" s="108"/>
      <c r="F837" s="108"/>
      <c r="G837" s="108"/>
      <c r="H837" s="108"/>
      <c r="I837" s="108"/>
      <c r="J837" s="108"/>
      <c r="K837" s="108"/>
      <c r="L837" s="108"/>
      <c r="M837" s="108"/>
    </row>
    <row r="838">
      <c r="A838" s="108"/>
      <c r="B838" s="108"/>
      <c r="C838" s="108"/>
      <c r="D838" s="107"/>
      <c r="E838" s="108"/>
      <c r="F838" s="108"/>
      <c r="G838" s="108"/>
      <c r="H838" s="108"/>
      <c r="I838" s="108"/>
      <c r="J838" s="108"/>
      <c r="K838" s="108"/>
      <c r="L838" s="108"/>
      <c r="M838" s="108"/>
    </row>
    <row r="839">
      <c r="A839" s="108"/>
      <c r="B839" s="108"/>
      <c r="C839" s="108"/>
      <c r="D839" s="107"/>
      <c r="E839" s="108"/>
      <c r="F839" s="108"/>
      <c r="G839" s="108"/>
      <c r="H839" s="108"/>
      <c r="I839" s="108"/>
      <c r="J839" s="108"/>
      <c r="K839" s="108"/>
      <c r="L839" s="108"/>
      <c r="M839" s="108"/>
    </row>
    <row r="840">
      <c r="A840" s="108"/>
      <c r="B840" s="108"/>
      <c r="C840" s="108"/>
      <c r="D840" s="107"/>
      <c r="E840" s="108"/>
      <c r="F840" s="108"/>
      <c r="G840" s="108"/>
      <c r="H840" s="108"/>
      <c r="I840" s="108"/>
      <c r="J840" s="108"/>
      <c r="K840" s="108"/>
      <c r="L840" s="108"/>
      <c r="M840" s="108"/>
    </row>
    <row r="841">
      <c r="A841" s="108"/>
      <c r="B841" s="108"/>
      <c r="C841" s="108"/>
      <c r="D841" s="107"/>
      <c r="E841" s="108"/>
      <c r="F841" s="108"/>
      <c r="G841" s="108"/>
      <c r="H841" s="108"/>
      <c r="I841" s="108"/>
      <c r="J841" s="108"/>
      <c r="K841" s="108"/>
      <c r="L841" s="108"/>
      <c r="M841" s="108"/>
    </row>
    <row r="842">
      <c r="A842" s="108"/>
      <c r="B842" s="108"/>
      <c r="C842" s="108"/>
      <c r="D842" s="107"/>
      <c r="E842" s="108"/>
      <c r="F842" s="108"/>
      <c r="G842" s="108"/>
      <c r="H842" s="108"/>
      <c r="I842" s="108"/>
      <c r="J842" s="108"/>
      <c r="K842" s="108"/>
      <c r="L842" s="108"/>
      <c r="M842" s="108"/>
    </row>
    <row r="843">
      <c r="A843" s="108"/>
      <c r="B843" s="108"/>
      <c r="C843" s="108"/>
      <c r="D843" s="107"/>
      <c r="E843" s="108"/>
      <c r="F843" s="108"/>
      <c r="G843" s="108"/>
      <c r="H843" s="108"/>
      <c r="I843" s="108"/>
      <c r="J843" s="108"/>
      <c r="K843" s="108"/>
      <c r="L843" s="108"/>
      <c r="M843" s="108"/>
    </row>
    <row r="844">
      <c r="A844" s="108"/>
      <c r="B844" s="108"/>
      <c r="C844" s="108"/>
      <c r="D844" s="107"/>
      <c r="E844" s="108"/>
      <c r="F844" s="108"/>
      <c r="G844" s="108"/>
      <c r="H844" s="108"/>
      <c r="I844" s="108"/>
      <c r="J844" s="108"/>
      <c r="K844" s="108"/>
      <c r="L844" s="108"/>
      <c r="M844" s="108"/>
    </row>
    <row r="845">
      <c r="A845" s="108"/>
      <c r="B845" s="108"/>
      <c r="C845" s="108"/>
      <c r="D845" s="107"/>
      <c r="E845" s="108"/>
      <c r="F845" s="108"/>
      <c r="G845" s="108"/>
      <c r="H845" s="108"/>
      <c r="I845" s="108"/>
      <c r="J845" s="108"/>
      <c r="K845" s="108"/>
      <c r="L845" s="108"/>
      <c r="M845" s="108"/>
    </row>
    <row r="846">
      <c r="A846" s="108"/>
      <c r="B846" s="108"/>
      <c r="C846" s="108"/>
      <c r="D846" s="107"/>
      <c r="E846" s="108"/>
      <c r="F846" s="108"/>
      <c r="G846" s="108"/>
      <c r="H846" s="108"/>
      <c r="I846" s="108"/>
      <c r="J846" s="108"/>
      <c r="K846" s="108"/>
      <c r="L846" s="108"/>
      <c r="M846" s="108"/>
    </row>
    <row r="847">
      <c r="A847" s="108"/>
      <c r="B847" s="108"/>
      <c r="C847" s="108"/>
      <c r="D847" s="107"/>
      <c r="E847" s="108"/>
      <c r="F847" s="108"/>
      <c r="G847" s="108"/>
      <c r="H847" s="108"/>
      <c r="I847" s="108"/>
      <c r="J847" s="108"/>
      <c r="K847" s="108"/>
      <c r="L847" s="108"/>
      <c r="M847" s="108"/>
    </row>
    <row r="848">
      <c r="A848" s="108"/>
      <c r="B848" s="108"/>
      <c r="C848" s="108"/>
      <c r="D848" s="107"/>
      <c r="E848" s="108"/>
      <c r="F848" s="108"/>
      <c r="G848" s="108"/>
      <c r="H848" s="108"/>
      <c r="I848" s="108"/>
      <c r="J848" s="108"/>
      <c r="K848" s="108"/>
      <c r="L848" s="108"/>
      <c r="M848" s="108"/>
    </row>
    <row r="849">
      <c r="A849" s="108"/>
      <c r="B849" s="108"/>
      <c r="C849" s="108"/>
      <c r="D849" s="107"/>
      <c r="E849" s="108"/>
      <c r="F849" s="108"/>
      <c r="G849" s="108"/>
      <c r="H849" s="108"/>
      <c r="I849" s="108"/>
      <c r="J849" s="108"/>
      <c r="K849" s="108"/>
      <c r="L849" s="108"/>
      <c r="M849" s="108"/>
    </row>
    <row r="850">
      <c r="A850" s="108"/>
      <c r="B850" s="108"/>
      <c r="C850" s="108"/>
      <c r="D850" s="107"/>
      <c r="E850" s="108"/>
      <c r="F850" s="108"/>
      <c r="G850" s="108"/>
      <c r="H850" s="108"/>
      <c r="I850" s="108"/>
      <c r="J850" s="108"/>
      <c r="K850" s="108"/>
      <c r="L850" s="108"/>
      <c r="M850" s="108"/>
    </row>
    <row r="851">
      <c r="A851" s="108"/>
      <c r="B851" s="108"/>
      <c r="C851" s="108"/>
      <c r="D851" s="107"/>
      <c r="E851" s="108"/>
      <c r="F851" s="108"/>
      <c r="G851" s="108"/>
      <c r="H851" s="108"/>
      <c r="I851" s="108"/>
      <c r="J851" s="108"/>
      <c r="K851" s="108"/>
      <c r="L851" s="108"/>
      <c r="M851" s="108"/>
    </row>
    <row r="852">
      <c r="A852" s="108"/>
      <c r="B852" s="108"/>
      <c r="C852" s="108"/>
      <c r="D852" s="107"/>
      <c r="E852" s="108"/>
      <c r="F852" s="108"/>
      <c r="G852" s="108"/>
      <c r="H852" s="108"/>
      <c r="I852" s="108"/>
      <c r="J852" s="108"/>
      <c r="K852" s="108"/>
      <c r="L852" s="108"/>
      <c r="M852" s="108"/>
    </row>
    <row r="853">
      <c r="A853" s="108"/>
      <c r="B853" s="108"/>
      <c r="C853" s="108"/>
      <c r="D853" s="107"/>
      <c r="E853" s="108"/>
      <c r="F853" s="108"/>
      <c r="G853" s="108"/>
      <c r="H853" s="108"/>
      <c r="I853" s="108"/>
      <c r="J853" s="108"/>
      <c r="K853" s="108"/>
      <c r="L853" s="108"/>
      <c r="M853" s="108"/>
    </row>
    <row r="854">
      <c r="A854" s="108"/>
      <c r="B854" s="108"/>
      <c r="C854" s="108"/>
      <c r="D854" s="107"/>
      <c r="E854" s="108"/>
      <c r="F854" s="108"/>
      <c r="G854" s="108"/>
      <c r="H854" s="108"/>
      <c r="I854" s="108"/>
      <c r="J854" s="108"/>
      <c r="K854" s="108"/>
      <c r="L854" s="108"/>
      <c r="M854" s="108"/>
    </row>
    <row r="855">
      <c r="A855" s="108"/>
      <c r="B855" s="108"/>
      <c r="C855" s="108"/>
      <c r="D855" s="107"/>
      <c r="E855" s="108"/>
      <c r="F855" s="108"/>
      <c r="G855" s="108"/>
      <c r="H855" s="108"/>
      <c r="I855" s="108"/>
      <c r="J855" s="108"/>
      <c r="K855" s="108"/>
      <c r="L855" s="108"/>
      <c r="M855" s="108"/>
    </row>
    <row r="856">
      <c r="A856" s="108"/>
      <c r="B856" s="108"/>
      <c r="C856" s="108"/>
      <c r="D856" s="107"/>
      <c r="E856" s="108"/>
      <c r="F856" s="108"/>
      <c r="G856" s="108"/>
      <c r="H856" s="108"/>
      <c r="I856" s="108"/>
      <c r="J856" s="108"/>
      <c r="K856" s="108"/>
      <c r="L856" s="108"/>
      <c r="M856" s="108"/>
    </row>
    <row r="857">
      <c r="A857" s="108"/>
      <c r="B857" s="108"/>
      <c r="C857" s="108"/>
      <c r="D857" s="107"/>
      <c r="E857" s="108"/>
      <c r="F857" s="108"/>
      <c r="G857" s="108"/>
      <c r="H857" s="108"/>
      <c r="I857" s="108"/>
      <c r="J857" s="108"/>
      <c r="K857" s="108"/>
      <c r="L857" s="108"/>
      <c r="M857" s="108"/>
    </row>
    <row r="858">
      <c r="A858" s="108"/>
      <c r="B858" s="108"/>
      <c r="C858" s="108"/>
      <c r="D858" s="107"/>
      <c r="E858" s="108"/>
      <c r="F858" s="108"/>
      <c r="G858" s="108"/>
      <c r="H858" s="108"/>
      <c r="I858" s="108"/>
      <c r="J858" s="108"/>
      <c r="K858" s="108"/>
      <c r="L858" s="108"/>
      <c r="M858" s="108"/>
    </row>
    <row r="859">
      <c r="A859" s="108"/>
      <c r="B859" s="108"/>
      <c r="C859" s="108"/>
      <c r="D859" s="107"/>
      <c r="E859" s="108"/>
      <c r="F859" s="108"/>
      <c r="G859" s="108"/>
      <c r="H859" s="108"/>
      <c r="I859" s="108"/>
      <c r="J859" s="108"/>
      <c r="K859" s="108"/>
      <c r="L859" s="108"/>
      <c r="M859" s="108"/>
    </row>
    <row r="860">
      <c r="A860" s="108"/>
      <c r="B860" s="108"/>
      <c r="C860" s="108"/>
      <c r="D860" s="107"/>
      <c r="E860" s="108"/>
      <c r="F860" s="108"/>
      <c r="G860" s="108"/>
      <c r="H860" s="108"/>
      <c r="I860" s="108"/>
      <c r="J860" s="108"/>
      <c r="K860" s="108"/>
      <c r="L860" s="108"/>
      <c r="M860" s="108"/>
    </row>
    <row r="861">
      <c r="A861" s="108"/>
      <c r="B861" s="108"/>
      <c r="C861" s="108"/>
      <c r="D861" s="107"/>
      <c r="E861" s="108"/>
      <c r="F861" s="108"/>
      <c r="G861" s="108"/>
      <c r="H861" s="108"/>
      <c r="I861" s="108"/>
      <c r="J861" s="108"/>
      <c r="K861" s="108"/>
      <c r="L861" s="108"/>
      <c r="M861" s="108"/>
    </row>
    <row r="862">
      <c r="A862" s="108"/>
      <c r="B862" s="108"/>
      <c r="C862" s="108"/>
      <c r="D862" s="107"/>
      <c r="E862" s="108"/>
      <c r="F862" s="108"/>
      <c r="G862" s="108"/>
      <c r="H862" s="108"/>
      <c r="I862" s="108"/>
      <c r="J862" s="108"/>
      <c r="K862" s="108"/>
      <c r="L862" s="108"/>
      <c r="M862" s="108"/>
    </row>
    <row r="863">
      <c r="A863" s="108"/>
      <c r="B863" s="108"/>
      <c r="C863" s="108"/>
      <c r="D863" s="107"/>
      <c r="E863" s="108"/>
      <c r="F863" s="108"/>
      <c r="G863" s="108"/>
      <c r="H863" s="108"/>
      <c r="I863" s="108"/>
      <c r="J863" s="108"/>
      <c r="K863" s="108"/>
      <c r="L863" s="108"/>
      <c r="M863" s="108"/>
    </row>
    <row r="864">
      <c r="A864" s="108"/>
      <c r="B864" s="108"/>
      <c r="C864" s="108"/>
      <c r="D864" s="107"/>
      <c r="E864" s="108"/>
      <c r="F864" s="108"/>
      <c r="G864" s="108"/>
      <c r="H864" s="108"/>
      <c r="I864" s="108"/>
      <c r="J864" s="108"/>
      <c r="K864" s="108"/>
      <c r="L864" s="108"/>
      <c r="M864" s="108"/>
    </row>
    <row r="865">
      <c r="A865" s="108"/>
      <c r="B865" s="108"/>
      <c r="C865" s="108"/>
      <c r="D865" s="107"/>
      <c r="E865" s="108"/>
      <c r="F865" s="108"/>
      <c r="G865" s="108"/>
      <c r="H865" s="108"/>
      <c r="I865" s="108"/>
      <c r="J865" s="108"/>
      <c r="K865" s="108"/>
      <c r="L865" s="108"/>
      <c r="M865" s="108"/>
    </row>
    <row r="866">
      <c r="A866" s="108"/>
      <c r="B866" s="108"/>
      <c r="C866" s="108"/>
      <c r="D866" s="107"/>
      <c r="E866" s="108"/>
      <c r="F866" s="108"/>
      <c r="G866" s="108"/>
      <c r="H866" s="108"/>
      <c r="I866" s="108"/>
      <c r="J866" s="108"/>
      <c r="K866" s="108"/>
      <c r="L866" s="108"/>
      <c r="M866" s="108"/>
    </row>
    <row r="867">
      <c r="A867" s="108"/>
      <c r="B867" s="108"/>
      <c r="C867" s="108"/>
      <c r="D867" s="107"/>
      <c r="E867" s="108"/>
      <c r="F867" s="108"/>
      <c r="G867" s="108"/>
      <c r="H867" s="108"/>
      <c r="I867" s="108"/>
      <c r="J867" s="108"/>
      <c r="K867" s="108"/>
      <c r="L867" s="108"/>
      <c r="M867" s="108"/>
    </row>
    <row r="868">
      <c r="A868" s="108"/>
      <c r="B868" s="108"/>
      <c r="C868" s="108"/>
      <c r="D868" s="107"/>
      <c r="E868" s="108"/>
      <c r="F868" s="108"/>
      <c r="G868" s="108"/>
      <c r="H868" s="108"/>
      <c r="I868" s="108"/>
      <c r="J868" s="108"/>
      <c r="K868" s="108"/>
      <c r="L868" s="108"/>
      <c r="M868" s="108"/>
    </row>
    <row r="869">
      <c r="A869" s="108"/>
      <c r="B869" s="108"/>
      <c r="C869" s="108"/>
      <c r="D869" s="107"/>
      <c r="E869" s="108"/>
      <c r="F869" s="108"/>
      <c r="G869" s="108"/>
      <c r="H869" s="108"/>
      <c r="I869" s="108"/>
      <c r="J869" s="108"/>
      <c r="K869" s="108"/>
      <c r="L869" s="108"/>
      <c r="M869" s="108"/>
    </row>
    <row r="870">
      <c r="A870" s="108"/>
      <c r="B870" s="108"/>
      <c r="C870" s="108"/>
      <c r="D870" s="107"/>
      <c r="E870" s="108"/>
      <c r="F870" s="108"/>
      <c r="G870" s="108"/>
      <c r="H870" s="108"/>
      <c r="I870" s="108"/>
      <c r="J870" s="108"/>
      <c r="K870" s="108"/>
      <c r="L870" s="108"/>
      <c r="M870" s="108"/>
    </row>
    <row r="871">
      <c r="A871" s="108"/>
      <c r="B871" s="108"/>
      <c r="C871" s="108"/>
      <c r="D871" s="107"/>
      <c r="E871" s="108"/>
      <c r="F871" s="108"/>
      <c r="G871" s="108"/>
      <c r="H871" s="108"/>
      <c r="I871" s="108"/>
      <c r="J871" s="108"/>
      <c r="K871" s="108"/>
      <c r="L871" s="108"/>
      <c r="M871" s="108"/>
    </row>
    <row r="872">
      <c r="A872" s="108"/>
      <c r="B872" s="108"/>
      <c r="C872" s="108"/>
      <c r="D872" s="107"/>
      <c r="E872" s="108"/>
      <c r="F872" s="108"/>
      <c r="G872" s="108"/>
      <c r="H872" s="108"/>
      <c r="I872" s="108"/>
      <c r="J872" s="108"/>
      <c r="K872" s="108"/>
      <c r="L872" s="108"/>
      <c r="M872" s="108"/>
    </row>
    <row r="873">
      <c r="A873" s="108"/>
      <c r="B873" s="108"/>
      <c r="C873" s="108"/>
      <c r="D873" s="107"/>
      <c r="E873" s="108"/>
      <c r="F873" s="108"/>
      <c r="G873" s="108"/>
      <c r="H873" s="108"/>
      <c r="I873" s="108"/>
      <c r="J873" s="108"/>
      <c r="K873" s="108"/>
      <c r="L873" s="108"/>
      <c r="M873" s="108"/>
    </row>
    <row r="874">
      <c r="A874" s="108"/>
      <c r="B874" s="108"/>
      <c r="C874" s="108"/>
      <c r="D874" s="107"/>
      <c r="E874" s="108"/>
      <c r="F874" s="108"/>
      <c r="G874" s="108"/>
      <c r="H874" s="108"/>
      <c r="I874" s="108"/>
      <c r="J874" s="108"/>
      <c r="K874" s="108"/>
      <c r="L874" s="108"/>
      <c r="M874" s="108"/>
    </row>
    <row r="875">
      <c r="A875" s="108"/>
      <c r="B875" s="108"/>
      <c r="C875" s="108"/>
      <c r="D875" s="107"/>
      <c r="E875" s="108"/>
      <c r="F875" s="108"/>
      <c r="G875" s="108"/>
      <c r="H875" s="108"/>
      <c r="I875" s="108"/>
      <c r="J875" s="108"/>
      <c r="K875" s="108"/>
      <c r="L875" s="108"/>
      <c r="M875" s="108"/>
    </row>
    <row r="876">
      <c r="A876" s="108"/>
      <c r="B876" s="108"/>
      <c r="C876" s="108"/>
      <c r="D876" s="107"/>
      <c r="E876" s="108"/>
      <c r="F876" s="108"/>
      <c r="G876" s="108"/>
      <c r="H876" s="108"/>
      <c r="I876" s="108"/>
      <c r="J876" s="108"/>
      <c r="K876" s="108"/>
      <c r="L876" s="108"/>
      <c r="M876" s="108"/>
    </row>
    <row r="877">
      <c r="A877" s="108"/>
      <c r="B877" s="108"/>
      <c r="C877" s="108"/>
      <c r="D877" s="107"/>
      <c r="E877" s="108"/>
      <c r="F877" s="108"/>
      <c r="G877" s="108"/>
      <c r="H877" s="108"/>
      <c r="I877" s="108"/>
      <c r="J877" s="108"/>
      <c r="K877" s="108"/>
      <c r="L877" s="108"/>
      <c r="M877" s="108"/>
    </row>
    <row r="878">
      <c r="A878" s="108"/>
      <c r="B878" s="108"/>
      <c r="C878" s="108"/>
      <c r="D878" s="107"/>
      <c r="E878" s="108"/>
      <c r="F878" s="108"/>
      <c r="G878" s="108"/>
      <c r="H878" s="108"/>
      <c r="I878" s="108"/>
      <c r="J878" s="108"/>
      <c r="K878" s="108"/>
      <c r="L878" s="108"/>
      <c r="M878" s="108"/>
    </row>
    <row r="879">
      <c r="A879" s="108"/>
      <c r="B879" s="108"/>
      <c r="C879" s="108"/>
      <c r="D879" s="107"/>
      <c r="E879" s="108"/>
      <c r="F879" s="108"/>
      <c r="G879" s="108"/>
      <c r="H879" s="108"/>
      <c r="I879" s="108"/>
      <c r="J879" s="108"/>
      <c r="K879" s="108"/>
      <c r="L879" s="108"/>
      <c r="M879" s="108"/>
    </row>
    <row r="880">
      <c r="A880" s="108"/>
      <c r="B880" s="108"/>
      <c r="C880" s="108"/>
      <c r="D880" s="107"/>
      <c r="E880" s="108"/>
      <c r="F880" s="108"/>
      <c r="G880" s="108"/>
      <c r="H880" s="108"/>
      <c r="I880" s="108"/>
      <c r="J880" s="108"/>
      <c r="K880" s="108"/>
      <c r="L880" s="108"/>
      <c r="M880" s="108"/>
    </row>
    <row r="881">
      <c r="A881" s="108"/>
      <c r="B881" s="108"/>
      <c r="C881" s="108"/>
      <c r="D881" s="107"/>
      <c r="E881" s="108"/>
      <c r="F881" s="108"/>
      <c r="G881" s="108"/>
      <c r="H881" s="108"/>
      <c r="I881" s="108"/>
      <c r="J881" s="108"/>
      <c r="K881" s="108"/>
      <c r="L881" s="108"/>
      <c r="M881" s="108"/>
    </row>
    <row r="882">
      <c r="A882" s="108"/>
      <c r="B882" s="108"/>
      <c r="C882" s="108"/>
      <c r="D882" s="107"/>
      <c r="E882" s="108"/>
      <c r="F882" s="108"/>
      <c r="G882" s="108"/>
      <c r="H882" s="108"/>
      <c r="I882" s="108"/>
      <c r="J882" s="108"/>
      <c r="K882" s="108"/>
      <c r="L882" s="108"/>
      <c r="M882" s="108"/>
    </row>
    <row r="883">
      <c r="A883" s="108"/>
      <c r="B883" s="108"/>
      <c r="C883" s="108"/>
      <c r="D883" s="107"/>
      <c r="E883" s="108"/>
      <c r="F883" s="108"/>
      <c r="G883" s="108"/>
      <c r="H883" s="108"/>
      <c r="I883" s="108"/>
      <c r="J883" s="108"/>
      <c r="K883" s="108"/>
      <c r="L883" s="108"/>
      <c r="M883" s="108"/>
    </row>
    <row r="884">
      <c r="A884" s="108"/>
      <c r="B884" s="108"/>
      <c r="C884" s="108"/>
      <c r="D884" s="107"/>
      <c r="E884" s="108"/>
      <c r="F884" s="108"/>
      <c r="G884" s="108"/>
      <c r="H884" s="108"/>
      <c r="I884" s="108"/>
      <c r="J884" s="108"/>
      <c r="K884" s="108"/>
      <c r="L884" s="108"/>
      <c r="M884" s="108"/>
    </row>
    <row r="885">
      <c r="A885" s="108"/>
      <c r="B885" s="108"/>
      <c r="C885" s="108"/>
      <c r="D885" s="107"/>
      <c r="E885" s="108"/>
      <c r="F885" s="108"/>
      <c r="G885" s="108"/>
      <c r="H885" s="108"/>
      <c r="I885" s="108"/>
      <c r="J885" s="108"/>
      <c r="K885" s="108"/>
      <c r="L885" s="108"/>
      <c r="M885" s="108"/>
    </row>
    <row r="886">
      <c r="A886" s="108"/>
      <c r="B886" s="108"/>
      <c r="C886" s="108"/>
      <c r="D886" s="107"/>
      <c r="E886" s="108"/>
      <c r="F886" s="108"/>
      <c r="G886" s="108"/>
      <c r="H886" s="108"/>
      <c r="I886" s="108"/>
      <c r="J886" s="108"/>
      <c r="K886" s="108"/>
      <c r="L886" s="108"/>
      <c r="M886" s="108"/>
    </row>
    <row r="887">
      <c r="A887" s="108"/>
      <c r="B887" s="108"/>
      <c r="C887" s="108"/>
      <c r="D887" s="107"/>
      <c r="E887" s="108"/>
      <c r="F887" s="108"/>
      <c r="G887" s="108"/>
      <c r="H887" s="108"/>
      <c r="I887" s="108"/>
      <c r="J887" s="108"/>
      <c r="K887" s="108"/>
      <c r="L887" s="108"/>
      <c r="M887" s="108"/>
    </row>
    <row r="888">
      <c r="A888" s="108"/>
      <c r="B888" s="108"/>
      <c r="C888" s="108"/>
      <c r="D888" s="107"/>
      <c r="E888" s="108"/>
      <c r="F888" s="108"/>
      <c r="G888" s="108"/>
      <c r="H888" s="108"/>
      <c r="I888" s="108"/>
      <c r="J888" s="108"/>
      <c r="K888" s="108"/>
      <c r="L888" s="108"/>
      <c r="M888" s="108"/>
    </row>
    <row r="889">
      <c r="A889" s="108"/>
      <c r="B889" s="108"/>
      <c r="C889" s="108"/>
      <c r="D889" s="107"/>
      <c r="E889" s="108"/>
      <c r="F889" s="108"/>
      <c r="G889" s="108"/>
      <c r="H889" s="108"/>
      <c r="I889" s="108"/>
      <c r="J889" s="108"/>
      <c r="K889" s="108"/>
      <c r="L889" s="108"/>
      <c r="M889" s="108"/>
    </row>
    <row r="890">
      <c r="A890" s="108"/>
      <c r="B890" s="108"/>
      <c r="C890" s="108"/>
      <c r="D890" s="107"/>
      <c r="E890" s="108"/>
      <c r="F890" s="108"/>
      <c r="G890" s="108"/>
      <c r="H890" s="108"/>
      <c r="I890" s="108"/>
      <c r="J890" s="108"/>
      <c r="K890" s="108"/>
      <c r="L890" s="108"/>
      <c r="M890" s="108"/>
    </row>
    <row r="891">
      <c r="A891" s="108"/>
      <c r="B891" s="108"/>
      <c r="C891" s="108"/>
      <c r="D891" s="107"/>
      <c r="E891" s="108"/>
      <c r="F891" s="108"/>
      <c r="G891" s="108"/>
      <c r="H891" s="108"/>
      <c r="I891" s="108"/>
      <c r="J891" s="108"/>
      <c r="K891" s="108"/>
      <c r="L891" s="108"/>
      <c r="M891" s="108"/>
    </row>
    <row r="892">
      <c r="A892" s="108"/>
      <c r="B892" s="108"/>
      <c r="C892" s="108"/>
      <c r="D892" s="107"/>
      <c r="E892" s="108"/>
      <c r="F892" s="108"/>
      <c r="G892" s="108"/>
      <c r="H892" s="108"/>
      <c r="I892" s="108"/>
      <c r="J892" s="108"/>
      <c r="K892" s="108"/>
      <c r="L892" s="108"/>
      <c r="M892" s="108"/>
    </row>
    <row r="893">
      <c r="A893" s="108"/>
      <c r="B893" s="108"/>
      <c r="C893" s="108"/>
      <c r="D893" s="107"/>
      <c r="E893" s="108"/>
      <c r="F893" s="108"/>
      <c r="G893" s="108"/>
      <c r="H893" s="108"/>
      <c r="I893" s="108"/>
      <c r="J893" s="108"/>
      <c r="K893" s="108"/>
      <c r="L893" s="108"/>
      <c r="M893" s="108"/>
    </row>
    <row r="894">
      <c r="A894" s="108"/>
      <c r="B894" s="108"/>
      <c r="C894" s="108"/>
      <c r="D894" s="107"/>
      <c r="E894" s="108"/>
      <c r="F894" s="108"/>
      <c r="G894" s="108"/>
      <c r="H894" s="108"/>
      <c r="I894" s="108"/>
      <c r="J894" s="108"/>
      <c r="K894" s="108"/>
      <c r="L894" s="108"/>
      <c r="M894" s="108"/>
    </row>
    <row r="895">
      <c r="A895" s="108"/>
      <c r="B895" s="108"/>
      <c r="C895" s="108"/>
      <c r="D895" s="107"/>
      <c r="E895" s="108"/>
      <c r="F895" s="108"/>
      <c r="G895" s="108"/>
      <c r="H895" s="108"/>
      <c r="I895" s="108"/>
      <c r="J895" s="108"/>
      <c r="K895" s="108"/>
      <c r="L895" s="108"/>
      <c r="M895" s="108"/>
    </row>
    <row r="896">
      <c r="A896" s="108"/>
      <c r="B896" s="108"/>
      <c r="C896" s="108"/>
      <c r="D896" s="107"/>
      <c r="E896" s="108"/>
      <c r="F896" s="108"/>
      <c r="G896" s="108"/>
      <c r="H896" s="108"/>
      <c r="I896" s="108"/>
      <c r="J896" s="108"/>
      <c r="K896" s="108"/>
      <c r="L896" s="108"/>
      <c r="M896" s="108"/>
    </row>
    <row r="897">
      <c r="A897" s="108"/>
      <c r="B897" s="108"/>
      <c r="C897" s="108"/>
      <c r="D897" s="107"/>
      <c r="E897" s="108"/>
      <c r="F897" s="108"/>
      <c r="G897" s="108"/>
      <c r="H897" s="108"/>
      <c r="I897" s="108"/>
      <c r="J897" s="108"/>
      <c r="K897" s="108"/>
      <c r="L897" s="108"/>
      <c r="M897" s="108"/>
    </row>
    <row r="898">
      <c r="A898" s="108"/>
      <c r="B898" s="108"/>
      <c r="C898" s="108"/>
      <c r="D898" s="107"/>
      <c r="E898" s="108"/>
      <c r="F898" s="108"/>
      <c r="G898" s="108"/>
      <c r="H898" s="108"/>
      <c r="I898" s="108"/>
      <c r="J898" s="108"/>
      <c r="K898" s="108"/>
      <c r="L898" s="108"/>
      <c r="M898" s="108"/>
    </row>
    <row r="899">
      <c r="A899" s="108"/>
      <c r="B899" s="108"/>
      <c r="C899" s="108"/>
      <c r="D899" s="107"/>
      <c r="E899" s="108"/>
      <c r="F899" s="108"/>
      <c r="G899" s="108"/>
      <c r="H899" s="108"/>
      <c r="I899" s="108"/>
      <c r="J899" s="108"/>
      <c r="K899" s="108"/>
      <c r="L899" s="108"/>
      <c r="M899" s="108"/>
    </row>
    <row r="900">
      <c r="A900" s="108"/>
      <c r="B900" s="108"/>
      <c r="C900" s="108"/>
      <c r="D900" s="107"/>
      <c r="E900" s="108"/>
      <c r="F900" s="108"/>
      <c r="G900" s="108"/>
      <c r="H900" s="108"/>
      <c r="I900" s="108"/>
      <c r="J900" s="108"/>
      <c r="K900" s="108"/>
      <c r="L900" s="108"/>
      <c r="M900" s="108"/>
    </row>
    <row r="901">
      <c r="A901" s="108"/>
      <c r="B901" s="108"/>
      <c r="C901" s="108"/>
      <c r="D901" s="107"/>
      <c r="E901" s="108"/>
      <c r="F901" s="108"/>
      <c r="G901" s="108"/>
      <c r="H901" s="108"/>
      <c r="I901" s="108"/>
      <c r="J901" s="108"/>
      <c r="K901" s="108"/>
      <c r="L901" s="108"/>
      <c r="M901" s="108"/>
    </row>
    <row r="902">
      <c r="A902" s="108"/>
      <c r="B902" s="108"/>
      <c r="C902" s="108"/>
      <c r="D902" s="107"/>
      <c r="E902" s="108"/>
      <c r="F902" s="108"/>
      <c r="G902" s="108"/>
      <c r="H902" s="108"/>
      <c r="I902" s="108"/>
      <c r="J902" s="108"/>
      <c r="K902" s="108"/>
      <c r="L902" s="108"/>
      <c r="M902" s="108"/>
    </row>
    <row r="903">
      <c r="A903" s="108"/>
      <c r="B903" s="108"/>
      <c r="C903" s="108"/>
      <c r="D903" s="107"/>
      <c r="E903" s="108"/>
      <c r="F903" s="108"/>
      <c r="G903" s="108"/>
      <c r="H903" s="108"/>
      <c r="I903" s="108"/>
      <c r="J903" s="108"/>
      <c r="K903" s="108"/>
      <c r="L903" s="108"/>
      <c r="M903" s="108"/>
    </row>
    <row r="904">
      <c r="A904" s="108"/>
      <c r="B904" s="108"/>
      <c r="C904" s="108"/>
      <c r="D904" s="107"/>
      <c r="E904" s="108"/>
      <c r="F904" s="108"/>
      <c r="G904" s="108"/>
      <c r="H904" s="108"/>
      <c r="I904" s="108"/>
      <c r="J904" s="108"/>
      <c r="K904" s="108"/>
      <c r="L904" s="108"/>
      <c r="M904" s="108"/>
    </row>
    <row r="905">
      <c r="A905" s="108"/>
      <c r="B905" s="108"/>
      <c r="C905" s="108"/>
      <c r="D905" s="107"/>
      <c r="E905" s="108"/>
      <c r="F905" s="108"/>
      <c r="G905" s="108"/>
      <c r="H905" s="108"/>
      <c r="I905" s="108"/>
      <c r="J905" s="108"/>
      <c r="K905" s="108"/>
      <c r="L905" s="108"/>
      <c r="M905" s="108"/>
    </row>
    <row r="906">
      <c r="A906" s="108"/>
      <c r="B906" s="108"/>
      <c r="C906" s="108"/>
      <c r="D906" s="107"/>
      <c r="E906" s="108"/>
      <c r="F906" s="108"/>
      <c r="G906" s="108"/>
      <c r="H906" s="108"/>
      <c r="I906" s="108"/>
      <c r="J906" s="108"/>
      <c r="K906" s="108"/>
      <c r="L906" s="108"/>
      <c r="M906" s="108"/>
    </row>
    <row r="907">
      <c r="A907" s="108"/>
      <c r="B907" s="108"/>
      <c r="C907" s="108"/>
      <c r="D907" s="107"/>
      <c r="E907" s="108"/>
      <c r="F907" s="108"/>
      <c r="G907" s="108"/>
      <c r="H907" s="108"/>
      <c r="I907" s="108"/>
      <c r="J907" s="108"/>
      <c r="K907" s="108"/>
      <c r="L907" s="108"/>
      <c r="M907" s="108"/>
    </row>
    <row r="908">
      <c r="A908" s="108"/>
      <c r="B908" s="108"/>
      <c r="C908" s="108"/>
      <c r="D908" s="107"/>
      <c r="E908" s="108"/>
      <c r="F908" s="108"/>
      <c r="G908" s="108"/>
      <c r="H908" s="108"/>
      <c r="I908" s="108"/>
      <c r="J908" s="108"/>
      <c r="K908" s="108"/>
      <c r="L908" s="108"/>
      <c r="M908" s="108"/>
    </row>
    <row r="909">
      <c r="A909" s="108"/>
      <c r="B909" s="108"/>
      <c r="C909" s="108"/>
      <c r="D909" s="107"/>
      <c r="E909" s="108"/>
      <c r="F909" s="108"/>
      <c r="G909" s="108"/>
      <c r="H909" s="108"/>
      <c r="I909" s="108"/>
      <c r="J909" s="108"/>
      <c r="K909" s="108"/>
      <c r="L909" s="108"/>
      <c r="M909" s="108"/>
    </row>
    <row r="910">
      <c r="A910" s="108"/>
      <c r="B910" s="108"/>
      <c r="C910" s="108"/>
      <c r="D910" s="107"/>
      <c r="E910" s="108"/>
      <c r="F910" s="108"/>
      <c r="G910" s="108"/>
      <c r="H910" s="108"/>
      <c r="I910" s="108"/>
      <c r="J910" s="108"/>
      <c r="K910" s="108"/>
      <c r="L910" s="108"/>
      <c r="M910" s="108"/>
    </row>
    <row r="911">
      <c r="A911" s="108"/>
      <c r="B911" s="108"/>
      <c r="C911" s="108"/>
      <c r="D911" s="107"/>
      <c r="E911" s="108"/>
      <c r="F911" s="108"/>
      <c r="G911" s="108"/>
      <c r="H911" s="108"/>
      <c r="I911" s="108"/>
      <c r="J911" s="108"/>
      <c r="K911" s="108"/>
      <c r="L911" s="108"/>
      <c r="M911" s="108"/>
    </row>
    <row r="912">
      <c r="A912" s="108"/>
      <c r="B912" s="108"/>
      <c r="C912" s="108"/>
      <c r="D912" s="107"/>
      <c r="E912" s="108"/>
      <c r="F912" s="108"/>
      <c r="G912" s="108"/>
      <c r="H912" s="108"/>
      <c r="I912" s="108"/>
      <c r="J912" s="108"/>
      <c r="K912" s="108"/>
      <c r="L912" s="108"/>
      <c r="M912" s="108"/>
    </row>
    <row r="913">
      <c r="A913" s="108"/>
      <c r="B913" s="108"/>
      <c r="C913" s="108"/>
      <c r="D913" s="107"/>
      <c r="E913" s="108"/>
      <c r="F913" s="108"/>
      <c r="G913" s="108"/>
      <c r="H913" s="108"/>
      <c r="I913" s="108"/>
      <c r="J913" s="108"/>
      <c r="K913" s="108"/>
      <c r="L913" s="108"/>
      <c r="M913" s="108"/>
    </row>
    <row r="914">
      <c r="A914" s="108"/>
      <c r="B914" s="108"/>
      <c r="C914" s="108"/>
      <c r="D914" s="107"/>
      <c r="E914" s="108"/>
      <c r="F914" s="108"/>
      <c r="G914" s="108"/>
      <c r="H914" s="108"/>
      <c r="I914" s="108"/>
      <c r="J914" s="108"/>
      <c r="K914" s="108"/>
      <c r="L914" s="108"/>
      <c r="M914" s="108"/>
    </row>
    <row r="915">
      <c r="A915" s="108"/>
      <c r="B915" s="108"/>
      <c r="C915" s="108"/>
      <c r="D915" s="107"/>
      <c r="E915" s="108"/>
      <c r="F915" s="108"/>
      <c r="G915" s="108"/>
      <c r="H915" s="108"/>
      <c r="I915" s="108"/>
      <c r="J915" s="108"/>
      <c r="K915" s="108"/>
      <c r="L915" s="108"/>
      <c r="M915" s="108"/>
    </row>
    <row r="916">
      <c r="A916" s="108"/>
      <c r="B916" s="108"/>
      <c r="C916" s="108"/>
      <c r="D916" s="107"/>
      <c r="E916" s="108"/>
      <c r="F916" s="108"/>
      <c r="G916" s="108"/>
      <c r="H916" s="108"/>
      <c r="I916" s="108"/>
      <c r="J916" s="108"/>
      <c r="K916" s="108"/>
      <c r="L916" s="108"/>
      <c r="M916" s="108"/>
    </row>
    <row r="917">
      <c r="A917" s="108"/>
      <c r="B917" s="108"/>
      <c r="C917" s="108"/>
      <c r="D917" s="107"/>
      <c r="E917" s="108"/>
      <c r="F917" s="108"/>
      <c r="G917" s="108"/>
      <c r="H917" s="108"/>
      <c r="I917" s="108"/>
      <c r="J917" s="108"/>
      <c r="K917" s="108"/>
      <c r="L917" s="108"/>
      <c r="M917" s="108"/>
    </row>
    <row r="918">
      <c r="A918" s="108"/>
      <c r="B918" s="108"/>
      <c r="C918" s="108"/>
      <c r="D918" s="107"/>
      <c r="E918" s="108"/>
      <c r="F918" s="108"/>
      <c r="G918" s="108"/>
      <c r="H918" s="108"/>
      <c r="I918" s="108"/>
      <c r="J918" s="108"/>
      <c r="K918" s="108"/>
      <c r="L918" s="108"/>
      <c r="M918" s="108"/>
    </row>
    <row r="919">
      <c r="A919" s="108"/>
      <c r="B919" s="108"/>
      <c r="C919" s="108"/>
      <c r="D919" s="107"/>
      <c r="E919" s="108"/>
      <c r="F919" s="108"/>
      <c r="G919" s="108"/>
      <c r="H919" s="108"/>
      <c r="I919" s="108"/>
      <c r="J919" s="108"/>
      <c r="K919" s="108"/>
      <c r="L919" s="108"/>
      <c r="M919" s="108"/>
    </row>
    <row r="920">
      <c r="A920" s="108"/>
      <c r="B920" s="108"/>
      <c r="C920" s="108"/>
      <c r="D920" s="107"/>
      <c r="E920" s="108"/>
      <c r="F920" s="108"/>
      <c r="G920" s="108"/>
      <c r="H920" s="108"/>
      <c r="I920" s="108"/>
      <c r="J920" s="108"/>
      <c r="K920" s="108"/>
      <c r="L920" s="108"/>
      <c r="M920" s="108"/>
    </row>
    <row r="921">
      <c r="A921" s="108"/>
      <c r="B921" s="108"/>
      <c r="C921" s="108"/>
      <c r="D921" s="107"/>
      <c r="E921" s="108"/>
      <c r="F921" s="108"/>
      <c r="G921" s="108"/>
      <c r="H921" s="108"/>
      <c r="I921" s="108"/>
      <c r="J921" s="108"/>
      <c r="K921" s="108"/>
      <c r="L921" s="108"/>
      <c r="M921" s="108"/>
    </row>
    <row r="922">
      <c r="A922" s="108"/>
      <c r="B922" s="108"/>
      <c r="C922" s="108"/>
      <c r="D922" s="107"/>
      <c r="E922" s="108"/>
      <c r="F922" s="108"/>
      <c r="G922" s="108"/>
      <c r="H922" s="108"/>
      <c r="I922" s="108"/>
      <c r="J922" s="108"/>
      <c r="K922" s="108"/>
      <c r="L922" s="108"/>
      <c r="M922" s="108"/>
    </row>
    <row r="923">
      <c r="A923" s="108"/>
      <c r="B923" s="108"/>
      <c r="C923" s="108"/>
      <c r="D923" s="107"/>
      <c r="E923" s="108"/>
      <c r="F923" s="108"/>
      <c r="G923" s="108"/>
      <c r="H923" s="108"/>
      <c r="I923" s="108"/>
      <c r="J923" s="108"/>
      <c r="K923" s="108"/>
      <c r="L923" s="108"/>
      <c r="M923" s="108"/>
    </row>
    <row r="924">
      <c r="A924" s="108"/>
      <c r="B924" s="108"/>
      <c r="C924" s="108"/>
      <c r="D924" s="107"/>
      <c r="E924" s="108"/>
      <c r="F924" s="108"/>
      <c r="G924" s="108"/>
      <c r="H924" s="108"/>
      <c r="I924" s="108"/>
      <c r="J924" s="108"/>
      <c r="K924" s="108"/>
      <c r="L924" s="108"/>
      <c r="M924" s="108"/>
    </row>
    <row r="925">
      <c r="A925" s="108"/>
      <c r="B925" s="108"/>
      <c r="C925" s="108"/>
      <c r="D925" s="107"/>
      <c r="E925" s="108"/>
      <c r="F925" s="108"/>
      <c r="G925" s="108"/>
      <c r="H925" s="108"/>
      <c r="I925" s="108"/>
      <c r="J925" s="108"/>
      <c r="K925" s="108"/>
      <c r="L925" s="108"/>
      <c r="M925" s="108"/>
    </row>
    <row r="926">
      <c r="A926" s="108"/>
      <c r="B926" s="108"/>
      <c r="C926" s="108"/>
      <c r="D926" s="107"/>
      <c r="E926" s="108"/>
      <c r="F926" s="108"/>
      <c r="G926" s="108"/>
      <c r="H926" s="108"/>
      <c r="I926" s="108"/>
      <c r="J926" s="108"/>
      <c r="K926" s="108"/>
      <c r="L926" s="108"/>
      <c r="M926" s="108"/>
    </row>
    <row r="927">
      <c r="A927" s="108"/>
      <c r="B927" s="108"/>
      <c r="C927" s="108"/>
      <c r="D927" s="107"/>
      <c r="E927" s="108"/>
      <c r="F927" s="108"/>
      <c r="G927" s="108"/>
      <c r="H927" s="108"/>
      <c r="I927" s="108"/>
      <c r="J927" s="108"/>
      <c r="K927" s="108"/>
      <c r="L927" s="108"/>
      <c r="M927" s="108"/>
    </row>
    <row r="928">
      <c r="A928" s="108"/>
      <c r="B928" s="108"/>
      <c r="C928" s="108"/>
      <c r="D928" s="107"/>
      <c r="E928" s="108"/>
      <c r="F928" s="108"/>
      <c r="G928" s="108"/>
      <c r="H928" s="108"/>
      <c r="I928" s="108"/>
      <c r="J928" s="108"/>
      <c r="K928" s="108"/>
      <c r="L928" s="108"/>
      <c r="M928" s="108"/>
    </row>
    <row r="929">
      <c r="A929" s="108"/>
      <c r="B929" s="108"/>
      <c r="C929" s="108"/>
      <c r="D929" s="107"/>
      <c r="E929" s="108"/>
      <c r="F929" s="108"/>
      <c r="G929" s="108"/>
      <c r="H929" s="108"/>
      <c r="I929" s="108"/>
      <c r="J929" s="108"/>
      <c r="K929" s="108"/>
      <c r="L929" s="108"/>
      <c r="M929" s="108"/>
    </row>
    <row r="930">
      <c r="A930" s="108"/>
      <c r="B930" s="108"/>
      <c r="C930" s="108"/>
      <c r="D930" s="107"/>
      <c r="E930" s="108"/>
      <c r="F930" s="108"/>
      <c r="G930" s="108"/>
      <c r="H930" s="108"/>
      <c r="I930" s="108"/>
      <c r="J930" s="108"/>
      <c r="K930" s="108"/>
      <c r="L930" s="108"/>
      <c r="M930" s="108"/>
    </row>
    <row r="931">
      <c r="A931" s="108"/>
      <c r="B931" s="108"/>
      <c r="C931" s="108"/>
      <c r="D931" s="107"/>
      <c r="E931" s="108"/>
      <c r="F931" s="108"/>
      <c r="G931" s="108"/>
      <c r="H931" s="108"/>
      <c r="I931" s="108"/>
      <c r="J931" s="108"/>
      <c r="K931" s="108"/>
      <c r="L931" s="108"/>
      <c r="M931" s="108"/>
    </row>
    <row r="932">
      <c r="A932" s="108"/>
      <c r="B932" s="108"/>
      <c r="C932" s="108"/>
      <c r="D932" s="107"/>
      <c r="E932" s="108"/>
      <c r="F932" s="108"/>
      <c r="G932" s="108"/>
      <c r="H932" s="108"/>
      <c r="I932" s="108"/>
      <c r="J932" s="108"/>
      <c r="K932" s="108"/>
      <c r="L932" s="108"/>
      <c r="M932" s="108"/>
    </row>
    <row r="933">
      <c r="A933" s="108"/>
      <c r="B933" s="108"/>
      <c r="C933" s="108"/>
      <c r="D933" s="107"/>
      <c r="E933" s="108"/>
      <c r="F933" s="108"/>
      <c r="G933" s="108"/>
      <c r="H933" s="108"/>
      <c r="I933" s="108"/>
      <c r="J933" s="108"/>
      <c r="K933" s="108"/>
      <c r="L933" s="108"/>
      <c r="M933" s="108"/>
    </row>
    <row r="934">
      <c r="A934" s="108"/>
      <c r="B934" s="108"/>
      <c r="C934" s="108"/>
      <c r="D934" s="107"/>
      <c r="E934" s="108"/>
      <c r="F934" s="108"/>
      <c r="G934" s="108"/>
      <c r="H934" s="108"/>
      <c r="I934" s="108"/>
      <c r="J934" s="108"/>
      <c r="K934" s="108"/>
      <c r="L934" s="108"/>
      <c r="M934" s="108"/>
    </row>
    <row r="935">
      <c r="A935" s="108"/>
      <c r="B935" s="108"/>
      <c r="C935" s="108"/>
      <c r="D935" s="107"/>
      <c r="E935" s="108"/>
      <c r="F935" s="108"/>
      <c r="G935" s="108"/>
      <c r="H935" s="108"/>
      <c r="I935" s="108"/>
      <c r="J935" s="108"/>
      <c r="K935" s="108"/>
      <c r="L935" s="108"/>
      <c r="M935" s="108"/>
    </row>
    <row r="936">
      <c r="A936" s="108"/>
      <c r="B936" s="108"/>
      <c r="C936" s="108"/>
      <c r="D936" s="107"/>
      <c r="E936" s="108"/>
      <c r="F936" s="108"/>
      <c r="G936" s="108"/>
      <c r="H936" s="108"/>
      <c r="I936" s="108"/>
      <c r="J936" s="108"/>
      <c r="K936" s="108"/>
      <c r="L936" s="108"/>
      <c r="M936" s="108"/>
    </row>
    <row r="937">
      <c r="A937" s="108"/>
      <c r="B937" s="108"/>
      <c r="C937" s="108"/>
      <c r="D937" s="107"/>
      <c r="E937" s="108"/>
      <c r="F937" s="108"/>
      <c r="G937" s="108"/>
      <c r="H937" s="108"/>
      <c r="I937" s="108"/>
      <c r="J937" s="108"/>
      <c r="K937" s="108"/>
      <c r="L937" s="108"/>
      <c r="M937" s="108"/>
    </row>
    <row r="938">
      <c r="A938" s="108"/>
      <c r="B938" s="108"/>
      <c r="C938" s="108"/>
      <c r="D938" s="107"/>
      <c r="E938" s="108"/>
      <c r="F938" s="108"/>
      <c r="G938" s="108"/>
      <c r="H938" s="108"/>
      <c r="I938" s="108"/>
      <c r="J938" s="108"/>
      <c r="K938" s="108"/>
      <c r="L938" s="108"/>
      <c r="M938" s="108"/>
    </row>
    <row r="939">
      <c r="A939" s="108"/>
      <c r="B939" s="108"/>
      <c r="C939" s="108"/>
      <c r="D939" s="107"/>
      <c r="E939" s="108"/>
      <c r="F939" s="108"/>
      <c r="G939" s="108"/>
      <c r="H939" s="108"/>
      <c r="I939" s="108"/>
      <c r="J939" s="108"/>
      <c r="K939" s="108"/>
      <c r="L939" s="108"/>
      <c r="M939" s="108"/>
    </row>
    <row r="940">
      <c r="A940" s="108"/>
      <c r="B940" s="108"/>
      <c r="C940" s="108"/>
      <c r="D940" s="107"/>
      <c r="E940" s="108"/>
      <c r="F940" s="108"/>
      <c r="G940" s="108"/>
      <c r="H940" s="108"/>
      <c r="I940" s="108"/>
      <c r="J940" s="108"/>
      <c r="K940" s="108"/>
      <c r="L940" s="108"/>
      <c r="M940" s="108"/>
    </row>
    <row r="941">
      <c r="A941" s="108"/>
      <c r="B941" s="108"/>
      <c r="C941" s="108"/>
      <c r="D941" s="107"/>
      <c r="E941" s="108"/>
      <c r="F941" s="108"/>
      <c r="G941" s="108"/>
      <c r="H941" s="108"/>
      <c r="I941" s="108"/>
      <c r="J941" s="108"/>
      <c r="K941" s="108"/>
      <c r="L941" s="108"/>
      <c r="M941" s="108"/>
    </row>
    <row r="942">
      <c r="A942" s="108"/>
      <c r="B942" s="108"/>
      <c r="C942" s="108"/>
      <c r="D942" s="107"/>
      <c r="E942" s="108"/>
      <c r="F942" s="108"/>
      <c r="G942" s="108"/>
      <c r="H942" s="108"/>
      <c r="I942" s="108"/>
      <c r="J942" s="108"/>
      <c r="K942" s="108"/>
      <c r="L942" s="108"/>
      <c r="M942" s="108"/>
    </row>
    <row r="943">
      <c r="A943" s="108"/>
      <c r="B943" s="108"/>
      <c r="C943" s="108"/>
      <c r="D943" s="107"/>
      <c r="E943" s="108"/>
      <c r="F943" s="108"/>
      <c r="G943" s="108"/>
      <c r="H943" s="108"/>
      <c r="I943" s="108"/>
      <c r="J943" s="108"/>
      <c r="K943" s="108"/>
      <c r="L943" s="108"/>
      <c r="M943" s="108"/>
    </row>
    <row r="944">
      <c r="A944" s="108"/>
      <c r="B944" s="108"/>
      <c r="C944" s="108"/>
      <c r="D944" s="107"/>
      <c r="E944" s="108"/>
      <c r="F944" s="108"/>
      <c r="G944" s="108"/>
      <c r="H944" s="108"/>
      <c r="I944" s="108"/>
      <c r="J944" s="108"/>
      <c r="K944" s="108"/>
      <c r="L944" s="108"/>
      <c r="M944" s="108"/>
    </row>
    <row r="945">
      <c r="A945" s="108"/>
      <c r="B945" s="108"/>
      <c r="C945" s="108"/>
      <c r="D945" s="107"/>
      <c r="E945" s="108"/>
      <c r="F945" s="108"/>
      <c r="G945" s="108"/>
      <c r="H945" s="108"/>
      <c r="I945" s="108"/>
      <c r="J945" s="108"/>
      <c r="K945" s="108"/>
      <c r="L945" s="108"/>
      <c r="M945" s="108"/>
    </row>
    <row r="946">
      <c r="A946" s="108"/>
      <c r="B946" s="108"/>
      <c r="C946" s="108"/>
      <c r="D946" s="107"/>
      <c r="E946" s="108"/>
      <c r="F946" s="108"/>
      <c r="G946" s="108"/>
      <c r="H946" s="108"/>
      <c r="I946" s="108"/>
      <c r="J946" s="108"/>
      <c r="K946" s="108"/>
      <c r="L946" s="108"/>
      <c r="M946" s="108"/>
    </row>
    <row r="947">
      <c r="A947" s="108"/>
      <c r="B947" s="108"/>
      <c r="C947" s="108"/>
      <c r="D947" s="107"/>
      <c r="E947" s="108"/>
      <c r="F947" s="108"/>
      <c r="G947" s="108"/>
      <c r="H947" s="108"/>
      <c r="I947" s="108"/>
      <c r="J947" s="108"/>
      <c r="K947" s="108"/>
      <c r="L947" s="108"/>
      <c r="M947" s="108"/>
    </row>
    <row r="948">
      <c r="A948" s="108"/>
      <c r="B948" s="108"/>
      <c r="C948" s="108"/>
      <c r="D948" s="107"/>
      <c r="E948" s="108"/>
      <c r="F948" s="108"/>
      <c r="G948" s="108"/>
      <c r="H948" s="108"/>
      <c r="I948" s="108"/>
      <c r="J948" s="108"/>
      <c r="K948" s="108"/>
      <c r="L948" s="108"/>
      <c r="M948" s="108"/>
    </row>
    <row r="949">
      <c r="A949" s="108"/>
      <c r="B949" s="108"/>
      <c r="C949" s="108"/>
      <c r="D949" s="107"/>
      <c r="E949" s="108"/>
      <c r="F949" s="108"/>
      <c r="G949" s="108"/>
      <c r="H949" s="108"/>
      <c r="I949" s="108"/>
      <c r="J949" s="108"/>
      <c r="K949" s="108"/>
      <c r="L949" s="108"/>
      <c r="M949" s="108"/>
    </row>
    <row r="950">
      <c r="A950" s="108"/>
      <c r="B950" s="108"/>
      <c r="C950" s="108"/>
      <c r="D950" s="107"/>
      <c r="E950" s="108"/>
      <c r="F950" s="108"/>
      <c r="G950" s="108"/>
      <c r="H950" s="108"/>
      <c r="I950" s="108"/>
      <c r="J950" s="108"/>
      <c r="K950" s="108"/>
      <c r="L950" s="108"/>
      <c r="M950" s="108"/>
    </row>
    <row r="951">
      <c r="A951" s="108"/>
      <c r="B951" s="108"/>
      <c r="C951" s="108"/>
      <c r="D951" s="107"/>
      <c r="E951" s="108"/>
      <c r="F951" s="108"/>
      <c r="G951" s="108"/>
      <c r="H951" s="108"/>
      <c r="I951" s="108"/>
      <c r="J951" s="108"/>
      <c r="K951" s="108"/>
      <c r="L951" s="108"/>
      <c r="M951" s="108"/>
    </row>
    <row r="952">
      <c r="A952" s="108"/>
      <c r="B952" s="108"/>
      <c r="C952" s="108"/>
      <c r="D952" s="107"/>
      <c r="E952" s="108"/>
      <c r="F952" s="108"/>
      <c r="G952" s="108"/>
      <c r="H952" s="108"/>
      <c r="I952" s="108"/>
      <c r="J952" s="108"/>
      <c r="K952" s="108"/>
      <c r="L952" s="108"/>
      <c r="M952" s="108"/>
    </row>
    <row r="953">
      <c r="A953" s="108"/>
      <c r="B953" s="108"/>
      <c r="C953" s="108"/>
      <c r="D953" s="107"/>
      <c r="E953" s="108"/>
      <c r="F953" s="108"/>
      <c r="G953" s="108"/>
      <c r="H953" s="108"/>
      <c r="I953" s="108"/>
      <c r="J953" s="108"/>
      <c r="K953" s="108"/>
      <c r="L953" s="108"/>
      <c r="M953" s="108"/>
    </row>
    <row r="954">
      <c r="A954" s="108"/>
      <c r="B954" s="108"/>
      <c r="C954" s="108"/>
      <c r="D954" s="107"/>
      <c r="E954" s="108"/>
      <c r="F954" s="108"/>
      <c r="G954" s="108"/>
      <c r="H954" s="108"/>
      <c r="I954" s="108"/>
      <c r="J954" s="108"/>
      <c r="K954" s="108"/>
      <c r="L954" s="108"/>
      <c r="M954" s="108"/>
    </row>
    <row r="955">
      <c r="A955" s="108"/>
      <c r="B955" s="108"/>
      <c r="C955" s="108"/>
      <c r="D955" s="107"/>
      <c r="E955" s="108"/>
      <c r="F955" s="108"/>
      <c r="G955" s="108"/>
      <c r="H955" s="108"/>
      <c r="I955" s="108"/>
      <c r="J955" s="108"/>
      <c r="K955" s="108"/>
      <c r="L955" s="108"/>
      <c r="M955" s="108"/>
    </row>
    <row r="956">
      <c r="A956" s="108"/>
      <c r="B956" s="108"/>
      <c r="C956" s="108"/>
      <c r="D956" s="107"/>
      <c r="E956" s="108"/>
      <c r="F956" s="108"/>
      <c r="G956" s="108"/>
      <c r="H956" s="108"/>
      <c r="I956" s="108"/>
      <c r="J956" s="108"/>
      <c r="K956" s="108"/>
      <c r="L956" s="108"/>
      <c r="M956" s="108"/>
    </row>
    <row r="957">
      <c r="A957" s="108"/>
      <c r="B957" s="108"/>
      <c r="C957" s="108"/>
      <c r="D957" s="107"/>
      <c r="E957" s="108"/>
      <c r="F957" s="108"/>
      <c r="G957" s="108"/>
      <c r="H957" s="108"/>
      <c r="I957" s="108"/>
      <c r="J957" s="108"/>
      <c r="K957" s="108"/>
      <c r="L957" s="108"/>
      <c r="M957" s="108"/>
    </row>
    <row r="958">
      <c r="A958" s="108"/>
      <c r="B958" s="108"/>
      <c r="C958" s="108"/>
      <c r="D958" s="107"/>
      <c r="E958" s="108"/>
      <c r="F958" s="108"/>
      <c r="G958" s="108"/>
      <c r="H958" s="108"/>
      <c r="I958" s="108"/>
      <c r="J958" s="108"/>
      <c r="K958" s="108"/>
      <c r="L958" s="108"/>
      <c r="M958" s="108"/>
    </row>
    <row r="959">
      <c r="A959" s="108"/>
      <c r="B959" s="108"/>
      <c r="C959" s="108"/>
      <c r="D959" s="107"/>
      <c r="E959" s="108"/>
      <c r="F959" s="108"/>
      <c r="G959" s="108"/>
      <c r="H959" s="108"/>
      <c r="I959" s="108"/>
      <c r="J959" s="108"/>
      <c r="K959" s="108"/>
      <c r="L959" s="108"/>
      <c r="M959" s="108"/>
    </row>
    <row r="960">
      <c r="A960" s="108"/>
      <c r="B960" s="108"/>
      <c r="C960" s="108"/>
      <c r="D960" s="107"/>
      <c r="E960" s="108"/>
      <c r="F960" s="108"/>
      <c r="G960" s="108"/>
      <c r="H960" s="108"/>
      <c r="I960" s="108"/>
      <c r="J960" s="108"/>
      <c r="K960" s="108"/>
      <c r="L960" s="108"/>
      <c r="M960" s="108"/>
    </row>
    <row r="961">
      <c r="A961" s="108"/>
      <c r="B961" s="108"/>
      <c r="C961" s="108"/>
      <c r="D961" s="107"/>
      <c r="E961" s="108"/>
      <c r="F961" s="108"/>
      <c r="G961" s="108"/>
      <c r="H961" s="108"/>
      <c r="I961" s="108"/>
      <c r="J961" s="108"/>
      <c r="K961" s="108"/>
      <c r="L961" s="108"/>
      <c r="M961" s="108"/>
    </row>
    <row r="962">
      <c r="A962" s="108"/>
      <c r="B962" s="108"/>
      <c r="C962" s="108"/>
      <c r="D962" s="107"/>
      <c r="E962" s="108"/>
      <c r="F962" s="108"/>
      <c r="G962" s="108"/>
      <c r="H962" s="108"/>
      <c r="I962" s="108"/>
      <c r="J962" s="108"/>
      <c r="K962" s="108"/>
      <c r="L962" s="108"/>
      <c r="M962" s="108"/>
    </row>
    <row r="963">
      <c r="A963" s="108"/>
      <c r="B963" s="108"/>
      <c r="C963" s="108"/>
      <c r="D963" s="107"/>
      <c r="E963" s="108"/>
      <c r="F963" s="108"/>
      <c r="G963" s="108"/>
      <c r="H963" s="108"/>
      <c r="I963" s="108"/>
      <c r="J963" s="108"/>
      <c r="K963" s="108"/>
      <c r="L963" s="108"/>
      <c r="M963" s="108"/>
    </row>
    <row r="964">
      <c r="A964" s="108"/>
      <c r="B964" s="108"/>
      <c r="C964" s="108"/>
      <c r="D964" s="107"/>
      <c r="E964" s="108"/>
      <c r="F964" s="108"/>
      <c r="G964" s="108"/>
      <c r="H964" s="108"/>
      <c r="I964" s="108"/>
      <c r="J964" s="108"/>
      <c r="K964" s="108"/>
      <c r="L964" s="108"/>
      <c r="M964" s="108"/>
    </row>
    <row r="965">
      <c r="A965" s="108"/>
      <c r="B965" s="108"/>
      <c r="C965" s="108"/>
      <c r="D965" s="107"/>
      <c r="E965" s="108"/>
      <c r="F965" s="108"/>
      <c r="G965" s="108"/>
      <c r="H965" s="108"/>
      <c r="I965" s="108"/>
      <c r="J965" s="108"/>
      <c r="K965" s="108"/>
      <c r="L965" s="108"/>
      <c r="M965" s="108"/>
    </row>
    <row r="966">
      <c r="A966" s="108"/>
      <c r="B966" s="108"/>
      <c r="C966" s="108"/>
      <c r="D966" s="107"/>
      <c r="E966" s="108"/>
      <c r="F966" s="108"/>
      <c r="G966" s="108"/>
      <c r="H966" s="108"/>
      <c r="I966" s="108"/>
      <c r="J966" s="108"/>
      <c r="K966" s="108"/>
      <c r="L966" s="108"/>
      <c r="M966" s="108"/>
    </row>
    <row r="967">
      <c r="A967" s="108"/>
      <c r="B967" s="108"/>
      <c r="C967" s="108"/>
      <c r="D967" s="107"/>
      <c r="E967" s="108"/>
      <c r="F967" s="108"/>
      <c r="G967" s="108"/>
      <c r="H967" s="108"/>
      <c r="I967" s="108"/>
      <c r="J967" s="108"/>
      <c r="K967" s="108"/>
      <c r="L967" s="108"/>
      <c r="M967" s="108"/>
    </row>
    <row r="968">
      <c r="A968" s="108"/>
      <c r="B968" s="108"/>
      <c r="C968" s="108"/>
      <c r="D968" s="107"/>
      <c r="E968" s="108"/>
      <c r="F968" s="108"/>
      <c r="G968" s="108"/>
      <c r="H968" s="108"/>
      <c r="I968" s="108"/>
      <c r="J968" s="108"/>
      <c r="K968" s="108"/>
      <c r="L968" s="108"/>
      <c r="M968" s="108"/>
    </row>
    <row r="969">
      <c r="A969" s="108"/>
      <c r="B969" s="108"/>
      <c r="C969" s="108"/>
      <c r="D969" s="107"/>
      <c r="E969" s="108"/>
      <c r="F969" s="108"/>
      <c r="G969" s="108"/>
      <c r="H969" s="108"/>
      <c r="I969" s="108"/>
      <c r="J969" s="108"/>
      <c r="K969" s="108"/>
      <c r="L969" s="108"/>
      <c r="M969" s="108"/>
    </row>
    <row r="970">
      <c r="A970" s="108"/>
      <c r="B970" s="108"/>
      <c r="C970" s="108"/>
      <c r="D970" s="107"/>
      <c r="E970" s="108"/>
      <c r="F970" s="108"/>
      <c r="G970" s="108"/>
      <c r="H970" s="108"/>
      <c r="I970" s="108"/>
      <c r="J970" s="108"/>
      <c r="K970" s="108"/>
      <c r="L970" s="108"/>
      <c r="M970" s="108"/>
    </row>
    <row r="971">
      <c r="A971" s="108"/>
      <c r="B971" s="108"/>
      <c r="C971" s="108"/>
      <c r="D971" s="107"/>
      <c r="E971" s="108"/>
      <c r="F971" s="108"/>
      <c r="G971" s="108"/>
      <c r="H971" s="108"/>
      <c r="I971" s="108"/>
      <c r="J971" s="108"/>
      <c r="K971" s="108"/>
      <c r="L971" s="108"/>
      <c r="M971" s="108"/>
    </row>
    <row r="972">
      <c r="A972" s="108"/>
      <c r="B972" s="108"/>
      <c r="C972" s="108"/>
      <c r="D972" s="107"/>
      <c r="E972" s="108"/>
      <c r="F972" s="108"/>
      <c r="G972" s="108"/>
      <c r="H972" s="108"/>
      <c r="I972" s="108"/>
      <c r="J972" s="108"/>
      <c r="K972" s="108"/>
      <c r="L972" s="108"/>
      <c r="M972" s="108"/>
    </row>
    <row r="973">
      <c r="A973" s="108"/>
      <c r="B973" s="108"/>
      <c r="C973" s="108"/>
      <c r="D973" s="107"/>
      <c r="E973" s="108"/>
      <c r="F973" s="108"/>
      <c r="G973" s="108"/>
      <c r="H973" s="108"/>
      <c r="I973" s="108"/>
      <c r="J973" s="108"/>
      <c r="K973" s="108"/>
      <c r="L973" s="108"/>
      <c r="M973" s="108"/>
    </row>
    <row r="974">
      <c r="A974" s="108"/>
      <c r="B974" s="108"/>
      <c r="C974" s="108"/>
      <c r="D974" s="107"/>
      <c r="E974" s="108"/>
      <c r="F974" s="108"/>
      <c r="G974" s="108"/>
      <c r="H974" s="108"/>
      <c r="I974" s="108"/>
      <c r="J974" s="108"/>
      <c r="K974" s="108"/>
      <c r="L974" s="108"/>
      <c r="M974" s="108"/>
    </row>
    <row r="975">
      <c r="A975" s="108"/>
      <c r="B975" s="108"/>
      <c r="C975" s="108"/>
      <c r="D975" s="107"/>
      <c r="E975" s="108"/>
      <c r="F975" s="108"/>
      <c r="G975" s="108"/>
      <c r="H975" s="108"/>
      <c r="I975" s="108"/>
      <c r="J975" s="108"/>
      <c r="K975" s="108"/>
      <c r="L975" s="108"/>
      <c r="M975" s="108"/>
    </row>
    <row r="976">
      <c r="A976" s="108"/>
      <c r="B976" s="108"/>
      <c r="C976" s="108"/>
      <c r="D976" s="107"/>
      <c r="E976" s="108"/>
      <c r="F976" s="108"/>
      <c r="G976" s="108"/>
      <c r="H976" s="108"/>
      <c r="I976" s="108"/>
      <c r="J976" s="108"/>
      <c r="K976" s="108"/>
      <c r="L976" s="108"/>
      <c r="M976" s="108"/>
    </row>
    <row r="977">
      <c r="A977" s="108"/>
      <c r="B977" s="108"/>
      <c r="C977" s="108"/>
      <c r="D977" s="107"/>
      <c r="E977" s="108"/>
      <c r="F977" s="108"/>
      <c r="G977" s="108"/>
      <c r="H977" s="108"/>
      <c r="I977" s="108"/>
      <c r="J977" s="108"/>
      <c r="K977" s="108"/>
      <c r="L977" s="108"/>
      <c r="M977" s="108"/>
    </row>
    <row r="978">
      <c r="A978" s="108"/>
      <c r="B978" s="108"/>
      <c r="C978" s="108"/>
      <c r="D978" s="107"/>
      <c r="E978" s="108"/>
      <c r="F978" s="108"/>
      <c r="G978" s="108"/>
      <c r="H978" s="108"/>
      <c r="I978" s="108"/>
      <c r="J978" s="108"/>
      <c r="K978" s="108"/>
      <c r="L978" s="108"/>
      <c r="M978" s="108"/>
    </row>
    <row r="979">
      <c r="A979" s="108"/>
      <c r="B979" s="108"/>
      <c r="C979" s="108"/>
      <c r="D979" s="107"/>
      <c r="E979" s="108"/>
      <c r="F979" s="108"/>
      <c r="G979" s="108"/>
      <c r="H979" s="108"/>
      <c r="I979" s="108"/>
      <c r="J979" s="108"/>
      <c r="K979" s="108"/>
      <c r="L979" s="108"/>
      <c r="M979" s="108"/>
    </row>
    <row r="980">
      <c r="A980" s="108"/>
      <c r="B980" s="108"/>
      <c r="C980" s="108"/>
      <c r="D980" s="107"/>
      <c r="E980" s="108"/>
      <c r="F980" s="108"/>
      <c r="G980" s="108"/>
      <c r="H980" s="108"/>
      <c r="I980" s="108"/>
      <c r="J980" s="108"/>
      <c r="K980" s="108"/>
      <c r="L980" s="108"/>
      <c r="M980" s="108"/>
    </row>
    <row r="981">
      <c r="A981" s="108"/>
      <c r="B981" s="108"/>
      <c r="C981" s="108"/>
      <c r="D981" s="107"/>
      <c r="E981" s="108"/>
      <c r="F981" s="108"/>
      <c r="G981" s="108"/>
      <c r="H981" s="108"/>
      <c r="I981" s="108"/>
      <c r="J981" s="108"/>
      <c r="K981" s="108"/>
      <c r="L981" s="108"/>
      <c r="M981" s="108"/>
    </row>
    <row r="982">
      <c r="A982" s="108"/>
      <c r="B982" s="108"/>
      <c r="C982" s="108"/>
      <c r="D982" s="107"/>
      <c r="E982" s="108"/>
      <c r="F982" s="108"/>
      <c r="G982" s="108"/>
      <c r="H982" s="108"/>
      <c r="I982" s="108"/>
      <c r="J982" s="108"/>
      <c r="K982" s="108"/>
      <c r="L982" s="108"/>
      <c r="M982" s="108"/>
    </row>
    <row r="983">
      <c r="A983" s="108"/>
      <c r="B983" s="108"/>
      <c r="C983" s="108"/>
      <c r="D983" s="107"/>
      <c r="E983" s="108"/>
      <c r="F983" s="108"/>
      <c r="G983" s="108"/>
      <c r="H983" s="108"/>
      <c r="I983" s="108"/>
      <c r="J983" s="108"/>
      <c r="K983" s="108"/>
      <c r="L983" s="108"/>
      <c r="M983" s="108"/>
    </row>
    <row r="984">
      <c r="A984" s="108"/>
      <c r="B984" s="108"/>
      <c r="C984" s="108"/>
      <c r="D984" s="107"/>
      <c r="E984" s="108"/>
      <c r="F984" s="108"/>
      <c r="G984" s="108"/>
      <c r="H984" s="108"/>
      <c r="I984" s="108"/>
      <c r="J984" s="108"/>
      <c r="K984" s="108"/>
      <c r="L984" s="108"/>
      <c r="M984" s="108"/>
    </row>
    <row r="985">
      <c r="A985" s="108"/>
      <c r="B985" s="108"/>
      <c r="C985" s="108"/>
      <c r="D985" s="107"/>
      <c r="E985" s="108"/>
      <c r="F985" s="108"/>
      <c r="G985" s="108"/>
      <c r="H985" s="108"/>
      <c r="I985" s="108"/>
      <c r="J985" s="108"/>
      <c r="K985" s="108"/>
      <c r="L985" s="108"/>
      <c r="M985" s="108"/>
    </row>
    <row r="986">
      <c r="A986" s="108"/>
      <c r="B986" s="108"/>
      <c r="C986" s="108"/>
      <c r="D986" s="107"/>
      <c r="E986" s="108"/>
      <c r="F986" s="108"/>
      <c r="G986" s="108"/>
      <c r="H986" s="108"/>
      <c r="I986" s="108"/>
      <c r="J986" s="108"/>
      <c r="K986" s="108"/>
      <c r="L986" s="108"/>
      <c r="M986" s="108"/>
    </row>
    <row r="987">
      <c r="A987" s="108"/>
      <c r="B987" s="108"/>
      <c r="C987" s="108"/>
      <c r="D987" s="107"/>
      <c r="E987" s="108"/>
      <c r="F987" s="108"/>
      <c r="G987" s="108"/>
      <c r="H987" s="108"/>
      <c r="I987" s="108"/>
      <c r="J987" s="108"/>
      <c r="K987" s="108"/>
      <c r="L987" s="108"/>
      <c r="M987" s="108"/>
    </row>
    <row r="988">
      <c r="A988" s="108"/>
      <c r="B988" s="108"/>
      <c r="C988" s="108"/>
      <c r="D988" s="107"/>
      <c r="E988" s="108"/>
      <c r="F988" s="108"/>
      <c r="G988" s="108"/>
      <c r="H988" s="108"/>
      <c r="I988" s="108"/>
      <c r="J988" s="108"/>
      <c r="K988" s="108"/>
      <c r="L988" s="108"/>
      <c r="M988" s="108"/>
    </row>
    <row r="989">
      <c r="A989" s="108"/>
      <c r="B989" s="108"/>
      <c r="C989" s="108"/>
      <c r="D989" s="107"/>
      <c r="E989" s="108"/>
      <c r="F989" s="108"/>
      <c r="G989" s="108"/>
      <c r="H989" s="108"/>
      <c r="I989" s="108"/>
      <c r="J989" s="108"/>
      <c r="K989" s="108"/>
      <c r="L989" s="108"/>
      <c r="M989" s="108"/>
    </row>
    <row r="990">
      <c r="A990" s="108"/>
      <c r="B990" s="108"/>
      <c r="C990" s="108"/>
      <c r="D990" s="107"/>
      <c r="E990" s="108"/>
      <c r="F990" s="108"/>
      <c r="G990" s="108"/>
      <c r="H990" s="108"/>
      <c r="I990" s="108"/>
      <c r="J990" s="108"/>
      <c r="K990" s="108"/>
      <c r="L990" s="108"/>
      <c r="M990" s="108"/>
    </row>
    <row r="991">
      <c r="A991" s="108"/>
      <c r="B991" s="108"/>
      <c r="C991" s="108"/>
      <c r="D991" s="107"/>
      <c r="E991" s="108"/>
      <c r="F991" s="108"/>
      <c r="G991" s="108"/>
      <c r="H991" s="108"/>
      <c r="I991" s="108"/>
      <c r="J991" s="108"/>
      <c r="K991" s="108"/>
      <c r="L991" s="108"/>
      <c r="M991" s="108"/>
    </row>
    <row r="992">
      <c r="A992" s="108"/>
      <c r="B992" s="108"/>
      <c r="C992" s="108"/>
      <c r="D992" s="107"/>
      <c r="E992" s="108"/>
      <c r="F992" s="108"/>
      <c r="G992" s="108"/>
      <c r="H992" s="108"/>
      <c r="I992" s="108"/>
      <c r="J992" s="108"/>
      <c r="K992" s="108"/>
      <c r="L992" s="108"/>
      <c r="M992" s="108"/>
    </row>
    <row r="993">
      <c r="A993" s="108"/>
      <c r="B993" s="108"/>
      <c r="C993" s="108"/>
      <c r="D993" s="107"/>
      <c r="E993" s="108"/>
      <c r="F993" s="108"/>
      <c r="G993" s="108"/>
      <c r="H993" s="108"/>
      <c r="I993" s="108"/>
      <c r="J993" s="108"/>
      <c r="K993" s="108"/>
      <c r="L993" s="108"/>
      <c r="M993" s="108"/>
    </row>
    <row r="994">
      <c r="A994" s="108"/>
      <c r="B994" s="108"/>
      <c r="C994" s="108"/>
      <c r="D994" s="107"/>
      <c r="E994" s="108"/>
      <c r="F994" s="108"/>
      <c r="G994" s="108"/>
      <c r="H994" s="108"/>
      <c r="I994" s="108"/>
      <c r="J994" s="108"/>
      <c r="K994" s="108"/>
      <c r="L994" s="108"/>
      <c r="M994" s="108"/>
    </row>
    <row r="995">
      <c r="A995" s="108"/>
      <c r="B995" s="108"/>
      <c r="C995" s="108"/>
      <c r="D995" s="107"/>
      <c r="E995" s="108"/>
      <c r="F995" s="108"/>
      <c r="G995" s="108"/>
      <c r="H995" s="108"/>
      <c r="I995" s="108"/>
      <c r="J995" s="108"/>
      <c r="K995" s="108"/>
      <c r="L995" s="108"/>
      <c r="M995" s="108"/>
    </row>
    <row r="996">
      <c r="A996" s="108"/>
      <c r="B996" s="108"/>
      <c r="C996" s="108"/>
      <c r="D996" s="107"/>
      <c r="E996" s="108"/>
      <c r="F996" s="108"/>
      <c r="G996" s="108"/>
      <c r="H996" s="108"/>
      <c r="I996" s="108"/>
      <c r="J996" s="108"/>
      <c r="K996" s="108"/>
      <c r="L996" s="108"/>
      <c r="M996" s="108"/>
    </row>
    <row r="997">
      <c r="A997" s="108"/>
      <c r="B997" s="108"/>
      <c r="C997" s="108"/>
      <c r="D997" s="107"/>
      <c r="E997" s="108"/>
      <c r="F997" s="108"/>
      <c r="G997" s="108"/>
      <c r="H997" s="108"/>
      <c r="I997" s="108"/>
      <c r="J997" s="108"/>
      <c r="K997" s="108"/>
      <c r="L997" s="108"/>
      <c r="M997" s="108"/>
    </row>
    <row r="998">
      <c r="A998" s="108"/>
      <c r="B998" s="108"/>
      <c r="C998" s="108"/>
      <c r="D998" s="107"/>
      <c r="E998" s="108"/>
      <c r="F998" s="108"/>
      <c r="G998" s="108"/>
      <c r="H998" s="108"/>
      <c r="I998" s="108"/>
      <c r="J998" s="108"/>
      <c r="K998" s="108"/>
      <c r="L998" s="108"/>
      <c r="M998" s="108"/>
    </row>
    <row r="999">
      <c r="A999" s="108"/>
      <c r="B999" s="108"/>
      <c r="C999" s="108"/>
      <c r="D999" s="107"/>
      <c r="E999" s="108"/>
      <c r="F999" s="108"/>
      <c r="G999" s="108"/>
      <c r="H999" s="108"/>
      <c r="I999" s="108"/>
      <c r="J999" s="108"/>
      <c r="K999" s="108"/>
      <c r="L999" s="108"/>
      <c r="M999" s="108"/>
    </row>
    <row r="1000">
      <c r="A1000" s="108"/>
      <c r="B1000" s="108"/>
      <c r="C1000" s="108"/>
      <c r="D1000" s="107"/>
      <c r="E1000" s="108"/>
      <c r="F1000" s="108"/>
      <c r="G1000" s="108"/>
      <c r="H1000" s="108"/>
      <c r="I1000" s="108"/>
      <c r="J1000" s="108"/>
      <c r="K1000" s="108"/>
      <c r="L1000" s="108"/>
      <c r="M1000" s="108"/>
    </row>
    <row r="1001">
      <c r="A1001" s="108"/>
      <c r="B1001" s="108"/>
      <c r="C1001" s="108"/>
      <c r="D1001" s="107"/>
      <c r="E1001" s="108"/>
      <c r="F1001" s="108"/>
      <c r="G1001" s="108"/>
      <c r="H1001" s="108"/>
      <c r="I1001" s="108"/>
      <c r="J1001" s="108"/>
      <c r="K1001" s="108"/>
      <c r="L1001" s="108"/>
      <c r="M1001" s="108"/>
    </row>
    <row r="1002">
      <c r="A1002" s="108"/>
      <c r="B1002" s="108"/>
      <c r="C1002" s="108"/>
      <c r="D1002" s="107"/>
      <c r="E1002" s="108"/>
      <c r="F1002" s="108"/>
      <c r="G1002" s="108"/>
      <c r="H1002" s="108"/>
      <c r="I1002" s="108"/>
      <c r="J1002" s="108"/>
      <c r="K1002" s="108"/>
      <c r="L1002" s="108"/>
      <c r="M1002" s="108"/>
    </row>
  </sheetData>
  <autoFilter ref="$A$2:$M$606"/>
  <mergeCells count="1">
    <mergeCell ref="B1:G1"/>
  </mergeCells>
  <conditionalFormatting sqref="A1:A1002">
    <cfRule type="notContainsBlanks" dxfId="0" priority="1">
      <formula>LEN(TRIM(A1))&gt;0</formula>
    </cfRule>
  </conditionalFormatting>
  <dataValidations>
    <dataValidation type="list" allowBlank="1" showErrorMessage="1" sqref="H1">
      <formula1>'⚙️ Config'!$N$2:$N$13</formula1>
    </dataValidation>
    <dataValidation type="list" allowBlank="1" showDropDown="1" showErrorMessage="1" sqref="C3:C1002">
      <formula1>'⚙️ Config'!$E$2:$E$3</formula1>
    </dataValidation>
  </dataValidations>
  <printOptions gridLines="1"/>
  <pageMargins bottom="0.75" footer="0.0" header="0.0" left="0.7" right="0.7" top="0.75"/>
  <pageSetup fitToHeight="0" paperSize="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3.0" topLeftCell="N1" activePane="topRight" state="frozen"/>
      <selection activeCell="O2" sqref="O2" pane="topRight"/>
    </sheetView>
  </sheetViews>
  <sheetFormatPr customHeight="1" defaultColWidth="12.63" defaultRowHeight="15.75" outlineLevelCol="1" outlineLevelRow="1"/>
  <cols>
    <col customWidth="1" min="1" max="1" width="27.75"/>
    <col min="2" max="11" width="12.63" outlineLevel="1"/>
    <col customWidth="1" min="12" max="12" width="14.38" outlineLevel="1"/>
    <col min="13" max="13" width="12.63" outlineLevel="1"/>
    <col customWidth="1" min="14" max="14" width="53.63"/>
    <col customWidth="1" min="15" max="15" width="26.63"/>
    <col customWidth="1" min="16" max="16" width="26.38"/>
    <col customWidth="1" min="17" max="17" width="22.88"/>
    <col customWidth="1" min="18" max="18" width="23.13"/>
    <col customWidth="1" min="19" max="19" width="23.88"/>
  </cols>
  <sheetData>
    <row r="1" ht="69.0" customHeight="1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4" t="s">
        <v>2164</v>
      </c>
      <c r="O1" s="125"/>
      <c r="P1" s="125"/>
      <c r="Q1" s="125"/>
      <c r="R1" s="125"/>
      <c r="S1" s="126"/>
    </row>
    <row r="2" ht="51.0" customHeight="1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9" t="s">
        <v>2165</v>
      </c>
      <c r="O2" s="130" t="str">
        <f t="array" ref="O2">INDEX(Config!L:L, MATCH(Q2, Config!K:K, 0) + 1)</f>
        <v>#REF!</v>
      </c>
      <c r="P2" s="125"/>
      <c r="Q2" s="129" t="s">
        <v>1256</v>
      </c>
      <c r="R2" s="129" t="s">
        <v>2022</v>
      </c>
      <c r="S2" s="129" t="s">
        <v>2014</v>
      </c>
    </row>
    <row r="3" ht="51.0" customHeight="1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31" t="s">
        <v>2166</v>
      </c>
      <c r="O3" s="132" t="s">
        <v>2167</v>
      </c>
      <c r="P3" s="133" t="s">
        <v>2168</v>
      </c>
      <c r="Q3" s="133" t="s">
        <v>2169</v>
      </c>
      <c r="R3" s="133" t="s">
        <v>2170</v>
      </c>
      <c r="S3" s="134" t="s">
        <v>2171</v>
      </c>
    </row>
    <row r="4" ht="51.0" customHeight="1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31" t="s">
        <v>2172</v>
      </c>
      <c r="O4" s="135" t="s">
        <v>15</v>
      </c>
      <c r="P4" s="136"/>
      <c r="Q4" s="136"/>
      <c r="R4" s="137"/>
      <c r="S4" s="138"/>
    </row>
    <row r="5" ht="51.0" customHeight="1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31" t="s">
        <v>2173</v>
      </c>
      <c r="O5" s="139">
        <f t="array" ref="O5">IFERROR(INDEX('สำเนาของ ชีต1'!$D:$O, MATCH(P2, 'สำเนาของ ชีต1'!$A:$A, 0) + 2, MATCH(S2, 'สำเนาของ ชีต1'!$D$3:$O$3, 0) - 1), 0)</f>
        <v>0</v>
      </c>
      <c r="P5" s="140">
        <v>584.0</v>
      </c>
      <c r="Q5" s="141">
        <f t="shared" ref="Q5:Q6" si="1">P5-O5</f>
        <v>584</v>
      </c>
      <c r="R5" s="141">
        <v>8.0</v>
      </c>
      <c r="S5" s="142">
        <f t="shared" ref="S5:S6" si="2">Q5*R5</f>
        <v>4672</v>
      </c>
    </row>
    <row r="6" ht="51.0" customHeigh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31" t="s">
        <v>2174</v>
      </c>
      <c r="O6" s="143">
        <v>752.0</v>
      </c>
      <c r="P6" s="144">
        <v>758.0</v>
      </c>
      <c r="Q6" s="141">
        <f t="shared" si="1"/>
        <v>6</v>
      </c>
      <c r="R6" s="141">
        <v>25.0</v>
      </c>
      <c r="S6" s="142">
        <f t="shared" si="2"/>
        <v>150</v>
      </c>
    </row>
    <row r="7" ht="51.0" customHeight="1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45" t="s">
        <v>2175</v>
      </c>
      <c r="O7" s="125"/>
      <c r="P7" s="126"/>
      <c r="Q7" s="146"/>
      <c r="R7" s="147" t="s">
        <v>2176</v>
      </c>
      <c r="S7" s="148">
        <f>233.33*Q7</f>
        <v>0</v>
      </c>
    </row>
    <row r="8" ht="51.0" customHeight="1">
      <c r="A8" s="122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49" t="s">
        <v>2171</v>
      </c>
      <c r="O8" s="125"/>
      <c r="P8" s="125"/>
      <c r="Q8" s="125"/>
      <c r="R8" s="126"/>
      <c r="S8" s="150">
        <f>SUM(S4:S7)</f>
        <v>4822</v>
      </c>
    </row>
    <row r="9" ht="24.0" customHeight="1">
      <c r="A9" s="122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51"/>
      <c r="O9" s="152"/>
      <c r="P9" s="152"/>
      <c r="Q9" s="152"/>
      <c r="R9" s="152"/>
      <c r="S9" s="153"/>
    </row>
    <row r="10" ht="24.0" customHeight="1">
      <c r="A10" s="122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54"/>
      <c r="O10" s="155"/>
      <c r="P10" s="155"/>
      <c r="Q10" s="155"/>
      <c r="R10" s="155"/>
      <c r="S10" s="156"/>
    </row>
    <row r="11" ht="24.0" customHeight="1">
      <c r="A11" s="122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57"/>
      <c r="O11" s="155"/>
      <c r="P11" s="155"/>
      <c r="Q11" s="155"/>
      <c r="R11" s="155"/>
      <c r="S11" s="156"/>
    </row>
    <row r="12" ht="24.0" customHeight="1">
      <c r="A12" s="122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58"/>
      <c r="O12" s="159"/>
      <c r="P12" s="159"/>
      <c r="Q12" s="159"/>
      <c r="R12" s="159"/>
      <c r="S12" s="160"/>
    </row>
    <row r="13" ht="70.5" customHeight="1">
      <c r="A13" s="122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4" t="s">
        <v>2164</v>
      </c>
      <c r="O13" s="125"/>
      <c r="P13" s="125"/>
      <c r="Q13" s="125"/>
      <c r="R13" s="125"/>
      <c r="S13" s="126"/>
    </row>
    <row r="14" ht="52.5" customHeight="1">
      <c r="A14" s="122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9" t="s">
        <v>2165</v>
      </c>
      <c r="O14" s="130"/>
      <c r="P14" s="125"/>
      <c r="Q14" s="129" t="s">
        <v>1256</v>
      </c>
      <c r="R14" s="129" t="s">
        <v>2022</v>
      </c>
      <c r="S14" s="129" t="s">
        <v>2014</v>
      </c>
    </row>
    <row r="15" ht="52.5" customHeigh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31" t="s">
        <v>2166</v>
      </c>
      <c r="O15" s="132" t="s">
        <v>2167</v>
      </c>
      <c r="P15" s="133" t="s">
        <v>2168</v>
      </c>
      <c r="Q15" s="133" t="s">
        <v>2169</v>
      </c>
      <c r="R15" s="133" t="s">
        <v>2170</v>
      </c>
      <c r="S15" s="134" t="s">
        <v>2171</v>
      </c>
    </row>
    <row r="16" ht="52.5" customHeight="1">
      <c r="A16" s="122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31" t="s">
        <v>2172</v>
      </c>
      <c r="O16" s="161" t="s">
        <v>15</v>
      </c>
      <c r="P16" s="136"/>
      <c r="Q16" s="136"/>
      <c r="R16" s="137"/>
      <c r="S16" s="138"/>
    </row>
    <row r="17" ht="52.5" customHeight="1">
      <c r="A17" s="122" t="s">
        <v>2177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31" t="s">
        <v>2173</v>
      </c>
      <c r="O17" s="139">
        <v>0.0</v>
      </c>
      <c r="P17" s="140">
        <v>131.0</v>
      </c>
      <c r="Q17" s="141">
        <v>131.0</v>
      </c>
      <c r="R17" s="141">
        <v>8.0</v>
      </c>
      <c r="S17" s="142">
        <f t="shared" ref="S17:S18" si="3">Q17*R17</f>
        <v>1048</v>
      </c>
    </row>
    <row r="18" ht="52.5" customHeight="1">
      <c r="A18" s="162" t="s">
        <v>1256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31" t="s">
        <v>2174</v>
      </c>
      <c r="O18" s="143">
        <v>170.0</v>
      </c>
      <c r="P18" s="144">
        <v>177.0</v>
      </c>
      <c r="Q18" s="141">
        <v>7.0</v>
      </c>
      <c r="R18" s="141">
        <v>25.0</v>
      </c>
      <c r="S18" s="142">
        <f t="shared" si="3"/>
        <v>175</v>
      </c>
    </row>
    <row r="19" ht="52.5" customHeight="1" outlineLevel="1">
      <c r="A19" s="164" t="s">
        <v>1954</v>
      </c>
      <c r="B19" s="165" t="s">
        <v>1962</v>
      </c>
      <c r="C19" s="165" t="s">
        <v>1971</v>
      </c>
      <c r="D19" s="165" t="s">
        <v>1980</v>
      </c>
      <c r="E19" s="165" t="s">
        <v>1987</v>
      </c>
      <c r="F19" s="165" t="s">
        <v>1995</v>
      </c>
      <c r="G19" s="165" t="s">
        <v>2001</v>
      </c>
      <c r="H19" s="165" t="s">
        <v>2004</v>
      </c>
      <c r="I19" s="165" t="s">
        <v>2006</v>
      </c>
      <c r="J19" s="165" t="s">
        <v>2009</v>
      </c>
      <c r="K19" s="165" t="s">
        <v>2012</v>
      </c>
      <c r="L19" s="165" t="s">
        <v>2014</v>
      </c>
      <c r="M19" s="165" t="s">
        <v>2017</v>
      </c>
      <c r="N19" s="149" t="s">
        <v>2171</v>
      </c>
      <c r="O19" s="125"/>
      <c r="P19" s="125"/>
      <c r="Q19" s="125"/>
      <c r="R19" s="126"/>
      <c r="S19" s="150">
        <f>SUM(S16:S18)</f>
        <v>1223</v>
      </c>
    </row>
    <row r="20" ht="27.0" customHeight="1" outlineLevel="1">
      <c r="A20" s="166" t="s">
        <v>2178</v>
      </c>
      <c r="B20" s="167">
        <v>5217.0</v>
      </c>
      <c r="C20" s="167">
        <v>5294.0</v>
      </c>
      <c r="D20" s="167">
        <v>5418.0</v>
      </c>
      <c r="E20" s="167">
        <v>5580.0</v>
      </c>
      <c r="F20" s="168">
        <v>5756.0</v>
      </c>
      <c r="G20" s="167">
        <v>5889.0</v>
      </c>
      <c r="H20" s="167">
        <v>5990.0</v>
      </c>
      <c r="I20" s="163">
        <v>6099.0</v>
      </c>
      <c r="J20" s="163">
        <v>6214.0</v>
      </c>
      <c r="K20" s="163">
        <v>6351.0</v>
      </c>
      <c r="L20" s="123"/>
      <c r="M20" s="123"/>
      <c r="N20" s="151"/>
      <c r="O20" s="152"/>
      <c r="P20" s="152"/>
      <c r="Q20" s="152"/>
      <c r="R20" s="152"/>
      <c r="S20" s="153"/>
    </row>
    <row r="21" ht="27.0" customHeight="1" outlineLevel="1">
      <c r="A21" s="164" t="s">
        <v>2179</v>
      </c>
      <c r="B21" s="167">
        <v>151.0</v>
      </c>
      <c r="C21" s="167">
        <v>155.0</v>
      </c>
      <c r="D21" s="167">
        <v>158.0</v>
      </c>
      <c r="E21" s="167">
        <v>164.0</v>
      </c>
      <c r="F21" s="168">
        <v>168.0</v>
      </c>
      <c r="G21" s="167">
        <v>172.0</v>
      </c>
      <c r="H21" s="167">
        <v>176.0</v>
      </c>
      <c r="I21" s="163">
        <v>179.0</v>
      </c>
      <c r="J21" s="163">
        <v>183.0</v>
      </c>
      <c r="K21" s="163">
        <v>187.0</v>
      </c>
      <c r="L21" s="123"/>
      <c r="M21" s="123"/>
      <c r="N21" s="154"/>
      <c r="O21" s="155"/>
      <c r="P21" s="155"/>
      <c r="Q21" s="155"/>
      <c r="R21" s="155"/>
      <c r="S21" s="156"/>
    </row>
    <row r="22" ht="27.0" customHeight="1" outlineLevel="1">
      <c r="A22" s="164" t="s">
        <v>2180</v>
      </c>
      <c r="B22" s="163">
        <v>3500.0</v>
      </c>
      <c r="C22" s="163">
        <v>3500.0</v>
      </c>
      <c r="D22" s="163">
        <v>3500.0</v>
      </c>
      <c r="E22" s="163">
        <v>3500.0</v>
      </c>
      <c r="F22" s="163">
        <v>3500.0</v>
      </c>
      <c r="G22" s="163">
        <v>3500.0</v>
      </c>
      <c r="H22" s="163">
        <v>3500.0</v>
      </c>
      <c r="I22" s="163">
        <v>3500.0</v>
      </c>
      <c r="J22" s="163">
        <v>3500.0</v>
      </c>
      <c r="K22" s="163">
        <v>3500.0</v>
      </c>
      <c r="L22" s="123"/>
      <c r="M22" s="123"/>
      <c r="N22" s="157"/>
      <c r="O22" s="155"/>
      <c r="P22" s="155"/>
      <c r="Q22" s="155"/>
      <c r="R22" s="155"/>
      <c r="S22" s="156"/>
    </row>
    <row r="23" ht="27.0" customHeight="1" outlineLevel="1">
      <c r="A23" s="164" t="s">
        <v>2171</v>
      </c>
      <c r="J23" s="123"/>
      <c r="K23" s="163">
        <v>4696.0</v>
      </c>
      <c r="L23" s="123"/>
      <c r="M23" s="123"/>
      <c r="N23" s="158"/>
      <c r="O23" s="159"/>
      <c r="P23" s="159"/>
      <c r="Q23" s="159"/>
      <c r="R23" s="159"/>
      <c r="S23" s="160"/>
    </row>
    <row r="24">
      <c r="A24" s="169" t="s">
        <v>1343</v>
      </c>
      <c r="B24" s="163"/>
      <c r="C24" s="163"/>
      <c r="D24" s="123"/>
      <c r="E24" s="123"/>
      <c r="F24" s="123"/>
      <c r="G24" s="123"/>
      <c r="H24" s="123"/>
      <c r="I24" s="123"/>
      <c r="J24" s="123"/>
      <c r="K24" s="123"/>
      <c r="L24" s="123"/>
      <c r="M24" s="123"/>
    </row>
    <row r="25" outlineLevel="1">
      <c r="A25" s="170" t="s">
        <v>1954</v>
      </c>
      <c r="B25" s="171" t="s">
        <v>1962</v>
      </c>
      <c r="C25" s="171" t="s">
        <v>1971</v>
      </c>
      <c r="D25" s="171" t="s">
        <v>1980</v>
      </c>
      <c r="E25" s="171" t="s">
        <v>1987</v>
      </c>
      <c r="F25" s="171" t="s">
        <v>1995</v>
      </c>
      <c r="G25" s="171" t="s">
        <v>2001</v>
      </c>
      <c r="H25" s="171" t="s">
        <v>2004</v>
      </c>
      <c r="I25" s="171" t="s">
        <v>2006</v>
      </c>
      <c r="J25" s="171" t="s">
        <v>2009</v>
      </c>
      <c r="K25" s="171" t="s">
        <v>2012</v>
      </c>
      <c r="L25" s="171" t="s">
        <v>2014</v>
      </c>
      <c r="M25" s="171" t="s">
        <v>2017</v>
      </c>
      <c r="N25" s="123"/>
      <c r="O25" s="123"/>
      <c r="P25" s="123"/>
      <c r="Q25" s="123"/>
      <c r="R25" s="123"/>
      <c r="S25" s="123"/>
    </row>
    <row r="26" outlineLevel="1">
      <c r="A26" s="172" t="s">
        <v>2178</v>
      </c>
      <c r="B26" s="167">
        <v>7915.0</v>
      </c>
      <c r="C26" s="167">
        <v>8004.0</v>
      </c>
      <c r="D26" s="167">
        <v>8131.0</v>
      </c>
      <c r="E26" s="167">
        <v>8261.0</v>
      </c>
      <c r="F26" s="167">
        <v>8451.0</v>
      </c>
      <c r="G26" s="167">
        <v>8632.0</v>
      </c>
      <c r="H26" s="167">
        <v>8801.0</v>
      </c>
      <c r="I26" s="163">
        <v>8978.0</v>
      </c>
      <c r="J26" s="163">
        <v>9171.0</v>
      </c>
      <c r="K26" s="163">
        <v>9321.0</v>
      </c>
      <c r="L26" s="123"/>
      <c r="M26" s="123"/>
      <c r="N26" s="123"/>
      <c r="O26" s="123"/>
      <c r="P26" s="123"/>
      <c r="Q26" s="123"/>
      <c r="R26" s="123"/>
      <c r="S26" s="123"/>
    </row>
    <row r="27" outlineLevel="1">
      <c r="A27" s="170" t="s">
        <v>2179</v>
      </c>
      <c r="B27" s="167">
        <v>172.0</v>
      </c>
      <c r="C27" s="167">
        <v>176.0</v>
      </c>
      <c r="D27" s="167">
        <v>180.0</v>
      </c>
      <c r="E27" s="167">
        <v>184.0</v>
      </c>
      <c r="F27" s="167">
        <v>188.0</v>
      </c>
      <c r="G27" s="167">
        <v>192.0</v>
      </c>
      <c r="H27" s="167">
        <v>196.0</v>
      </c>
      <c r="I27" s="163">
        <v>201.0</v>
      </c>
      <c r="J27" s="163">
        <v>206.0</v>
      </c>
      <c r="K27" s="163">
        <v>210.0</v>
      </c>
      <c r="L27" s="123"/>
      <c r="M27" s="123"/>
      <c r="N27" s="123"/>
      <c r="O27" s="123"/>
      <c r="P27" s="123"/>
      <c r="Q27" s="123"/>
      <c r="R27" s="123"/>
      <c r="S27" s="123"/>
    </row>
    <row r="28" outlineLevel="1">
      <c r="A28" s="170" t="s">
        <v>2180</v>
      </c>
      <c r="B28" s="163">
        <v>3500.0</v>
      </c>
      <c r="C28" s="163">
        <v>3500.0</v>
      </c>
      <c r="D28" s="163">
        <v>3500.0</v>
      </c>
      <c r="E28" s="163">
        <v>3500.0</v>
      </c>
      <c r="F28" s="163">
        <v>3500.0</v>
      </c>
      <c r="G28" s="163">
        <v>3500.0</v>
      </c>
      <c r="H28" s="163">
        <v>3500.0</v>
      </c>
      <c r="I28" s="163">
        <v>3500.0</v>
      </c>
      <c r="J28" s="163">
        <v>3500.0</v>
      </c>
      <c r="K28" s="163">
        <v>3500.0</v>
      </c>
      <c r="L28" s="123"/>
      <c r="M28" s="123"/>
      <c r="N28" s="123"/>
      <c r="O28" s="123"/>
      <c r="P28" s="123"/>
      <c r="Q28" s="123"/>
      <c r="R28" s="123"/>
      <c r="S28" s="123"/>
    </row>
    <row r="29" outlineLevel="1">
      <c r="A29" s="170" t="s">
        <v>2171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63">
        <v>4800.0</v>
      </c>
      <c r="L29" s="123"/>
      <c r="M29" s="123"/>
      <c r="N29" s="123"/>
      <c r="O29" s="123"/>
      <c r="P29" s="123"/>
      <c r="Q29" s="123"/>
      <c r="R29" s="123"/>
      <c r="S29" s="123"/>
    </row>
    <row r="30">
      <c r="A30" s="173" t="s">
        <v>1347</v>
      </c>
      <c r="B30" s="163"/>
      <c r="C30" s="16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</row>
    <row r="31" outlineLevel="1">
      <c r="A31" s="174" t="s">
        <v>1954</v>
      </c>
      <c r="B31" s="175" t="s">
        <v>1962</v>
      </c>
      <c r="C31" s="175" t="s">
        <v>1971</v>
      </c>
      <c r="D31" s="175" t="s">
        <v>1980</v>
      </c>
      <c r="E31" s="175" t="s">
        <v>1987</v>
      </c>
      <c r="F31" s="175" t="s">
        <v>1995</v>
      </c>
      <c r="G31" s="175" t="s">
        <v>2001</v>
      </c>
      <c r="H31" s="175" t="s">
        <v>2004</v>
      </c>
      <c r="I31" s="175" t="s">
        <v>2006</v>
      </c>
      <c r="J31" s="175" t="s">
        <v>2009</v>
      </c>
      <c r="K31" s="175" t="s">
        <v>2012</v>
      </c>
      <c r="L31" s="175" t="s">
        <v>2014</v>
      </c>
      <c r="M31" s="175" t="s">
        <v>2017</v>
      </c>
      <c r="N31" s="175"/>
      <c r="Q31" s="175"/>
      <c r="R31" s="175"/>
      <c r="S31" s="175"/>
    </row>
    <row r="32" outlineLevel="1">
      <c r="A32" s="176" t="s">
        <v>2178</v>
      </c>
      <c r="B32" s="177"/>
      <c r="C32" s="177"/>
      <c r="D32" s="177"/>
      <c r="E32" s="177"/>
      <c r="F32" s="177"/>
      <c r="G32" s="177"/>
      <c r="H32" s="177"/>
      <c r="I32" s="177"/>
      <c r="J32" s="178">
        <v>9698.0</v>
      </c>
      <c r="K32" s="163">
        <v>9826.0</v>
      </c>
      <c r="L32" s="123"/>
      <c r="M32" s="123"/>
      <c r="N32" s="123"/>
      <c r="S32" s="123"/>
    </row>
    <row r="33" outlineLevel="1">
      <c r="A33" s="174" t="s">
        <v>2179</v>
      </c>
      <c r="B33" s="177"/>
      <c r="C33" s="177"/>
      <c r="D33" s="177"/>
      <c r="E33" s="177"/>
      <c r="F33" s="177"/>
      <c r="G33" s="177"/>
      <c r="H33" s="177"/>
      <c r="I33" s="177"/>
      <c r="J33" s="178">
        <v>300.0</v>
      </c>
      <c r="K33" s="163">
        <v>302.0</v>
      </c>
      <c r="L33" s="123"/>
      <c r="M33" s="123"/>
      <c r="N33" s="123"/>
      <c r="O33" s="123"/>
      <c r="P33" s="123"/>
      <c r="Q33" s="123"/>
      <c r="R33" s="123"/>
      <c r="S33" s="123"/>
    </row>
    <row r="34" outlineLevel="1">
      <c r="A34" s="174" t="s">
        <v>2180</v>
      </c>
      <c r="B34" s="179"/>
      <c r="C34" s="179"/>
      <c r="D34" s="179"/>
      <c r="E34" s="179"/>
      <c r="F34" s="179"/>
      <c r="G34" s="179"/>
      <c r="H34" s="179"/>
      <c r="I34" s="179"/>
      <c r="J34" s="178">
        <v>3500.0</v>
      </c>
      <c r="K34" s="163">
        <v>3500.0</v>
      </c>
      <c r="L34" s="163"/>
      <c r="M34" s="163"/>
      <c r="N34" s="163"/>
      <c r="O34" s="163"/>
      <c r="P34" s="163"/>
      <c r="Q34" s="163"/>
      <c r="R34" s="163"/>
      <c r="S34" s="163"/>
    </row>
    <row r="35" outlineLevel="1">
      <c r="A35" s="174" t="s">
        <v>2171</v>
      </c>
      <c r="B35" s="177"/>
      <c r="C35" s="177"/>
      <c r="D35" s="177"/>
      <c r="E35" s="177"/>
      <c r="F35" s="177"/>
      <c r="G35" s="177"/>
      <c r="H35" s="177"/>
      <c r="I35" s="177"/>
      <c r="J35" s="178" t="s">
        <v>2181</v>
      </c>
      <c r="K35" s="123"/>
      <c r="L35" s="123"/>
      <c r="M35" s="123"/>
      <c r="N35" s="123"/>
      <c r="O35" s="123"/>
      <c r="P35" s="123"/>
      <c r="Q35" s="123"/>
      <c r="R35" s="123"/>
      <c r="S35" s="123"/>
    </row>
    <row r="36">
      <c r="A36" s="180" t="s">
        <v>1362</v>
      </c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23"/>
      <c r="O36" s="123"/>
      <c r="P36" s="123"/>
      <c r="Q36" s="123"/>
      <c r="R36" s="123"/>
      <c r="S36" s="123"/>
    </row>
    <row r="37" outlineLevel="1">
      <c r="A37" s="182" t="s">
        <v>1954</v>
      </c>
      <c r="B37" s="183" t="s">
        <v>1962</v>
      </c>
      <c r="C37" s="183" t="s">
        <v>1971</v>
      </c>
      <c r="D37" s="183" t="s">
        <v>1980</v>
      </c>
      <c r="E37" s="183" t="s">
        <v>1987</v>
      </c>
      <c r="F37" s="183" t="s">
        <v>1995</v>
      </c>
      <c r="G37" s="183" t="s">
        <v>2001</v>
      </c>
      <c r="H37" s="183" t="s">
        <v>2004</v>
      </c>
      <c r="I37" s="183" t="s">
        <v>2006</v>
      </c>
      <c r="J37" s="183" t="s">
        <v>2009</v>
      </c>
      <c r="K37" s="183" t="s">
        <v>2012</v>
      </c>
      <c r="L37" s="183" t="s">
        <v>2014</v>
      </c>
      <c r="M37" s="183" t="s">
        <v>2017</v>
      </c>
      <c r="N37" s="183"/>
      <c r="O37" s="183"/>
      <c r="P37" s="183"/>
      <c r="Q37" s="183"/>
      <c r="R37" s="183"/>
      <c r="S37" s="183"/>
    </row>
    <row r="38" outlineLevel="1">
      <c r="A38" s="184" t="s">
        <v>2178</v>
      </c>
      <c r="B38" s="177"/>
      <c r="C38" s="177"/>
      <c r="D38" s="177"/>
      <c r="E38" s="177"/>
      <c r="F38" s="177"/>
      <c r="G38" s="177"/>
      <c r="H38" s="177"/>
      <c r="I38" s="178">
        <v>6340.0</v>
      </c>
      <c r="J38" s="163">
        <v>6511.0</v>
      </c>
      <c r="K38" s="163">
        <v>6690.0</v>
      </c>
      <c r="L38" s="123"/>
      <c r="M38" s="123"/>
      <c r="N38" s="123"/>
      <c r="O38" s="123"/>
      <c r="P38" s="123"/>
      <c r="Q38" s="123"/>
      <c r="R38" s="123"/>
      <c r="S38" s="123"/>
    </row>
    <row r="39" outlineLevel="1">
      <c r="A39" s="182" t="s">
        <v>2179</v>
      </c>
      <c r="B39" s="177"/>
      <c r="C39" s="177"/>
      <c r="D39" s="177"/>
      <c r="E39" s="177"/>
      <c r="F39" s="177"/>
      <c r="G39" s="177"/>
      <c r="H39" s="177"/>
      <c r="I39" s="178">
        <v>311.0</v>
      </c>
      <c r="J39" s="163">
        <v>314.0</v>
      </c>
      <c r="K39" s="163">
        <v>317.0</v>
      </c>
      <c r="L39" s="123"/>
      <c r="M39" s="123"/>
      <c r="N39" s="123"/>
      <c r="O39" s="123"/>
      <c r="P39" s="123"/>
      <c r="Q39" s="123"/>
      <c r="R39" s="123"/>
      <c r="S39" s="123"/>
    </row>
    <row r="40" outlineLevel="1">
      <c r="A40" s="182" t="s">
        <v>2180</v>
      </c>
      <c r="B40" s="177"/>
      <c r="C40" s="177"/>
      <c r="D40" s="177"/>
      <c r="E40" s="177"/>
      <c r="F40" s="177"/>
      <c r="G40" s="177"/>
      <c r="H40" s="177"/>
      <c r="I40" s="178">
        <v>3500.0</v>
      </c>
      <c r="J40" s="163">
        <v>3500.0</v>
      </c>
      <c r="K40" s="163">
        <v>3500.0</v>
      </c>
      <c r="L40" s="123"/>
      <c r="M40" s="123"/>
      <c r="N40" s="123"/>
      <c r="O40" s="123"/>
      <c r="P40" s="123"/>
      <c r="Q40" s="123"/>
      <c r="R40" s="123"/>
      <c r="S40" s="123"/>
    </row>
    <row r="41" outlineLevel="1">
      <c r="A41" s="182" t="s">
        <v>2171</v>
      </c>
      <c r="B41" s="177"/>
      <c r="C41" s="177"/>
      <c r="D41" s="177"/>
      <c r="E41" s="177"/>
      <c r="F41" s="177"/>
      <c r="G41" s="177"/>
      <c r="H41" s="177"/>
      <c r="I41" s="178" t="s">
        <v>2181</v>
      </c>
      <c r="J41" s="123"/>
      <c r="K41" s="163">
        <v>6370.0</v>
      </c>
      <c r="L41" s="123"/>
      <c r="M41" s="123"/>
      <c r="N41" s="123"/>
      <c r="O41" s="123"/>
      <c r="P41" s="123"/>
      <c r="Q41" s="123"/>
      <c r="R41" s="123"/>
      <c r="S41" s="123"/>
    </row>
    <row r="42" collapsed="1">
      <c r="A42" s="185" t="s">
        <v>1994</v>
      </c>
      <c r="B42" s="181"/>
      <c r="C42" s="181"/>
      <c r="D42" s="181"/>
      <c r="E42" s="181"/>
      <c r="F42" s="181"/>
      <c r="G42" s="181"/>
      <c r="H42" s="181"/>
      <c r="I42" s="181"/>
      <c r="J42" s="186" t="s">
        <v>2182</v>
      </c>
      <c r="K42" s="187">
        <v>25134.0</v>
      </c>
      <c r="L42" s="187"/>
      <c r="M42" s="181"/>
      <c r="N42" s="123"/>
      <c r="O42" s="123"/>
      <c r="P42" s="123"/>
      <c r="Q42" s="123"/>
      <c r="R42" s="123"/>
      <c r="S42" s="123"/>
    </row>
    <row r="43" hidden="1" outlineLevel="1">
      <c r="A43" s="188" t="s">
        <v>1954</v>
      </c>
      <c r="B43" s="189" t="s">
        <v>1962</v>
      </c>
      <c r="C43" s="189" t="s">
        <v>1971</v>
      </c>
      <c r="D43" s="189" t="s">
        <v>1980</v>
      </c>
      <c r="E43" s="189" t="s">
        <v>1987</v>
      </c>
      <c r="F43" s="189" t="s">
        <v>1995</v>
      </c>
      <c r="G43" s="189" t="s">
        <v>2001</v>
      </c>
      <c r="H43" s="189" t="s">
        <v>2004</v>
      </c>
      <c r="I43" s="189" t="s">
        <v>2006</v>
      </c>
      <c r="J43" s="189" t="s">
        <v>2009</v>
      </c>
      <c r="K43" s="189" t="s">
        <v>2012</v>
      </c>
      <c r="L43" s="189" t="s">
        <v>2014</v>
      </c>
      <c r="M43" s="189" t="s">
        <v>2017</v>
      </c>
      <c r="N43" s="189"/>
      <c r="O43" s="189"/>
      <c r="P43" s="189"/>
      <c r="Q43" s="189"/>
      <c r="R43" s="189"/>
      <c r="S43" s="189"/>
    </row>
    <row r="44" hidden="1" outlineLevel="1">
      <c r="A44" s="188" t="s">
        <v>2178</v>
      </c>
      <c r="B44" s="190"/>
      <c r="C44" s="190"/>
      <c r="D44" s="190"/>
      <c r="E44" s="190"/>
      <c r="F44" s="190"/>
      <c r="G44" s="190"/>
      <c r="H44" s="190"/>
      <c r="I44" s="190"/>
      <c r="J44" s="190"/>
      <c r="K44" s="191">
        <v>111.0</v>
      </c>
      <c r="L44" s="192"/>
      <c r="M44" s="192"/>
      <c r="N44" s="192"/>
      <c r="O44" s="192"/>
      <c r="P44" s="192"/>
      <c r="Q44" s="192"/>
      <c r="R44" s="192"/>
      <c r="S44" s="192"/>
    </row>
    <row r="45" hidden="1" outlineLevel="1">
      <c r="A45" s="188" t="s">
        <v>2179</v>
      </c>
      <c r="B45" s="190"/>
      <c r="C45" s="190"/>
      <c r="D45" s="190"/>
      <c r="E45" s="190"/>
      <c r="F45" s="190"/>
      <c r="G45" s="190"/>
      <c r="H45" s="190"/>
      <c r="I45" s="190"/>
      <c r="J45" s="190"/>
      <c r="K45" s="191">
        <v>752.0</v>
      </c>
      <c r="L45" s="192"/>
      <c r="M45" s="192"/>
      <c r="N45" s="192"/>
      <c r="O45" s="192"/>
      <c r="P45" s="192"/>
      <c r="Q45" s="192"/>
      <c r="R45" s="192"/>
      <c r="S45" s="192"/>
    </row>
    <row r="46" hidden="1" outlineLevel="1">
      <c r="A46" s="188" t="s">
        <v>2180</v>
      </c>
      <c r="B46" s="190"/>
      <c r="C46" s="190"/>
      <c r="D46" s="190"/>
      <c r="E46" s="190"/>
      <c r="F46" s="190"/>
      <c r="G46" s="190"/>
      <c r="H46" s="190"/>
      <c r="I46" s="190"/>
      <c r="J46" s="190"/>
      <c r="K46" s="193" t="s">
        <v>15</v>
      </c>
      <c r="L46" s="194">
        <v>7000.0</v>
      </c>
      <c r="M46" s="192"/>
      <c r="N46" s="192"/>
      <c r="O46" s="192"/>
      <c r="P46" s="192"/>
      <c r="Q46" s="192"/>
      <c r="R46" s="192"/>
      <c r="S46" s="192"/>
    </row>
    <row r="47" hidden="1" outlineLevel="1">
      <c r="A47" s="188" t="s">
        <v>2171</v>
      </c>
      <c r="B47" s="190"/>
      <c r="C47" s="190"/>
      <c r="D47" s="190"/>
      <c r="E47" s="190"/>
      <c r="F47" s="190"/>
      <c r="G47" s="190"/>
      <c r="H47" s="190"/>
      <c r="I47" s="190"/>
      <c r="J47" s="190"/>
      <c r="K47" s="193" t="s">
        <v>15</v>
      </c>
      <c r="L47" s="192"/>
      <c r="M47" s="192"/>
      <c r="N47" s="192"/>
      <c r="O47" s="192"/>
      <c r="P47" s="192"/>
      <c r="Q47" s="192"/>
      <c r="R47" s="192"/>
      <c r="S47" s="192"/>
    </row>
    <row r="48" collapsed="1">
      <c r="A48" s="195" t="s">
        <v>2000</v>
      </c>
      <c r="B48" s="181"/>
      <c r="C48" s="181"/>
      <c r="D48" s="181"/>
      <c r="E48" s="181"/>
      <c r="F48" s="181"/>
      <c r="G48" s="181"/>
      <c r="H48" s="181"/>
      <c r="I48" s="181"/>
      <c r="J48" s="181"/>
      <c r="K48" s="186" t="s">
        <v>2183</v>
      </c>
      <c r="L48" s="187">
        <v>25143.0</v>
      </c>
      <c r="M48" s="181"/>
      <c r="N48" s="123"/>
      <c r="O48" s="123"/>
      <c r="P48" s="123"/>
      <c r="Q48" s="123"/>
      <c r="R48" s="123"/>
      <c r="S48" s="123"/>
    </row>
    <row r="49" hidden="1" outlineLevel="1">
      <c r="A49" s="196" t="s">
        <v>1954</v>
      </c>
      <c r="B49" s="197" t="s">
        <v>1962</v>
      </c>
      <c r="C49" s="197" t="s">
        <v>1971</v>
      </c>
      <c r="D49" s="197" t="s">
        <v>1980</v>
      </c>
      <c r="E49" s="197" t="s">
        <v>1987</v>
      </c>
      <c r="F49" s="197" t="s">
        <v>1995</v>
      </c>
      <c r="G49" s="197" t="s">
        <v>2001</v>
      </c>
      <c r="H49" s="197" t="s">
        <v>2004</v>
      </c>
      <c r="I49" s="197" t="s">
        <v>2006</v>
      </c>
      <c r="J49" s="197" t="s">
        <v>2009</v>
      </c>
      <c r="K49" s="197" t="s">
        <v>2012</v>
      </c>
      <c r="L49" s="197" t="s">
        <v>2014</v>
      </c>
      <c r="M49" s="197" t="s">
        <v>2017</v>
      </c>
      <c r="N49" s="197"/>
      <c r="O49" s="197"/>
      <c r="P49" s="197"/>
      <c r="Q49" s="197"/>
      <c r="R49" s="197"/>
      <c r="S49" s="197"/>
    </row>
    <row r="50" hidden="1" outlineLevel="1">
      <c r="A50" s="196" t="s">
        <v>2178</v>
      </c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1">
        <v>1.0</v>
      </c>
      <c r="M50" s="192"/>
      <c r="N50" s="192"/>
      <c r="O50" s="192"/>
      <c r="P50" s="192"/>
      <c r="Q50" s="192"/>
      <c r="R50" s="192"/>
      <c r="S50" s="192"/>
    </row>
    <row r="51" hidden="1" outlineLevel="1">
      <c r="A51" s="196" t="s">
        <v>2179</v>
      </c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1">
        <v>170.0</v>
      </c>
      <c r="M51" s="192"/>
      <c r="N51" s="192"/>
      <c r="O51" s="192"/>
      <c r="P51" s="192"/>
      <c r="Q51" s="192"/>
      <c r="R51" s="192"/>
      <c r="S51" s="192"/>
    </row>
    <row r="52" hidden="1" outlineLevel="1">
      <c r="A52" s="196" t="s">
        <v>2180</v>
      </c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1" t="s">
        <v>15</v>
      </c>
      <c r="M52" s="194">
        <v>7000.0</v>
      </c>
      <c r="N52" s="192"/>
      <c r="O52" s="192"/>
      <c r="P52" s="192"/>
      <c r="Q52" s="192"/>
      <c r="R52" s="192"/>
      <c r="S52" s="192"/>
    </row>
    <row r="53" hidden="1" outlineLevel="1">
      <c r="A53" s="196" t="s">
        <v>2171</v>
      </c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1" t="s">
        <v>15</v>
      </c>
      <c r="M53" s="192"/>
      <c r="N53" s="192"/>
      <c r="O53" s="192"/>
      <c r="P53" s="192"/>
      <c r="Q53" s="192"/>
      <c r="R53" s="192"/>
      <c r="S53" s="192"/>
    </row>
  </sheetData>
  <mergeCells count="13">
    <mergeCell ref="O14:P14"/>
    <mergeCell ref="O16:R16"/>
    <mergeCell ref="N19:R19"/>
    <mergeCell ref="N20:N21"/>
    <mergeCell ref="N31:P31"/>
    <mergeCell ref="N32:R32"/>
    <mergeCell ref="N1:S1"/>
    <mergeCell ref="O2:P2"/>
    <mergeCell ref="O4:R4"/>
    <mergeCell ref="N7:P7"/>
    <mergeCell ref="N8:R8"/>
    <mergeCell ref="N9:N10"/>
    <mergeCell ref="N13:S13"/>
  </mergeCells>
  <dataValidations>
    <dataValidation type="list" allowBlank="1" showDropDown="1" showErrorMessage="1" sqref="Q2 Q14">
      <formula1>'⚙️ Config'!$L$2:$L$7</formula1>
    </dataValidation>
    <dataValidation type="list" allowBlank="1" showDropDown="1" showErrorMessage="1" sqref="S2 S14">
      <formula1>'⚙️ Config'!$N$2:$N$13</formula1>
    </dataValidation>
  </dataValidations>
  <printOptions horizontalCentered="1" verticalCentered="1"/>
  <pageMargins bottom="0.75" footer="0.0" header="0.0" left="0.7" right="0.7" top="0.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13"/>
    <col customWidth="1" min="4" max="4" width="10.75"/>
    <col customWidth="1" min="7" max="7" width="12.75"/>
    <col customWidth="1" min="8" max="8" width="49.88"/>
    <col customWidth="1" min="9" max="9" width="18.25"/>
    <col customWidth="1" min="10" max="10" width="10.13"/>
  </cols>
  <sheetData>
    <row r="1">
      <c r="A1" s="198" t="s">
        <v>2184</v>
      </c>
      <c r="B1" s="199">
        <v>244228.0</v>
      </c>
      <c r="C1" s="200">
        <v>61607.0</v>
      </c>
      <c r="D1" s="201">
        <v>45666.0</v>
      </c>
      <c r="E1" s="198" t="s">
        <v>2185</v>
      </c>
      <c r="F1" s="198" t="s">
        <v>18</v>
      </c>
      <c r="G1" s="198" t="s">
        <v>1939</v>
      </c>
      <c r="H1" s="198" t="s">
        <v>2027</v>
      </c>
      <c r="I1" s="198" t="s">
        <v>2027</v>
      </c>
      <c r="J1" s="198" t="s">
        <v>2027</v>
      </c>
      <c r="K1" s="198" t="s">
        <v>2027</v>
      </c>
      <c r="L1" s="198">
        <v>373.83</v>
      </c>
      <c r="M1" s="198">
        <v>26.17</v>
      </c>
      <c r="N1" s="198">
        <v>400.0</v>
      </c>
    </row>
    <row r="2">
      <c r="A2" s="198" t="s">
        <v>2186</v>
      </c>
      <c r="B2" s="199">
        <v>244228.0</v>
      </c>
      <c r="C2" s="200">
        <v>61607.0</v>
      </c>
      <c r="D2" s="201">
        <v>45697.0</v>
      </c>
      <c r="E2" s="198" t="s">
        <v>2187</v>
      </c>
      <c r="F2" s="198" t="s">
        <v>1347</v>
      </c>
      <c r="G2" s="198" t="s">
        <v>1939</v>
      </c>
      <c r="H2" s="198" t="s">
        <v>2027</v>
      </c>
      <c r="I2" s="198" t="s">
        <v>2027</v>
      </c>
      <c r="J2" s="198" t="s">
        <v>2027</v>
      </c>
      <c r="K2" s="198" t="s">
        <v>2027</v>
      </c>
      <c r="L2" s="198">
        <v>373.83</v>
      </c>
      <c r="M2" s="198">
        <v>26.17</v>
      </c>
      <c r="N2" s="198">
        <v>400.0</v>
      </c>
    </row>
    <row r="3">
      <c r="A3" s="198" t="s">
        <v>2188</v>
      </c>
      <c r="B3" s="199">
        <v>244228.0</v>
      </c>
      <c r="C3" s="200">
        <v>61607.0</v>
      </c>
      <c r="D3" s="201">
        <v>45725.0</v>
      </c>
      <c r="E3" s="198" t="s">
        <v>2189</v>
      </c>
      <c r="F3" s="198" t="s">
        <v>1945</v>
      </c>
      <c r="G3" s="198" t="s">
        <v>1939</v>
      </c>
      <c r="H3" s="198" t="s">
        <v>2027</v>
      </c>
      <c r="I3" s="198" t="s">
        <v>2027</v>
      </c>
      <c r="J3" s="198" t="s">
        <v>2027</v>
      </c>
      <c r="K3" s="198" t="s">
        <v>2027</v>
      </c>
      <c r="L3" s="198">
        <v>373.83</v>
      </c>
      <c r="M3" s="198">
        <v>26.17</v>
      </c>
      <c r="N3" s="198">
        <v>400.0</v>
      </c>
    </row>
    <row r="4">
      <c r="A4" s="198" t="s">
        <v>2190</v>
      </c>
      <c r="B4" s="199">
        <v>244258.0</v>
      </c>
      <c r="C4" s="200">
        <v>61607.0</v>
      </c>
      <c r="D4" s="198" t="s">
        <v>2191</v>
      </c>
      <c r="E4" s="198" t="s">
        <v>2187</v>
      </c>
      <c r="F4" s="198" t="s">
        <v>689</v>
      </c>
      <c r="G4" s="198" t="s">
        <v>1941</v>
      </c>
      <c r="H4" s="198" t="s">
        <v>2031</v>
      </c>
      <c r="I4" s="198">
        <v>1.46864771421E12</v>
      </c>
      <c r="J4" s="198">
        <v>9.48970725E8</v>
      </c>
      <c r="K4" s="198">
        <v>560.75</v>
      </c>
      <c r="L4" s="198">
        <v>39.25</v>
      </c>
      <c r="M4" s="198">
        <v>600.0</v>
      </c>
      <c r="N4" s="198"/>
    </row>
    <row r="5">
      <c r="A5" s="198" t="s">
        <v>2192</v>
      </c>
      <c r="B5" s="199">
        <v>244258.0</v>
      </c>
      <c r="C5" s="200">
        <v>61607.0</v>
      </c>
      <c r="D5" s="198" t="s">
        <v>2193</v>
      </c>
      <c r="E5" s="198" t="s">
        <v>2194</v>
      </c>
      <c r="F5" s="198" t="s">
        <v>88</v>
      </c>
      <c r="G5" s="198" t="s">
        <v>1939</v>
      </c>
      <c r="H5" s="198" t="s">
        <v>2027</v>
      </c>
      <c r="I5" s="198" t="s">
        <v>2027</v>
      </c>
      <c r="J5" s="198" t="s">
        <v>2027</v>
      </c>
      <c r="K5" s="198" t="s">
        <v>2027</v>
      </c>
      <c r="L5" s="198">
        <v>373.83</v>
      </c>
      <c r="M5" s="198">
        <v>26.17</v>
      </c>
      <c r="N5" s="198">
        <v>400.0</v>
      </c>
    </row>
    <row r="6">
      <c r="A6" s="198" t="s">
        <v>2195</v>
      </c>
      <c r="B6" s="199">
        <v>244258.0</v>
      </c>
      <c r="C6" s="200">
        <v>61607.0</v>
      </c>
      <c r="D6" s="198" t="s">
        <v>2196</v>
      </c>
      <c r="E6" s="198" t="s">
        <v>2197</v>
      </c>
      <c r="F6" s="198" t="s">
        <v>30</v>
      </c>
      <c r="G6" s="198" t="s">
        <v>1941</v>
      </c>
      <c r="H6" s="198" t="s">
        <v>2027</v>
      </c>
      <c r="I6" s="198" t="s">
        <v>2027</v>
      </c>
      <c r="J6" s="198" t="s">
        <v>2027</v>
      </c>
      <c r="K6" s="198" t="s">
        <v>2027</v>
      </c>
      <c r="L6" s="198">
        <v>467.29</v>
      </c>
      <c r="M6" s="198">
        <v>32.71</v>
      </c>
      <c r="N6" s="198">
        <v>500.0</v>
      </c>
    </row>
    <row r="7">
      <c r="A7" s="198" t="s">
        <v>2198</v>
      </c>
      <c r="B7" s="199">
        <v>244228.0</v>
      </c>
      <c r="C7" s="200">
        <v>61608.0</v>
      </c>
      <c r="D7" s="201">
        <v>45756.0</v>
      </c>
      <c r="E7" s="198" t="s">
        <v>2199</v>
      </c>
      <c r="F7" s="198" t="s">
        <v>454</v>
      </c>
      <c r="G7" s="198" t="s">
        <v>1941</v>
      </c>
      <c r="H7" s="198" t="s">
        <v>2027</v>
      </c>
      <c r="I7" s="198" t="s">
        <v>2027</v>
      </c>
      <c r="J7" s="198" t="s">
        <v>2027</v>
      </c>
      <c r="K7" s="198" t="s">
        <v>2027</v>
      </c>
      <c r="L7" s="198">
        <v>467.29</v>
      </c>
      <c r="M7" s="198">
        <v>32.71</v>
      </c>
      <c r="N7" s="198">
        <v>500.0</v>
      </c>
    </row>
    <row r="8">
      <c r="A8" s="198" t="s">
        <v>2200</v>
      </c>
      <c r="B8" s="199">
        <v>244228.0</v>
      </c>
      <c r="C8" s="200">
        <v>61608.0</v>
      </c>
      <c r="D8" s="201">
        <v>45786.0</v>
      </c>
      <c r="E8" s="198" t="s">
        <v>2201</v>
      </c>
      <c r="F8" s="198" t="s">
        <v>1343</v>
      </c>
      <c r="G8" s="198" t="s">
        <v>1939</v>
      </c>
      <c r="H8" s="198" t="s">
        <v>2027</v>
      </c>
      <c r="I8" s="198" t="s">
        <v>2027</v>
      </c>
      <c r="J8" s="198" t="s">
        <v>2027</v>
      </c>
      <c r="K8" s="198" t="s">
        <v>2027</v>
      </c>
      <c r="L8" s="198">
        <v>373.83</v>
      </c>
      <c r="M8" s="198">
        <v>26.17</v>
      </c>
      <c r="N8" s="198">
        <v>400.0</v>
      </c>
    </row>
    <row r="9">
      <c r="A9" s="198" t="s">
        <v>2202</v>
      </c>
      <c r="B9" s="199">
        <v>244228.0</v>
      </c>
      <c r="C9" s="200">
        <v>61608.0</v>
      </c>
      <c r="D9" s="201">
        <v>45817.0</v>
      </c>
      <c r="E9" s="198" t="s">
        <v>2203</v>
      </c>
      <c r="F9" s="198" t="s">
        <v>64</v>
      </c>
      <c r="G9" s="198" t="s">
        <v>1939</v>
      </c>
      <c r="H9" s="198" t="s">
        <v>2032</v>
      </c>
      <c r="I9" s="198">
        <v>1.46864771421E12</v>
      </c>
      <c r="J9" s="198">
        <v>9.48970725E8</v>
      </c>
      <c r="K9" s="198">
        <v>373.83</v>
      </c>
      <c r="L9" s="198">
        <v>26.17</v>
      </c>
      <c r="M9" s="198">
        <v>400.0</v>
      </c>
      <c r="N9" s="198"/>
    </row>
    <row r="10">
      <c r="A10" s="198" t="s">
        <v>2204</v>
      </c>
      <c r="B10" s="199">
        <v>244258.0</v>
      </c>
      <c r="C10" s="200">
        <v>61608.0</v>
      </c>
      <c r="D10" s="198" t="s">
        <v>2205</v>
      </c>
      <c r="E10" s="198" t="s">
        <v>2206</v>
      </c>
      <c r="F10" s="198" t="s">
        <v>18</v>
      </c>
      <c r="G10" s="198" t="s">
        <v>1939</v>
      </c>
      <c r="H10" s="198" t="s">
        <v>2027</v>
      </c>
      <c r="I10" s="198" t="s">
        <v>2027</v>
      </c>
      <c r="J10" s="198" t="s">
        <v>2027</v>
      </c>
      <c r="K10" s="198" t="s">
        <v>2027</v>
      </c>
      <c r="L10" s="198">
        <v>373.83</v>
      </c>
      <c r="M10" s="198">
        <v>26.17</v>
      </c>
      <c r="N10" s="198">
        <v>400.0</v>
      </c>
    </row>
    <row r="11">
      <c r="A11" s="198" t="s">
        <v>2207</v>
      </c>
      <c r="B11" s="199">
        <v>244258.0</v>
      </c>
      <c r="C11" s="200">
        <v>61608.0</v>
      </c>
      <c r="D11" s="198" t="s">
        <v>2208</v>
      </c>
      <c r="E11" s="198" t="s">
        <v>2209</v>
      </c>
      <c r="F11" s="198" t="s">
        <v>50</v>
      </c>
      <c r="G11" s="198" t="s">
        <v>1939</v>
      </c>
      <c r="H11" s="198" t="s">
        <v>2033</v>
      </c>
      <c r="I11" s="198">
        <v>1.46864771421E12</v>
      </c>
      <c r="J11" s="198">
        <v>9.48970725E8</v>
      </c>
      <c r="K11" s="198">
        <v>373.83</v>
      </c>
      <c r="L11" s="198">
        <v>26.17</v>
      </c>
      <c r="M11" s="198">
        <v>400.0</v>
      </c>
      <c r="N11" s="198"/>
    </row>
    <row r="12">
      <c r="A12" s="198" t="s">
        <v>2210</v>
      </c>
      <c r="B12" s="199">
        <v>244258.0</v>
      </c>
      <c r="C12" s="200">
        <v>61608.0</v>
      </c>
      <c r="D12" s="198" t="s">
        <v>2211</v>
      </c>
      <c r="E12" s="198" t="s">
        <v>2194</v>
      </c>
      <c r="F12" s="198" t="s">
        <v>46</v>
      </c>
      <c r="G12" s="198" t="s">
        <v>1939</v>
      </c>
      <c r="H12" s="198" t="s">
        <v>2027</v>
      </c>
      <c r="I12" s="198" t="s">
        <v>2027</v>
      </c>
      <c r="J12" s="198" t="s">
        <v>2027</v>
      </c>
      <c r="K12" s="198" t="s">
        <v>2027</v>
      </c>
      <c r="L12" s="198">
        <v>373.83</v>
      </c>
      <c r="M12" s="198">
        <v>26.17</v>
      </c>
      <c r="N12" s="198">
        <v>400.0</v>
      </c>
    </row>
    <row r="13">
      <c r="A13" s="198" t="s">
        <v>2212</v>
      </c>
      <c r="B13" s="199">
        <v>244228.0</v>
      </c>
      <c r="C13" s="200">
        <v>61609.0</v>
      </c>
      <c r="D13" s="201">
        <v>45847.0</v>
      </c>
      <c r="E13" s="198" t="s">
        <v>2209</v>
      </c>
      <c r="F13" s="198" t="s">
        <v>30</v>
      </c>
      <c r="G13" s="198" t="s">
        <v>1941</v>
      </c>
      <c r="H13" s="198" t="s">
        <v>2213</v>
      </c>
      <c r="I13" s="198">
        <v>2.537637841198E12</v>
      </c>
      <c r="J13" s="198">
        <v>8.77905813E8</v>
      </c>
      <c r="K13" s="198">
        <v>467.29</v>
      </c>
      <c r="L13" s="198">
        <v>32.71</v>
      </c>
      <c r="M13" s="198">
        <v>500.0</v>
      </c>
      <c r="N13" s="198"/>
    </row>
    <row r="14">
      <c r="A14" s="198" t="s">
        <v>2214</v>
      </c>
      <c r="B14" s="199">
        <v>244228.0</v>
      </c>
      <c r="C14" s="200">
        <v>61609.0</v>
      </c>
      <c r="D14" s="201">
        <v>45878.0</v>
      </c>
      <c r="E14" s="198" t="s">
        <v>2209</v>
      </c>
      <c r="F14" s="198" t="s">
        <v>18</v>
      </c>
      <c r="G14" s="198" t="s">
        <v>1939</v>
      </c>
      <c r="H14" s="198" t="s">
        <v>2215</v>
      </c>
      <c r="I14" s="198">
        <v>3.849318155985E12</v>
      </c>
      <c r="J14" s="198">
        <v>9.03334237E8</v>
      </c>
      <c r="K14" s="198">
        <v>373.83</v>
      </c>
      <c r="L14" s="198">
        <v>26.17</v>
      </c>
      <c r="M14" s="198">
        <v>400.0</v>
      </c>
      <c r="N14" s="198"/>
    </row>
    <row r="15">
      <c r="A15" s="198" t="s">
        <v>2216</v>
      </c>
      <c r="B15" s="199">
        <v>244258.0</v>
      </c>
      <c r="C15" s="200">
        <v>61609.0</v>
      </c>
      <c r="D15" s="198" t="s">
        <v>2217</v>
      </c>
      <c r="E15" s="198" t="s">
        <v>2218</v>
      </c>
      <c r="F15" s="198" t="s">
        <v>133</v>
      </c>
      <c r="G15" s="198" t="s">
        <v>1939</v>
      </c>
      <c r="H15" s="198" t="s">
        <v>2219</v>
      </c>
      <c r="I15" s="198">
        <v>1.68128470503E12</v>
      </c>
      <c r="J15" s="198">
        <v>9.17634346E8</v>
      </c>
      <c r="K15" s="198">
        <v>467.29</v>
      </c>
      <c r="L15" s="198">
        <v>32.71</v>
      </c>
      <c r="M15" s="198">
        <v>500.0</v>
      </c>
      <c r="N15" s="198"/>
    </row>
    <row r="16">
      <c r="A16" s="198" t="s">
        <v>2220</v>
      </c>
      <c r="B16" s="199">
        <v>244258.0</v>
      </c>
      <c r="C16" s="200">
        <v>61609.0</v>
      </c>
      <c r="D16" s="198" t="s">
        <v>2221</v>
      </c>
      <c r="E16" s="198" t="s">
        <v>2187</v>
      </c>
      <c r="F16" s="198" t="s">
        <v>689</v>
      </c>
      <c r="G16" s="198" t="s">
        <v>1941</v>
      </c>
      <c r="H16" s="198" t="s">
        <v>2031</v>
      </c>
      <c r="I16" s="198">
        <v>1.46864771421E12</v>
      </c>
      <c r="J16" s="198">
        <v>9.48970725E8</v>
      </c>
      <c r="K16" s="198">
        <v>560.75</v>
      </c>
      <c r="L16" s="198">
        <v>39.25</v>
      </c>
      <c r="M16" s="198">
        <v>600.0</v>
      </c>
      <c r="N16" s="198"/>
    </row>
    <row r="17">
      <c r="A17" s="198" t="s">
        <v>2222</v>
      </c>
      <c r="B17" s="199">
        <v>244228.0</v>
      </c>
      <c r="C17" s="200">
        <v>61610.0</v>
      </c>
      <c r="D17" s="201">
        <v>45909.0</v>
      </c>
      <c r="E17" s="198" t="s">
        <v>2223</v>
      </c>
      <c r="F17" s="198" t="s">
        <v>30</v>
      </c>
      <c r="G17" s="198" t="s">
        <v>1941</v>
      </c>
      <c r="H17" s="198" t="s">
        <v>2027</v>
      </c>
      <c r="I17" s="198" t="s">
        <v>2027</v>
      </c>
      <c r="J17" s="198" t="s">
        <v>2027</v>
      </c>
      <c r="K17" s="198" t="s">
        <v>2027</v>
      </c>
      <c r="L17" s="198">
        <v>467.29</v>
      </c>
      <c r="M17" s="198">
        <v>32.71</v>
      </c>
      <c r="N17" s="198">
        <v>500.0</v>
      </c>
    </row>
    <row r="18">
      <c r="A18" s="198" t="s">
        <v>2224</v>
      </c>
      <c r="B18" s="199">
        <v>244228.0</v>
      </c>
      <c r="C18" s="200">
        <v>61610.0</v>
      </c>
      <c r="D18" s="201">
        <v>45939.0</v>
      </c>
      <c r="E18" s="198" t="s">
        <v>2225</v>
      </c>
      <c r="F18" s="198" t="s">
        <v>18</v>
      </c>
      <c r="G18" s="198" t="s">
        <v>1939</v>
      </c>
      <c r="H18" s="198" t="s">
        <v>2027</v>
      </c>
      <c r="I18" s="198" t="s">
        <v>2027</v>
      </c>
      <c r="J18" s="198" t="s">
        <v>2027</v>
      </c>
      <c r="K18" s="198" t="s">
        <v>2027</v>
      </c>
      <c r="L18" s="198">
        <v>373.83</v>
      </c>
      <c r="M18" s="198">
        <v>26.17</v>
      </c>
      <c r="N18" s="198">
        <v>400.0</v>
      </c>
    </row>
    <row r="19">
      <c r="A19" s="198" t="s">
        <v>2226</v>
      </c>
      <c r="B19" s="199">
        <v>244228.0</v>
      </c>
      <c r="C19" s="200">
        <v>61610.0</v>
      </c>
      <c r="D19" s="201">
        <v>45970.0</v>
      </c>
      <c r="E19" s="198" t="s">
        <v>2227</v>
      </c>
      <c r="F19" s="198" t="s">
        <v>50</v>
      </c>
      <c r="G19" s="198" t="s">
        <v>1939</v>
      </c>
      <c r="H19" s="198" t="s">
        <v>2228</v>
      </c>
      <c r="I19" s="198">
        <v>8.515560195513E12</v>
      </c>
      <c r="J19" s="198">
        <v>9.17242125E8</v>
      </c>
      <c r="K19" s="198">
        <v>373.83</v>
      </c>
      <c r="L19" s="198">
        <v>26.17</v>
      </c>
      <c r="M19" s="198">
        <v>400.0</v>
      </c>
      <c r="N19" s="198"/>
    </row>
    <row r="20">
      <c r="A20" s="198" t="s">
        <v>2229</v>
      </c>
      <c r="B20" s="199">
        <v>244258.0</v>
      </c>
      <c r="C20" s="200">
        <v>61610.0</v>
      </c>
      <c r="D20" s="198" t="s">
        <v>2230</v>
      </c>
      <c r="E20" s="198" t="s">
        <v>2194</v>
      </c>
      <c r="F20" s="198" t="s">
        <v>88</v>
      </c>
      <c r="G20" s="198" t="s">
        <v>1939</v>
      </c>
      <c r="H20" s="198" t="s">
        <v>2027</v>
      </c>
      <c r="I20" s="198" t="s">
        <v>2027</v>
      </c>
      <c r="J20" s="198" t="s">
        <v>2027</v>
      </c>
      <c r="K20" s="198" t="s">
        <v>2027</v>
      </c>
      <c r="L20" s="198">
        <v>373.83</v>
      </c>
      <c r="M20" s="198">
        <v>26.17</v>
      </c>
      <c r="N20" s="198">
        <v>400.0</v>
      </c>
    </row>
    <row r="21">
      <c r="A21" s="198" t="s">
        <v>2231</v>
      </c>
      <c r="B21" s="199">
        <v>244258.0</v>
      </c>
      <c r="C21" s="200">
        <v>61610.0</v>
      </c>
      <c r="D21" s="198" t="s">
        <v>2232</v>
      </c>
      <c r="E21" s="198" t="s">
        <v>2197</v>
      </c>
      <c r="F21" s="198" t="s">
        <v>30</v>
      </c>
      <c r="G21" s="198" t="s">
        <v>1941</v>
      </c>
      <c r="H21" s="198" t="s">
        <v>2027</v>
      </c>
      <c r="I21" s="198" t="s">
        <v>2027</v>
      </c>
      <c r="J21" s="198" t="s">
        <v>2027</v>
      </c>
      <c r="K21" s="198" t="s">
        <v>2027</v>
      </c>
      <c r="L21" s="198">
        <v>467.29</v>
      </c>
      <c r="M21" s="198">
        <v>32.71</v>
      </c>
      <c r="N21" s="198">
        <v>500.0</v>
      </c>
    </row>
    <row r="22">
      <c r="A22" s="198" t="s">
        <v>2233</v>
      </c>
      <c r="B22" s="199">
        <v>244258.0</v>
      </c>
      <c r="C22" s="200">
        <v>61610.0</v>
      </c>
      <c r="D22" s="198" t="s">
        <v>2234</v>
      </c>
      <c r="E22" s="198" t="s">
        <v>2206</v>
      </c>
      <c r="F22" s="198" t="s">
        <v>18</v>
      </c>
      <c r="G22" s="198" t="s">
        <v>1939</v>
      </c>
      <c r="H22" s="198" t="s">
        <v>2027</v>
      </c>
      <c r="I22" s="198" t="s">
        <v>2027</v>
      </c>
      <c r="J22" s="198" t="s">
        <v>2027</v>
      </c>
      <c r="K22" s="198" t="s">
        <v>2027</v>
      </c>
      <c r="L22" s="198">
        <v>373.83</v>
      </c>
      <c r="M22" s="198">
        <v>26.17</v>
      </c>
      <c r="N22" s="198">
        <v>400.0</v>
      </c>
    </row>
    <row r="23">
      <c r="A23" s="198" t="s">
        <v>2235</v>
      </c>
      <c r="B23" s="199">
        <v>244228.0</v>
      </c>
      <c r="C23" s="200">
        <v>61611.0</v>
      </c>
      <c r="D23" s="201">
        <v>46000.0</v>
      </c>
      <c r="E23" s="198" t="s">
        <v>2187</v>
      </c>
      <c r="F23" s="198" t="s">
        <v>144</v>
      </c>
      <c r="G23" s="198" t="s">
        <v>1939</v>
      </c>
      <c r="H23" s="198" t="s">
        <v>2027</v>
      </c>
      <c r="I23" s="198" t="s">
        <v>2027</v>
      </c>
      <c r="J23" s="198" t="s">
        <v>2027</v>
      </c>
      <c r="K23" s="198" t="s">
        <v>2027</v>
      </c>
      <c r="L23" s="198">
        <v>467.29</v>
      </c>
      <c r="M23" s="198">
        <v>32.71</v>
      </c>
      <c r="N23" s="198">
        <v>500.0</v>
      </c>
    </row>
    <row r="24">
      <c r="A24" s="198" t="s">
        <v>2236</v>
      </c>
      <c r="B24" s="199">
        <v>244228.0</v>
      </c>
      <c r="C24" s="200">
        <v>61611.0</v>
      </c>
      <c r="D24" s="198" t="s">
        <v>2237</v>
      </c>
      <c r="E24" s="198" t="s">
        <v>2238</v>
      </c>
      <c r="F24" s="198" t="s">
        <v>1943</v>
      </c>
      <c r="G24" s="198" t="s">
        <v>1939</v>
      </c>
      <c r="H24" s="198" t="s">
        <v>2239</v>
      </c>
      <c r="I24" s="198">
        <v>1.397022206461E12</v>
      </c>
      <c r="J24" s="198">
        <v>9.34661876E8</v>
      </c>
      <c r="K24" s="198">
        <v>373.83</v>
      </c>
      <c r="L24" s="198">
        <v>26.17</v>
      </c>
      <c r="M24" s="198">
        <v>400.0</v>
      </c>
      <c r="N24" s="198"/>
    </row>
    <row r="25">
      <c r="A25" s="198" t="s">
        <v>2240</v>
      </c>
      <c r="B25" s="199">
        <v>244228.0</v>
      </c>
      <c r="C25" s="200">
        <v>61611.0</v>
      </c>
      <c r="D25" s="198" t="s">
        <v>2241</v>
      </c>
      <c r="E25" s="198" t="s">
        <v>2242</v>
      </c>
      <c r="F25" s="198" t="s">
        <v>18</v>
      </c>
      <c r="G25" s="198" t="s">
        <v>1939</v>
      </c>
      <c r="H25" s="198" t="s">
        <v>2027</v>
      </c>
      <c r="I25" s="198" t="s">
        <v>2027</v>
      </c>
      <c r="J25" s="198" t="s">
        <v>2027</v>
      </c>
      <c r="K25" s="198" t="s">
        <v>2027</v>
      </c>
      <c r="L25" s="198">
        <v>373.83</v>
      </c>
      <c r="M25" s="198">
        <v>26.17</v>
      </c>
      <c r="N25" s="198">
        <v>400.0</v>
      </c>
    </row>
    <row r="26">
      <c r="A26" s="198" t="s">
        <v>2243</v>
      </c>
      <c r="B26" s="199">
        <v>244258.0</v>
      </c>
      <c r="C26" s="200">
        <v>61611.0</v>
      </c>
      <c r="D26" s="198" t="s">
        <v>2244</v>
      </c>
      <c r="E26" s="198" t="s">
        <v>2209</v>
      </c>
      <c r="F26" s="198" t="s">
        <v>50</v>
      </c>
      <c r="G26" s="198" t="s">
        <v>1939</v>
      </c>
      <c r="H26" s="198" t="s">
        <v>2033</v>
      </c>
      <c r="I26" s="198">
        <v>1.46864771421E12</v>
      </c>
      <c r="J26" s="198">
        <v>9.48970725E8</v>
      </c>
      <c r="K26" s="198">
        <v>373.83</v>
      </c>
      <c r="L26" s="198">
        <v>26.17</v>
      </c>
      <c r="M26" s="198">
        <v>400.0</v>
      </c>
      <c r="N26" s="198"/>
    </row>
    <row r="27">
      <c r="A27" s="198" t="s">
        <v>2245</v>
      </c>
      <c r="B27" s="199">
        <v>244258.0</v>
      </c>
      <c r="C27" s="200">
        <v>61611.0</v>
      </c>
      <c r="D27" s="198" t="s">
        <v>2246</v>
      </c>
      <c r="E27" s="198" t="s">
        <v>2194</v>
      </c>
      <c r="F27" s="198" t="s">
        <v>46</v>
      </c>
      <c r="G27" s="198" t="s">
        <v>1939</v>
      </c>
      <c r="H27" s="198" t="s">
        <v>2027</v>
      </c>
      <c r="I27" s="198" t="s">
        <v>2027</v>
      </c>
      <c r="J27" s="198" t="s">
        <v>2027</v>
      </c>
      <c r="K27" s="198" t="s">
        <v>2027</v>
      </c>
      <c r="L27" s="198">
        <v>373.83</v>
      </c>
      <c r="M27" s="198">
        <v>26.17</v>
      </c>
      <c r="N27" s="198">
        <v>400.0</v>
      </c>
    </row>
    <row r="28">
      <c r="A28" s="198" t="s">
        <v>2247</v>
      </c>
      <c r="B28" s="199">
        <v>244258.0</v>
      </c>
      <c r="C28" s="200">
        <v>61611.0</v>
      </c>
      <c r="D28" s="198" t="s">
        <v>2248</v>
      </c>
      <c r="E28" s="198" t="s">
        <v>2218</v>
      </c>
      <c r="F28" s="198" t="s">
        <v>133</v>
      </c>
      <c r="G28" s="198" t="s">
        <v>1939</v>
      </c>
      <c r="H28" s="198" t="s">
        <v>2219</v>
      </c>
      <c r="I28" s="198">
        <v>1.68128470503E12</v>
      </c>
      <c r="J28" s="198">
        <v>9.17634346E8</v>
      </c>
      <c r="K28" s="198">
        <v>467.29</v>
      </c>
      <c r="L28" s="198">
        <v>32.71</v>
      </c>
      <c r="M28" s="198">
        <v>500.0</v>
      </c>
      <c r="N28" s="198"/>
    </row>
    <row r="29">
      <c r="A29" s="198" t="s">
        <v>2249</v>
      </c>
      <c r="B29" s="199">
        <v>244228.0</v>
      </c>
      <c r="C29" s="200">
        <v>61612.0</v>
      </c>
      <c r="D29" s="198" t="s">
        <v>2250</v>
      </c>
      <c r="E29" s="198" t="s">
        <v>2251</v>
      </c>
      <c r="F29" s="198" t="s">
        <v>689</v>
      </c>
      <c r="G29" s="198" t="s">
        <v>1941</v>
      </c>
      <c r="H29" s="198" t="s">
        <v>2252</v>
      </c>
      <c r="I29" s="198">
        <v>8.137277764951E12</v>
      </c>
      <c r="J29" s="198">
        <v>9.15905971E8</v>
      </c>
      <c r="K29" s="198">
        <v>560.75</v>
      </c>
      <c r="L29" s="198">
        <v>39.25</v>
      </c>
      <c r="M29" s="198">
        <v>600.0</v>
      </c>
      <c r="N29" s="198"/>
    </row>
    <row r="30">
      <c r="A30" s="198" t="s">
        <v>2253</v>
      </c>
      <c r="B30" s="199">
        <v>244228.0</v>
      </c>
      <c r="C30" s="200">
        <v>61612.0</v>
      </c>
      <c r="D30" s="198" t="s">
        <v>2254</v>
      </c>
      <c r="E30" s="198" t="s">
        <v>2251</v>
      </c>
      <c r="F30" s="198" t="s">
        <v>18</v>
      </c>
      <c r="G30" s="198" t="s">
        <v>1939</v>
      </c>
      <c r="H30" s="198" t="s">
        <v>2027</v>
      </c>
      <c r="I30" s="198" t="s">
        <v>2027</v>
      </c>
      <c r="J30" s="198" t="s">
        <v>2027</v>
      </c>
      <c r="K30" s="198" t="s">
        <v>2027</v>
      </c>
      <c r="L30" s="198">
        <v>373.83</v>
      </c>
      <c r="M30" s="198">
        <v>26.17</v>
      </c>
      <c r="N30" s="198">
        <v>400.0</v>
      </c>
    </row>
    <row r="31">
      <c r="A31" s="198" t="s">
        <v>2255</v>
      </c>
      <c r="B31" s="199">
        <v>244228.0</v>
      </c>
      <c r="C31" s="200">
        <v>61612.0</v>
      </c>
      <c r="D31" s="198" t="s">
        <v>2256</v>
      </c>
      <c r="E31" s="198" t="s">
        <v>2257</v>
      </c>
      <c r="F31" s="198" t="s">
        <v>144</v>
      </c>
      <c r="G31" s="198" t="s">
        <v>1939</v>
      </c>
      <c r="H31" s="198" t="s">
        <v>2027</v>
      </c>
      <c r="I31" s="198" t="s">
        <v>2027</v>
      </c>
      <c r="J31" s="198" t="s">
        <v>2027</v>
      </c>
      <c r="K31" s="198" t="s">
        <v>2027</v>
      </c>
      <c r="L31" s="198">
        <v>467.29</v>
      </c>
      <c r="M31" s="198">
        <v>32.71</v>
      </c>
      <c r="N31" s="198">
        <v>500.0</v>
      </c>
    </row>
    <row r="32">
      <c r="A32" s="198" t="s">
        <v>2258</v>
      </c>
      <c r="B32" s="199">
        <v>244258.0</v>
      </c>
      <c r="C32" s="200">
        <v>61612.0</v>
      </c>
      <c r="D32" s="198" t="s">
        <v>2259</v>
      </c>
      <c r="E32" s="198" t="s">
        <v>2187</v>
      </c>
      <c r="F32" s="198" t="s">
        <v>689</v>
      </c>
      <c r="G32" s="198" t="s">
        <v>1941</v>
      </c>
      <c r="H32" s="198" t="s">
        <v>2031</v>
      </c>
      <c r="I32" s="198">
        <v>1.46864771421E12</v>
      </c>
      <c r="J32" s="198">
        <v>9.48970725E8</v>
      </c>
      <c r="K32" s="198">
        <v>560.75</v>
      </c>
      <c r="L32" s="198">
        <v>39.25</v>
      </c>
      <c r="M32" s="198">
        <v>600.0</v>
      </c>
      <c r="N32" s="198"/>
    </row>
    <row r="33">
      <c r="A33" s="198" t="s">
        <v>2260</v>
      </c>
      <c r="B33" s="199">
        <v>244258.0</v>
      </c>
      <c r="C33" s="200">
        <v>61612.0</v>
      </c>
      <c r="D33" s="198" t="s">
        <v>2261</v>
      </c>
      <c r="E33" s="198" t="s">
        <v>2194</v>
      </c>
      <c r="F33" s="198" t="s">
        <v>88</v>
      </c>
      <c r="G33" s="198" t="s">
        <v>1939</v>
      </c>
      <c r="H33" s="198" t="s">
        <v>2027</v>
      </c>
      <c r="I33" s="198" t="s">
        <v>2027</v>
      </c>
      <c r="J33" s="198" t="s">
        <v>2027</v>
      </c>
      <c r="K33" s="198" t="s">
        <v>2027</v>
      </c>
      <c r="L33" s="198">
        <v>373.83</v>
      </c>
      <c r="M33" s="198">
        <v>26.17</v>
      </c>
      <c r="N33" s="198">
        <v>400.0</v>
      </c>
    </row>
    <row r="34">
      <c r="A34" s="198" t="s">
        <v>2262</v>
      </c>
      <c r="B34" s="199">
        <v>244258.0</v>
      </c>
      <c r="C34" s="200">
        <v>61612.0</v>
      </c>
      <c r="D34" s="198" t="s">
        <v>2263</v>
      </c>
      <c r="E34" s="198" t="s">
        <v>2197</v>
      </c>
      <c r="F34" s="198" t="s">
        <v>30</v>
      </c>
      <c r="G34" s="198" t="s">
        <v>1941</v>
      </c>
      <c r="H34" s="198" t="s">
        <v>2027</v>
      </c>
      <c r="I34" s="198" t="s">
        <v>2027</v>
      </c>
      <c r="J34" s="198" t="s">
        <v>2027</v>
      </c>
      <c r="K34" s="198" t="s">
        <v>2027</v>
      </c>
      <c r="L34" s="198">
        <v>467.29</v>
      </c>
      <c r="M34" s="198">
        <v>32.71</v>
      </c>
      <c r="N34" s="198">
        <v>500.0</v>
      </c>
    </row>
    <row r="35">
      <c r="A35" s="198" t="s">
        <v>2264</v>
      </c>
      <c r="B35" s="199">
        <v>244228.0</v>
      </c>
      <c r="C35" s="200">
        <v>61613.0</v>
      </c>
      <c r="D35" s="198" t="s">
        <v>2265</v>
      </c>
      <c r="E35" s="198" t="s">
        <v>2197</v>
      </c>
      <c r="F35" s="198" t="s">
        <v>600</v>
      </c>
      <c r="G35" s="198" t="s">
        <v>1939</v>
      </c>
      <c r="H35" s="198" t="s">
        <v>2266</v>
      </c>
      <c r="I35" s="198">
        <v>1.68128470503E12</v>
      </c>
      <c r="J35" s="198">
        <v>9.17634346E8</v>
      </c>
      <c r="K35" s="198">
        <v>373.83</v>
      </c>
      <c r="L35" s="198">
        <v>26.17</v>
      </c>
      <c r="M35" s="198">
        <v>400.0</v>
      </c>
      <c r="N35" s="198"/>
    </row>
    <row r="36">
      <c r="A36" s="198" t="s">
        <v>2267</v>
      </c>
      <c r="B36" s="199">
        <v>244228.0</v>
      </c>
      <c r="C36" s="200">
        <v>61613.0</v>
      </c>
      <c r="D36" s="198" t="s">
        <v>2268</v>
      </c>
      <c r="E36" s="198" t="s">
        <v>2269</v>
      </c>
      <c r="F36" s="198" t="s">
        <v>30</v>
      </c>
      <c r="G36" s="198" t="s">
        <v>1941</v>
      </c>
      <c r="H36" s="198" t="s">
        <v>2270</v>
      </c>
      <c r="I36" s="198">
        <v>3.298150495834E12</v>
      </c>
      <c r="J36" s="198">
        <v>8.99013098E8</v>
      </c>
      <c r="K36" s="198">
        <v>467.29</v>
      </c>
      <c r="L36" s="198">
        <v>32.71</v>
      </c>
      <c r="M36" s="198">
        <v>500.0</v>
      </c>
      <c r="N36" s="198"/>
    </row>
    <row r="37">
      <c r="A37" s="198" t="s">
        <v>2271</v>
      </c>
      <c r="B37" s="199">
        <v>244228.0</v>
      </c>
      <c r="C37" s="200">
        <v>61613.0</v>
      </c>
      <c r="D37" s="198" t="s">
        <v>2272</v>
      </c>
      <c r="E37" s="198" t="s">
        <v>2273</v>
      </c>
      <c r="F37" s="198" t="s">
        <v>454</v>
      </c>
      <c r="G37" s="198" t="s">
        <v>1941</v>
      </c>
      <c r="H37" s="198" t="s">
        <v>2027</v>
      </c>
      <c r="I37" s="198" t="s">
        <v>2027</v>
      </c>
      <c r="J37" s="198" t="s">
        <v>2027</v>
      </c>
      <c r="K37" s="198" t="s">
        <v>2027</v>
      </c>
      <c r="L37" s="198">
        <v>467.29</v>
      </c>
      <c r="M37" s="198">
        <v>32.71</v>
      </c>
      <c r="N37" s="198">
        <v>500.0</v>
      </c>
    </row>
    <row r="38">
      <c r="A38" s="198" t="s">
        <v>2274</v>
      </c>
      <c r="B38" s="199">
        <v>244258.0</v>
      </c>
      <c r="C38" s="200">
        <v>61613.0</v>
      </c>
      <c r="D38" s="198" t="s">
        <v>2275</v>
      </c>
      <c r="E38" s="198" t="s">
        <v>2206</v>
      </c>
      <c r="F38" s="198" t="s">
        <v>18</v>
      </c>
      <c r="G38" s="198" t="s">
        <v>1939</v>
      </c>
      <c r="H38" s="198" t="s">
        <v>2027</v>
      </c>
      <c r="I38" s="198" t="s">
        <v>2027</v>
      </c>
      <c r="J38" s="198" t="s">
        <v>2027</v>
      </c>
      <c r="K38" s="198" t="s">
        <v>2027</v>
      </c>
      <c r="L38" s="198">
        <v>373.83</v>
      </c>
      <c r="M38" s="198">
        <v>26.17</v>
      </c>
      <c r="N38" s="198">
        <v>400.0</v>
      </c>
    </row>
    <row r="39">
      <c r="A39" s="198" t="s">
        <v>2276</v>
      </c>
      <c r="B39" s="199">
        <v>244258.0</v>
      </c>
      <c r="C39" s="200">
        <v>61613.0</v>
      </c>
      <c r="D39" s="198" t="s">
        <v>2277</v>
      </c>
      <c r="E39" s="198" t="s">
        <v>2209</v>
      </c>
      <c r="F39" s="198" t="s">
        <v>50</v>
      </c>
      <c r="G39" s="198" t="s">
        <v>1939</v>
      </c>
      <c r="H39" s="198" t="s">
        <v>2033</v>
      </c>
      <c r="I39" s="198">
        <v>1.46864771421E12</v>
      </c>
      <c r="J39" s="198">
        <v>9.48970725E8</v>
      </c>
      <c r="K39" s="198">
        <v>373.83</v>
      </c>
      <c r="L39" s="198">
        <v>26.17</v>
      </c>
      <c r="M39" s="198">
        <v>400.0</v>
      </c>
      <c r="N39" s="198"/>
    </row>
    <row r="40">
      <c r="A40" s="198" t="s">
        <v>2278</v>
      </c>
      <c r="B40" s="199">
        <v>244258.0</v>
      </c>
      <c r="C40" s="200">
        <v>61613.0</v>
      </c>
      <c r="D40" s="198" t="s">
        <v>2279</v>
      </c>
      <c r="E40" s="198" t="s">
        <v>2194</v>
      </c>
      <c r="F40" s="198" t="s">
        <v>46</v>
      </c>
      <c r="G40" s="198" t="s">
        <v>1939</v>
      </c>
      <c r="H40" s="198" t="s">
        <v>2027</v>
      </c>
      <c r="I40" s="198" t="s">
        <v>2027</v>
      </c>
      <c r="J40" s="198" t="s">
        <v>2027</v>
      </c>
      <c r="K40" s="198" t="s">
        <v>2027</v>
      </c>
      <c r="L40" s="198">
        <v>373.83</v>
      </c>
      <c r="M40" s="198">
        <v>26.17</v>
      </c>
      <c r="N40" s="198">
        <v>400.0</v>
      </c>
    </row>
    <row r="41">
      <c r="A41" s="198" t="s">
        <v>2280</v>
      </c>
      <c r="B41" s="199">
        <v>244228.0</v>
      </c>
      <c r="C41" s="200">
        <v>61614.0</v>
      </c>
      <c r="D41" s="198" t="s">
        <v>2281</v>
      </c>
      <c r="E41" s="198" t="s">
        <v>2199</v>
      </c>
      <c r="F41" s="198" t="s">
        <v>50</v>
      </c>
      <c r="G41" s="198" t="s">
        <v>1939</v>
      </c>
      <c r="H41" s="198" t="s">
        <v>2282</v>
      </c>
      <c r="I41" s="198">
        <v>5.500854407425E12</v>
      </c>
      <c r="J41" s="198">
        <v>9.34148408E8</v>
      </c>
      <c r="K41" s="198">
        <v>373.83</v>
      </c>
      <c r="L41" s="198">
        <v>26.17</v>
      </c>
      <c r="M41" s="198">
        <v>400.0</v>
      </c>
      <c r="N41" s="198"/>
    </row>
    <row r="42">
      <c r="A42" s="198" t="s">
        <v>2283</v>
      </c>
      <c r="B42" s="199">
        <v>244228.0</v>
      </c>
      <c r="C42" s="200">
        <v>61614.0</v>
      </c>
      <c r="D42" s="198" t="s">
        <v>2284</v>
      </c>
      <c r="E42" s="198" t="s">
        <v>2285</v>
      </c>
      <c r="F42" s="198" t="s">
        <v>30</v>
      </c>
      <c r="G42" s="198" t="s">
        <v>1941</v>
      </c>
      <c r="H42" s="198" t="s">
        <v>2027</v>
      </c>
      <c r="I42" s="198" t="s">
        <v>2027</v>
      </c>
      <c r="J42" s="198" t="s">
        <v>2027</v>
      </c>
      <c r="K42" s="198" t="s">
        <v>2027</v>
      </c>
      <c r="L42" s="198">
        <v>467.29</v>
      </c>
      <c r="M42" s="198">
        <v>32.71</v>
      </c>
      <c r="N42" s="198">
        <v>500.0</v>
      </c>
    </row>
    <row r="43">
      <c r="A43" s="198" t="s">
        <v>2286</v>
      </c>
      <c r="B43" s="199">
        <v>244228.0</v>
      </c>
      <c r="C43" s="200">
        <v>61614.0</v>
      </c>
      <c r="D43" s="198" t="s">
        <v>2287</v>
      </c>
      <c r="E43" s="198" t="s">
        <v>2288</v>
      </c>
      <c r="F43" s="198" t="s">
        <v>18</v>
      </c>
      <c r="G43" s="198" t="s">
        <v>1939</v>
      </c>
      <c r="H43" s="198" t="s">
        <v>2027</v>
      </c>
      <c r="I43" s="198" t="s">
        <v>2027</v>
      </c>
      <c r="J43" s="198" t="s">
        <v>2027</v>
      </c>
      <c r="K43" s="198" t="s">
        <v>2027</v>
      </c>
      <c r="L43" s="198">
        <v>373.83</v>
      </c>
      <c r="M43" s="198">
        <v>26.17</v>
      </c>
      <c r="N43" s="198">
        <v>400.0</v>
      </c>
    </row>
    <row r="44">
      <c r="A44" s="198" t="s">
        <v>2289</v>
      </c>
      <c r="B44" s="199">
        <v>244258.0</v>
      </c>
      <c r="C44" s="200">
        <v>61614.0</v>
      </c>
      <c r="D44" s="198" t="s">
        <v>2290</v>
      </c>
      <c r="E44" s="198" t="s">
        <v>2218</v>
      </c>
      <c r="F44" s="198" t="s">
        <v>133</v>
      </c>
      <c r="G44" s="198" t="s">
        <v>1939</v>
      </c>
      <c r="H44" s="198" t="s">
        <v>2219</v>
      </c>
      <c r="I44" s="198">
        <v>1.68128470503E12</v>
      </c>
      <c r="J44" s="198">
        <v>9.17634346E8</v>
      </c>
      <c r="K44" s="198">
        <v>467.29</v>
      </c>
      <c r="L44" s="198">
        <v>32.71</v>
      </c>
      <c r="M44" s="198">
        <v>500.0</v>
      </c>
      <c r="N44" s="198"/>
    </row>
    <row r="45">
      <c r="A45" s="198" t="s">
        <v>2291</v>
      </c>
      <c r="B45" s="199">
        <v>244258.0</v>
      </c>
      <c r="C45" s="200">
        <v>61614.0</v>
      </c>
      <c r="D45" s="198" t="s">
        <v>2292</v>
      </c>
      <c r="E45" s="198" t="s">
        <v>2187</v>
      </c>
      <c r="F45" s="198" t="s">
        <v>689</v>
      </c>
      <c r="G45" s="198" t="s">
        <v>1941</v>
      </c>
      <c r="H45" s="198" t="s">
        <v>2031</v>
      </c>
      <c r="I45" s="198">
        <v>1.46864771421E12</v>
      </c>
      <c r="J45" s="198">
        <v>9.48970725E8</v>
      </c>
      <c r="K45" s="198">
        <v>560.75</v>
      </c>
      <c r="L45" s="198">
        <v>39.25</v>
      </c>
      <c r="M45" s="198">
        <v>600.0</v>
      </c>
      <c r="N45" s="198"/>
    </row>
    <row r="46">
      <c r="A46" s="198" t="s">
        <v>2293</v>
      </c>
      <c r="B46" s="199">
        <v>244228.0</v>
      </c>
      <c r="C46" s="200">
        <v>61615.0</v>
      </c>
      <c r="D46" s="198" t="s">
        <v>2294</v>
      </c>
      <c r="E46" s="198" t="s">
        <v>2295</v>
      </c>
      <c r="F46" s="198" t="s">
        <v>162</v>
      </c>
      <c r="G46" s="198" t="s">
        <v>1941</v>
      </c>
      <c r="H46" s="198" t="s">
        <v>2027</v>
      </c>
      <c r="I46" s="198" t="s">
        <v>2027</v>
      </c>
      <c r="J46" s="198" t="s">
        <v>2027</v>
      </c>
      <c r="K46" s="198" t="s">
        <v>2027</v>
      </c>
      <c r="L46" s="198">
        <v>467.29</v>
      </c>
      <c r="M46" s="198">
        <v>32.71</v>
      </c>
      <c r="N46" s="198">
        <v>500.0</v>
      </c>
    </row>
    <row r="47">
      <c r="A47" s="198" t="s">
        <v>2296</v>
      </c>
      <c r="B47" s="199">
        <v>244228.0</v>
      </c>
      <c r="C47" s="200">
        <v>61615.0</v>
      </c>
      <c r="D47" s="198" t="s">
        <v>2297</v>
      </c>
      <c r="E47" s="198" t="s">
        <v>2209</v>
      </c>
      <c r="F47" s="198" t="s">
        <v>101</v>
      </c>
      <c r="G47" s="198" t="s">
        <v>1941</v>
      </c>
      <c r="H47" s="198" t="s">
        <v>2298</v>
      </c>
      <c r="I47" s="198">
        <v>1.874984180491E12</v>
      </c>
      <c r="J47" s="198">
        <v>8.54048704E8</v>
      </c>
      <c r="K47" s="198">
        <v>467.29</v>
      </c>
      <c r="L47" s="198">
        <v>32.71</v>
      </c>
      <c r="M47" s="198">
        <v>500.0</v>
      </c>
      <c r="N47" s="198"/>
    </row>
    <row r="48">
      <c r="A48" s="198" t="s">
        <v>2299</v>
      </c>
      <c r="B48" s="199">
        <v>244228.0</v>
      </c>
      <c r="C48" s="200">
        <v>61615.0</v>
      </c>
      <c r="D48" s="198" t="s">
        <v>2300</v>
      </c>
      <c r="E48" s="198" t="s">
        <v>2301</v>
      </c>
      <c r="F48" s="198" t="s">
        <v>1471</v>
      </c>
      <c r="G48" s="198" t="s">
        <v>1941</v>
      </c>
      <c r="H48" s="198" t="s">
        <v>2027</v>
      </c>
      <c r="I48" s="198" t="s">
        <v>2027</v>
      </c>
      <c r="J48" s="198" t="s">
        <v>2027</v>
      </c>
      <c r="K48" s="198" t="s">
        <v>2027</v>
      </c>
      <c r="L48" s="198">
        <v>467.29</v>
      </c>
      <c r="M48" s="198">
        <v>32.71</v>
      </c>
      <c r="N48" s="198">
        <v>500.0</v>
      </c>
    </row>
    <row r="49">
      <c r="A49" s="198" t="s">
        <v>2302</v>
      </c>
      <c r="B49" s="199">
        <v>244228.0</v>
      </c>
      <c r="C49" s="200">
        <v>61616.0</v>
      </c>
      <c r="D49" s="198" t="s">
        <v>2303</v>
      </c>
      <c r="E49" s="198" t="s">
        <v>2201</v>
      </c>
      <c r="F49" s="198" t="s">
        <v>1347</v>
      </c>
      <c r="G49" s="198" t="s">
        <v>1939</v>
      </c>
      <c r="H49" s="198" t="s">
        <v>2027</v>
      </c>
      <c r="I49" s="198" t="s">
        <v>2027</v>
      </c>
      <c r="J49" s="198" t="s">
        <v>2027</v>
      </c>
      <c r="K49" s="198" t="s">
        <v>2027</v>
      </c>
      <c r="L49" s="198">
        <v>373.83</v>
      </c>
      <c r="M49" s="198">
        <v>26.17</v>
      </c>
      <c r="N49" s="198">
        <v>400.0</v>
      </c>
    </row>
    <row r="50">
      <c r="A50" s="198" t="s">
        <v>2304</v>
      </c>
      <c r="B50" s="199">
        <v>244228.0</v>
      </c>
      <c r="C50" s="200">
        <v>61616.0</v>
      </c>
      <c r="D50" s="198" t="s">
        <v>2305</v>
      </c>
      <c r="E50" s="198" t="s">
        <v>2199</v>
      </c>
      <c r="F50" s="198" t="s">
        <v>50</v>
      </c>
      <c r="G50" s="198" t="s">
        <v>1939</v>
      </c>
      <c r="H50" s="198" t="s">
        <v>2027</v>
      </c>
      <c r="I50" s="198" t="s">
        <v>2027</v>
      </c>
      <c r="J50" s="198" t="s">
        <v>2027</v>
      </c>
      <c r="K50" s="198" t="s">
        <v>2027</v>
      </c>
      <c r="L50" s="198">
        <v>373.83</v>
      </c>
      <c r="M50" s="198">
        <v>26.17</v>
      </c>
      <c r="N50" s="198">
        <v>400.0</v>
      </c>
    </row>
    <row r="51">
      <c r="A51" s="198" t="s">
        <v>2306</v>
      </c>
      <c r="B51" s="199">
        <v>244228.0</v>
      </c>
      <c r="C51" s="200">
        <v>61616.0</v>
      </c>
      <c r="D51" s="198" t="s">
        <v>2307</v>
      </c>
      <c r="E51" s="198" t="s">
        <v>2227</v>
      </c>
      <c r="F51" s="198" t="s">
        <v>46</v>
      </c>
      <c r="G51" s="198" t="s">
        <v>1939</v>
      </c>
      <c r="H51" s="198" t="s">
        <v>2027</v>
      </c>
      <c r="I51" s="198" t="s">
        <v>2027</v>
      </c>
      <c r="J51" s="198" t="s">
        <v>2027</v>
      </c>
      <c r="K51" s="198" t="s">
        <v>2027</v>
      </c>
      <c r="L51" s="198">
        <v>373.83</v>
      </c>
      <c r="M51" s="198">
        <v>26.17</v>
      </c>
      <c r="N51" s="198">
        <v>400.0</v>
      </c>
    </row>
    <row r="52">
      <c r="A52" s="198" t="s">
        <v>2308</v>
      </c>
      <c r="B52" s="199">
        <v>244228.0</v>
      </c>
      <c r="C52" s="200">
        <v>61617.0</v>
      </c>
      <c r="D52" s="198" t="s">
        <v>2309</v>
      </c>
      <c r="E52" s="198" t="s">
        <v>2209</v>
      </c>
      <c r="F52" s="198" t="s">
        <v>30</v>
      </c>
      <c r="G52" s="198" t="s">
        <v>1941</v>
      </c>
      <c r="H52" s="198" t="s">
        <v>2310</v>
      </c>
      <c r="I52" s="198">
        <v>5.599026409893E12</v>
      </c>
      <c r="J52" s="198">
        <v>9.03334237E8</v>
      </c>
      <c r="K52" s="198">
        <v>467.29</v>
      </c>
      <c r="L52" s="198">
        <v>32.71</v>
      </c>
      <c r="M52" s="198">
        <v>500.0</v>
      </c>
      <c r="N52" s="198"/>
    </row>
    <row r="53">
      <c r="A53" s="198" t="s">
        <v>2311</v>
      </c>
      <c r="B53" s="199">
        <v>244228.0</v>
      </c>
      <c r="C53" s="200">
        <v>61617.0</v>
      </c>
      <c r="D53" s="198" t="s">
        <v>2312</v>
      </c>
      <c r="E53" s="198" t="s">
        <v>2209</v>
      </c>
      <c r="F53" s="198" t="s">
        <v>88</v>
      </c>
      <c r="G53" s="198" t="s">
        <v>1939</v>
      </c>
      <c r="H53" s="198" t="s">
        <v>2027</v>
      </c>
      <c r="I53" s="198" t="s">
        <v>2027</v>
      </c>
      <c r="J53" s="198" t="s">
        <v>2027</v>
      </c>
      <c r="K53" s="198" t="s">
        <v>2027</v>
      </c>
      <c r="L53" s="198">
        <v>373.83</v>
      </c>
      <c r="M53" s="198">
        <v>26.17</v>
      </c>
      <c r="N53" s="198">
        <v>400.0</v>
      </c>
    </row>
    <row r="54">
      <c r="A54" s="198" t="s">
        <v>2313</v>
      </c>
      <c r="B54" s="199">
        <v>244228.0</v>
      </c>
      <c r="C54" s="200">
        <v>61617.0</v>
      </c>
      <c r="D54" s="198" t="s">
        <v>2314</v>
      </c>
      <c r="E54" s="198" t="s">
        <v>2197</v>
      </c>
      <c r="F54" s="198" t="s">
        <v>600</v>
      </c>
      <c r="G54" s="198" t="s">
        <v>1939</v>
      </c>
      <c r="H54" s="198" t="s">
        <v>2315</v>
      </c>
      <c r="I54" s="198">
        <v>1.842363725595E12</v>
      </c>
      <c r="J54" s="198">
        <v>8.25368143E8</v>
      </c>
      <c r="K54" s="198">
        <v>373.83</v>
      </c>
      <c r="L54" s="198">
        <v>26.17</v>
      </c>
      <c r="M54" s="198">
        <v>400.0</v>
      </c>
      <c r="N54" s="198"/>
    </row>
    <row r="55">
      <c r="A55" s="198" t="s">
        <v>2316</v>
      </c>
      <c r="B55" s="199">
        <v>244228.0</v>
      </c>
      <c r="C55" s="200">
        <v>61618.0</v>
      </c>
      <c r="D55" s="198" t="s">
        <v>2317</v>
      </c>
      <c r="E55" s="198" t="s">
        <v>2218</v>
      </c>
      <c r="F55" s="198" t="s">
        <v>30</v>
      </c>
      <c r="G55" s="198" t="s">
        <v>1941</v>
      </c>
      <c r="H55" s="198" t="s">
        <v>2027</v>
      </c>
      <c r="I55" s="198" t="s">
        <v>2027</v>
      </c>
      <c r="J55" s="198" t="s">
        <v>2027</v>
      </c>
      <c r="K55" s="198" t="s">
        <v>2027</v>
      </c>
      <c r="L55" s="198">
        <v>467.29</v>
      </c>
      <c r="M55" s="198">
        <v>32.71</v>
      </c>
      <c r="N55" s="198">
        <v>500.0</v>
      </c>
    </row>
    <row r="56">
      <c r="A56" s="198" t="s">
        <v>2318</v>
      </c>
      <c r="B56" s="199">
        <v>244228.0</v>
      </c>
      <c r="C56" s="200">
        <v>61618.0</v>
      </c>
      <c r="D56" s="198" t="s">
        <v>2319</v>
      </c>
      <c r="E56" s="198" t="s">
        <v>2187</v>
      </c>
      <c r="F56" s="198" t="s">
        <v>18</v>
      </c>
      <c r="G56" s="198" t="s">
        <v>1939</v>
      </c>
      <c r="H56" s="198" t="s">
        <v>2027</v>
      </c>
      <c r="I56" s="198" t="s">
        <v>2027</v>
      </c>
      <c r="J56" s="198" t="s">
        <v>2027</v>
      </c>
      <c r="K56" s="198" t="s">
        <v>2027</v>
      </c>
      <c r="L56" s="198">
        <v>373.83</v>
      </c>
      <c r="M56" s="198">
        <v>26.17</v>
      </c>
      <c r="N56" s="198">
        <v>400.0</v>
      </c>
    </row>
    <row r="57">
      <c r="A57" s="198" t="s">
        <v>2320</v>
      </c>
      <c r="B57" s="199">
        <v>244228.0</v>
      </c>
      <c r="C57" s="200">
        <v>61618.0</v>
      </c>
      <c r="D57" s="198" t="s">
        <v>2321</v>
      </c>
      <c r="E57" s="198" t="s">
        <v>2197</v>
      </c>
      <c r="F57" s="198" t="s">
        <v>133</v>
      </c>
      <c r="G57" s="198" t="s">
        <v>1939</v>
      </c>
      <c r="H57" s="198" t="s">
        <v>2322</v>
      </c>
      <c r="I57" s="198">
        <v>1.68128470503E12</v>
      </c>
      <c r="J57" s="198">
        <v>8.64387693E8</v>
      </c>
      <c r="K57" s="198">
        <v>467.29</v>
      </c>
      <c r="L57" s="198">
        <v>32.71</v>
      </c>
      <c r="M57" s="198">
        <v>500.0</v>
      </c>
      <c r="N57" s="198"/>
    </row>
    <row r="58">
      <c r="A58" s="198" t="s">
        <v>2323</v>
      </c>
      <c r="B58" s="199">
        <v>244228.0</v>
      </c>
      <c r="C58" s="200">
        <v>61619.0</v>
      </c>
      <c r="D58" s="198" t="s">
        <v>2324</v>
      </c>
      <c r="E58" s="198" t="s">
        <v>2325</v>
      </c>
      <c r="F58" s="198" t="s">
        <v>1943</v>
      </c>
      <c r="G58" s="198" t="s">
        <v>1939</v>
      </c>
      <c r="H58" s="198" t="s">
        <v>2027</v>
      </c>
      <c r="I58" s="198" t="s">
        <v>2027</v>
      </c>
      <c r="J58" s="198" t="s">
        <v>2027</v>
      </c>
      <c r="K58" s="198" t="s">
        <v>2027</v>
      </c>
      <c r="L58" s="198">
        <v>373.83</v>
      </c>
      <c r="M58" s="198">
        <v>26.17</v>
      </c>
      <c r="N58" s="198">
        <v>400.0</v>
      </c>
    </row>
    <row r="59">
      <c r="A59" s="198" t="s">
        <v>2326</v>
      </c>
      <c r="B59" s="199">
        <v>244228.0</v>
      </c>
      <c r="C59" s="200">
        <v>61619.0</v>
      </c>
      <c r="D59" s="198" t="s">
        <v>2327</v>
      </c>
      <c r="E59" s="198" t="s">
        <v>2206</v>
      </c>
      <c r="F59" s="198" t="s">
        <v>50</v>
      </c>
      <c r="G59" s="198" t="s">
        <v>1939</v>
      </c>
      <c r="H59" s="198" t="s">
        <v>2027</v>
      </c>
      <c r="I59" s="198" t="s">
        <v>2027</v>
      </c>
      <c r="J59" s="198" t="s">
        <v>2027</v>
      </c>
      <c r="K59" s="198" t="s">
        <v>2027</v>
      </c>
      <c r="L59" s="198">
        <v>373.83</v>
      </c>
      <c r="M59" s="198">
        <v>26.17</v>
      </c>
      <c r="N59" s="198">
        <v>400.0</v>
      </c>
    </row>
    <row r="60">
      <c r="A60" s="198" t="s">
        <v>2328</v>
      </c>
      <c r="B60" s="199">
        <v>244228.0</v>
      </c>
      <c r="C60" s="200">
        <v>61619.0</v>
      </c>
      <c r="D60" s="198" t="s">
        <v>2329</v>
      </c>
      <c r="E60" s="198" t="s">
        <v>2330</v>
      </c>
      <c r="F60" s="198" t="s">
        <v>133</v>
      </c>
      <c r="G60" s="198" t="s">
        <v>1939</v>
      </c>
      <c r="H60" s="198" t="s">
        <v>2027</v>
      </c>
      <c r="I60" s="198" t="s">
        <v>2027</v>
      </c>
      <c r="J60" s="198" t="s">
        <v>2027</v>
      </c>
      <c r="K60" s="198" t="s">
        <v>2027</v>
      </c>
      <c r="L60" s="198">
        <v>467.29</v>
      </c>
      <c r="M60" s="198">
        <v>32.71</v>
      </c>
      <c r="N60" s="198">
        <v>500.0</v>
      </c>
    </row>
    <row r="61">
      <c r="A61" s="198" t="s">
        <v>2331</v>
      </c>
      <c r="B61" s="199">
        <v>244228.0</v>
      </c>
      <c r="C61" s="200">
        <v>61620.0</v>
      </c>
      <c r="D61" s="198" t="s">
        <v>2332</v>
      </c>
      <c r="E61" s="198" t="s">
        <v>2333</v>
      </c>
      <c r="F61" s="198" t="s">
        <v>46</v>
      </c>
      <c r="G61" s="198" t="s">
        <v>1939</v>
      </c>
      <c r="H61" s="198" t="s">
        <v>2027</v>
      </c>
      <c r="I61" s="198" t="s">
        <v>2027</v>
      </c>
      <c r="J61" s="198" t="s">
        <v>2027</v>
      </c>
      <c r="K61" s="198" t="s">
        <v>2027</v>
      </c>
      <c r="L61" s="198">
        <v>373.83</v>
      </c>
      <c r="M61" s="198">
        <v>26.17</v>
      </c>
      <c r="N61" s="198">
        <v>400.0</v>
      </c>
    </row>
    <row r="62">
      <c r="A62" s="198" t="s">
        <v>2334</v>
      </c>
      <c r="B62" s="199">
        <v>244228.0</v>
      </c>
      <c r="C62" s="200">
        <v>61620.0</v>
      </c>
      <c r="D62" s="198" t="s">
        <v>2335</v>
      </c>
      <c r="E62" s="198" t="s">
        <v>2187</v>
      </c>
      <c r="F62" s="198" t="s">
        <v>1471</v>
      </c>
      <c r="G62" s="198" t="s">
        <v>1941</v>
      </c>
      <c r="H62" s="198" t="s">
        <v>2336</v>
      </c>
      <c r="I62" s="198">
        <v>3.849318155985E12</v>
      </c>
      <c r="J62" s="198">
        <v>8.48035174E8</v>
      </c>
      <c r="K62" s="198">
        <v>467.29</v>
      </c>
      <c r="L62" s="198">
        <v>32.71</v>
      </c>
      <c r="M62" s="198">
        <v>500.0</v>
      </c>
      <c r="N62" s="198"/>
    </row>
    <row r="63">
      <c r="A63" s="198" t="s">
        <v>2337</v>
      </c>
      <c r="B63" s="199">
        <v>244228.0</v>
      </c>
      <c r="C63" s="200">
        <v>61620.0</v>
      </c>
      <c r="D63" s="198" t="s">
        <v>2338</v>
      </c>
      <c r="E63" s="198" t="s">
        <v>2201</v>
      </c>
      <c r="F63" s="198" t="s">
        <v>101</v>
      </c>
      <c r="G63" s="198" t="s">
        <v>1941</v>
      </c>
      <c r="H63" s="198" t="s">
        <v>2339</v>
      </c>
      <c r="I63" s="198">
        <v>2.537637841198E12</v>
      </c>
      <c r="J63" s="198">
        <v>9.15905971E8</v>
      </c>
      <c r="K63" s="198">
        <v>467.29</v>
      </c>
      <c r="L63" s="198">
        <v>32.71</v>
      </c>
      <c r="M63" s="198">
        <v>500.0</v>
      </c>
      <c r="N63" s="198"/>
    </row>
    <row r="64">
      <c r="A64" s="198" t="s">
        <v>2340</v>
      </c>
      <c r="B64" s="199">
        <v>244228.0</v>
      </c>
      <c r="C64" s="200">
        <v>61621.0</v>
      </c>
      <c r="D64" s="198" t="s">
        <v>2341</v>
      </c>
      <c r="E64" s="198" t="s">
        <v>2342</v>
      </c>
      <c r="F64" s="198" t="s">
        <v>689</v>
      </c>
      <c r="G64" s="198" t="s">
        <v>1941</v>
      </c>
      <c r="H64" s="198" t="s">
        <v>2027</v>
      </c>
      <c r="I64" s="198" t="s">
        <v>2027</v>
      </c>
      <c r="J64" s="198" t="s">
        <v>2027</v>
      </c>
      <c r="K64" s="198" t="s">
        <v>2027</v>
      </c>
      <c r="L64" s="198">
        <v>560.75</v>
      </c>
      <c r="M64" s="198">
        <v>39.25</v>
      </c>
      <c r="N64" s="198">
        <v>600.0</v>
      </c>
    </row>
    <row r="65">
      <c r="A65" s="198" t="s">
        <v>2343</v>
      </c>
      <c r="B65" s="199">
        <v>244228.0</v>
      </c>
      <c r="C65" s="200">
        <v>61621.0</v>
      </c>
      <c r="D65" s="198" t="s">
        <v>2344</v>
      </c>
      <c r="E65" s="198" t="s">
        <v>2257</v>
      </c>
      <c r="F65" s="198" t="s">
        <v>18</v>
      </c>
      <c r="G65" s="198" t="s">
        <v>1939</v>
      </c>
      <c r="H65" s="198" t="s">
        <v>2027</v>
      </c>
      <c r="I65" s="198" t="s">
        <v>2027</v>
      </c>
      <c r="J65" s="198" t="s">
        <v>2027</v>
      </c>
      <c r="K65" s="198" t="s">
        <v>2027</v>
      </c>
      <c r="L65" s="198">
        <v>373.83</v>
      </c>
      <c r="M65" s="198">
        <v>26.17</v>
      </c>
      <c r="N65" s="198">
        <v>400.0</v>
      </c>
    </row>
    <row r="66">
      <c r="A66" s="198" t="s">
        <v>2345</v>
      </c>
      <c r="B66" s="199">
        <v>244228.0</v>
      </c>
      <c r="C66" s="200">
        <v>61621.0</v>
      </c>
      <c r="D66" s="198" t="s">
        <v>2346</v>
      </c>
      <c r="E66" s="198" t="s">
        <v>2347</v>
      </c>
      <c r="F66" s="198" t="s">
        <v>50</v>
      </c>
      <c r="G66" s="198" t="s">
        <v>1939</v>
      </c>
      <c r="H66" s="198" t="s">
        <v>2348</v>
      </c>
      <c r="I66" s="198">
        <v>1.46864771421E12</v>
      </c>
      <c r="J66" s="198">
        <v>9.48970725E8</v>
      </c>
      <c r="K66" s="198">
        <v>373.83</v>
      </c>
      <c r="L66" s="198">
        <v>26.17</v>
      </c>
      <c r="M66" s="198">
        <v>400.0</v>
      </c>
      <c r="N66" s="198"/>
    </row>
    <row r="67">
      <c r="A67" s="198" t="s">
        <v>2349</v>
      </c>
      <c r="B67" s="199">
        <v>244228.0</v>
      </c>
      <c r="C67" s="200">
        <v>61622.0</v>
      </c>
      <c r="D67" s="198" t="s">
        <v>2350</v>
      </c>
      <c r="E67" s="198" t="s">
        <v>2351</v>
      </c>
      <c r="F67" s="198" t="s">
        <v>46</v>
      </c>
      <c r="G67" s="198" t="s">
        <v>1939</v>
      </c>
      <c r="H67" s="198" t="s">
        <v>2027</v>
      </c>
      <c r="I67" s="198" t="s">
        <v>2027</v>
      </c>
      <c r="J67" s="198" t="s">
        <v>2027</v>
      </c>
      <c r="K67" s="198" t="s">
        <v>2027</v>
      </c>
      <c r="L67" s="198">
        <v>373.83</v>
      </c>
      <c r="M67" s="198">
        <v>26.17</v>
      </c>
      <c r="N67" s="198">
        <v>400.0</v>
      </c>
    </row>
    <row r="68">
      <c r="A68" s="198" t="s">
        <v>2352</v>
      </c>
      <c r="B68" s="199">
        <v>244228.0</v>
      </c>
      <c r="C68" s="200">
        <v>61622.0</v>
      </c>
      <c r="D68" s="198" t="s">
        <v>2353</v>
      </c>
      <c r="E68" s="198" t="s">
        <v>2354</v>
      </c>
      <c r="F68" s="198" t="s">
        <v>30</v>
      </c>
      <c r="G68" s="198" t="s">
        <v>1941</v>
      </c>
      <c r="H68" s="198" t="s">
        <v>2355</v>
      </c>
      <c r="I68" s="198">
        <v>5.599026409893E12</v>
      </c>
      <c r="J68" s="198">
        <v>8.64387693E8</v>
      </c>
      <c r="K68" s="198">
        <v>467.29</v>
      </c>
      <c r="L68" s="198">
        <v>32.71</v>
      </c>
      <c r="M68" s="198">
        <v>500.0</v>
      </c>
      <c r="N68" s="198"/>
    </row>
    <row r="69">
      <c r="A69" s="198" t="s">
        <v>2356</v>
      </c>
      <c r="B69" s="199">
        <v>244228.0</v>
      </c>
      <c r="C69" s="200">
        <v>61622.0</v>
      </c>
      <c r="D69" s="198" t="s">
        <v>2357</v>
      </c>
      <c r="E69" s="198" t="s">
        <v>2358</v>
      </c>
      <c r="F69" s="198" t="s">
        <v>18</v>
      </c>
      <c r="G69" s="198" t="s">
        <v>1939</v>
      </c>
      <c r="H69" s="198" t="s">
        <v>2359</v>
      </c>
      <c r="I69" s="198">
        <v>1.842363725595E12</v>
      </c>
      <c r="J69" s="198">
        <v>8.25368143E8</v>
      </c>
      <c r="K69" s="198">
        <v>373.83</v>
      </c>
      <c r="L69" s="198">
        <v>26.17</v>
      </c>
      <c r="M69" s="198">
        <v>400.0</v>
      </c>
      <c r="N69" s="198"/>
    </row>
    <row r="70">
      <c r="A70" s="198" t="s">
        <v>2360</v>
      </c>
      <c r="B70" s="199">
        <v>244228.0</v>
      </c>
      <c r="C70" s="200">
        <v>61623.0</v>
      </c>
      <c r="D70" s="198" t="s">
        <v>2361</v>
      </c>
      <c r="E70" s="198" t="s">
        <v>2206</v>
      </c>
      <c r="F70" s="198" t="s">
        <v>50</v>
      </c>
      <c r="G70" s="198" t="s">
        <v>1939</v>
      </c>
      <c r="H70" s="198" t="s">
        <v>2027</v>
      </c>
      <c r="I70" s="198" t="s">
        <v>2027</v>
      </c>
      <c r="J70" s="198" t="s">
        <v>2027</v>
      </c>
      <c r="K70" s="198" t="s">
        <v>2027</v>
      </c>
      <c r="L70" s="198">
        <v>373.83</v>
      </c>
      <c r="M70" s="198">
        <v>26.17</v>
      </c>
      <c r="N70" s="198">
        <v>400.0</v>
      </c>
    </row>
    <row r="71">
      <c r="A71" s="198" t="s">
        <v>2362</v>
      </c>
      <c r="B71" s="199">
        <v>244228.0</v>
      </c>
      <c r="C71" s="200">
        <v>61623.0</v>
      </c>
      <c r="D71" s="198" t="s">
        <v>2363</v>
      </c>
      <c r="E71" s="198" t="s">
        <v>2364</v>
      </c>
      <c r="F71" s="198" t="s">
        <v>101</v>
      </c>
      <c r="G71" s="198" t="s">
        <v>1941</v>
      </c>
      <c r="H71" s="198" t="s">
        <v>2365</v>
      </c>
      <c r="I71" s="198">
        <v>1.68128470503E12</v>
      </c>
      <c r="J71" s="198">
        <v>8.64387693E8</v>
      </c>
      <c r="K71" s="198">
        <v>467.29</v>
      </c>
      <c r="L71" s="198">
        <v>32.71</v>
      </c>
      <c r="M71" s="198">
        <v>500.0</v>
      </c>
      <c r="N71" s="198"/>
    </row>
    <row r="72">
      <c r="A72" s="198" t="s">
        <v>2366</v>
      </c>
      <c r="B72" s="199">
        <v>244228.0</v>
      </c>
      <c r="C72" s="200">
        <v>61623.0</v>
      </c>
      <c r="D72" s="198" t="s">
        <v>2367</v>
      </c>
      <c r="E72" s="198" t="s">
        <v>2218</v>
      </c>
      <c r="F72" s="198" t="s">
        <v>689</v>
      </c>
      <c r="G72" s="198" t="s">
        <v>1941</v>
      </c>
      <c r="H72" s="198" t="s">
        <v>2368</v>
      </c>
      <c r="I72" s="198">
        <v>1.46864771421E12</v>
      </c>
      <c r="J72" s="198">
        <v>9.48970725E8</v>
      </c>
      <c r="K72" s="198">
        <v>560.75</v>
      </c>
      <c r="L72" s="198">
        <v>39.25</v>
      </c>
      <c r="M72" s="198">
        <v>600.0</v>
      </c>
      <c r="N72" s="198"/>
    </row>
    <row r="73">
      <c r="A73" s="198" t="s">
        <v>2369</v>
      </c>
      <c r="B73" s="199">
        <v>244228.0</v>
      </c>
      <c r="C73" s="200">
        <v>61624.0</v>
      </c>
      <c r="D73" s="198" t="s">
        <v>2370</v>
      </c>
      <c r="E73" s="198" t="s">
        <v>2364</v>
      </c>
      <c r="F73" s="198" t="s">
        <v>30</v>
      </c>
      <c r="G73" s="198" t="s">
        <v>1941</v>
      </c>
      <c r="H73" s="198" t="s">
        <v>2027</v>
      </c>
      <c r="I73" s="198" t="s">
        <v>2027</v>
      </c>
      <c r="J73" s="198" t="s">
        <v>2027</v>
      </c>
      <c r="K73" s="198" t="s">
        <v>2027</v>
      </c>
      <c r="L73" s="198">
        <v>467.29</v>
      </c>
      <c r="M73" s="198">
        <v>32.71</v>
      </c>
      <c r="N73" s="198">
        <v>500.0</v>
      </c>
    </row>
    <row r="74">
      <c r="A74" s="198" t="s">
        <v>2371</v>
      </c>
      <c r="B74" s="199">
        <v>244228.0</v>
      </c>
      <c r="C74" s="200">
        <v>61624.0</v>
      </c>
      <c r="D74" s="198" t="s">
        <v>2372</v>
      </c>
      <c r="E74" s="198" t="s">
        <v>2288</v>
      </c>
      <c r="F74" s="198" t="s">
        <v>18</v>
      </c>
      <c r="G74" s="198" t="s">
        <v>1939</v>
      </c>
      <c r="H74" s="198" t="s">
        <v>2027</v>
      </c>
      <c r="I74" s="198" t="s">
        <v>2027</v>
      </c>
      <c r="J74" s="198" t="s">
        <v>2027</v>
      </c>
      <c r="K74" s="198" t="s">
        <v>2027</v>
      </c>
      <c r="L74" s="198">
        <v>373.83</v>
      </c>
      <c r="M74" s="198">
        <v>26.17</v>
      </c>
      <c r="N74" s="198">
        <v>400.0</v>
      </c>
    </row>
    <row r="75">
      <c r="A75" s="198" t="s">
        <v>2373</v>
      </c>
      <c r="B75" s="199">
        <v>244228.0</v>
      </c>
      <c r="C75" s="200">
        <v>61624.0</v>
      </c>
      <c r="D75" s="198" t="s">
        <v>2374</v>
      </c>
      <c r="E75" s="198" t="s">
        <v>2375</v>
      </c>
      <c r="F75" s="198" t="s">
        <v>50</v>
      </c>
      <c r="G75" s="198" t="s">
        <v>1939</v>
      </c>
      <c r="H75" s="198" t="s">
        <v>2376</v>
      </c>
      <c r="I75" s="198">
        <v>1.46864771421E12</v>
      </c>
      <c r="J75" s="198">
        <v>8.77905813E8</v>
      </c>
      <c r="K75" s="198">
        <v>373.83</v>
      </c>
      <c r="L75" s="198">
        <v>26.17</v>
      </c>
      <c r="M75" s="198">
        <v>400.0</v>
      </c>
      <c r="N75" s="198"/>
    </row>
    <row r="76">
      <c r="A76" s="198" t="s">
        <v>2377</v>
      </c>
      <c r="B76" s="199">
        <v>244228.0</v>
      </c>
      <c r="C76" s="200">
        <v>61625.0</v>
      </c>
      <c r="D76" s="198" t="s">
        <v>2378</v>
      </c>
      <c r="E76" s="198" t="s">
        <v>2379</v>
      </c>
      <c r="F76" s="198" t="s">
        <v>133</v>
      </c>
      <c r="G76" s="198" t="s">
        <v>1939</v>
      </c>
      <c r="H76" s="198" t="s">
        <v>2027</v>
      </c>
      <c r="I76" s="198" t="s">
        <v>2027</v>
      </c>
      <c r="J76" s="198" t="s">
        <v>2027</v>
      </c>
      <c r="K76" s="198" t="s">
        <v>2027</v>
      </c>
      <c r="L76" s="198">
        <v>467.29</v>
      </c>
      <c r="M76" s="198">
        <v>32.71</v>
      </c>
      <c r="N76" s="198">
        <v>500.0</v>
      </c>
    </row>
    <row r="77">
      <c r="A77" s="198" t="s">
        <v>2380</v>
      </c>
      <c r="B77" s="199">
        <v>244228.0</v>
      </c>
      <c r="C77" s="200">
        <v>61625.0</v>
      </c>
      <c r="D77" s="198" t="s">
        <v>2381</v>
      </c>
      <c r="E77" s="198" t="s">
        <v>2382</v>
      </c>
      <c r="F77" s="198" t="s">
        <v>46</v>
      </c>
      <c r="G77" s="198" t="s">
        <v>1939</v>
      </c>
      <c r="H77" s="198" t="s">
        <v>2027</v>
      </c>
      <c r="I77" s="198" t="s">
        <v>2027</v>
      </c>
      <c r="J77" s="198" t="s">
        <v>2027</v>
      </c>
      <c r="K77" s="198" t="s">
        <v>2027</v>
      </c>
      <c r="L77" s="198">
        <v>373.83</v>
      </c>
      <c r="M77" s="198">
        <v>26.17</v>
      </c>
      <c r="N77" s="198">
        <v>400.0</v>
      </c>
    </row>
    <row r="78">
      <c r="A78" s="198" t="s">
        <v>2383</v>
      </c>
      <c r="B78" s="199">
        <v>244228.0</v>
      </c>
      <c r="C78" s="200">
        <v>61625.0</v>
      </c>
      <c r="D78" s="198" t="s">
        <v>2384</v>
      </c>
      <c r="E78" s="198" t="s">
        <v>2351</v>
      </c>
      <c r="F78" s="198" t="s">
        <v>30</v>
      </c>
      <c r="G78" s="198" t="s">
        <v>1941</v>
      </c>
      <c r="H78" s="198" t="s">
        <v>2027</v>
      </c>
      <c r="I78" s="198" t="s">
        <v>2027</v>
      </c>
      <c r="J78" s="198" t="s">
        <v>2027</v>
      </c>
      <c r="K78" s="198" t="s">
        <v>2027</v>
      </c>
      <c r="L78" s="198">
        <v>467.29</v>
      </c>
      <c r="M78" s="198">
        <v>32.71</v>
      </c>
      <c r="N78" s="198">
        <v>500.0</v>
      </c>
    </row>
    <row r="79">
      <c r="A79" s="198" t="s">
        <v>2385</v>
      </c>
      <c r="B79" s="199">
        <v>244258.0</v>
      </c>
      <c r="C79" s="200">
        <v>61625.0</v>
      </c>
      <c r="D79" s="198" t="s">
        <v>2386</v>
      </c>
      <c r="E79" s="198" t="s">
        <v>2206</v>
      </c>
      <c r="F79" s="198" t="s">
        <v>18</v>
      </c>
      <c r="G79" s="198" t="s">
        <v>1939</v>
      </c>
      <c r="H79" s="198" t="s">
        <v>2027</v>
      </c>
      <c r="I79" s="198" t="s">
        <v>2027</v>
      </c>
      <c r="J79" s="198" t="s">
        <v>2027</v>
      </c>
      <c r="K79" s="198" t="s">
        <v>2027</v>
      </c>
      <c r="L79" s="198">
        <v>373.83</v>
      </c>
      <c r="M79" s="198">
        <v>26.17</v>
      </c>
      <c r="N79" s="198">
        <v>400.0</v>
      </c>
    </row>
    <row r="80">
      <c r="A80" s="198" t="s">
        <v>2387</v>
      </c>
      <c r="B80" s="199">
        <v>244258.0</v>
      </c>
      <c r="C80" s="200">
        <v>61625.0</v>
      </c>
      <c r="D80" s="198" t="s">
        <v>2388</v>
      </c>
      <c r="E80" s="198" t="s">
        <v>2209</v>
      </c>
      <c r="F80" s="198" t="s">
        <v>50</v>
      </c>
      <c r="G80" s="198" t="s">
        <v>1939</v>
      </c>
      <c r="H80" s="198" t="s">
        <v>2033</v>
      </c>
      <c r="I80" s="198">
        <v>1.46864771421E12</v>
      </c>
      <c r="J80" s="198">
        <v>9.48970725E8</v>
      </c>
      <c r="K80" s="198">
        <v>373.83</v>
      </c>
      <c r="L80" s="198">
        <v>26.17</v>
      </c>
      <c r="M80" s="198">
        <v>400.0</v>
      </c>
      <c r="N80" s="198"/>
    </row>
    <row r="81">
      <c r="A81" s="198" t="s">
        <v>2389</v>
      </c>
      <c r="B81" s="199">
        <v>244258.0</v>
      </c>
      <c r="C81" s="200">
        <v>61625.0</v>
      </c>
      <c r="D81" s="198" t="s">
        <v>2390</v>
      </c>
      <c r="E81" s="198" t="s">
        <v>2194</v>
      </c>
      <c r="F81" s="198" t="s">
        <v>46</v>
      </c>
      <c r="G81" s="198" t="s">
        <v>1939</v>
      </c>
      <c r="H81" s="198" t="s">
        <v>2027</v>
      </c>
      <c r="I81" s="198" t="s">
        <v>2027</v>
      </c>
      <c r="J81" s="198" t="s">
        <v>2027</v>
      </c>
      <c r="K81" s="198" t="s">
        <v>2027</v>
      </c>
      <c r="L81" s="198">
        <v>373.83</v>
      </c>
      <c r="M81" s="198">
        <v>26.17</v>
      </c>
      <c r="N81" s="198">
        <v>400.0</v>
      </c>
    </row>
    <row r="82">
      <c r="A82" s="198" t="s">
        <v>2391</v>
      </c>
      <c r="B82" s="199">
        <v>244228.0</v>
      </c>
      <c r="C82" s="200">
        <v>61626.0</v>
      </c>
      <c r="D82" s="198" t="s">
        <v>2392</v>
      </c>
      <c r="E82" s="198" t="s">
        <v>2201</v>
      </c>
      <c r="F82" s="198" t="s">
        <v>88</v>
      </c>
      <c r="G82" s="198" t="s">
        <v>1939</v>
      </c>
      <c r="H82" s="198" t="s">
        <v>2027</v>
      </c>
      <c r="I82" s="198" t="s">
        <v>2027</v>
      </c>
      <c r="J82" s="198" t="s">
        <v>2027</v>
      </c>
      <c r="K82" s="198" t="s">
        <v>2027</v>
      </c>
      <c r="L82" s="198">
        <v>373.83</v>
      </c>
      <c r="M82" s="198">
        <v>26.17</v>
      </c>
      <c r="N82" s="198">
        <v>400.0</v>
      </c>
    </row>
    <row r="83">
      <c r="A83" s="198" t="s">
        <v>2393</v>
      </c>
      <c r="B83" s="199">
        <v>244228.0</v>
      </c>
      <c r="C83" s="200">
        <v>61626.0</v>
      </c>
      <c r="D83" s="198" t="s">
        <v>2394</v>
      </c>
      <c r="E83" s="198" t="s">
        <v>2194</v>
      </c>
      <c r="F83" s="198" t="s">
        <v>101</v>
      </c>
      <c r="G83" s="198" t="s">
        <v>1941</v>
      </c>
      <c r="H83" s="198" t="s">
        <v>2027</v>
      </c>
      <c r="I83" s="198" t="s">
        <v>2027</v>
      </c>
      <c r="J83" s="198" t="s">
        <v>2027</v>
      </c>
      <c r="K83" s="198" t="s">
        <v>2027</v>
      </c>
      <c r="L83" s="198">
        <v>467.29</v>
      </c>
      <c r="M83" s="198">
        <v>32.71</v>
      </c>
      <c r="N83" s="198">
        <v>500.0</v>
      </c>
    </row>
    <row r="84">
      <c r="A84" s="198" t="s">
        <v>2395</v>
      </c>
      <c r="B84" s="199">
        <v>244228.0</v>
      </c>
      <c r="C84" s="200">
        <v>61626.0</v>
      </c>
      <c r="D84" s="198" t="s">
        <v>2396</v>
      </c>
      <c r="E84" s="198" t="s">
        <v>2397</v>
      </c>
      <c r="F84" s="198" t="s">
        <v>689</v>
      </c>
      <c r="G84" s="198" t="s">
        <v>1941</v>
      </c>
      <c r="H84" s="198" t="s">
        <v>2398</v>
      </c>
      <c r="I84" s="198">
        <v>1.874984180491E12</v>
      </c>
      <c r="J84" s="198">
        <v>8.54048704E8</v>
      </c>
      <c r="K84" s="198">
        <v>560.75</v>
      </c>
      <c r="L84" s="198">
        <v>39.25</v>
      </c>
      <c r="M84" s="198">
        <v>600.0</v>
      </c>
      <c r="N84" s="198"/>
    </row>
    <row r="85">
      <c r="A85" s="198" t="s">
        <v>2399</v>
      </c>
      <c r="B85" s="199">
        <v>244258.0</v>
      </c>
      <c r="C85" s="200">
        <v>61626.0</v>
      </c>
      <c r="D85" s="198" t="s">
        <v>2400</v>
      </c>
      <c r="E85" s="198" t="s">
        <v>2218</v>
      </c>
      <c r="F85" s="198" t="s">
        <v>133</v>
      </c>
      <c r="G85" s="198" t="s">
        <v>1939</v>
      </c>
      <c r="H85" s="198" t="s">
        <v>2219</v>
      </c>
      <c r="I85" s="198">
        <v>1.68128470503E12</v>
      </c>
      <c r="J85" s="198">
        <v>9.17634346E8</v>
      </c>
      <c r="K85" s="198">
        <v>467.29</v>
      </c>
      <c r="L85" s="198">
        <v>32.71</v>
      </c>
      <c r="M85" s="198">
        <v>500.0</v>
      </c>
      <c r="N85" s="198"/>
    </row>
    <row r="86">
      <c r="A86" s="198" t="s">
        <v>2401</v>
      </c>
      <c r="B86" s="199">
        <v>244258.0</v>
      </c>
      <c r="C86" s="200">
        <v>61626.0</v>
      </c>
      <c r="D86" s="198" t="s">
        <v>2402</v>
      </c>
      <c r="E86" s="198" t="s">
        <v>2187</v>
      </c>
      <c r="F86" s="198" t="s">
        <v>689</v>
      </c>
      <c r="G86" s="198" t="s">
        <v>1941</v>
      </c>
      <c r="H86" s="198" t="s">
        <v>2031</v>
      </c>
      <c r="I86" s="198">
        <v>1.46864771421E12</v>
      </c>
      <c r="J86" s="198">
        <v>9.48970725E8</v>
      </c>
      <c r="K86" s="198">
        <v>560.75</v>
      </c>
      <c r="L86" s="198">
        <v>39.25</v>
      </c>
      <c r="M86" s="198">
        <v>600.0</v>
      </c>
      <c r="N86" s="198"/>
    </row>
    <row r="87">
      <c r="A87" s="198" t="s">
        <v>2403</v>
      </c>
      <c r="B87" s="199">
        <v>244258.0</v>
      </c>
      <c r="C87" s="200">
        <v>61626.0</v>
      </c>
      <c r="D87" s="198" t="s">
        <v>2404</v>
      </c>
      <c r="E87" s="198" t="s">
        <v>2194</v>
      </c>
      <c r="F87" s="198" t="s">
        <v>88</v>
      </c>
      <c r="G87" s="198" t="s">
        <v>1939</v>
      </c>
      <c r="H87" s="198" t="s">
        <v>2027</v>
      </c>
      <c r="I87" s="198" t="s">
        <v>2027</v>
      </c>
      <c r="J87" s="198" t="s">
        <v>2027</v>
      </c>
      <c r="K87" s="198" t="s">
        <v>2027</v>
      </c>
      <c r="L87" s="198">
        <v>373.83</v>
      </c>
      <c r="M87" s="198">
        <v>26.17</v>
      </c>
      <c r="N87" s="198">
        <v>400.0</v>
      </c>
    </row>
    <row r="88">
      <c r="A88" s="198" t="s">
        <v>2405</v>
      </c>
      <c r="B88" s="199">
        <v>244228.0</v>
      </c>
      <c r="C88" s="200">
        <v>61627.0</v>
      </c>
      <c r="D88" s="198" t="s">
        <v>2406</v>
      </c>
      <c r="E88" s="198" t="s">
        <v>2407</v>
      </c>
      <c r="F88" s="198" t="s">
        <v>30</v>
      </c>
      <c r="G88" s="198" t="s">
        <v>1941</v>
      </c>
      <c r="H88" s="198" t="s">
        <v>2408</v>
      </c>
      <c r="I88" s="198">
        <v>5.599026409893E12</v>
      </c>
      <c r="J88" s="198">
        <v>9.03334237E8</v>
      </c>
      <c r="K88" s="198">
        <v>467.29</v>
      </c>
      <c r="L88" s="198">
        <v>32.71</v>
      </c>
      <c r="M88" s="198">
        <v>500.0</v>
      </c>
      <c r="N88" s="198"/>
    </row>
    <row r="89">
      <c r="A89" s="198" t="s">
        <v>2409</v>
      </c>
      <c r="B89" s="199">
        <v>244228.0</v>
      </c>
      <c r="C89" s="200">
        <v>61627.0</v>
      </c>
      <c r="D89" s="198" t="s">
        <v>2410</v>
      </c>
      <c r="E89" s="198" t="s">
        <v>2351</v>
      </c>
      <c r="F89" s="198" t="s">
        <v>50</v>
      </c>
      <c r="G89" s="198" t="s">
        <v>1939</v>
      </c>
      <c r="H89" s="198" t="s">
        <v>2027</v>
      </c>
      <c r="I89" s="198" t="s">
        <v>2027</v>
      </c>
      <c r="J89" s="198" t="s">
        <v>2027</v>
      </c>
      <c r="K89" s="198" t="s">
        <v>2027</v>
      </c>
      <c r="L89" s="198">
        <v>373.83</v>
      </c>
      <c r="M89" s="198">
        <v>26.17</v>
      </c>
      <c r="N89" s="198">
        <v>400.0</v>
      </c>
    </row>
    <row r="90">
      <c r="A90" s="198" t="s">
        <v>2411</v>
      </c>
      <c r="B90" s="199">
        <v>244228.0</v>
      </c>
      <c r="C90" s="200">
        <v>61627.0</v>
      </c>
      <c r="D90" s="198" t="s">
        <v>2412</v>
      </c>
      <c r="E90" s="198" t="s">
        <v>2379</v>
      </c>
      <c r="F90" s="198" t="s">
        <v>18</v>
      </c>
      <c r="G90" s="198" t="s">
        <v>1939</v>
      </c>
      <c r="H90" s="198" t="s">
        <v>2413</v>
      </c>
      <c r="I90" s="198">
        <v>3.849318155985E12</v>
      </c>
      <c r="J90" s="198">
        <v>9.03334237E8</v>
      </c>
      <c r="K90" s="198">
        <v>373.83</v>
      </c>
      <c r="L90" s="198">
        <v>26.17</v>
      </c>
      <c r="M90" s="198">
        <v>400.0</v>
      </c>
      <c r="N90" s="198"/>
    </row>
    <row r="91">
      <c r="A91" s="198" t="s">
        <v>2414</v>
      </c>
      <c r="B91" s="199">
        <v>244258.0</v>
      </c>
      <c r="C91" s="200">
        <v>61627.0</v>
      </c>
      <c r="D91" s="198" t="s">
        <v>2415</v>
      </c>
      <c r="E91" s="198" t="s">
        <v>2197</v>
      </c>
      <c r="F91" s="198" t="s">
        <v>30</v>
      </c>
      <c r="G91" s="198" t="s">
        <v>1941</v>
      </c>
      <c r="H91" s="198" t="s">
        <v>2027</v>
      </c>
      <c r="I91" s="198" t="s">
        <v>2027</v>
      </c>
      <c r="J91" s="198" t="s">
        <v>2027</v>
      </c>
      <c r="K91" s="198" t="s">
        <v>2027</v>
      </c>
      <c r="L91" s="198">
        <v>467.29</v>
      </c>
      <c r="M91" s="198">
        <v>32.71</v>
      </c>
      <c r="N91" s="198">
        <v>500.0</v>
      </c>
    </row>
    <row r="92">
      <c r="A92" s="198" t="s">
        <v>2416</v>
      </c>
      <c r="B92" s="199">
        <v>244258.0</v>
      </c>
      <c r="C92" s="200">
        <v>61627.0</v>
      </c>
      <c r="D92" s="198" t="s">
        <v>2417</v>
      </c>
      <c r="E92" s="198" t="s">
        <v>2206</v>
      </c>
      <c r="F92" s="198" t="s">
        <v>18</v>
      </c>
      <c r="G92" s="198" t="s">
        <v>1939</v>
      </c>
      <c r="H92" s="198" t="s">
        <v>2027</v>
      </c>
      <c r="I92" s="198" t="s">
        <v>2027</v>
      </c>
      <c r="J92" s="198" t="s">
        <v>2027</v>
      </c>
      <c r="K92" s="198" t="s">
        <v>2027</v>
      </c>
      <c r="L92" s="198">
        <v>373.83</v>
      </c>
      <c r="M92" s="198">
        <v>26.17</v>
      </c>
      <c r="N92" s="198">
        <v>400.0</v>
      </c>
    </row>
    <row r="93">
      <c r="A93" s="198" t="s">
        <v>2418</v>
      </c>
      <c r="B93" s="199">
        <v>244258.0</v>
      </c>
      <c r="C93" s="200">
        <v>61627.0</v>
      </c>
      <c r="D93" s="198" t="s">
        <v>2419</v>
      </c>
      <c r="E93" s="198" t="s">
        <v>2209</v>
      </c>
      <c r="F93" s="198" t="s">
        <v>50</v>
      </c>
      <c r="G93" s="198" t="s">
        <v>1939</v>
      </c>
      <c r="H93" s="198" t="s">
        <v>2033</v>
      </c>
      <c r="I93" s="198">
        <v>1.46864771421E12</v>
      </c>
      <c r="J93" s="198">
        <v>9.48970725E8</v>
      </c>
      <c r="K93" s="198">
        <v>373.83</v>
      </c>
      <c r="L93" s="198">
        <v>26.17</v>
      </c>
      <c r="M93" s="198">
        <v>400.0</v>
      </c>
      <c r="N93" s="198"/>
    </row>
    <row r="94">
      <c r="A94" s="198" t="s">
        <v>2420</v>
      </c>
      <c r="B94" s="199">
        <v>244228.0</v>
      </c>
      <c r="C94" s="200">
        <v>61628.0</v>
      </c>
      <c r="D94" s="198" t="s">
        <v>2421</v>
      </c>
      <c r="E94" s="198" t="s">
        <v>2422</v>
      </c>
      <c r="F94" s="198" t="s">
        <v>46</v>
      </c>
      <c r="G94" s="198" t="s">
        <v>1939</v>
      </c>
      <c r="H94" s="198" t="s">
        <v>2027</v>
      </c>
      <c r="I94" s="198" t="s">
        <v>2027</v>
      </c>
      <c r="J94" s="198" t="s">
        <v>2027</v>
      </c>
      <c r="K94" s="198" t="s">
        <v>2027</v>
      </c>
      <c r="L94" s="198">
        <v>373.83</v>
      </c>
      <c r="M94" s="198">
        <v>26.17</v>
      </c>
      <c r="N94" s="198">
        <v>400.0</v>
      </c>
    </row>
    <row r="95">
      <c r="A95" s="198" t="s">
        <v>2423</v>
      </c>
      <c r="B95" s="199">
        <v>244228.0</v>
      </c>
      <c r="C95" s="200">
        <v>61628.0</v>
      </c>
      <c r="D95" s="198" t="s">
        <v>2424</v>
      </c>
      <c r="E95" s="198" t="s">
        <v>2425</v>
      </c>
      <c r="F95" s="198" t="s">
        <v>133</v>
      </c>
      <c r="G95" s="198" t="s">
        <v>1939</v>
      </c>
      <c r="H95" s="198" t="s">
        <v>2426</v>
      </c>
      <c r="I95" s="198">
        <v>1.68128470503E12</v>
      </c>
      <c r="J95" s="198">
        <v>9.17634346E8</v>
      </c>
      <c r="K95" s="198">
        <v>467.29</v>
      </c>
      <c r="L95" s="198">
        <v>32.71</v>
      </c>
      <c r="M95" s="198">
        <v>500.0</v>
      </c>
      <c r="N95" s="198"/>
    </row>
    <row r="96">
      <c r="A96" s="198" t="s">
        <v>2427</v>
      </c>
      <c r="B96" s="199">
        <v>244228.0</v>
      </c>
      <c r="C96" s="200">
        <v>61628.0</v>
      </c>
      <c r="D96" s="198" t="s">
        <v>2428</v>
      </c>
      <c r="E96" s="198" t="s">
        <v>2218</v>
      </c>
      <c r="F96" s="198" t="s">
        <v>689</v>
      </c>
      <c r="G96" s="198" t="s">
        <v>1941</v>
      </c>
      <c r="H96" s="198" t="s">
        <v>2429</v>
      </c>
      <c r="I96" s="198">
        <v>1.46864771421E12</v>
      </c>
      <c r="J96" s="198">
        <v>9.48970725E8</v>
      </c>
      <c r="K96" s="198">
        <v>560.75</v>
      </c>
      <c r="L96" s="198">
        <v>39.25</v>
      </c>
      <c r="M96" s="198">
        <v>600.0</v>
      </c>
      <c r="N96" s="198"/>
    </row>
    <row r="97">
      <c r="A97" s="198" t="s">
        <v>2430</v>
      </c>
      <c r="B97" s="199">
        <v>244258.0</v>
      </c>
      <c r="C97" s="200">
        <v>61628.0</v>
      </c>
      <c r="D97" s="198" t="s">
        <v>2431</v>
      </c>
      <c r="E97" s="198" t="s">
        <v>2194</v>
      </c>
      <c r="F97" s="198" t="s">
        <v>46</v>
      </c>
      <c r="G97" s="198" t="s">
        <v>1939</v>
      </c>
      <c r="H97" s="198" t="s">
        <v>2027</v>
      </c>
      <c r="I97" s="198" t="s">
        <v>2027</v>
      </c>
      <c r="J97" s="198" t="s">
        <v>2027</v>
      </c>
      <c r="K97" s="198" t="s">
        <v>2027</v>
      </c>
      <c r="L97" s="198">
        <v>373.83</v>
      </c>
      <c r="M97" s="198">
        <v>26.17</v>
      </c>
      <c r="N97" s="198">
        <v>400.0</v>
      </c>
    </row>
    <row r="98">
      <c r="A98" s="198" t="s">
        <v>2432</v>
      </c>
      <c r="B98" s="199">
        <v>244258.0</v>
      </c>
      <c r="C98" s="200">
        <v>61628.0</v>
      </c>
      <c r="D98" s="198" t="s">
        <v>2433</v>
      </c>
      <c r="E98" s="198" t="s">
        <v>2218</v>
      </c>
      <c r="F98" s="198" t="s">
        <v>133</v>
      </c>
      <c r="G98" s="198" t="s">
        <v>1939</v>
      </c>
      <c r="H98" s="198" t="s">
        <v>2219</v>
      </c>
      <c r="I98" s="198">
        <v>1.68128470503E12</v>
      </c>
      <c r="J98" s="198">
        <v>9.17634346E8</v>
      </c>
      <c r="K98" s="198">
        <v>467.29</v>
      </c>
      <c r="L98" s="198">
        <v>32.71</v>
      </c>
      <c r="M98" s="198">
        <v>500.0</v>
      </c>
      <c r="N98" s="198"/>
    </row>
    <row r="99">
      <c r="A99" s="198" t="s">
        <v>2434</v>
      </c>
      <c r="B99" s="199">
        <v>244258.0</v>
      </c>
      <c r="C99" s="200">
        <v>61628.0</v>
      </c>
      <c r="D99" s="198" t="s">
        <v>2435</v>
      </c>
      <c r="E99" s="198" t="s">
        <v>2187</v>
      </c>
      <c r="F99" s="198" t="s">
        <v>689</v>
      </c>
      <c r="G99" s="198" t="s">
        <v>1941</v>
      </c>
      <c r="H99" s="198" t="s">
        <v>2031</v>
      </c>
      <c r="I99" s="198">
        <v>1.46864771421E12</v>
      </c>
      <c r="J99" s="198">
        <v>9.48970725E8</v>
      </c>
      <c r="K99" s="198">
        <v>560.75</v>
      </c>
      <c r="L99" s="198">
        <v>39.25</v>
      </c>
      <c r="M99" s="198">
        <v>600.0</v>
      </c>
      <c r="N99" s="198"/>
    </row>
    <row r="100">
      <c r="A100" s="198" t="s">
        <v>2436</v>
      </c>
      <c r="B100" s="199">
        <v>244228.0</v>
      </c>
      <c r="C100" s="200">
        <v>61629.0</v>
      </c>
      <c r="D100" s="198" t="s">
        <v>2437</v>
      </c>
      <c r="E100" s="198" t="s">
        <v>2438</v>
      </c>
      <c r="F100" s="198" t="s">
        <v>88</v>
      </c>
      <c r="G100" s="198" t="s">
        <v>1939</v>
      </c>
      <c r="H100" s="198" t="s">
        <v>2027</v>
      </c>
      <c r="I100" s="198" t="s">
        <v>2027</v>
      </c>
      <c r="J100" s="198" t="s">
        <v>2027</v>
      </c>
      <c r="K100" s="198" t="s">
        <v>2027</v>
      </c>
      <c r="L100" s="198">
        <v>373.83</v>
      </c>
      <c r="M100" s="198">
        <v>26.17</v>
      </c>
      <c r="N100" s="198">
        <v>400.0</v>
      </c>
    </row>
    <row r="101">
      <c r="A101" s="198" t="s">
        <v>2439</v>
      </c>
      <c r="B101" s="199">
        <v>244228.0</v>
      </c>
      <c r="C101" s="200">
        <v>61629.0</v>
      </c>
      <c r="D101" s="198" t="s">
        <v>2440</v>
      </c>
      <c r="E101" s="198" t="s">
        <v>2422</v>
      </c>
      <c r="F101" s="198" t="s">
        <v>30</v>
      </c>
      <c r="G101" s="198" t="s">
        <v>1941</v>
      </c>
      <c r="H101" s="198" t="s">
        <v>2441</v>
      </c>
      <c r="I101" s="198">
        <v>2.537637841198E12</v>
      </c>
      <c r="J101" s="198">
        <v>8.77905813E8</v>
      </c>
      <c r="K101" s="198">
        <v>467.29</v>
      </c>
      <c r="L101" s="198">
        <v>32.71</v>
      </c>
      <c r="M101" s="198">
        <v>500.0</v>
      </c>
      <c r="N101" s="198"/>
    </row>
    <row r="102">
      <c r="A102" s="198" t="s">
        <v>2442</v>
      </c>
      <c r="B102" s="199">
        <v>244228.0</v>
      </c>
      <c r="C102" s="200">
        <v>61629.0</v>
      </c>
      <c r="D102" s="198" t="s">
        <v>2443</v>
      </c>
      <c r="E102" s="198" t="s">
        <v>2444</v>
      </c>
      <c r="F102" s="198" t="s">
        <v>18</v>
      </c>
      <c r="G102" s="198" t="s">
        <v>1939</v>
      </c>
      <c r="H102" s="198" t="s">
        <v>2027</v>
      </c>
      <c r="I102" s="198" t="s">
        <v>2027</v>
      </c>
      <c r="J102" s="198" t="s">
        <v>2027</v>
      </c>
      <c r="K102" s="198" t="s">
        <v>2027</v>
      </c>
      <c r="L102" s="198">
        <v>373.83</v>
      </c>
      <c r="M102" s="198">
        <v>26.17</v>
      </c>
      <c r="N102" s="198">
        <v>400.0</v>
      </c>
    </row>
    <row r="103">
      <c r="A103" s="198" t="s">
        <v>2445</v>
      </c>
      <c r="B103" s="199">
        <v>244258.0</v>
      </c>
      <c r="C103" s="200">
        <v>61629.0</v>
      </c>
      <c r="D103" s="198" t="s">
        <v>2446</v>
      </c>
      <c r="E103" s="198" t="s">
        <v>2194</v>
      </c>
      <c r="F103" s="198" t="s">
        <v>88</v>
      </c>
      <c r="G103" s="198" t="s">
        <v>1939</v>
      </c>
      <c r="H103" s="198" t="s">
        <v>2027</v>
      </c>
      <c r="I103" s="198" t="s">
        <v>2027</v>
      </c>
      <c r="J103" s="198" t="s">
        <v>2027</v>
      </c>
      <c r="K103" s="198" t="s">
        <v>2027</v>
      </c>
      <c r="L103" s="198">
        <v>373.83</v>
      </c>
      <c r="M103" s="198">
        <v>26.17</v>
      </c>
      <c r="N103" s="198">
        <v>400.0</v>
      </c>
    </row>
    <row r="104">
      <c r="A104" s="198" t="s">
        <v>2447</v>
      </c>
      <c r="B104" s="199">
        <v>244258.0</v>
      </c>
      <c r="C104" s="200">
        <v>61629.0</v>
      </c>
      <c r="D104" s="198" t="s">
        <v>2448</v>
      </c>
      <c r="E104" s="198" t="s">
        <v>2197</v>
      </c>
      <c r="F104" s="198" t="s">
        <v>30</v>
      </c>
      <c r="G104" s="198" t="s">
        <v>1941</v>
      </c>
      <c r="H104" s="198" t="s">
        <v>2027</v>
      </c>
      <c r="I104" s="198" t="s">
        <v>2027</v>
      </c>
      <c r="J104" s="198" t="s">
        <v>2027</v>
      </c>
      <c r="K104" s="198" t="s">
        <v>2027</v>
      </c>
      <c r="L104" s="198">
        <v>467.29</v>
      </c>
      <c r="M104" s="198">
        <v>32.71</v>
      </c>
      <c r="N104" s="198">
        <v>500.0</v>
      </c>
    </row>
    <row r="105">
      <c r="A105" s="198" t="s">
        <v>2449</v>
      </c>
      <c r="B105" s="199">
        <v>244258.0</v>
      </c>
      <c r="C105" s="200">
        <v>61629.0</v>
      </c>
      <c r="D105" s="198" t="s">
        <v>2450</v>
      </c>
      <c r="E105" s="198" t="s">
        <v>2206</v>
      </c>
      <c r="F105" s="198" t="s">
        <v>18</v>
      </c>
      <c r="G105" s="198" t="s">
        <v>1939</v>
      </c>
      <c r="H105" s="198" t="s">
        <v>2027</v>
      </c>
      <c r="I105" s="198" t="s">
        <v>2027</v>
      </c>
      <c r="J105" s="198" t="s">
        <v>2027</v>
      </c>
      <c r="K105" s="198" t="s">
        <v>2027</v>
      </c>
      <c r="L105" s="198">
        <v>373.83</v>
      </c>
      <c r="M105" s="198">
        <v>26.17</v>
      </c>
      <c r="N105" s="198">
        <v>400.0</v>
      </c>
    </row>
    <row r="106">
      <c r="A106" s="198" t="s">
        <v>2451</v>
      </c>
      <c r="B106" s="199">
        <v>244228.0</v>
      </c>
      <c r="C106" s="200">
        <v>61630.0</v>
      </c>
      <c r="D106" s="198" t="s">
        <v>2452</v>
      </c>
      <c r="E106" s="198" t="s">
        <v>2453</v>
      </c>
      <c r="F106" s="198" t="s">
        <v>50</v>
      </c>
      <c r="G106" s="198" t="s">
        <v>1939</v>
      </c>
      <c r="H106" s="198" t="s">
        <v>2454</v>
      </c>
      <c r="I106" s="198">
        <v>1.46864771421E12</v>
      </c>
      <c r="J106" s="198">
        <v>9.48970725E8</v>
      </c>
      <c r="K106" s="198">
        <v>373.83</v>
      </c>
      <c r="L106" s="198">
        <v>26.17</v>
      </c>
      <c r="M106" s="198">
        <v>400.0</v>
      </c>
      <c r="N106" s="198"/>
    </row>
    <row r="107">
      <c r="A107" s="198" t="s">
        <v>2455</v>
      </c>
      <c r="B107" s="199">
        <v>244228.0</v>
      </c>
      <c r="C107" s="200">
        <v>61630.0</v>
      </c>
      <c r="D107" s="198" t="s">
        <v>2456</v>
      </c>
      <c r="E107" s="198" t="s">
        <v>2457</v>
      </c>
      <c r="F107" s="198" t="s">
        <v>46</v>
      </c>
      <c r="G107" s="198" t="s">
        <v>1939</v>
      </c>
      <c r="H107" s="198" t="s">
        <v>2027</v>
      </c>
      <c r="I107" s="198" t="s">
        <v>2027</v>
      </c>
      <c r="J107" s="198" t="s">
        <v>2027</v>
      </c>
      <c r="K107" s="198" t="s">
        <v>2027</v>
      </c>
      <c r="L107" s="198">
        <v>373.83</v>
      </c>
      <c r="M107" s="198">
        <v>26.17</v>
      </c>
      <c r="N107" s="198">
        <v>400.0</v>
      </c>
    </row>
    <row r="108">
      <c r="A108" s="198" t="s">
        <v>2458</v>
      </c>
      <c r="B108" s="199">
        <v>244228.0</v>
      </c>
      <c r="C108" s="200">
        <v>61630.0</v>
      </c>
      <c r="D108" s="198" t="s">
        <v>2459</v>
      </c>
      <c r="E108" s="198" t="s">
        <v>2351</v>
      </c>
      <c r="F108" s="198" t="s">
        <v>30</v>
      </c>
      <c r="G108" s="198" t="s">
        <v>1941</v>
      </c>
      <c r="H108" s="198" t="s">
        <v>2027</v>
      </c>
      <c r="I108" s="198" t="s">
        <v>2027</v>
      </c>
      <c r="J108" s="198" t="s">
        <v>2027</v>
      </c>
      <c r="K108" s="198" t="s">
        <v>2027</v>
      </c>
      <c r="L108" s="198">
        <v>467.29</v>
      </c>
      <c r="M108" s="198">
        <v>32.71</v>
      </c>
      <c r="N108" s="198">
        <v>500.0</v>
      </c>
    </row>
    <row r="109">
      <c r="A109" s="198" t="s">
        <v>2460</v>
      </c>
      <c r="B109" s="199">
        <v>244258.0</v>
      </c>
      <c r="C109" s="200">
        <v>61630.0</v>
      </c>
      <c r="D109" s="198" t="s">
        <v>2461</v>
      </c>
      <c r="E109" s="198" t="s">
        <v>2209</v>
      </c>
      <c r="F109" s="198" t="s">
        <v>50</v>
      </c>
      <c r="G109" s="198" t="s">
        <v>1939</v>
      </c>
      <c r="H109" s="198" t="s">
        <v>2033</v>
      </c>
      <c r="I109" s="198">
        <v>1.46864771421E12</v>
      </c>
      <c r="J109" s="198">
        <v>9.48970725E8</v>
      </c>
      <c r="K109" s="198">
        <v>373.83</v>
      </c>
      <c r="L109" s="198">
        <v>26.17</v>
      </c>
      <c r="M109" s="198">
        <v>400.0</v>
      </c>
      <c r="N109" s="198"/>
    </row>
    <row r="110">
      <c r="A110" s="198" t="s">
        <v>2462</v>
      </c>
      <c r="B110" s="199">
        <v>244258.0</v>
      </c>
      <c r="C110" s="200">
        <v>61630.0</v>
      </c>
      <c r="D110" s="198" t="s">
        <v>2463</v>
      </c>
      <c r="E110" s="198" t="s">
        <v>2194</v>
      </c>
      <c r="F110" s="198" t="s">
        <v>46</v>
      </c>
      <c r="G110" s="198" t="s">
        <v>1939</v>
      </c>
      <c r="H110" s="198" t="s">
        <v>2027</v>
      </c>
      <c r="I110" s="198" t="s">
        <v>2027</v>
      </c>
      <c r="J110" s="198" t="s">
        <v>2027</v>
      </c>
      <c r="K110" s="198" t="s">
        <v>2027</v>
      </c>
      <c r="L110" s="198">
        <v>373.83</v>
      </c>
      <c r="M110" s="198">
        <v>26.17</v>
      </c>
      <c r="N110" s="198">
        <v>400.0</v>
      </c>
    </row>
    <row r="111">
      <c r="A111" s="198" t="s">
        <v>2464</v>
      </c>
      <c r="B111" s="199">
        <v>244258.0</v>
      </c>
      <c r="C111" s="200">
        <v>61630.0</v>
      </c>
      <c r="D111" s="198" t="s">
        <v>2465</v>
      </c>
      <c r="E111" s="198" t="s">
        <v>2218</v>
      </c>
      <c r="F111" s="198" t="s">
        <v>133</v>
      </c>
      <c r="G111" s="198" t="s">
        <v>1939</v>
      </c>
      <c r="H111" s="198" t="s">
        <v>2219</v>
      </c>
      <c r="I111" s="198">
        <v>1.68128470503E12</v>
      </c>
      <c r="J111" s="198">
        <v>9.17634346E8</v>
      </c>
      <c r="K111" s="198">
        <v>467.29</v>
      </c>
      <c r="L111" s="198">
        <v>32.71</v>
      </c>
      <c r="M111" s="198">
        <v>500.0</v>
      </c>
      <c r="N111" s="198"/>
    </row>
    <row r="112">
      <c r="A112" s="198" t="s">
        <v>2466</v>
      </c>
      <c r="B112" s="199">
        <v>244228.0</v>
      </c>
      <c r="C112" s="200">
        <v>61631.0</v>
      </c>
      <c r="D112" s="198" t="s">
        <v>2467</v>
      </c>
      <c r="E112" s="198" t="s">
        <v>2425</v>
      </c>
      <c r="F112" s="198" t="s">
        <v>133</v>
      </c>
      <c r="G112" s="198" t="s">
        <v>1939</v>
      </c>
      <c r="H112" s="198" t="s">
        <v>2468</v>
      </c>
      <c r="I112" s="198">
        <v>1.68128470503E12</v>
      </c>
      <c r="J112" s="198">
        <v>9.17634346E8</v>
      </c>
      <c r="K112" s="198">
        <v>467.29</v>
      </c>
      <c r="L112" s="198">
        <v>32.71</v>
      </c>
      <c r="M112" s="198">
        <v>500.0</v>
      </c>
      <c r="N112" s="198"/>
    </row>
    <row r="113">
      <c r="A113" s="198" t="s">
        <v>2469</v>
      </c>
      <c r="B113" s="199">
        <v>244228.0</v>
      </c>
      <c r="C113" s="200">
        <v>61631.0</v>
      </c>
      <c r="D113" s="198" t="s">
        <v>2470</v>
      </c>
      <c r="E113" s="198" t="s">
        <v>2471</v>
      </c>
      <c r="F113" s="198" t="s">
        <v>689</v>
      </c>
      <c r="G113" s="198" t="s">
        <v>1941</v>
      </c>
      <c r="H113" s="198" t="s">
        <v>2472</v>
      </c>
      <c r="I113" s="198">
        <v>1.46864771421E12</v>
      </c>
      <c r="J113" s="198">
        <v>9.48970725E8</v>
      </c>
      <c r="K113" s="198">
        <v>560.75</v>
      </c>
      <c r="L113" s="198">
        <v>39.25</v>
      </c>
      <c r="M113" s="198">
        <v>600.0</v>
      </c>
      <c r="N113" s="198"/>
    </row>
    <row r="114">
      <c r="A114" s="198" t="s">
        <v>2473</v>
      </c>
      <c r="B114" s="199">
        <v>244228.0</v>
      </c>
      <c r="C114" s="200">
        <v>61631.0</v>
      </c>
      <c r="D114" s="198" t="s">
        <v>2474</v>
      </c>
      <c r="E114" s="198" t="s">
        <v>2351</v>
      </c>
      <c r="F114" s="198" t="s">
        <v>88</v>
      </c>
      <c r="G114" s="198" t="s">
        <v>1939</v>
      </c>
      <c r="H114" s="198" t="s">
        <v>2027</v>
      </c>
      <c r="I114" s="198" t="s">
        <v>2027</v>
      </c>
      <c r="J114" s="198" t="s">
        <v>2027</v>
      </c>
      <c r="K114" s="198" t="s">
        <v>2027</v>
      </c>
      <c r="L114" s="198">
        <v>373.83</v>
      </c>
      <c r="M114" s="198">
        <v>26.17</v>
      </c>
      <c r="N114" s="198">
        <v>400.0</v>
      </c>
    </row>
    <row r="115">
      <c r="A115" s="198" t="s">
        <v>2475</v>
      </c>
      <c r="B115" s="199">
        <v>244228.0</v>
      </c>
      <c r="C115" s="200">
        <v>61632.0</v>
      </c>
      <c r="D115" s="198" t="s">
        <v>2476</v>
      </c>
      <c r="E115" s="198" t="s">
        <v>2477</v>
      </c>
      <c r="F115" s="198" t="s">
        <v>30</v>
      </c>
      <c r="G115" s="198" t="s">
        <v>1941</v>
      </c>
      <c r="H115" s="198" t="s">
        <v>2027</v>
      </c>
      <c r="I115" s="198" t="s">
        <v>2027</v>
      </c>
      <c r="J115" s="198" t="s">
        <v>2027</v>
      </c>
      <c r="K115" s="198" t="s">
        <v>2027</v>
      </c>
      <c r="L115" s="198">
        <v>467.29</v>
      </c>
      <c r="M115" s="198">
        <v>32.71</v>
      </c>
      <c r="N115" s="198">
        <v>500.0</v>
      </c>
    </row>
    <row r="116">
      <c r="A116" s="198" t="s">
        <v>2478</v>
      </c>
      <c r="B116" s="199">
        <v>244228.0</v>
      </c>
      <c r="C116" s="200">
        <v>61632.0</v>
      </c>
      <c r="D116" s="198" t="s">
        <v>2479</v>
      </c>
      <c r="E116" s="198" t="s">
        <v>2422</v>
      </c>
      <c r="F116" s="198" t="s">
        <v>18</v>
      </c>
      <c r="G116" s="198" t="s">
        <v>1939</v>
      </c>
      <c r="H116" s="198" t="s">
        <v>2027</v>
      </c>
      <c r="I116" s="198" t="s">
        <v>2027</v>
      </c>
      <c r="J116" s="198" t="s">
        <v>2027</v>
      </c>
      <c r="K116" s="198" t="s">
        <v>2027</v>
      </c>
      <c r="L116" s="198">
        <v>373.83</v>
      </c>
      <c r="M116" s="198">
        <v>26.17</v>
      </c>
      <c r="N116" s="198">
        <v>400.0</v>
      </c>
    </row>
    <row r="117">
      <c r="A117" s="198" t="s">
        <v>2480</v>
      </c>
      <c r="B117" s="199">
        <v>244228.0</v>
      </c>
      <c r="C117" s="200">
        <v>61632.0</v>
      </c>
      <c r="D117" s="198" t="s">
        <v>2481</v>
      </c>
      <c r="E117" s="198" t="s">
        <v>2354</v>
      </c>
      <c r="F117" s="198" t="s">
        <v>50</v>
      </c>
      <c r="G117" s="198" t="s">
        <v>1939</v>
      </c>
      <c r="H117" s="198" t="s">
        <v>2482</v>
      </c>
      <c r="I117" s="198">
        <v>1.46864771421E12</v>
      </c>
      <c r="J117" s="198">
        <v>9.48970725E8</v>
      </c>
      <c r="K117" s="198">
        <v>373.83</v>
      </c>
      <c r="L117" s="198">
        <v>26.17</v>
      </c>
      <c r="M117" s="198">
        <v>400.0</v>
      </c>
      <c r="N117" s="198"/>
    </row>
    <row r="118">
      <c r="A118" s="198" t="s">
        <v>2483</v>
      </c>
      <c r="B118" s="199">
        <v>244228.0</v>
      </c>
      <c r="C118" s="200">
        <v>61633.0</v>
      </c>
      <c r="D118" s="198" t="s">
        <v>2484</v>
      </c>
      <c r="E118" s="198" t="s">
        <v>2227</v>
      </c>
      <c r="F118" s="198" t="s">
        <v>46</v>
      </c>
      <c r="G118" s="198" t="s">
        <v>1939</v>
      </c>
      <c r="H118" s="198" t="s">
        <v>2027</v>
      </c>
      <c r="I118" s="198" t="s">
        <v>2027</v>
      </c>
      <c r="J118" s="198" t="s">
        <v>2027</v>
      </c>
      <c r="K118" s="198" t="s">
        <v>2027</v>
      </c>
      <c r="L118" s="198">
        <v>373.83</v>
      </c>
      <c r="M118" s="198">
        <v>26.17</v>
      </c>
      <c r="N118" s="198">
        <v>400.0</v>
      </c>
    </row>
    <row r="119">
      <c r="A119" s="198" t="s">
        <v>2485</v>
      </c>
      <c r="B119" s="199">
        <v>244228.0</v>
      </c>
      <c r="C119" s="200">
        <v>61633.0</v>
      </c>
      <c r="D119" s="198" t="s">
        <v>2486</v>
      </c>
      <c r="E119" s="198" t="s">
        <v>2397</v>
      </c>
      <c r="F119" s="198" t="s">
        <v>133</v>
      </c>
      <c r="G119" s="198" t="s">
        <v>1939</v>
      </c>
      <c r="H119" s="198" t="s">
        <v>2219</v>
      </c>
      <c r="I119" s="198">
        <v>1.68128470503E12</v>
      </c>
      <c r="J119" s="198">
        <v>9.17634346E8</v>
      </c>
      <c r="K119" s="198">
        <v>467.29</v>
      </c>
      <c r="L119" s="198">
        <v>32.71</v>
      </c>
      <c r="M119" s="198">
        <v>500.0</v>
      </c>
      <c r="N119" s="198"/>
    </row>
    <row r="120">
      <c r="A120" s="198" t="s">
        <v>2487</v>
      </c>
      <c r="B120" s="199">
        <v>244228.0</v>
      </c>
      <c r="C120" s="200">
        <v>61633.0</v>
      </c>
      <c r="D120" s="198" t="s">
        <v>2488</v>
      </c>
      <c r="E120" s="198" t="s">
        <v>2477</v>
      </c>
      <c r="F120" s="198" t="s">
        <v>689</v>
      </c>
      <c r="G120" s="198" t="s">
        <v>1941</v>
      </c>
      <c r="H120" s="198" t="s">
        <v>2031</v>
      </c>
      <c r="I120" s="198">
        <v>1.46864771421E12</v>
      </c>
      <c r="J120" s="198">
        <v>9.48970725E8</v>
      </c>
      <c r="K120" s="198">
        <v>560.75</v>
      </c>
      <c r="L120" s="198">
        <v>39.25</v>
      </c>
      <c r="M120" s="198">
        <v>600.0</v>
      </c>
      <c r="N120" s="198"/>
    </row>
    <row r="121">
      <c r="A121" s="198" t="s">
        <v>2489</v>
      </c>
      <c r="B121" s="199">
        <v>244228.0</v>
      </c>
      <c r="C121" s="200">
        <v>61634.0</v>
      </c>
      <c r="D121" s="198" t="s">
        <v>2490</v>
      </c>
      <c r="E121" s="198" t="s">
        <v>2273</v>
      </c>
      <c r="F121" s="198" t="s">
        <v>88</v>
      </c>
      <c r="G121" s="198" t="s">
        <v>1939</v>
      </c>
      <c r="H121" s="198" t="s">
        <v>2027</v>
      </c>
      <c r="I121" s="198" t="s">
        <v>2027</v>
      </c>
      <c r="J121" s="198" t="s">
        <v>2027</v>
      </c>
      <c r="K121" s="198" t="s">
        <v>2027</v>
      </c>
      <c r="L121" s="198">
        <v>373.83</v>
      </c>
      <c r="M121" s="198">
        <v>26.17</v>
      </c>
      <c r="N121" s="198">
        <v>400.0</v>
      </c>
    </row>
    <row r="122">
      <c r="A122" s="198" t="s">
        <v>2491</v>
      </c>
      <c r="B122" s="199">
        <v>244228.0</v>
      </c>
      <c r="C122" s="200">
        <v>61634.0</v>
      </c>
      <c r="D122" s="198" t="s">
        <v>2492</v>
      </c>
      <c r="E122" s="198" t="s">
        <v>2407</v>
      </c>
      <c r="F122" s="198" t="s">
        <v>30</v>
      </c>
      <c r="G122" s="198" t="s">
        <v>1941</v>
      </c>
      <c r="H122" s="198" t="s">
        <v>2027</v>
      </c>
      <c r="I122" s="198" t="s">
        <v>2027</v>
      </c>
      <c r="J122" s="198" t="s">
        <v>2027</v>
      </c>
      <c r="K122" s="198" t="s">
        <v>2027</v>
      </c>
      <c r="L122" s="198">
        <v>467.29</v>
      </c>
      <c r="M122" s="198">
        <v>32.71</v>
      </c>
      <c r="N122" s="198">
        <v>500.0</v>
      </c>
    </row>
    <row r="123">
      <c r="A123" s="198" t="s">
        <v>2493</v>
      </c>
      <c r="B123" s="199">
        <v>244228.0</v>
      </c>
      <c r="C123" s="200">
        <v>61634.0</v>
      </c>
      <c r="D123" s="198" t="s">
        <v>2494</v>
      </c>
      <c r="E123" s="198" t="s">
        <v>2194</v>
      </c>
      <c r="F123" s="198" t="s">
        <v>18</v>
      </c>
      <c r="G123" s="198" t="s">
        <v>1939</v>
      </c>
      <c r="H123" s="198" t="s">
        <v>2495</v>
      </c>
      <c r="I123" s="198">
        <v>1.842363725595E12</v>
      </c>
      <c r="J123" s="198">
        <v>8.25368143E8</v>
      </c>
      <c r="K123" s="198">
        <v>373.83</v>
      </c>
      <c r="L123" s="198">
        <v>26.17</v>
      </c>
      <c r="M123" s="198">
        <v>400.0</v>
      </c>
      <c r="N123" s="198"/>
    </row>
    <row r="124">
      <c r="A124" s="198" t="s">
        <v>2496</v>
      </c>
      <c r="B124" s="199">
        <v>244228.0</v>
      </c>
      <c r="C124" s="200">
        <v>61635.0</v>
      </c>
      <c r="D124" s="198" t="s">
        <v>2497</v>
      </c>
      <c r="E124" s="198" t="s">
        <v>2288</v>
      </c>
      <c r="F124" s="198" t="s">
        <v>50</v>
      </c>
      <c r="G124" s="198" t="s">
        <v>1939</v>
      </c>
      <c r="H124" s="198" t="s">
        <v>2027</v>
      </c>
      <c r="I124" s="198" t="s">
        <v>2027</v>
      </c>
      <c r="J124" s="198" t="s">
        <v>2027</v>
      </c>
      <c r="K124" s="198" t="s">
        <v>2027</v>
      </c>
      <c r="L124" s="198">
        <v>373.83</v>
      </c>
      <c r="M124" s="198">
        <v>26.17</v>
      </c>
      <c r="N124" s="198">
        <v>400.0</v>
      </c>
    </row>
    <row r="125">
      <c r="A125" s="198" t="s">
        <v>2498</v>
      </c>
      <c r="B125" s="199">
        <v>244228.0</v>
      </c>
      <c r="C125" s="200">
        <v>61635.0</v>
      </c>
      <c r="D125" s="198" t="s">
        <v>2499</v>
      </c>
      <c r="E125" s="198" t="s">
        <v>2500</v>
      </c>
      <c r="F125" s="198" t="s">
        <v>46</v>
      </c>
      <c r="G125" s="198" t="s">
        <v>1939</v>
      </c>
      <c r="H125" s="198" t="s">
        <v>2027</v>
      </c>
      <c r="I125" s="198" t="s">
        <v>2027</v>
      </c>
      <c r="J125" s="198" t="s">
        <v>2027</v>
      </c>
      <c r="K125" s="198" t="s">
        <v>2027</v>
      </c>
      <c r="L125" s="198">
        <v>373.83</v>
      </c>
      <c r="M125" s="198">
        <v>26.17</v>
      </c>
      <c r="N125" s="198">
        <v>400.0</v>
      </c>
    </row>
    <row r="126">
      <c r="A126" s="198" t="s">
        <v>2501</v>
      </c>
      <c r="B126" s="199">
        <v>244228.0</v>
      </c>
      <c r="C126" s="200">
        <v>61635.0</v>
      </c>
      <c r="D126" s="198" t="s">
        <v>2502</v>
      </c>
      <c r="E126" s="198" t="s">
        <v>2209</v>
      </c>
      <c r="F126" s="198" t="s">
        <v>30</v>
      </c>
      <c r="G126" s="198" t="s">
        <v>1941</v>
      </c>
      <c r="H126" s="198" t="s">
        <v>2027</v>
      </c>
      <c r="I126" s="198" t="s">
        <v>2027</v>
      </c>
      <c r="J126" s="198" t="s">
        <v>2027</v>
      </c>
      <c r="K126" s="198" t="s">
        <v>2027</v>
      </c>
      <c r="L126" s="198">
        <v>467.29</v>
      </c>
      <c r="M126" s="198">
        <v>32.71</v>
      </c>
      <c r="N126" s="198">
        <v>500.0</v>
      </c>
    </row>
    <row r="127">
      <c r="A127" s="198" t="s">
        <v>2503</v>
      </c>
      <c r="B127" s="199">
        <v>244228.0</v>
      </c>
      <c r="C127" s="200">
        <v>61636.0</v>
      </c>
      <c r="D127" s="198" t="s">
        <v>2504</v>
      </c>
      <c r="E127" s="198" t="s">
        <v>2422</v>
      </c>
      <c r="F127" s="198" t="s">
        <v>133</v>
      </c>
      <c r="G127" s="198" t="s">
        <v>1939</v>
      </c>
      <c r="H127" s="198" t="s">
        <v>2505</v>
      </c>
      <c r="I127" s="198">
        <v>1.68128470503E12</v>
      </c>
      <c r="J127" s="198">
        <v>9.17634346E8</v>
      </c>
      <c r="K127" s="198">
        <v>467.29</v>
      </c>
      <c r="L127" s="198">
        <v>32.71</v>
      </c>
      <c r="M127" s="198">
        <v>500.0</v>
      </c>
      <c r="N127" s="198"/>
    </row>
    <row r="128">
      <c r="A128" s="198" t="s">
        <v>2506</v>
      </c>
      <c r="B128" s="199">
        <v>244228.0</v>
      </c>
      <c r="C128" s="200">
        <v>61636.0</v>
      </c>
      <c r="D128" s="198" t="s">
        <v>2507</v>
      </c>
      <c r="E128" s="198" t="s">
        <v>2199</v>
      </c>
      <c r="F128" s="198" t="s">
        <v>689</v>
      </c>
      <c r="G128" s="198" t="s">
        <v>1941</v>
      </c>
      <c r="H128" s="198" t="s">
        <v>2508</v>
      </c>
      <c r="I128" s="198">
        <v>1.46864771421E12</v>
      </c>
      <c r="J128" s="198">
        <v>9.48970725E8</v>
      </c>
      <c r="K128" s="198">
        <v>560.75</v>
      </c>
      <c r="L128" s="198">
        <v>39.25</v>
      </c>
      <c r="M128" s="198">
        <v>600.0</v>
      </c>
      <c r="N128" s="198"/>
    </row>
    <row r="129">
      <c r="A129" s="198" t="s">
        <v>2509</v>
      </c>
      <c r="B129" s="199">
        <v>244228.0</v>
      </c>
      <c r="C129" s="200">
        <v>61636.0</v>
      </c>
      <c r="D129" s="198" t="s">
        <v>2510</v>
      </c>
      <c r="E129" s="198" t="s">
        <v>2422</v>
      </c>
      <c r="F129" s="198" t="s">
        <v>88</v>
      </c>
      <c r="G129" s="198" t="s">
        <v>1939</v>
      </c>
      <c r="H129" s="198" t="s">
        <v>2027</v>
      </c>
      <c r="I129" s="198" t="s">
        <v>2027</v>
      </c>
      <c r="J129" s="198" t="s">
        <v>2027</v>
      </c>
      <c r="K129" s="198" t="s">
        <v>2027</v>
      </c>
      <c r="L129" s="198">
        <v>373.83</v>
      </c>
      <c r="M129" s="198">
        <v>26.17</v>
      </c>
      <c r="N129" s="198">
        <v>400.0</v>
      </c>
    </row>
    <row r="130">
      <c r="A130" s="198" t="s">
        <v>2511</v>
      </c>
      <c r="B130" s="199">
        <v>244228.0</v>
      </c>
      <c r="C130" s="200">
        <v>61636.0</v>
      </c>
      <c r="D130" s="198" t="s">
        <v>2512</v>
      </c>
      <c r="E130" s="198" t="s">
        <v>2206</v>
      </c>
      <c r="F130" s="198" t="s">
        <v>30</v>
      </c>
      <c r="G130" s="198" t="s">
        <v>1941</v>
      </c>
      <c r="H130" s="198" t="s">
        <v>2027</v>
      </c>
      <c r="I130" s="198" t="s">
        <v>2027</v>
      </c>
      <c r="J130" s="198" t="s">
        <v>2027</v>
      </c>
      <c r="K130" s="198" t="s">
        <v>2027</v>
      </c>
      <c r="L130" s="198">
        <v>467.29</v>
      </c>
      <c r="M130" s="198">
        <v>32.71</v>
      </c>
      <c r="N130" s="198">
        <v>500.0</v>
      </c>
    </row>
    <row r="131">
      <c r="A131" s="198" t="s">
        <v>2513</v>
      </c>
      <c r="B131" s="199">
        <v>244228.0</v>
      </c>
      <c r="C131" s="200">
        <v>61636.0</v>
      </c>
      <c r="D131" s="198" t="s">
        <v>2514</v>
      </c>
      <c r="E131" s="198" t="s">
        <v>2206</v>
      </c>
      <c r="F131" s="198" t="s">
        <v>18</v>
      </c>
      <c r="G131" s="198" t="s">
        <v>1939</v>
      </c>
      <c r="H131" s="198" t="s">
        <v>2027</v>
      </c>
      <c r="I131" s="198" t="s">
        <v>2027</v>
      </c>
      <c r="J131" s="198" t="s">
        <v>2027</v>
      </c>
      <c r="K131" s="198" t="s">
        <v>2027</v>
      </c>
      <c r="L131" s="198">
        <v>373.83</v>
      </c>
      <c r="M131" s="198">
        <v>26.17</v>
      </c>
      <c r="N131" s="198">
        <v>400.0</v>
      </c>
    </row>
    <row r="132">
      <c r="A132" s="198" t="s">
        <v>2515</v>
      </c>
      <c r="B132" s="199">
        <v>244228.0</v>
      </c>
      <c r="C132" s="200">
        <v>61636.0</v>
      </c>
      <c r="D132" s="198" t="s">
        <v>2516</v>
      </c>
      <c r="E132" s="198" t="s">
        <v>2199</v>
      </c>
      <c r="F132" s="198" t="s">
        <v>50</v>
      </c>
      <c r="G132" s="198" t="s">
        <v>1939</v>
      </c>
      <c r="H132" s="198" t="s">
        <v>2027</v>
      </c>
      <c r="I132" s="198" t="s">
        <v>2027</v>
      </c>
      <c r="J132" s="198" t="s">
        <v>2027</v>
      </c>
      <c r="K132" s="198" t="s">
        <v>2027</v>
      </c>
      <c r="L132" s="198">
        <v>373.83</v>
      </c>
      <c r="M132" s="198">
        <v>26.17</v>
      </c>
      <c r="N132" s="198">
        <v>400.0</v>
      </c>
    </row>
    <row r="133">
      <c r="A133" s="198" t="s">
        <v>2517</v>
      </c>
      <c r="B133" s="199">
        <v>244228.0</v>
      </c>
      <c r="C133" s="200">
        <v>61636.0</v>
      </c>
      <c r="D133" s="198" t="s">
        <v>2518</v>
      </c>
      <c r="E133" s="198" t="s">
        <v>2422</v>
      </c>
      <c r="F133" s="198" t="s">
        <v>46</v>
      </c>
      <c r="G133" s="198" t="s">
        <v>1939</v>
      </c>
      <c r="H133" s="198" t="s">
        <v>2027</v>
      </c>
      <c r="I133" s="198" t="s">
        <v>2027</v>
      </c>
      <c r="J133" s="198" t="s">
        <v>2027</v>
      </c>
      <c r="K133" s="198" t="s">
        <v>2027</v>
      </c>
      <c r="L133" s="198">
        <v>373.83</v>
      </c>
      <c r="M133" s="198">
        <v>26.17</v>
      </c>
      <c r="N133" s="198">
        <v>400.0</v>
      </c>
    </row>
    <row r="134">
      <c r="A134" s="198" t="s">
        <v>2519</v>
      </c>
      <c r="B134" s="199">
        <v>244228.0</v>
      </c>
      <c r="C134" s="200">
        <v>61636.0</v>
      </c>
      <c r="D134" s="198" t="s">
        <v>2520</v>
      </c>
      <c r="E134" s="198" t="s">
        <v>2201</v>
      </c>
      <c r="F134" s="198" t="s">
        <v>133</v>
      </c>
      <c r="G134" s="198" t="s">
        <v>1939</v>
      </c>
      <c r="H134" s="198" t="s">
        <v>2027</v>
      </c>
      <c r="I134" s="198" t="s">
        <v>2027</v>
      </c>
      <c r="J134" s="198" t="s">
        <v>2027</v>
      </c>
      <c r="K134" s="198" t="s">
        <v>2027</v>
      </c>
      <c r="L134" s="198">
        <v>467.29</v>
      </c>
      <c r="M134" s="198">
        <v>32.71</v>
      </c>
      <c r="N134" s="198">
        <v>500.0</v>
      </c>
    </row>
    <row r="135">
      <c r="A135" s="198" t="s">
        <v>2521</v>
      </c>
      <c r="B135" s="199">
        <v>244228.0</v>
      </c>
      <c r="C135" s="200">
        <v>61636.0</v>
      </c>
      <c r="D135" s="198" t="s">
        <v>2522</v>
      </c>
      <c r="E135" s="198" t="s">
        <v>2187</v>
      </c>
      <c r="F135" s="198" t="s">
        <v>689</v>
      </c>
      <c r="G135" s="198" t="s">
        <v>1941</v>
      </c>
      <c r="H135" s="198" t="s">
        <v>2027</v>
      </c>
      <c r="I135" s="198" t="s">
        <v>2027</v>
      </c>
      <c r="J135" s="198" t="s">
        <v>2027</v>
      </c>
      <c r="K135" s="198" t="s">
        <v>2027</v>
      </c>
      <c r="L135" s="198">
        <v>560.75</v>
      </c>
      <c r="M135" s="198">
        <v>39.25</v>
      </c>
      <c r="N135" s="198">
        <v>600.0</v>
      </c>
    </row>
    <row r="136">
      <c r="A136" s="198" t="s">
        <v>2523</v>
      </c>
      <c r="B136" s="199">
        <v>244228.0</v>
      </c>
      <c r="C136" s="200">
        <v>61636.0</v>
      </c>
      <c r="D136" s="198" t="s">
        <v>2524</v>
      </c>
      <c r="E136" s="198" t="s">
        <v>2194</v>
      </c>
      <c r="F136" s="198" t="s">
        <v>88</v>
      </c>
      <c r="G136" s="198" t="s">
        <v>1939</v>
      </c>
      <c r="H136" s="198" t="s">
        <v>2027</v>
      </c>
      <c r="I136" s="198" t="s">
        <v>2027</v>
      </c>
      <c r="J136" s="198" t="s">
        <v>2027</v>
      </c>
      <c r="K136" s="198" t="s">
        <v>2027</v>
      </c>
      <c r="L136" s="198">
        <v>373.83</v>
      </c>
      <c r="M136" s="198">
        <v>26.17</v>
      </c>
      <c r="N136" s="198">
        <v>400.0</v>
      </c>
    </row>
    <row r="137">
      <c r="A137" s="198" t="s">
        <v>2525</v>
      </c>
      <c r="B137" s="199">
        <v>244228.0</v>
      </c>
      <c r="C137" s="200">
        <v>61636.0</v>
      </c>
      <c r="D137" s="198" t="s">
        <v>2526</v>
      </c>
      <c r="E137" s="198" t="s">
        <v>2209</v>
      </c>
      <c r="F137" s="198" t="s">
        <v>30</v>
      </c>
      <c r="G137" s="198" t="s">
        <v>1941</v>
      </c>
      <c r="H137" s="198" t="s">
        <v>2027</v>
      </c>
      <c r="I137" s="198" t="s">
        <v>2027</v>
      </c>
      <c r="J137" s="198" t="s">
        <v>2027</v>
      </c>
      <c r="K137" s="198" t="s">
        <v>2027</v>
      </c>
      <c r="L137" s="198">
        <v>467.29</v>
      </c>
      <c r="M137" s="198">
        <v>32.71</v>
      </c>
      <c r="N137" s="198">
        <v>500.0</v>
      </c>
    </row>
    <row r="138">
      <c r="A138" s="198" t="s">
        <v>2527</v>
      </c>
      <c r="B138" s="199">
        <v>244228.0</v>
      </c>
      <c r="C138" s="200">
        <v>61636.0</v>
      </c>
      <c r="D138" s="198" t="s">
        <v>2528</v>
      </c>
      <c r="E138" s="198" t="s">
        <v>2206</v>
      </c>
      <c r="F138" s="198" t="s">
        <v>18</v>
      </c>
      <c r="G138" s="198" t="s">
        <v>1939</v>
      </c>
      <c r="H138" s="198" t="s">
        <v>2027</v>
      </c>
      <c r="I138" s="198" t="s">
        <v>2027</v>
      </c>
      <c r="J138" s="198" t="s">
        <v>2027</v>
      </c>
      <c r="K138" s="198" t="s">
        <v>2027</v>
      </c>
      <c r="L138" s="198">
        <v>373.83</v>
      </c>
      <c r="M138" s="198">
        <v>26.17</v>
      </c>
      <c r="N138" s="198">
        <v>400.0</v>
      </c>
    </row>
    <row r="139">
      <c r="A139" s="198" t="s">
        <v>2529</v>
      </c>
      <c r="B139" s="199">
        <v>244228.0</v>
      </c>
      <c r="C139" s="200">
        <v>61636.0</v>
      </c>
      <c r="D139" s="198" t="s">
        <v>2530</v>
      </c>
      <c r="E139" s="198" t="s">
        <v>2422</v>
      </c>
      <c r="F139" s="198" t="s">
        <v>50</v>
      </c>
      <c r="G139" s="198" t="s">
        <v>1939</v>
      </c>
      <c r="H139" s="198" t="s">
        <v>2027</v>
      </c>
      <c r="I139" s="198" t="s">
        <v>2027</v>
      </c>
      <c r="J139" s="198" t="s">
        <v>2027</v>
      </c>
      <c r="K139" s="198" t="s">
        <v>2027</v>
      </c>
      <c r="L139" s="198">
        <v>373.83</v>
      </c>
      <c r="M139" s="198">
        <v>26.17</v>
      </c>
      <c r="N139" s="198">
        <v>400.0</v>
      </c>
    </row>
    <row r="140">
      <c r="A140" s="198" t="s">
        <v>2531</v>
      </c>
      <c r="B140" s="199">
        <v>244228.0</v>
      </c>
      <c r="C140" s="200">
        <v>61636.0</v>
      </c>
      <c r="D140" s="198" t="s">
        <v>2532</v>
      </c>
      <c r="E140" s="198" t="s">
        <v>2206</v>
      </c>
      <c r="F140" s="198" t="s">
        <v>46</v>
      </c>
      <c r="G140" s="198" t="s">
        <v>1939</v>
      </c>
      <c r="H140" s="198" t="s">
        <v>2027</v>
      </c>
      <c r="I140" s="198" t="s">
        <v>2027</v>
      </c>
      <c r="J140" s="198" t="s">
        <v>2027</v>
      </c>
      <c r="K140" s="198" t="s">
        <v>2027</v>
      </c>
      <c r="L140" s="198">
        <v>373.83</v>
      </c>
      <c r="M140" s="198">
        <v>26.17</v>
      </c>
      <c r="N140" s="198">
        <v>400.0</v>
      </c>
    </row>
    <row r="141">
      <c r="A141" s="198" t="s">
        <v>2533</v>
      </c>
      <c r="B141" s="199">
        <v>244258.0</v>
      </c>
      <c r="C141" s="200">
        <v>61614.0</v>
      </c>
      <c r="D141" s="201">
        <v>45667.0</v>
      </c>
      <c r="E141" s="198" t="s">
        <v>2285</v>
      </c>
      <c r="F141" s="198" t="s">
        <v>133</v>
      </c>
      <c r="G141" s="198" t="s">
        <v>1939</v>
      </c>
      <c r="H141" s="198" t="s">
        <v>2027</v>
      </c>
      <c r="I141" s="198" t="s">
        <v>2027</v>
      </c>
      <c r="J141" s="198" t="s">
        <v>2027</v>
      </c>
      <c r="K141" s="198" t="s">
        <v>2027</v>
      </c>
      <c r="L141" s="198">
        <v>467.29</v>
      </c>
      <c r="M141" s="198">
        <v>32.71</v>
      </c>
      <c r="N141" s="198">
        <v>500.0</v>
      </c>
    </row>
    <row r="142">
      <c r="A142" s="198" t="s">
        <v>2534</v>
      </c>
      <c r="B142" s="199">
        <v>244258.0</v>
      </c>
      <c r="C142" s="200">
        <v>61615.0</v>
      </c>
      <c r="D142" s="201">
        <v>45698.0</v>
      </c>
      <c r="E142" s="198" t="s">
        <v>2273</v>
      </c>
      <c r="F142" s="198" t="s">
        <v>689</v>
      </c>
      <c r="G142" s="198" t="s">
        <v>1941</v>
      </c>
      <c r="H142" s="198" t="s">
        <v>2027</v>
      </c>
      <c r="I142" s="198" t="s">
        <v>2027</v>
      </c>
      <c r="J142" s="198" t="s">
        <v>2027</v>
      </c>
      <c r="K142" s="198" t="s">
        <v>2027</v>
      </c>
      <c r="L142" s="198">
        <v>560.75</v>
      </c>
      <c r="M142" s="198">
        <v>39.25</v>
      </c>
      <c r="N142" s="198">
        <v>600.0</v>
      </c>
    </row>
    <row r="143">
      <c r="A143" s="198" t="s">
        <v>2535</v>
      </c>
      <c r="B143" s="199">
        <v>244258.0</v>
      </c>
      <c r="C143" s="200">
        <v>61615.0</v>
      </c>
      <c r="D143" s="201">
        <v>45726.0</v>
      </c>
      <c r="E143" s="198" t="s">
        <v>2194</v>
      </c>
      <c r="F143" s="198" t="s">
        <v>88</v>
      </c>
      <c r="G143" s="198" t="s">
        <v>1939</v>
      </c>
      <c r="H143" s="198" t="s">
        <v>2536</v>
      </c>
      <c r="I143" s="198">
        <v>1.842363725595E12</v>
      </c>
      <c r="J143" s="198">
        <v>8.25368143E8</v>
      </c>
      <c r="K143" s="198">
        <v>373.83</v>
      </c>
      <c r="L143" s="198">
        <v>26.17</v>
      </c>
      <c r="M143" s="198">
        <v>400.0</v>
      </c>
      <c r="N143" s="198"/>
    </row>
    <row r="144">
      <c r="A144" s="198" t="s">
        <v>2537</v>
      </c>
      <c r="B144" s="199">
        <v>244258.0</v>
      </c>
      <c r="C144" s="200">
        <v>61615.0</v>
      </c>
      <c r="D144" s="201">
        <v>45757.0</v>
      </c>
      <c r="E144" s="198" t="s">
        <v>2197</v>
      </c>
      <c r="F144" s="198" t="s">
        <v>30</v>
      </c>
      <c r="G144" s="198" t="s">
        <v>1941</v>
      </c>
      <c r="H144" s="198" t="s">
        <v>2027</v>
      </c>
      <c r="I144" s="198" t="s">
        <v>2027</v>
      </c>
      <c r="J144" s="198" t="s">
        <v>2027</v>
      </c>
      <c r="K144" s="198" t="s">
        <v>2027</v>
      </c>
      <c r="L144" s="198">
        <v>467.29</v>
      </c>
      <c r="M144" s="198">
        <v>32.71</v>
      </c>
      <c r="N144" s="198">
        <v>500.0</v>
      </c>
    </row>
    <row r="145">
      <c r="A145" s="198" t="s">
        <v>2538</v>
      </c>
      <c r="B145" s="199">
        <v>244258.0</v>
      </c>
      <c r="C145" s="200">
        <v>61615.0</v>
      </c>
      <c r="D145" s="201">
        <v>45787.0</v>
      </c>
      <c r="E145" s="198" t="s">
        <v>2199</v>
      </c>
      <c r="F145" s="198" t="s">
        <v>18</v>
      </c>
      <c r="G145" s="198" t="s">
        <v>1939</v>
      </c>
      <c r="H145" s="198" t="s">
        <v>2027</v>
      </c>
      <c r="I145" s="198" t="s">
        <v>2027</v>
      </c>
      <c r="J145" s="198" t="s">
        <v>2027</v>
      </c>
      <c r="K145" s="198" t="s">
        <v>2027</v>
      </c>
      <c r="L145" s="198">
        <v>373.83</v>
      </c>
      <c r="M145" s="198">
        <v>26.17</v>
      </c>
      <c r="N145" s="198">
        <v>400.0</v>
      </c>
    </row>
    <row r="146">
      <c r="A146" s="198" t="s">
        <v>2539</v>
      </c>
      <c r="B146" s="199">
        <v>244258.0</v>
      </c>
      <c r="C146" s="200">
        <v>61616.0</v>
      </c>
      <c r="D146" s="201">
        <v>45818.0</v>
      </c>
      <c r="E146" s="198" t="s">
        <v>2206</v>
      </c>
      <c r="F146" s="198" t="s">
        <v>50</v>
      </c>
      <c r="G146" s="198" t="s">
        <v>1939</v>
      </c>
      <c r="H146" s="198" t="s">
        <v>2540</v>
      </c>
      <c r="I146" s="198">
        <v>1.46864771421E12</v>
      </c>
      <c r="J146" s="198">
        <v>9.48970725E8</v>
      </c>
      <c r="K146" s="198">
        <v>373.83</v>
      </c>
      <c r="L146" s="198">
        <v>26.17</v>
      </c>
      <c r="M146" s="198">
        <v>400.0</v>
      </c>
      <c r="N146" s="198"/>
    </row>
    <row r="147">
      <c r="A147" s="198" t="s">
        <v>2541</v>
      </c>
      <c r="B147" s="199">
        <v>244258.0</v>
      </c>
      <c r="C147" s="200">
        <v>61616.0</v>
      </c>
      <c r="D147" s="201">
        <v>45848.0</v>
      </c>
      <c r="E147" s="198" t="s">
        <v>2194</v>
      </c>
      <c r="F147" s="198" t="s">
        <v>46</v>
      </c>
      <c r="G147" s="198" t="s">
        <v>1939</v>
      </c>
      <c r="H147" s="198" t="s">
        <v>2027</v>
      </c>
      <c r="I147" s="198" t="s">
        <v>2027</v>
      </c>
      <c r="J147" s="198" t="s">
        <v>2027</v>
      </c>
      <c r="K147" s="198" t="s">
        <v>2027</v>
      </c>
      <c r="L147" s="198">
        <v>373.83</v>
      </c>
      <c r="M147" s="198">
        <v>26.17</v>
      </c>
      <c r="N147" s="198">
        <v>400.0</v>
      </c>
    </row>
    <row r="148">
      <c r="A148" s="198" t="s">
        <v>2542</v>
      </c>
      <c r="B148" s="199">
        <v>244258.0</v>
      </c>
      <c r="C148" s="200">
        <v>61616.0</v>
      </c>
      <c r="D148" s="201">
        <v>45879.0</v>
      </c>
      <c r="E148" s="198" t="s">
        <v>2209</v>
      </c>
      <c r="F148" s="198" t="s">
        <v>133</v>
      </c>
      <c r="G148" s="198" t="s">
        <v>1939</v>
      </c>
      <c r="H148" s="198" t="s">
        <v>2543</v>
      </c>
      <c r="I148" s="198">
        <v>1.68128470503E12</v>
      </c>
      <c r="J148" s="198">
        <v>9.17634346E8</v>
      </c>
      <c r="K148" s="198">
        <v>467.29</v>
      </c>
      <c r="L148" s="198">
        <v>32.71</v>
      </c>
      <c r="M148" s="198">
        <v>500.0</v>
      </c>
      <c r="N148" s="198"/>
    </row>
    <row r="149">
      <c r="A149" s="198" t="s">
        <v>2544</v>
      </c>
      <c r="B149" s="199">
        <v>244258.0</v>
      </c>
      <c r="C149" s="200">
        <v>61617.0</v>
      </c>
      <c r="D149" s="201">
        <v>45910.0</v>
      </c>
      <c r="E149" s="198" t="s">
        <v>2218</v>
      </c>
      <c r="F149" s="198" t="s">
        <v>689</v>
      </c>
      <c r="G149" s="198" t="s">
        <v>1941</v>
      </c>
      <c r="H149" s="198" t="s">
        <v>2031</v>
      </c>
      <c r="I149" s="198">
        <v>1.46864771421E12</v>
      </c>
      <c r="J149" s="198">
        <v>9.48970725E8</v>
      </c>
      <c r="K149" s="198">
        <v>560.75</v>
      </c>
      <c r="L149" s="198">
        <v>39.25</v>
      </c>
      <c r="M149" s="198">
        <v>600.0</v>
      </c>
      <c r="N149" s="198"/>
    </row>
    <row r="150">
      <c r="A150" s="198" t="s">
        <v>2545</v>
      </c>
      <c r="B150" s="199">
        <v>244258.0</v>
      </c>
      <c r="C150" s="200">
        <v>61617.0</v>
      </c>
      <c r="D150" s="202">
        <v>45940.0</v>
      </c>
      <c r="E150" s="198" t="s">
        <v>2187</v>
      </c>
      <c r="F150" s="198" t="s">
        <v>88</v>
      </c>
      <c r="G150" s="198" t="s">
        <v>1939</v>
      </c>
      <c r="H150" s="198" t="s">
        <v>2027</v>
      </c>
      <c r="I150" s="198" t="s">
        <v>2027</v>
      </c>
      <c r="J150" s="198" t="s">
        <v>2027</v>
      </c>
      <c r="K150" s="198" t="s">
        <v>2027</v>
      </c>
      <c r="L150" s="198">
        <v>373.83</v>
      </c>
      <c r="M150" s="198">
        <v>26.17</v>
      </c>
      <c r="N150" s="198">
        <v>400.0</v>
      </c>
    </row>
    <row r="151">
      <c r="A151" s="198" t="s">
        <v>2546</v>
      </c>
      <c r="B151" s="199">
        <v>244258.0</v>
      </c>
      <c r="C151" s="200">
        <v>61617.0</v>
      </c>
      <c r="D151" s="202">
        <v>45971.0</v>
      </c>
      <c r="E151" s="198" t="s">
        <v>2288</v>
      </c>
      <c r="F151" s="198" t="s">
        <v>30</v>
      </c>
      <c r="G151" s="198" t="s">
        <v>1941</v>
      </c>
      <c r="H151" s="198" t="s">
        <v>2027</v>
      </c>
      <c r="I151" s="198" t="s">
        <v>2027</v>
      </c>
      <c r="J151" s="198" t="s">
        <v>2027</v>
      </c>
      <c r="K151" s="198" t="s">
        <v>2027</v>
      </c>
      <c r="L151" s="198">
        <v>467.29</v>
      </c>
      <c r="M151" s="198">
        <v>32.71</v>
      </c>
      <c r="N151" s="198">
        <v>500.0</v>
      </c>
    </row>
    <row r="152">
      <c r="A152" s="198" t="s">
        <v>2547</v>
      </c>
      <c r="B152" s="199">
        <v>244258.0</v>
      </c>
      <c r="C152" s="200">
        <v>61618.0</v>
      </c>
      <c r="D152" s="202">
        <v>46001.0</v>
      </c>
      <c r="E152" s="198" t="s">
        <v>2351</v>
      </c>
      <c r="F152" s="198" t="s">
        <v>18</v>
      </c>
      <c r="G152" s="198" t="s">
        <v>1939</v>
      </c>
      <c r="H152" s="198" t="s">
        <v>2027</v>
      </c>
      <c r="I152" s="198" t="s">
        <v>2027</v>
      </c>
      <c r="J152" s="198" t="s">
        <v>2027</v>
      </c>
      <c r="K152" s="198" t="s">
        <v>2027</v>
      </c>
      <c r="L152" s="198">
        <v>373.83</v>
      </c>
      <c r="M152" s="198">
        <v>26.17</v>
      </c>
      <c r="N152" s="198">
        <v>400.0</v>
      </c>
    </row>
    <row r="153">
      <c r="A153" s="198" t="s">
        <v>2548</v>
      </c>
      <c r="B153" s="199">
        <v>244258.0</v>
      </c>
      <c r="C153" s="200">
        <v>61618.0</v>
      </c>
      <c r="D153" s="198" t="s">
        <v>2549</v>
      </c>
      <c r="E153" s="198" t="s">
        <v>2422</v>
      </c>
      <c r="F153" s="198" t="s">
        <v>50</v>
      </c>
      <c r="G153" s="198" t="s">
        <v>1939</v>
      </c>
      <c r="H153" s="198" t="s">
        <v>2033</v>
      </c>
      <c r="I153" s="198">
        <v>1.46864771421E12</v>
      </c>
      <c r="J153" s="198">
        <v>9.48970725E8</v>
      </c>
      <c r="K153" s="198">
        <v>373.83</v>
      </c>
      <c r="L153" s="198">
        <v>26.17</v>
      </c>
      <c r="M153" s="198">
        <v>400.0</v>
      </c>
      <c r="N153" s="198"/>
    </row>
    <row r="154">
      <c r="A154" s="198" t="s">
        <v>2550</v>
      </c>
      <c r="B154" s="199">
        <v>244258.0</v>
      </c>
      <c r="C154" s="200">
        <v>61618.0</v>
      </c>
      <c r="D154" s="198" t="s">
        <v>2551</v>
      </c>
      <c r="E154" s="198" t="s">
        <v>2209</v>
      </c>
      <c r="F154" s="198" t="s">
        <v>46</v>
      </c>
      <c r="G154" s="198" t="s">
        <v>1939</v>
      </c>
      <c r="H154" s="198" t="s">
        <v>2027</v>
      </c>
      <c r="I154" s="198" t="s">
        <v>2027</v>
      </c>
      <c r="J154" s="198" t="s">
        <v>2027</v>
      </c>
      <c r="K154" s="198" t="s">
        <v>2027</v>
      </c>
      <c r="L154" s="198">
        <v>373.83</v>
      </c>
      <c r="M154" s="198">
        <v>26.17</v>
      </c>
      <c r="N154" s="198">
        <v>400.0</v>
      </c>
    </row>
    <row r="155">
      <c r="A155" s="198" t="s">
        <v>2552</v>
      </c>
      <c r="B155" s="199">
        <v>244258.0</v>
      </c>
      <c r="C155" s="200">
        <v>61619.0</v>
      </c>
      <c r="D155" s="198" t="s">
        <v>2553</v>
      </c>
      <c r="E155" s="198" t="s">
        <v>2251</v>
      </c>
      <c r="F155" s="198" t="s">
        <v>133</v>
      </c>
      <c r="G155" s="198" t="s">
        <v>1939</v>
      </c>
      <c r="H155" s="198" t="s">
        <v>2219</v>
      </c>
      <c r="I155" s="198">
        <v>1.68128470503E12</v>
      </c>
      <c r="J155" s="198">
        <v>9.17634346E8</v>
      </c>
      <c r="K155" s="198">
        <v>467.29</v>
      </c>
      <c r="L155" s="198">
        <v>32.71</v>
      </c>
      <c r="M155" s="198">
        <v>500.0</v>
      </c>
      <c r="N155" s="198"/>
    </row>
    <row r="156">
      <c r="A156" s="198" t="s">
        <v>2554</v>
      </c>
      <c r="B156" s="199">
        <v>244258.0</v>
      </c>
      <c r="C156" s="200">
        <v>61619.0</v>
      </c>
      <c r="D156" s="198" t="s">
        <v>2555</v>
      </c>
      <c r="E156" s="198" t="s">
        <v>2194</v>
      </c>
      <c r="F156" s="198" t="s">
        <v>689</v>
      </c>
      <c r="G156" s="198" t="s">
        <v>1941</v>
      </c>
      <c r="H156" s="198" t="s">
        <v>2031</v>
      </c>
      <c r="I156" s="198">
        <v>1.46864771421E12</v>
      </c>
      <c r="J156" s="198">
        <v>9.48970725E8</v>
      </c>
      <c r="K156" s="198">
        <v>560.75</v>
      </c>
      <c r="L156" s="198">
        <v>39.25</v>
      </c>
      <c r="M156" s="198">
        <v>600.0</v>
      </c>
      <c r="N156" s="198"/>
    </row>
    <row r="157">
      <c r="A157" s="198" t="s">
        <v>2556</v>
      </c>
      <c r="B157" s="199">
        <v>244258.0</v>
      </c>
      <c r="C157" s="200">
        <v>61619.0</v>
      </c>
      <c r="D157" s="198" t="s">
        <v>2557</v>
      </c>
      <c r="E157" s="198" t="s">
        <v>2199</v>
      </c>
      <c r="F157" s="198" t="s">
        <v>88</v>
      </c>
      <c r="G157" s="198" t="s">
        <v>1939</v>
      </c>
      <c r="H157" s="198" t="s">
        <v>2027</v>
      </c>
      <c r="I157" s="198" t="s">
        <v>2027</v>
      </c>
      <c r="J157" s="198" t="s">
        <v>2027</v>
      </c>
      <c r="K157" s="198" t="s">
        <v>2027</v>
      </c>
      <c r="L157" s="198">
        <v>373.83</v>
      </c>
      <c r="M157" s="198">
        <v>26.17</v>
      </c>
      <c r="N157" s="198">
        <v>400.0</v>
      </c>
    </row>
    <row r="158">
      <c r="A158" s="198" t="s">
        <v>2558</v>
      </c>
      <c r="B158" s="199">
        <v>244258.0</v>
      </c>
      <c r="C158" s="200">
        <v>61620.0</v>
      </c>
      <c r="D158" s="198" t="s">
        <v>2559</v>
      </c>
      <c r="E158" s="198" t="s">
        <v>2397</v>
      </c>
      <c r="F158" s="198" t="s">
        <v>30</v>
      </c>
      <c r="G158" s="198" t="s">
        <v>1941</v>
      </c>
      <c r="H158" s="198" t="s">
        <v>2027</v>
      </c>
      <c r="I158" s="198" t="s">
        <v>2027</v>
      </c>
      <c r="J158" s="198" t="s">
        <v>2027</v>
      </c>
      <c r="K158" s="198" t="s">
        <v>2027</v>
      </c>
      <c r="L158" s="198">
        <v>467.29</v>
      </c>
      <c r="M158" s="198">
        <v>32.71</v>
      </c>
      <c r="N158" s="198">
        <v>500.0</v>
      </c>
    </row>
    <row r="159">
      <c r="A159" s="198" t="s">
        <v>2560</v>
      </c>
      <c r="B159" s="199">
        <v>244258.0</v>
      </c>
      <c r="C159" s="200">
        <v>61620.0</v>
      </c>
      <c r="D159" s="198" t="s">
        <v>2561</v>
      </c>
      <c r="E159" s="198" t="s">
        <v>2562</v>
      </c>
      <c r="F159" s="198" t="s">
        <v>18</v>
      </c>
      <c r="G159" s="198" t="s">
        <v>1939</v>
      </c>
      <c r="H159" s="198" t="s">
        <v>2027</v>
      </c>
      <c r="I159" s="198" t="s">
        <v>2027</v>
      </c>
      <c r="J159" s="198" t="s">
        <v>2027</v>
      </c>
      <c r="K159" s="198" t="s">
        <v>2027</v>
      </c>
      <c r="L159" s="198">
        <v>373.83</v>
      </c>
      <c r="M159" s="198">
        <v>26.17</v>
      </c>
      <c r="N159" s="198">
        <v>400.0</v>
      </c>
    </row>
    <row r="160">
      <c r="A160" s="198" t="s">
        <v>2563</v>
      </c>
      <c r="B160" s="199">
        <v>244258.0</v>
      </c>
      <c r="C160" s="200">
        <v>61620.0</v>
      </c>
      <c r="D160" s="198" t="s">
        <v>2564</v>
      </c>
      <c r="E160" s="198" t="s">
        <v>2288</v>
      </c>
      <c r="F160" s="198" t="s">
        <v>50</v>
      </c>
      <c r="G160" s="198" t="s">
        <v>1939</v>
      </c>
      <c r="H160" s="198" t="s">
        <v>2033</v>
      </c>
      <c r="I160" s="198">
        <v>1.46864771421E12</v>
      </c>
      <c r="J160" s="198">
        <v>9.48970725E8</v>
      </c>
      <c r="K160" s="198">
        <v>373.83</v>
      </c>
      <c r="L160" s="198">
        <v>26.17</v>
      </c>
      <c r="M160" s="198">
        <v>400.0</v>
      </c>
      <c r="N160" s="198"/>
    </row>
    <row r="161">
      <c r="A161" s="198" t="s">
        <v>2565</v>
      </c>
      <c r="B161" s="199">
        <v>244258.0</v>
      </c>
      <c r="C161" s="200">
        <v>61621.0</v>
      </c>
      <c r="D161" s="198" t="s">
        <v>2566</v>
      </c>
      <c r="E161" s="198" t="s">
        <v>2187</v>
      </c>
      <c r="F161" s="198" t="s">
        <v>46</v>
      </c>
      <c r="G161" s="198" t="s">
        <v>1939</v>
      </c>
      <c r="H161" s="198" t="s">
        <v>2027</v>
      </c>
      <c r="I161" s="198" t="s">
        <v>2027</v>
      </c>
      <c r="J161" s="198" t="s">
        <v>2027</v>
      </c>
      <c r="K161" s="198" t="s">
        <v>2027</v>
      </c>
      <c r="L161" s="198">
        <v>373.83</v>
      </c>
      <c r="M161" s="198">
        <v>26.17</v>
      </c>
      <c r="N161" s="198">
        <v>400.0</v>
      </c>
    </row>
    <row r="162">
      <c r="A162" s="198" t="s">
        <v>2567</v>
      </c>
      <c r="B162" s="199">
        <v>244258.0</v>
      </c>
      <c r="C162" s="200">
        <v>61621.0</v>
      </c>
      <c r="D162" s="198" t="s">
        <v>2568</v>
      </c>
      <c r="E162" s="198" t="s">
        <v>2569</v>
      </c>
      <c r="F162" s="198" t="s">
        <v>133</v>
      </c>
      <c r="G162" s="198" t="s">
        <v>1939</v>
      </c>
      <c r="H162" s="198" t="s">
        <v>2219</v>
      </c>
      <c r="I162" s="198">
        <v>1.68128470503E12</v>
      </c>
      <c r="J162" s="198">
        <v>9.17634346E8</v>
      </c>
      <c r="K162" s="198">
        <v>467.29</v>
      </c>
      <c r="L162" s="198">
        <v>32.71</v>
      </c>
      <c r="M162" s="198">
        <v>500.0</v>
      </c>
      <c r="N162" s="198"/>
    </row>
    <row r="163">
      <c r="A163" s="198" t="s">
        <v>2570</v>
      </c>
      <c r="B163" s="199">
        <v>244258.0</v>
      </c>
      <c r="C163" s="200">
        <v>61621.0</v>
      </c>
      <c r="D163" s="198" t="s">
        <v>2571</v>
      </c>
      <c r="E163" s="198" t="s">
        <v>2218</v>
      </c>
      <c r="F163" s="198" t="s">
        <v>689</v>
      </c>
      <c r="G163" s="198" t="s">
        <v>1941</v>
      </c>
      <c r="H163" s="198" t="s">
        <v>2031</v>
      </c>
      <c r="I163" s="198">
        <v>1.46864771421E12</v>
      </c>
      <c r="J163" s="198">
        <v>9.48970725E8</v>
      </c>
      <c r="K163" s="198">
        <v>560.75</v>
      </c>
      <c r="L163" s="198">
        <v>39.25</v>
      </c>
      <c r="M163" s="198">
        <v>600.0</v>
      </c>
      <c r="N163" s="198"/>
    </row>
    <row r="164">
      <c r="A164" s="198" t="s">
        <v>2572</v>
      </c>
      <c r="B164" s="199">
        <v>244258.0</v>
      </c>
      <c r="C164" s="200">
        <v>61622.0</v>
      </c>
      <c r="D164" s="198" t="s">
        <v>2573</v>
      </c>
      <c r="E164" s="198" t="s">
        <v>2187</v>
      </c>
      <c r="F164" s="198" t="s">
        <v>88</v>
      </c>
      <c r="G164" s="198" t="s">
        <v>1939</v>
      </c>
      <c r="H164" s="198" t="s">
        <v>2027</v>
      </c>
      <c r="I164" s="198" t="s">
        <v>2027</v>
      </c>
      <c r="J164" s="198" t="s">
        <v>2027</v>
      </c>
      <c r="K164" s="198" t="s">
        <v>2027</v>
      </c>
      <c r="L164" s="198">
        <v>373.83</v>
      </c>
      <c r="M164" s="198">
        <v>26.17</v>
      </c>
      <c r="N164" s="198">
        <v>400.0</v>
      </c>
    </row>
    <row r="165">
      <c r="A165" s="198" t="s">
        <v>2574</v>
      </c>
      <c r="B165" s="199">
        <v>244258.0</v>
      </c>
      <c r="C165" s="200">
        <v>61622.0</v>
      </c>
      <c r="D165" s="198" t="s">
        <v>2575</v>
      </c>
      <c r="E165" s="198" t="s">
        <v>2288</v>
      </c>
      <c r="F165" s="198" t="s">
        <v>30</v>
      </c>
      <c r="G165" s="198" t="s">
        <v>1941</v>
      </c>
      <c r="H165" s="198" t="s">
        <v>2027</v>
      </c>
      <c r="I165" s="198" t="s">
        <v>2027</v>
      </c>
      <c r="J165" s="198" t="s">
        <v>2027</v>
      </c>
      <c r="K165" s="198" t="s">
        <v>2027</v>
      </c>
      <c r="L165" s="198">
        <v>467.29</v>
      </c>
      <c r="M165" s="198">
        <v>32.71</v>
      </c>
      <c r="N165" s="198">
        <v>500.0</v>
      </c>
    </row>
    <row r="166">
      <c r="A166" s="198" t="s">
        <v>2576</v>
      </c>
      <c r="B166" s="199">
        <v>244258.0</v>
      </c>
      <c r="C166" s="200">
        <v>61622.0</v>
      </c>
      <c r="D166" s="198" t="s">
        <v>2577</v>
      </c>
      <c r="E166" s="198" t="s">
        <v>2187</v>
      </c>
      <c r="F166" s="198" t="s">
        <v>689</v>
      </c>
      <c r="G166" s="198" t="s">
        <v>1941</v>
      </c>
      <c r="H166" s="198" t="s">
        <v>2031</v>
      </c>
      <c r="I166" s="198">
        <v>1.46864771421E12</v>
      </c>
      <c r="J166" s="198">
        <v>9.48970725E8</v>
      </c>
      <c r="K166" s="198">
        <v>560.75</v>
      </c>
      <c r="L166" s="198">
        <v>39.25</v>
      </c>
      <c r="M166" s="198">
        <v>600.0</v>
      </c>
      <c r="N166" s="198"/>
    </row>
    <row r="167">
      <c r="A167" s="198" t="s">
        <v>2578</v>
      </c>
      <c r="B167" s="199">
        <v>244258.0</v>
      </c>
      <c r="C167" s="200">
        <v>61623.0</v>
      </c>
      <c r="D167" s="198" t="s">
        <v>2579</v>
      </c>
      <c r="E167" s="198" t="s">
        <v>2194</v>
      </c>
      <c r="F167" s="198" t="s">
        <v>88</v>
      </c>
      <c r="G167" s="198" t="s">
        <v>1939</v>
      </c>
      <c r="H167" s="198" t="s">
        <v>2027</v>
      </c>
      <c r="I167" s="198" t="s">
        <v>2027</v>
      </c>
      <c r="J167" s="198" t="s">
        <v>2027</v>
      </c>
      <c r="K167" s="198" t="s">
        <v>2027</v>
      </c>
      <c r="L167" s="198">
        <v>373.83</v>
      </c>
      <c r="M167" s="198">
        <v>26.17</v>
      </c>
      <c r="N167" s="198">
        <v>400.0</v>
      </c>
    </row>
    <row r="168">
      <c r="A168" s="198" t="s">
        <v>2580</v>
      </c>
      <c r="B168" s="199">
        <v>244258.0</v>
      </c>
      <c r="C168" s="200">
        <v>61623.0</v>
      </c>
      <c r="D168" s="198" t="s">
        <v>2581</v>
      </c>
      <c r="E168" s="198" t="s">
        <v>2197</v>
      </c>
      <c r="F168" s="198" t="s">
        <v>30</v>
      </c>
      <c r="G168" s="198" t="s">
        <v>1941</v>
      </c>
      <c r="H168" s="198" t="s">
        <v>2027</v>
      </c>
      <c r="I168" s="198" t="s">
        <v>2027</v>
      </c>
      <c r="J168" s="198" t="s">
        <v>2027</v>
      </c>
      <c r="K168" s="198" t="s">
        <v>2027</v>
      </c>
      <c r="L168" s="198">
        <v>467.29</v>
      </c>
      <c r="M168" s="198">
        <v>32.71</v>
      </c>
      <c r="N168" s="198">
        <v>500.0</v>
      </c>
    </row>
    <row r="169">
      <c r="A169" s="198" t="s">
        <v>2582</v>
      </c>
      <c r="B169" s="199">
        <v>244258.0</v>
      </c>
      <c r="C169" s="200">
        <v>61623.0</v>
      </c>
      <c r="D169" s="198" t="s">
        <v>2583</v>
      </c>
      <c r="E169" s="198" t="s">
        <v>2206</v>
      </c>
      <c r="F169" s="198" t="s">
        <v>18</v>
      </c>
      <c r="G169" s="198" t="s">
        <v>1939</v>
      </c>
      <c r="H169" s="198" t="s">
        <v>2027</v>
      </c>
      <c r="I169" s="198" t="s">
        <v>2027</v>
      </c>
      <c r="J169" s="198" t="s">
        <v>2027</v>
      </c>
      <c r="K169" s="198" t="s">
        <v>2027</v>
      </c>
      <c r="L169" s="198">
        <v>373.83</v>
      </c>
      <c r="M169" s="198">
        <v>26.17</v>
      </c>
      <c r="N169" s="198">
        <v>400.0</v>
      </c>
    </row>
    <row r="170">
      <c r="A170" s="198" t="s">
        <v>2584</v>
      </c>
      <c r="B170" s="199">
        <v>244258.0</v>
      </c>
      <c r="C170" s="200">
        <v>61624.0</v>
      </c>
      <c r="D170" s="198" t="s">
        <v>2585</v>
      </c>
      <c r="E170" s="198" t="s">
        <v>2209</v>
      </c>
      <c r="F170" s="198" t="s">
        <v>50</v>
      </c>
      <c r="G170" s="198" t="s">
        <v>1939</v>
      </c>
      <c r="H170" s="198" t="s">
        <v>2033</v>
      </c>
      <c r="I170" s="198">
        <v>1.46864771421E12</v>
      </c>
      <c r="J170" s="198">
        <v>9.48970725E8</v>
      </c>
      <c r="K170" s="198">
        <v>373.83</v>
      </c>
      <c r="L170" s="198">
        <v>26.17</v>
      </c>
      <c r="M170" s="198">
        <v>400.0</v>
      </c>
      <c r="N170" s="198"/>
    </row>
    <row r="171">
      <c r="A171" s="198" t="s">
        <v>2586</v>
      </c>
      <c r="B171" s="199">
        <v>244258.0</v>
      </c>
      <c r="C171" s="200">
        <v>61624.0</v>
      </c>
      <c r="D171" s="198" t="s">
        <v>2587</v>
      </c>
      <c r="E171" s="198" t="s">
        <v>2194</v>
      </c>
      <c r="F171" s="198" t="s">
        <v>46</v>
      </c>
      <c r="G171" s="198" t="s">
        <v>1939</v>
      </c>
      <c r="H171" s="198" t="s">
        <v>2027</v>
      </c>
      <c r="I171" s="198" t="s">
        <v>2027</v>
      </c>
      <c r="J171" s="198" t="s">
        <v>2027</v>
      </c>
      <c r="K171" s="198" t="s">
        <v>2027</v>
      </c>
      <c r="L171" s="198">
        <v>373.83</v>
      </c>
      <c r="M171" s="198">
        <v>26.17</v>
      </c>
      <c r="N171" s="198">
        <v>400.0</v>
      </c>
    </row>
    <row r="172">
      <c r="A172" s="198" t="s">
        <v>2588</v>
      </c>
      <c r="B172" s="199">
        <v>244258.0</v>
      </c>
      <c r="C172" s="200">
        <v>61624.0</v>
      </c>
      <c r="D172" s="198" t="s">
        <v>2589</v>
      </c>
      <c r="E172" s="198" t="s">
        <v>2218</v>
      </c>
      <c r="F172" s="198" t="s">
        <v>133</v>
      </c>
      <c r="G172" s="198" t="s">
        <v>1939</v>
      </c>
      <c r="H172" s="198" t="s">
        <v>2219</v>
      </c>
      <c r="I172" s="198">
        <v>1.68128470503E12</v>
      </c>
      <c r="J172" s="198">
        <v>9.17634346E8</v>
      </c>
      <c r="K172" s="198">
        <v>467.29</v>
      </c>
      <c r="L172" s="198">
        <v>32.71</v>
      </c>
      <c r="M172" s="198">
        <v>500.0</v>
      </c>
      <c r="N172" s="198"/>
    </row>
    <row r="173">
      <c r="A173" s="198" t="s">
        <v>2590</v>
      </c>
      <c r="B173" s="199">
        <v>244228.0</v>
      </c>
      <c r="C173" s="200">
        <v>61625.0</v>
      </c>
      <c r="D173" s="198" t="s">
        <v>2591</v>
      </c>
      <c r="E173" s="198" t="s">
        <v>2187</v>
      </c>
      <c r="F173" s="198" t="s">
        <v>689</v>
      </c>
      <c r="G173" s="198" t="s">
        <v>1941</v>
      </c>
      <c r="H173" s="198" t="s">
        <v>2031</v>
      </c>
      <c r="I173" s="198">
        <v>1.46864771421E12</v>
      </c>
      <c r="J173" s="198">
        <v>9.48970725E8</v>
      </c>
      <c r="K173" s="198">
        <v>560.75</v>
      </c>
      <c r="L173" s="198">
        <v>39.25</v>
      </c>
      <c r="M173" s="198">
        <v>600.0</v>
      </c>
      <c r="N173" s="198"/>
    </row>
    <row r="174">
      <c r="A174" s="198" t="s">
        <v>2592</v>
      </c>
      <c r="B174" s="199">
        <v>244228.0</v>
      </c>
      <c r="C174" s="200">
        <v>61625.0</v>
      </c>
      <c r="D174" s="198" t="s">
        <v>2593</v>
      </c>
      <c r="E174" s="198" t="s">
        <v>2194</v>
      </c>
      <c r="F174" s="198" t="s">
        <v>88</v>
      </c>
      <c r="G174" s="198" t="s">
        <v>1939</v>
      </c>
      <c r="H174" s="198" t="s">
        <v>2027</v>
      </c>
      <c r="I174" s="198" t="s">
        <v>2027</v>
      </c>
      <c r="J174" s="198" t="s">
        <v>2027</v>
      </c>
      <c r="K174" s="198" t="s">
        <v>2027</v>
      </c>
      <c r="L174" s="198">
        <v>373.83</v>
      </c>
      <c r="M174" s="198">
        <v>26.17</v>
      </c>
      <c r="N174" s="198">
        <v>400.0</v>
      </c>
    </row>
    <row r="175">
      <c r="A175" s="198" t="s">
        <v>2594</v>
      </c>
      <c r="B175" s="199">
        <v>244228.0</v>
      </c>
      <c r="C175" s="200">
        <v>61625.0</v>
      </c>
      <c r="D175" s="198" t="s">
        <v>2595</v>
      </c>
      <c r="E175" s="198" t="s">
        <v>2197</v>
      </c>
      <c r="F175" s="198" t="s">
        <v>30</v>
      </c>
      <c r="G175" s="198" t="s">
        <v>1941</v>
      </c>
      <c r="H175" s="198" t="s">
        <v>2027</v>
      </c>
      <c r="I175" s="198" t="s">
        <v>2027</v>
      </c>
      <c r="J175" s="198" t="s">
        <v>2027</v>
      </c>
      <c r="K175" s="198" t="s">
        <v>2027</v>
      </c>
      <c r="L175" s="198">
        <v>467.29</v>
      </c>
      <c r="M175" s="198">
        <v>32.71</v>
      </c>
      <c r="N175" s="198">
        <v>500.0</v>
      </c>
    </row>
    <row r="176">
      <c r="A176" s="198" t="s">
        <v>2596</v>
      </c>
      <c r="B176" s="199">
        <v>244228.0</v>
      </c>
      <c r="C176" s="200">
        <v>61625.0</v>
      </c>
      <c r="D176" s="198" t="s">
        <v>2597</v>
      </c>
      <c r="E176" s="198" t="s">
        <v>2206</v>
      </c>
      <c r="F176" s="198" t="s">
        <v>18</v>
      </c>
      <c r="G176" s="198" t="s">
        <v>1939</v>
      </c>
      <c r="H176" s="198" t="s">
        <v>2027</v>
      </c>
      <c r="I176" s="198" t="s">
        <v>2027</v>
      </c>
      <c r="J176" s="198" t="s">
        <v>2027</v>
      </c>
      <c r="K176" s="198" t="s">
        <v>2027</v>
      </c>
      <c r="L176" s="198">
        <v>373.83</v>
      </c>
      <c r="M176" s="198">
        <v>26.17</v>
      </c>
      <c r="N176" s="198">
        <v>400.0</v>
      </c>
    </row>
    <row r="177">
      <c r="A177" s="198" t="s">
        <v>2598</v>
      </c>
      <c r="B177" s="199">
        <v>244228.0</v>
      </c>
      <c r="C177" s="200">
        <v>61625.0</v>
      </c>
      <c r="D177" s="198" t="s">
        <v>2599</v>
      </c>
      <c r="E177" s="198" t="s">
        <v>2209</v>
      </c>
      <c r="F177" s="198" t="s">
        <v>50</v>
      </c>
      <c r="G177" s="198" t="s">
        <v>1939</v>
      </c>
      <c r="H177" s="198" t="s">
        <v>2033</v>
      </c>
      <c r="I177" s="198">
        <v>1.46864771421E12</v>
      </c>
      <c r="J177" s="198">
        <v>9.48970725E8</v>
      </c>
      <c r="K177" s="198">
        <v>373.83</v>
      </c>
      <c r="L177" s="198">
        <v>26.17</v>
      </c>
      <c r="M177" s="198">
        <v>400.0</v>
      </c>
      <c r="N177" s="198"/>
    </row>
    <row r="178">
      <c r="A178" s="198" t="s">
        <v>2600</v>
      </c>
      <c r="B178" s="199">
        <v>244228.0</v>
      </c>
      <c r="C178" s="200">
        <v>61625.0</v>
      </c>
      <c r="D178" s="198" t="s">
        <v>2601</v>
      </c>
      <c r="E178" s="198" t="s">
        <v>2194</v>
      </c>
      <c r="F178" s="198" t="s">
        <v>46</v>
      </c>
      <c r="G178" s="198" t="s">
        <v>1939</v>
      </c>
      <c r="H178" s="198" t="s">
        <v>2027</v>
      </c>
      <c r="I178" s="198" t="s">
        <v>2027</v>
      </c>
      <c r="J178" s="198" t="s">
        <v>2027</v>
      </c>
      <c r="K178" s="198" t="s">
        <v>2027</v>
      </c>
      <c r="L178" s="198">
        <v>373.83</v>
      </c>
      <c r="M178" s="198">
        <v>26.17</v>
      </c>
      <c r="N178" s="198">
        <v>400.0</v>
      </c>
    </row>
    <row r="179">
      <c r="A179" s="198" t="s">
        <v>2602</v>
      </c>
      <c r="B179" s="199">
        <v>244228.0</v>
      </c>
      <c r="C179" s="200">
        <v>61626.0</v>
      </c>
      <c r="D179" s="198" t="s">
        <v>2603</v>
      </c>
      <c r="E179" s="198" t="s">
        <v>2218</v>
      </c>
      <c r="F179" s="198" t="s">
        <v>133</v>
      </c>
      <c r="G179" s="198" t="s">
        <v>1939</v>
      </c>
      <c r="H179" s="198" t="s">
        <v>2219</v>
      </c>
      <c r="I179" s="198">
        <v>1.68128470503E12</v>
      </c>
      <c r="J179" s="198">
        <v>9.17634346E8</v>
      </c>
      <c r="K179" s="198">
        <v>467.29</v>
      </c>
      <c r="L179" s="198">
        <v>32.71</v>
      </c>
      <c r="M179" s="198">
        <v>500.0</v>
      </c>
      <c r="N179" s="198"/>
    </row>
    <row r="180">
      <c r="A180" s="198" t="s">
        <v>2604</v>
      </c>
      <c r="B180" s="199">
        <v>244228.0</v>
      </c>
      <c r="C180" s="200">
        <v>61626.0</v>
      </c>
      <c r="D180" s="198" t="s">
        <v>2605</v>
      </c>
      <c r="E180" s="198" t="s">
        <v>2187</v>
      </c>
      <c r="F180" s="198" t="s">
        <v>689</v>
      </c>
      <c r="G180" s="198" t="s">
        <v>1941</v>
      </c>
      <c r="H180" s="198" t="s">
        <v>2031</v>
      </c>
      <c r="I180" s="198">
        <v>1.46864771421E12</v>
      </c>
      <c r="J180" s="198">
        <v>9.48970725E8</v>
      </c>
      <c r="K180" s="198">
        <v>560.75</v>
      </c>
      <c r="L180" s="198">
        <v>39.25</v>
      </c>
      <c r="M180" s="198">
        <v>600.0</v>
      </c>
      <c r="N180" s="198"/>
    </row>
    <row r="181">
      <c r="A181" s="198" t="s">
        <v>2606</v>
      </c>
      <c r="B181" s="199">
        <v>244228.0</v>
      </c>
      <c r="C181" s="200">
        <v>61626.0</v>
      </c>
      <c r="D181" s="198" t="s">
        <v>2607</v>
      </c>
      <c r="E181" s="198" t="s">
        <v>2194</v>
      </c>
      <c r="F181" s="198" t="s">
        <v>88</v>
      </c>
      <c r="G181" s="198" t="s">
        <v>1939</v>
      </c>
      <c r="H181" s="198" t="s">
        <v>2027</v>
      </c>
      <c r="I181" s="198" t="s">
        <v>2027</v>
      </c>
      <c r="J181" s="198" t="s">
        <v>2027</v>
      </c>
      <c r="K181" s="198" t="s">
        <v>2027</v>
      </c>
      <c r="L181" s="198">
        <v>373.83</v>
      </c>
      <c r="M181" s="198">
        <v>26.17</v>
      </c>
      <c r="N181" s="198">
        <v>400.0</v>
      </c>
    </row>
    <row r="182">
      <c r="A182" s="198" t="s">
        <v>2608</v>
      </c>
      <c r="B182" s="199">
        <v>244228.0</v>
      </c>
      <c r="C182" s="200">
        <v>61626.0</v>
      </c>
      <c r="D182" s="198" t="s">
        <v>2609</v>
      </c>
      <c r="E182" s="198" t="s">
        <v>2197</v>
      </c>
      <c r="F182" s="198" t="s">
        <v>30</v>
      </c>
      <c r="G182" s="198" t="s">
        <v>1941</v>
      </c>
      <c r="H182" s="198" t="s">
        <v>2027</v>
      </c>
      <c r="I182" s="198" t="s">
        <v>2027</v>
      </c>
      <c r="J182" s="198" t="s">
        <v>2027</v>
      </c>
      <c r="K182" s="198" t="s">
        <v>2027</v>
      </c>
      <c r="L182" s="198">
        <v>467.29</v>
      </c>
      <c r="M182" s="198">
        <v>32.71</v>
      </c>
      <c r="N182" s="198">
        <v>500.0</v>
      </c>
    </row>
    <row r="183">
      <c r="A183" s="198" t="s">
        <v>2610</v>
      </c>
      <c r="B183" s="199">
        <v>244228.0</v>
      </c>
      <c r="C183" s="200">
        <v>61626.0</v>
      </c>
      <c r="D183" s="198" t="s">
        <v>2611</v>
      </c>
      <c r="E183" s="198" t="s">
        <v>2206</v>
      </c>
      <c r="F183" s="198" t="s">
        <v>18</v>
      </c>
      <c r="G183" s="198" t="s">
        <v>1939</v>
      </c>
      <c r="H183" s="198" t="s">
        <v>2027</v>
      </c>
      <c r="I183" s="198" t="s">
        <v>2027</v>
      </c>
      <c r="J183" s="198" t="s">
        <v>2027</v>
      </c>
      <c r="K183" s="198" t="s">
        <v>2027</v>
      </c>
      <c r="L183" s="198">
        <v>373.83</v>
      </c>
      <c r="M183" s="198">
        <v>26.17</v>
      </c>
      <c r="N183" s="198">
        <v>400.0</v>
      </c>
    </row>
    <row r="184">
      <c r="A184" s="198" t="s">
        <v>2612</v>
      </c>
      <c r="B184" s="199">
        <v>244228.0</v>
      </c>
      <c r="C184" s="200">
        <v>61626.0</v>
      </c>
      <c r="D184" s="198" t="s">
        <v>2613</v>
      </c>
      <c r="E184" s="198" t="s">
        <v>2209</v>
      </c>
      <c r="F184" s="198" t="s">
        <v>50</v>
      </c>
      <c r="G184" s="198" t="s">
        <v>1939</v>
      </c>
      <c r="H184" s="198" t="s">
        <v>2033</v>
      </c>
      <c r="I184" s="198">
        <v>1.46864771421E12</v>
      </c>
      <c r="J184" s="198">
        <v>9.48970725E8</v>
      </c>
      <c r="K184" s="198">
        <v>373.83</v>
      </c>
      <c r="L184" s="198">
        <v>26.17</v>
      </c>
      <c r="M184" s="198">
        <v>400.0</v>
      </c>
      <c r="N184" s="198"/>
    </row>
    <row r="185">
      <c r="A185" s="198" t="s">
        <v>2614</v>
      </c>
      <c r="B185" s="199">
        <v>244258.0</v>
      </c>
      <c r="C185" s="200">
        <v>61627.0</v>
      </c>
      <c r="D185" s="198" t="s">
        <v>2615</v>
      </c>
      <c r="E185" s="198" t="s">
        <v>2194</v>
      </c>
      <c r="F185" s="198" t="s">
        <v>46</v>
      </c>
      <c r="G185" s="198" t="s">
        <v>1939</v>
      </c>
      <c r="H185" s="198" t="s">
        <v>2027</v>
      </c>
      <c r="I185" s="198" t="s">
        <v>2027</v>
      </c>
      <c r="J185" s="198" t="s">
        <v>2027</v>
      </c>
      <c r="K185" s="198" t="s">
        <v>2027</v>
      </c>
      <c r="L185" s="198">
        <v>373.83</v>
      </c>
      <c r="M185" s="198">
        <v>26.17</v>
      </c>
      <c r="N185" s="198">
        <v>400.0</v>
      </c>
    </row>
    <row r="186">
      <c r="A186" s="198" t="s">
        <v>2616</v>
      </c>
      <c r="B186" s="199">
        <v>244258.0</v>
      </c>
      <c r="C186" s="200">
        <v>61627.0</v>
      </c>
      <c r="D186" s="198" t="s">
        <v>2617</v>
      </c>
      <c r="E186" s="198" t="s">
        <v>2218</v>
      </c>
      <c r="F186" s="198" t="s">
        <v>133</v>
      </c>
      <c r="G186" s="198" t="s">
        <v>1939</v>
      </c>
      <c r="H186" s="198" t="s">
        <v>2219</v>
      </c>
      <c r="I186" s="198">
        <v>1.68128470503E12</v>
      </c>
      <c r="J186" s="198">
        <v>9.17634346E8</v>
      </c>
      <c r="K186" s="198">
        <v>467.29</v>
      </c>
      <c r="L186" s="198">
        <v>32.71</v>
      </c>
      <c r="M186" s="198">
        <v>500.0</v>
      </c>
      <c r="N186" s="198"/>
    </row>
    <row r="187">
      <c r="A187" s="198" t="s">
        <v>2618</v>
      </c>
      <c r="B187" s="199">
        <v>244258.0</v>
      </c>
      <c r="C187" s="200">
        <v>61627.0</v>
      </c>
      <c r="D187" s="198" t="s">
        <v>2619</v>
      </c>
      <c r="E187" s="198" t="s">
        <v>2187</v>
      </c>
      <c r="F187" s="198" t="s">
        <v>689</v>
      </c>
      <c r="G187" s="198" t="s">
        <v>1941</v>
      </c>
      <c r="H187" s="198" t="s">
        <v>2031</v>
      </c>
      <c r="I187" s="198">
        <v>1.46864771421E12</v>
      </c>
      <c r="J187" s="198">
        <v>9.48970725E8</v>
      </c>
      <c r="K187" s="198">
        <v>560.75</v>
      </c>
      <c r="L187" s="198">
        <v>39.25</v>
      </c>
      <c r="M187" s="198">
        <v>600.0</v>
      </c>
      <c r="N187" s="198"/>
    </row>
    <row r="188">
      <c r="A188" s="198" t="s">
        <v>2620</v>
      </c>
      <c r="B188" s="199">
        <v>244258.0</v>
      </c>
      <c r="C188" s="200">
        <v>61616.0</v>
      </c>
      <c r="D188" s="198" t="s">
        <v>2621</v>
      </c>
      <c r="E188" s="198" t="s">
        <v>2194</v>
      </c>
      <c r="F188" s="198" t="s">
        <v>88</v>
      </c>
      <c r="G188" s="198" t="s">
        <v>1939</v>
      </c>
      <c r="H188" s="198" t="s">
        <v>2027</v>
      </c>
      <c r="I188" s="198" t="s">
        <v>2027</v>
      </c>
      <c r="J188" s="198" t="s">
        <v>2027</v>
      </c>
      <c r="K188" s="198" t="s">
        <v>2027</v>
      </c>
      <c r="L188" s="198">
        <v>373.83</v>
      </c>
      <c r="M188" s="198">
        <v>26.17</v>
      </c>
      <c r="N188" s="198">
        <v>400.0</v>
      </c>
    </row>
    <row r="189">
      <c r="A189" s="198" t="s">
        <v>2622</v>
      </c>
      <c r="B189" s="199">
        <v>244258.0</v>
      </c>
      <c r="C189" s="200">
        <v>61616.0</v>
      </c>
      <c r="D189" s="198" t="s">
        <v>2623</v>
      </c>
      <c r="E189" s="198" t="s">
        <v>2197</v>
      </c>
      <c r="F189" s="198" t="s">
        <v>30</v>
      </c>
      <c r="G189" s="198" t="s">
        <v>1941</v>
      </c>
      <c r="H189" s="198" t="s">
        <v>2027</v>
      </c>
      <c r="I189" s="198" t="s">
        <v>2027</v>
      </c>
      <c r="J189" s="198" t="s">
        <v>2027</v>
      </c>
      <c r="K189" s="198" t="s">
        <v>2027</v>
      </c>
      <c r="L189" s="198">
        <v>467.29</v>
      </c>
      <c r="M189" s="198">
        <v>32.71</v>
      </c>
      <c r="N189" s="198">
        <v>500.0</v>
      </c>
    </row>
    <row r="190">
      <c r="A190" s="198" t="s">
        <v>2624</v>
      </c>
      <c r="B190" s="199">
        <v>244258.0</v>
      </c>
      <c r="C190" s="200">
        <v>61617.0</v>
      </c>
      <c r="D190" s="198" t="s">
        <v>2625</v>
      </c>
      <c r="E190" s="198" t="s">
        <v>2206</v>
      </c>
      <c r="F190" s="198" t="s">
        <v>18</v>
      </c>
      <c r="G190" s="198" t="s">
        <v>1939</v>
      </c>
      <c r="H190" s="198" t="s">
        <v>2027</v>
      </c>
      <c r="I190" s="198" t="s">
        <v>2027</v>
      </c>
      <c r="J190" s="198" t="s">
        <v>2027</v>
      </c>
      <c r="K190" s="198" t="s">
        <v>2027</v>
      </c>
      <c r="L190" s="198">
        <v>373.83</v>
      </c>
      <c r="M190" s="198">
        <v>26.17</v>
      </c>
      <c r="N190" s="198">
        <v>400.0</v>
      </c>
    </row>
    <row r="191">
      <c r="A191" s="198" t="s">
        <v>2626</v>
      </c>
      <c r="B191" s="199">
        <v>244258.0</v>
      </c>
      <c r="C191" s="200">
        <v>61617.0</v>
      </c>
      <c r="D191" s="198" t="s">
        <v>2627</v>
      </c>
      <c r="E191" s="198" t="s">
        <v>2209</v>
      </c>
      <c r="F191" s="198" t="s">
        <v>50</v>
      </c>
      <c r="G191" s="198" t="s">
        <v>1939</v>
      </c>
      <c r="H191" s="198" t="s">
        <v>2033</v>
      </c>
      <c r="I191" s="198">
        <v>1.46864771421E12</v>
      </c>
      <c r="J191" s="198">
        <v>9.48970725E8</v>
      </c>
      <c r="K191" s="198">
        <v>373.83</v>
      </c>
      <c r="L191" s="198">
        <v>26.17</v>
      </c>
      <c r="M191" s="198">
        <v>400.0</v>
      </c>
      <c r="N191" s="198"/>
    </row>
    <row r="192">
      <c r="A192" s="198" t="s">
        <v>2628</v>
      </c>
      <c r="B192" s="199">
        <v>244258.0</v>
      </c>
      <c r="C192" s="200">
        <v>61617.0</v>
      </c>
      <c r="D192" s="198" t="s">
        <v>2629</v>
      </c>
      <c r="E192" s="198" t="s">
        <v>2194</v>
      </c>
      <c r="F192" s="198" t="s">
        <v>46</v>
      </c>
      <c r="G192" s="198" t="s">
        <v>1939</v>
      </c>
      <c r="H192" s="198" t="s">
        <v>2027</v>
      </c>
      <c r="I192" s="198" t="s">
        <v>2027</v>
      </c>
      <c r="J192" s="198" t="s">
        <v>2027</v>
      </c>
      <c r="K192" s="198" t="s">
        <v>2027</v>
      </c>
      <c r="L192" s="198">
        <v>373.83</v>
      </c>
      <c r="M192" s="198">
        <v>26.17</v>
      </c>
      <c r="N192" s="198">
        <v>400.0</v>
      </c>
    </row>
    <row r="193">
      <c r="A193" s="198" t="s">
        <v>2630</v>
      </c>
      <c r="B193" s="199">
        <v>244258.0</v>
      </c>
      <c r="C193" s="200">
        <v>61618.0</v>
      </c>
      <c r="D193" s="198" t="s">
        <v>2631</v>
      </c>
      <c r="E193" s="198" t="s">
        <v>2218</v>
      </c>
      <c r="F193" s="198" t="s">
        <v>133</v>
      </c>
      <c r="G193" s="198" t="s">
        <v>1939</v>
      </c>
      <c r="H193" s="198" t="s">
        <v>2219</v>
      </c>
      <c r="I193" s="198">
        <v>1.68128470503E12</v>
      </c>
      <c r="J193" s="198">
        <v>9.17634346E8</v>
      </c>
      <c r="K193" s="198">
        <v>467.29</v>
      </c>
      <c r="L193" s="198">
        <v>32.71</v>
      </c>
      <c r="M193" s="198">
        <v>500.0</v>
      </c>
      <c r="N193" s="198"/>
    </row>
    <row r="194">
      <c r="A194" s="198" t="s">
        <v>2632</v>
      </c>
      <c r="B194" s="199">
        <v>244258.0</v>
      </c>
      <c r="C194" s="200">
        <v>61618.0</v>
      </c>
      <c r="D194" s="198" t="s">
        <v>2633</v>
      </c>
      <c r="E194" s="198" t="s">
        <v>2187</v>
      </c>
      <c r="F194" s="198" t="s">
        <v>689</v>
      </c>
      <c r="G194" s="198" t="s">
        <v>1941</v>
      </c>
      <c r="H194" s="198" t="s">
        <v>2031</v>
      </c>
      <c r="I194" s="198">
        <v>1.46864771421E12</v>
      </c>
      <c r="J194" s="198">
        <v>9.48970725E8</v>
      </c>
      <c r="K194" s="198">
        <v>560.75</v>
      </c>
      <c r="L194" s="198">
        <v>39.25</v>
      </c>
      <c r="M194" s="198">
        <v>600.0</v>
      </c>
      <c r="N194" s="198"/>
    </row>
    <row r="195">
      <c r="A195" s="198" t="s">
        <v>2634</v>
      </c>
      <c r="B195" s="199">
        <v>244258.0</v>
      </c>
      <c r="C195" s="200">
        <v>61618.0</v>
      </c>
      <c r="D195" s="198" t="s">
        <v>2635</v>
      </c>
      <c r="E195" s="198" t="s">
        <v>2194</v>
      </c>
      <c r="F195" s="198" t="s">
        <v>88</v>
      </c>
      <c r="G195" s="198" t="s">
        <v>1939</v>
      </c>
      <c r="H195" s="198" t="s">
        <v>2027</v>
      </c>
      <c r="I195" s="198" t="s">
        <v>2027</v>
      </c>
      <c r="J195" s="198" t="s">
        <v>2027</v>
      </c>
      <c r="K195" s="198" t="s">
        <v>2027</v>
      </c>
      <c r="L195" s="198">
        <v>373.83</v>
      </c>
      <c r="M195" s="198">
        <v>26.17</v>
      </c>
      <c r="N195" s="198">
        <v>400.0</v>
      </c>
    </row>
    <row r="196">
      <c r="A196" s="198" t="s">
        <v>2636</v>
      </c>
      <c r="B196" s="199">
        <v>244258.0</v>
      </c>
      <c r="C196" s="200">
        <v>61619.0</v>
      </c>
      <c r="D196" s="198" t="s">
        <v>2637</v>
      </c>
      <c r="E196" s="198" t="s">
        <v>2197</v>
      </c>
      <c r="F196" s="198" t="s">
        <v>30</v>
      </c>
      <c r="G196" s="198" t="s">
        <v>1941</v>
      </c>
      <c r="H196" s="198" t="s">
        <v>2027</v>
      </c>
      <c r="I196" s="198" t="s">
        <v>2027</v>
      </c>
      <c r="J196" s="198" t="s">
        <v>2027</v>
      </c>
      <c r="K196" s="198" t="s">
        <v>2027</v>
      </c>
      <c r="L196" s="198">
        <v>467.29</v>
      </c>
      <c r="M196" s="198">
        <v>32.71</v>
      </c>
      <c r="N196" s="198">
        <v>500.0</v>
      </c>
    </row>
    <row r="197">
      <c r="A197" s="198" t="s">
        <v>2638</v>
      </c>
      <c r="B197" s="199">
        <v>244258.0</v>
      </c>
      <c r="C197" s="200">
        <v>61619.0</v>
      </c>
      <c r="D197" s="198" t="s">
        <v>2639</v>
      </c>
      <c r="E197" s="198" t="s">
        <v>2206</v>
      </c>
      <c r="F197" s="198" t="s">
        <v>18</v>
      </c>
      <c r="G197" s="198" t="s">
        <v>1939</v>
      </c>
      <c r="H197" s="198" t="s">
        <v>2027</v>
      </c>
      <c r="I197" s="198" t="s">
        <v>2027</v>
      </c>
      <c r="J197" s="198" t="s">
        <v>2027</v>
      </c>
      <c r="K197" s="198" t="s">
        <v>2027</v>
      </c>
      <c r="L197" s="198">
        <v>373.83</v>
      </c>
      <c r="M197" s="198">
        <v>26.17</v>
      </c>
      <c r="N197" s="198">
        <v>400.0</v>
      </c>
    </row>
    <row r="198">
      <c r="A198" s="198" t="s">
        <v>2640</v>
      </c>
      <c r="B198" s="199">
        <v>244258.0</v>
      </c>
      <c r="C198" s="200">
        <v>61619.0</v>
      </c>
      <c r="D198" s="198" t="s">
        <v>2641</v>
      </c>
      <c r="E198" s="198" t="s">
        <v>2209</v>
      </c>
      <c r="F198" s="198" t="s">
        <v>50</v>
      </c>
      <c r="G198" s="198" t="s">
        <v>1939</v>
      </c>
      <c r="H198" s="198" t="s">
        <v>2033</v>
      </c>
      <c r="I198" s="198">
        <v>1.46864771421E12</v>
      </c>
      <c r="J198" s="198">
        <v>9.48970725E8</v>
      </c>
      <c r="K198" s="198">
        <v>373.83</v>
      </c>
      <c r="L198" s="198">
        <v>26.17</v>
      </c>
      <c r="M198" s="198">
        <v>400.0</v>
      </c>
      <c r="N198" s="198"/>
    </row>
    <row r="199">
      <c r="A199" s="198" t="s">
        <v>2642</v>
      </c>
      <c r="B199" s="199">
        <v>244258.0</v>
      </c>
      <c r="C199" s="200">
        <v>61620.0</v>
      </c>
      <c r="D199" s="198" t="s">
        <v>2643</v>
      </c>
      <c r="E199" s="198" t="s">
        <v>2194</v>
      </c>
      <c r="F199" s="198" t="s">
        <v>46</v>
      </c>
      <c r="G199" s="198" t="s">
        <v>1939</v>
      </c>
      <c r="H199" s="198" t="s">
        <v>2027</v>
      </c>
      <c r="I199" s="198" t="s">
        <v>2027</v>
      </c>
      <c r="J199" s="198" t="s">
        <v>2027</v>
      </c>
      <c r="K199" s="198" t="s">
        <v>2027</v>
      </c>
      <c r="L199" s="198">
        <v>373.83</v>
      </c>
      <c r="M199" s="198">
        <v>26.17</v>
      </c>
      <c r="N199" s="198">
        <v>400.0</v>
      </c>
    </row>
    <row r="200">
      <c r="A200" s="198" t="s">
        <v>2644</v>
      </c>
      <c r="B200" s="199">
        <v>244228.0</v>
      </c>
      <c r="C200" s="200">
        <v>61619.0</v>
      </c>
      <c r="D200" s="198" t="s">
        <v>2645</v>
      </c>
      <c r="E200" s="198" t="s">
        <v>2646</v>
      </c>
      <c r="F200" s="198" t="s">
        <v>18</v>
      </c>
      <c r="G200" s="198" t="s">
        <v>2647</v>
      </c>
      <c r="H200" s="198" t="s">
        <v>3</v>
      </c>
      <c r="I200" s="198" t="s">
        <v>4</v>
      </c>
      <c r="J200" s="198" t="s">
        <v>2648</v>
      </c>
      <c r="K200" s="198" t="s">
        <v>2649</v>
      </c>
      <c r="L200" s="198" t="s">
        <v>2650</v>
      </c>
      <c r="M200" s="198" t="s">
        <v>2171</v>
      </c>
      <c r="N200" s="198"/>
    </row>
    <row r="201">
      <c r="A201" s="198" t="s">
        <v>2190</v>
      </c>
      <c r="B201" s="199">
        <v>244258.0</v>
      </c>
      <c r="C201" s="200">
        <v>61626.0</v>
      </c>
      <c r="D201" s="198" t="s">
        <v>2651</v>
      </c>
      <c r="E201" s="198" t="s">
        <v>2218</v>
      </c>
      <c r="F201" s="198" t="s">
        <v>88</v>
      </c>
      <c r="G201" s="198" t="s">
        <v>1939</v>
      </c>
      <c r="H201" s="198" t="s">
        <v>2219</v>
      </c>
      <c r="I201" s="198">
        <v>1.68128470503E12</v>
      </c>
      <c r="J201" s="198">
        <v>9.17634346E8</v>
      </c>
      <c r="K201" s="198">
        <v>467.29</v>
      </c>
      <c r="L201" s="198">
        <v>32.71</v>
      </c>
      <c r="M201" s="198">
        <v>500.0</v>
      </c>
      <c r="N201" s="198"/>
    </row>
    <row r="202">
      <c r="A202" s="198" t="s">
        <v>2192</v>
      </c>
      <c r="B202" s="199">
        <v>244228.0</v>
      </c>
      <c r="C202" s="200">
        <v>61627.0</v>
      </c>
      <c r="D202" s="198" t="s">
        <v>2406</v>
      </c>
      <c r="E202" s="198" t="s">
        <v>2407</v>
      </c>
      <c r="F202" s="198" t="s">
        <v>30</v>
      </c>
      <c r="G202" s="198" t="s">
        <v>1941</v>
      </c>
      <c r="H202" s="198" t="s">
        <v>2408</v>
      </c>
      <c r="I202" s="198">
        <v>5.599026409893E12</v>
      </c>
      <c r="J202" s="198">
        <v>9.03334237E8</v>
      </c>
      <c r="K202" s="198">
        <v>467.29</v>
      </c>
      <c r="L202" s="198">
        <v>32.71</v>
      </c>
    </row>
    <row r="203">
      <c r="A203" s="198" t="s">
        <v>2195</v>
      </c>
      <c r="B203" s="199">
        <v>244228.0</v>
      </c>
      <c r="C203" s="200">
        <v>61627.0</v>
      </c>
      <c r="D203" s="198" t="s">
        <v>2410</v>
      </c>
      <c r="E203" s="198" t="s">
        <v>2351</v>
      </c>
      <c r="F203" s="198" t="s">
        <v>50</v>
      </c>
      <c r="G203" s="198" t="s">
        <v>1939</v>
      </c>
      <c r="H203" s="198" t="s">
        <v>2027</v>
      </c>
      <c r="I203" s="198" t="s">
        <v>2027</v>
      </c>
      <c r="J203" s="198" t="s">
        <v>2027</v>
      </c>
      <c r="K203" s="198" t="s">
        <v>2027</v>
      </c>
      <c r="L203" s="198">
        <v>373.83</v>
      </c>
    </row>
    <row r="204">
      <c r="A204" s="198" t="s">
        <v>2204</v>
      </c>
      <c r="B204" s="199">
        <v>244228.0</v>
      </c>
      <c r="C204" s="200">
        <v>61627.0</v>
      </c>
      <c r="D204" s="198" t="s">
        <v>2412</v>
      </c>
      <c r="E204" s="198" t="s">
        <v>2379</v>
      </c>
      <c r="F204" s="198" t="s">
        <v>18</v>
      </c>
      <c r="G204" s="198" t="s">
        <v>1939</v>
      </c>
      <c r="H204" s="198" t="s">
        <v>2413</v>
      </c>
      <c r="I204" s="198">
        <v>3.849318155985E12</v>
      </c>
      <c r="J204" s="198">
        <v>9.03334237E8</v>
      </c>
      <c r="K204" s="198">
        <v>373.83</v>
      </c>
      <c r="L204" s="198">
        <v>26.17</v>
      </c>
    </row>
    <row r="205">
      <c r="A205" s="198" t="s">
        <v>2207</v>
      </c>
      <c r="B205" s="199">
        <v>244258.0</v>
      </c>
      <c r="C205" s="200">
        <v>61627.0</v>
      </c>
      <c r="D205" s="198" t="s">
        <v>2415</v>
      </c>
      <c r="E205" s="198" t="s">
        <v>2197</v>
      </c>
      <c r="F205" s="198" t="s">
        <v>30</v>
      </c>
      <c r="G205" s="198" t="s">
        <v>1941</v>
      </c>
      <c r="H205" s="198" t="s">
        <v>2027</v>
      </c>
      <c r="I205" s="198" t="s">
        <v>2027</v>
      </c>
      <c r="J205" s="198" t="s">
        <v>2027</v>
      </c>
      <c r="K205" s="198" t="s">
        <v>2027</v>
      </c>
      <c r="L205" s="198">
        <v>467.29</v>
      </c>
    </row>
    <row r="206">
      <c r="A206" s="198" t="s">
        <v>2210</v>
      </c>
      <c r="B206" s="199">
        <v>244258.0</v>
      </c>
      <c r="C206" s="200">
        <v>61627.0</v>
      </c>
      <c r="D206" s="198" t="s">
        <v>2417</v>
      </c>
      <c r="E206" s="198" t="s">
        <v>2206</v>
      </c>
      <c r="F206" s="198" t="s">
        <v>18</v>
      </c>
      <c r="G206" s="198" t="s">
        <v>1939</v>
      </c>
      <c r="H206" s="198" t="s">
        <v>2027</v>
      </c>
      <c r="I206" s="198" t="s">
        <v>2027</v>
      </c>
      <c r="J206" s="198" t="s">
        <v>2027</v>
      </c>
      <c r="K206" s="198" t="s">
        <v>2027</v>
      </c>
      <c r="L206" s="198">
        <v>373.83</v>
      </c>
    </row>
    <row r="207">
      <c r="A207" s="198" t="s">
        <v>2216</v>
      </c>
      <c r="B207" s="199">
        <v>244258.0</v>
      </c>
      <c r="C207" s="200">
        <v>61627.0</v>
      </c>
      <c r="D207" s="198" t="s">
        <v>2419</v>
      </c>
      <c r="E207" s="198" t="s">
        <v>2209</v>
      </c>
      <c r="F207" s="198" t="s">
        <v>50</v>
      </c>
      <c r="G207" s="198" t="s">
        <v>1939</v>
      </c>
      <c r="H207" s="198" t="s">
        <v>2033</v>
      </c>
      <c r="I207" s="198">
        <v>1.46864771421E12</v>
      </c>
      <c r="J207" s="198">
        <v>9.48970725E8</v>
      </c>
      <c r="K207" s="198">
        <v>373.83</v>
      </c>
      <c r="L207" s="198">
        <v>26.17</v>
      </c>
    </row>
    <row r="208">
      <c r="A208" s="198" t="s">
        <v>2220</v>
      </c>
      <c r="B208" s="199">
        <v>244228.0</v>
      </c>
      <c r="C208" s="200">
        <v>61628.0</v>
      </c>
      <c r="D208" s="198" t="s">
        <v>2421</v>
      </c>
      <c r="E208" s="198" t="s">
        <v>2422</v>
      </c>
      <c r="F208" s="198" t="s">
        <v>46</v>
      </c>
      <c r="G208" s="198" t="s">
        <v>1939</v>
      </c>
      <c r="H208" s="198" t="s">
        <v>2027</v>
      </c>
      <c r="I208" s="198" t="s">
        <v>2027</v>
      </c>
      <c r="J208" s="198" t="s">
        <v>2027</v>
      </c>
      <c r="K208" s="198" t="s">
        <v>2027</v>
      </c>
      <c r="L208" s="198">
        <v>373.83</v>
      </c>
    </row>
    <row r="209">
      <c r="A209" s="198" t="s">
        <v>2229</v>
      </c>
      <c r="B209" s="199">
        <v>244228.0</v>
      </c>
      <c r="C209" s="200">
        <v>61628.0</v>
      </c>
      <c r="D209" s="198" t="s">
        <v>2424</v>
      </c>
      <c r="E209" s="198" t="s">
        <v>2425</v>
      </c>
      <c r="F209" s="198" t="s">
        <v>133</v>
      </c>
      <c r="G209" s="198" t="s">
        <v>1939</v>
      </c>
      <c r="H209" s="198" t="s">
        <v>2426</v>
      </c>
      <c r="I209" s="198">
        <v>1.68128470503E12</v>
      </c>
      <c r="J209" s="198">
        <v>9.17634346E8</v>
      </c>
      <c r="K209" s="198">
        <v>467.29</v>
      </c>
      <c r="L209" s="198">
        <v>32.71</v>
      </c>
    </row>
    <row r="210">
      <c r="A210" s="198" t="s">
        <v>2231</v>
      </c>
      <c r="B210" s="199">
        <v>244228.0</v>
      </c>
      <c r="C210" s="200">
        <v>61628.0</v>
      </c>
      <c r="D210" s="198" t="s">
        <v>2428</v>
      </c>
      <c r="E210" s="198" t="s">
        <v>2218</v>
      </c>
      <c r="F210" s="198" t="s">
        <v>689</v>
      </c>
      <c r="G210" s="198" t="s">
        <v>1941</v>
      </c>
      <c r="H210" s="198" t="s">
        <v>2429</v>
      </c>
      <c r="I210" s="198">
        <v>1.46864771421E12</v>
      </c>
      <c r="J210" s="198">
        <v>9.48970725E8</v>
      </c>
      <c r="K210" s="198">
        <v>560.75</v>
      </c>
      <c r="L210" s="198">
        <v>39.25</v>
      </c>
    </row>
    <row r="211">
      <c r="A211" s="198" t="s">
        <v>2233</v>
      </c>
      <c r="B211" s="199">
        <v>244258.0</v>
      </c>
      <c r="C211" s="200">
        <v>61628.0</v>
      </c>
      <c r="D211" s="198" t="s">
        <v>2431</v>
      </c>
      <c r="E211" s="198" t="s">
        <v>2194</v>
      </c>
      <c r="F211" s="198" t="s">
        <v>46</v>
      </c>
      <c r="G211" s="198" t="s">
        <v>1939</v>
      </c>
      <c r="H211" s="198" t="s">
        <v>2027</v>
      </c>
      <c r="I211" s="198" t="s">
        <v>2027</v>
      </c>
      <c r="J211" s="198" t="s">
        <v>2027</v>
      </c>
      <c r="K211" s="198" t="s">
        <v>2027</v>
      </c>
      <c r="L211" s="198">
        <v>373.83</v>
      </c>
    </row>
    <row r="212">
      <c r="F212" s="198" t="s">
        <v>88</v>
      </c>
    </row>
    <row r="213">
      <c r="F213" s="198" t="s">
        <v>30</v>
      </c>
    </row>
    <row r="214">
      <c r="F214" s="198" t="s">
        <v>18</v>
      </c>
    </row>
    <row r="215">
      <c r="F215" s="198" t="s">
        <v>50</v>
      </c>
    </row>
    <row r="216">
      <c r="F216" s="198" t="s">
        <v>46</v>
      </c>
    </row>
    <row r="217">
      <c r="F217" s="198" t="s">
        <v>133</v>
      </c>
    </row>
    <row r="218">
      <c r="F218" s="198" t="s">
        <v>689</v>
      </c>
    </row>
    <row r="219">
      <c r="F219" s="198" t="s">
        <v>88</v>
      </c>
    </row>
    <row r="220">
      <c r="F220" s="198" t="s">
        <v>30</v>
      </c>
    </row>
    <row r="221">
      <c r="F221" s="198" t="s">
        <v>18</v>
      </c>
    </row>
    <row r="222">
      <c r="F222" s="198" t="s">
        <v>50</v>
      </c>
    </row>
    <row r="223">
      <c r="F223" s="198" t="s">
        <v>46</v>
      </c>
    </row>
    <row r="224">
      <c r="F224" s="198" t="s">
        <v>30</v>
      </c>
    </row>
    <row r="225">
      <c r="F225" s="198" t="s">
        <v>133</v>
      </c>
    </row>
    <row r="226">
      <c r="F226" s="198" t="s">
        <v>689</v>
      </c>
    </row>
    <row r="227">
      <c r="F227" s="198" t="s">
        <v>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4.5"/>
    <col customWidth="1" min="3" max="3" width="81.13"/>
    <col customWidth="1" min="4" max="4" width="30.88"/>
    <col customWidth="1" min="5" max="5" width="20.5"/>
  </cols>
  <sheetData>
    <row r="1">
      <c r="A1" s="203" t="s">
        <v>1</v>
      </c>
      <c r="B1" s="204" t="s">
        <v>2</v>
      </c>
      <c r="C1" s="205" t="s">
        <v>3</v>
      </c>
      <c r="D1" s="206" t="s">
        <v>4</v>
      </c>
      <c r="E1" s="207" t="s">
        <v>5</v>
      </c>
    </row>
    <row r="2">
      <c r="A2" s="205" t="s">
        <v>631</v>
      </c>
      <c r="B2" s="208" t="s">
        <v>632</v>
      </c>
      <c r="C2" s="209" t="s">
        <v>15</v>
      </c>
      <c r="D2" s="210" t="s">
        <v>15</v>
      </c>
      <c r="E2" s="211" t="s">
        <v>279</v>
      </c>
    </row>
    <row r="3">
      <c r="A3" s="205" t="s">
        <v>633</v>
      </c>
      <c r="B3" s="208" t="s">
        <v>634</v>
      </c>
      <c r="C3" s="209" t="s">
        <v>15</v>
      </c>
      <c r="D3" s="210" t="s">
        <v>15</v>
      </c>
      <c r="E3" s="211" t="s">
        <v>635</v>
      </c>
    </row>
    <row r="4">
      <c r="A4" s="205" t="s">
        <v>636</v>
      </c>
      <c r="B4" s="208" t="s">
        <v>637</v>
      </c>
      <c r="C4" s="209" t="s">
        <v>15</v>
      </c>
      <c r="D4" s="210" t="s">
        <v>15</v>
      </c>
      <c r="E4" s="211" t="s">
        <v>638</v>
      </c>
    </row>
    <row r="5">
      <c r="A5" s="205" t="s">
        <v>639</v>
      </c>
      <c r="B5" s="208" t="s">
        <v>640</v>
      </c>
      <c r="C5" s="209" t="s">
        <v>15</v>
      </c>
      <c r="D5" s="210" t="s">
        <v>15</v>
      </c>
      <c r="E5" s="211" t="s">
        <v>641</v>
      </c>
    </row>
    <row r="6">
      <c r="A6" s="205" t="s">
        <v>642</v>
      </c>
      <c r="B6" s="208" t="s">
        <v>643</v>
      </c>
      <c r="C6" s="209" t="s">
        <v>15</v>
      </c>
      <c r="D6" s="210" t="s">
        <v>15</v>
      </c>
      <c r="E6" s="211" t="s">
        <v>644</v>
      </c>
    </row>
    <row r="7">
      <c r="A7" s="205" t="s">
        <v>645</v>
      </c>
      <c r="B7" s="208" t="s">
        <v>646</v>
      </c>
      <c r="C7" s="209" t="s">
        <v>15</v>
      </c>
      <c r="D7" s="210" t="s">
        <v>15</v>
      </c>
      <c r="E7" s="211" t="s">
        <v>647</v>
      </c>
    </row>
    <row r="8">
      <c r="A8" s="205" t="s">
        <v>648</v>
      </c>
      <c r="B8" s="208" t="s">
        <v>649</v>
      </c>
      <c r="C8" s="209" t="s">
        <v>15</v>
      </c>
      <c r="D8" s="210" t="s">
        <v>15</v>
      </c>
      <c r="E8" s="211" t="s">
        <v>650</v>
      </c>
    </row>
    <row r="9">
      <c r="A9" s="205" t="s">
        <v>651</v>
      </c>
      <c r="B9" s="208" t="s">
        <v>652</v>
      </c>
      <c r="C9" s="209" t="s">
        <v>15</v>
      </c>
      <c r="D9" s="210" t="s">
        <v>15</v>
      </c>
      <c r="E9" s="211" t="s">
        <v>653</v>
      </c>
    </row>
    <row r="10">
      <c r="A10" s="205" t="s">
        <v>654</v>
      </c>
      <c r="B10" s="208" t="s">
        <v>655</v>
      </c>
      <c r="C10" s="209" t="s">
        <v>15</v>
      </c>
      <c r="D10" s="210" t="s">
        <v>15</v>
      </c>
      <c r="E10" s="211" t="s">
        <v>565</v>
      </c>
    </row>
    <row r="11">
      <c r="A11" s="205" t="s">
        <v>2026</v>
      </c>
      <c r="B11" s="208" t="s">
        <v>14</v>
      </c>
      <c r="C11" s="209" t="s">
        <v>15</v>
      </c>
      <c r="D11" s="210" t="s">
        <v>15</v>
      </c>
      <c r="E11" s="211" t="s">
        <v>16</v>
      </c>
    </row>
    <row r="12">
      <c r="A12" s="205" t="s">
        <v>22</v>
      </c>
      <c r="B12" s="212" t="s">
        <v>23</v>
      </c>
      <c r="C12" s="213" t="s">
        <v>15</v>
      </c>
      <c r="D12" s="210" t="s">
        <v>15</v>
      </c>
      <c r="E12" s="211" t="s">
        <v>24</v>
      </c>
    </row>
    <row r="13">
      <c r="A13" s="205" t="s">
        <v>26</v>
      </c>
      <c r="B13" s="212" t="s">
        <v>27</v>
      </c>
      <c r="C13" s="213" t="s">
        <v>15</v>
      </c>
      <c r="D13" s="210" t="s">
        <v>15</v>
      </c>
      <c r="E13" s="211" t="s">
        <v>28</v>
      </c>
    </row>
    <row r="14">
      <c r="A14" s="205" t="s">
        <v>31</v>
      </c>
      <c r="B14" s="212" t="s">
        <v>32</v>
      </c>
      <c r="C14" s="213" t="s">
        <v>15</v>
      </c>
      <c r="D14" s="210" t="s">
        <v>15</v>
      </c>
      <c r="E14" s="211" t="s">
        <v>33</v>
      </c>
    </row>
    <row r="15">
      <c r="A15" s="205" t="s">
        <v>35</v>
      </c>
      <c r="B15" s="212" t="s">
        <v>36</v>
      </c>
      <c r="C15" s="213" t="s">
        <v>15</v>
      </c>
      <c r="D15" s="210" t="s">
        <v>15</v>
      </c>
      <c r="E15" s="211" t="s">
        <v>37</v>
      </c>
    </row>
    <row r="16">
      <c r="A16" s="205" t="s">
        <v>39</v>
      </c>
      <c r="B16" s="212" t="s">
        <v>40</v>
      </c>
      <c r="C16" s="213" t="s">
        <v>15</v>
      </c>
      <c r="D16" s="210" t="s">
        <v>15</v>
      </c>
      <c r="E16" s="211" t="s">
        <v>41</v>
      </c>
    </row>
    <row r="17">
      <c r="A17" s="205" t="s">
        <v>43</v>
      </c>
      <c r="B17" s="212" t="s">
        <v>44</v>
      </c>
      <c r="C17" s="213" t="s">
        <v>15</v>
      </c>
      <c r="D17" s="210" t="s">
        <v>15</v>
      </c>
      <c r="E17" s="211" t="s">
        <v>45</v>
      </c>
    </row>
    <row r="18">
      <c r="A18" s="205" t="s">
        <v>47</v>
      </c>
      <c r="B18" s="212" t="s">
        <v>48</v>
      </c>
      <c r="C18" s="213" t="s">
        <v>15</v>
      </c>
      <c r="D18" s="210" t="s">
        <v>15</v>
      </c>
      <c r="E18" s="211" t="s">
        <v>49</v>
      </c>
    </row>
    <row r="19">
      <c r="A19" s="205" t="s">
        <v>51</v>
      </c>
      <c r="B19" s="212" t="s">
        <v>52</v>
      </c>
      <c r="C19" s="213" t="s">
        <v>15</v>
      </c>
      <c r="D19" s="210" t="s">
        <v>15</v>
      </c>
      <c r="E19" s="211" t="s">
        <v>53</v>
      </c>
    </row>
    <row r="20">
      <c r="A20" s="205" t="s">
        <v>55</v>
      </c>
      <c r="B20" s="212" t="s">
        <v>56</v>
      </c>
      <c r="C20" s="213" t="s">
        <v>15</v>
      </c>
      <c r="D20" s="210" t="s">
        <v>15</v>
      </c>
      <c r="E20" s="211" t="s">
        <v>15</v>
      </c>
    </row>
    <row r="21">
      <c r="A21" s="205" t="s">
        <v>57</v>
      </c>
      <c r="B21" s="212" t="s">
        <v>58</v>
      </c>
      <c r="C21" s="213" t="s">
        <v>15</v>
      </c>
      <c r="D21" s="210" t="s">
        <v>15</v>
      </c>
      <c r="E21" s="211" t="s">
        <v>59</v>
      </c>
    </row>
    <row r="22">
      <c r="A22" s="205" t="s">
        <v>61</v>
      </c>
      <c r="B22" s="212" t="s">
        <v>62</v>
      </c>
      <c r="C22" s="213" t="s">
        <v>15</v>
      </c>
      <c r="D22" s="210" t="s">
        <v>15</v>
      </c>
      <c r="E22" s="211" t="s">
        <v>63</v>
      </c>
    </row>
    <row r="23">
      <c r="A23" s="205" t="s">
        <v>65</v>
      </c>
      <c r="B23" s="212" t="s">
        <v>66</v>
      </c>
      <c r="C23" s="213" t="s">
        <v>15</v>
      </c>
      <c r="D23" s="210" t="s">
        <v>15</v>
      </c>
      <c r="E23" s="211" t="s">
        <v>67</v>
      </c>
    </row>
    <row r="24">
      <c r="A24" s="205" t="s">
        <v>68</v>
      </c>
      <c r="B24" s="212" t="s">
        <v>69</v>
      </c>
      <c r="C24" s="213" t="s">
        <v>15</v>
      </c>
      <c r="D24" s="210" t="s">
        <v>15</v>
      </c>
      <c r="E24" s="211" t="s">
        <v>70</v>
      </c>
    </row>
    <row r="25">
      <c r="A25" s="205" t="s">
        <v>71</v>
      </c>
      <c r="B25" s="212" t="s">
        <v>72</v>
      </c>
      <c r="C25" s="213" t="s">
        <v>15</v>
      </c>
      <c r="D25" s="210" t="s">
        <v>15</v>
      </c>
      <c r="E25" s="211" t="s">
        <v>73</v>
      </c>
    </row>
    <row r="26">
      <c r="A26" s="205" t="s">
        <v>74</v>
      </c>
      <c r="B26" s="212" t="s">
        <v>75</v>
      </c>
      <c r="C26" s="213" t="s">
        <v>15</v>
      </c>
      <c r="D26" s="210" t="s">
        <v>15</v>
      </c>
      <c r="E26" s="211" t="s">
        <v>76</v>
      </c>
    </row>
    <row r="27">
      <c r="A27" s="205" t="s">
        <v>77</v>
      </c>
      <c r="B27" s="212" t="s">
        <v>78</v>
      </c>
      <c r="C27" s="213" t="s">
        <v>15</v>
      </c>
      <c r="D27" s="210" t="s">
        <v>15</v>
      </c>
      <c r="E27" s="211" t="s">
        <v>79</v>
      </c>
    </row>
    <row r="28">
      <c r="A28" s="205" t="s">
        <v>82</v>
      </c>
      <c r="B28" s="212" t="s">
        <v>83</v>
      </c>
      <c r="C28" s="213" t="s">
        <v>15</v>
      </c>
      <c r="D28" s="210" t="s">
        <v>15</v>
      </c>
      <c r="E28" s="211" t="s">
        <v>84</v>
      </c>
    </row>
    <row r="29">
      <c r="A29" s="205" t="s">
        <v>85</v>
      </c>
      <c r="B29" s="212" t="s">
        <v>86</v>
      </c>
      <c r="C29" s="213" t="s">
        <v>15</v>
      </c>
      <c r="D29" s="210" t="s">
        <v>15</v>
      </c>
      <c r="E29" s="211" t="s">
        <v>87</v>
      </c>
    </row>
    <row r="30">
      <c r="A30" s="205" t="s">
        <v>89</v>
      </c>
      <c r="B30" s="212" t="s">
        <v>90</v>
      </c>
      <c r="C30" s="213" t="s">
        <v>15</v>
      </c>
      <c r="D30" s="210" t="s">
        <v>15</v>
      </c>
      <c r="E30" s="211" t="s">
        <v>91</v>
      </c>
    </row>
    <row r="31">
      <c r="A31" s="205" t="s">
        <v>92</v>
      </c>
      <c r="B31" s="212" t="s">
        <v>93</v>
      </c>
      <c r="C31" s="213" t="s">
        <v>15</v>
      </c>
      <c r="D31" s="210" t="s">
        <v>15</v>
      </c>
      <c r="E31" s="211" t="s">
        <v>94</v>
      </c>
    </row>
    <row r="32">
      <c r="A32" s="205" t="s">
        <v>96</v>
      </c>
      <c r="B32" s="212" t="s">
        <v>97</v>
      </c>
      <c r="C32" s="213" t="s">
        <v>15</v>
      </c>
      <c r="D32" s="210" t="s">
        <v>15</v>
      </c>
      <c r="E32" s="211" t="s">
        <v>15</v>
      </c>
    </row>
    <row r="33">
      <c r="A33" s="205" t="s">
        <v>99</v>
      </c>
      <c r="B33" s="212" t="s">
        <v>100</v>
      </c>
      <c r="C33" s="213" t="s">
        <v>15</v>
      </c>
      <c r="D33" s="210" t="s">
        <v>15</v>
      </c>
      <c r="E33" s="211" t="s">
        <v>15</v>
      </c>
    </row>
    <row r="34">
      <c r="A34" s="205" t="s">
        <v>102</v>
      </c>
      <c r="B34" s="212" t="s">
        <v>103</v>
      </c>
      <c r="C34" s="213" t="s">
        <v>15</v>
      </c>
      <c r="D34" s="210" t="s">
        <v>15</v>
      </c>
      <c r="E34" s="211" t="s">
        <v>104</v>
      </c>
    </row>
    <row r="35">
      <c r="A35" s="205" t="s">
        <v>105</v>
      </c>
      <c r="B35" s="212" t="s">
        <v>106</v>
      </c>
      <c r="C35" s="213" t="s">
        <v>15</v>
      </c>
      <c r="D35" s="210" t="s">
        <v>15</v>
      </c>
      <c r="E35" s="211" t="s">
        <v>107</v>
      </c>
    </row>
    <row r="36">
      <c r="A36" s="205" t="s">
        <v>108</v>
      </c>
      <c r="B36" s="212" t="s">
        <v>109</v>
      </c>
      <c r="C36" s="213" t="s">
        <v>15</v>
      </c>
      <c r="D36" s="210" t="s">
        <v>15</v>
      </c>
      <c r="E36" s="211" t="s">
        <v>110</v>
      </c>
    </row>
    <row r="37">
      <c r="A37" s="205" t="s">
        <v>112</v>
      </c>
      <c r="B37" s="212" t="s">
        <v>113</v>
      </c>
      <c r="C37" s="213" t="s">
        <v>15</v>
      </c>
      <c r="D37" s="210" t="s">
        <v>15</v>
      </c>
      <c r="E37" s="211" t="s">
        <v>114</v>
      </c>
    </row>
    <row r="38">
      <c r="A38" s="205" t="s">
        <v>115</v>
      </c>
      <c r="B38" s="212" t="s">
        <v>116</v>
      </c>
      <c r="C38" s="213" t="s">
        <v>15</v>
      </c>
      <c r="D38" s="210" t="s">
        <v>15</v>
      </c>
      <c r="E38" s="211" t="s">
        <v>117</v>
      </c>
    </row>
    <row r="39">
      <c r="A39" s="205" t="s">
        <v>118</v>
      </c>
      <c r="B39" s="212" t="s">
        <v>119</v>
      </c>
      <c r="C39" s="213" t="s">
        <v>15</v>
      </c>
      <c r="D39" s="210" t="s">
        <v>15</v>
      </c>
      <c r="E39" s="211" t="s">
        <v>120</v>
      </c>
    </row>
    <row r="40">
      <c r="A40" s="205" t="s">
        <v>121</v>
      </c>
      <c r="B40" s="212" t="s">
        <v>122</v>
      </c>
      <c r="C40" s="213" t="s">
        <v>15</v>
      </c>
      <c r="D40" s="210" t="s">
        <v>15</v>
      </c>
      <c r="E40" s="211" t="s">
        <v>123</v>
      </c>
    </row>
    <row r="41">
      <c r="A41" s="205" t="s">
        <v>126</v>
      </c>
      <c r="B41" s="212" t="s">
        <v>127</v>
      </c>
      <c r="C41" s="213" t="s">
        <v>15</v>
      </c>
      <c r="D41" s="210" t="s">
        <v>15</v>
      </c>
      <c r="E41" s="211" t="s">
        <v>128</v>
      </c>
    </row>
    <row r="42">
      <c r="A42" s="205" t="s">
        <v>130</v>
      </c>
      <c r="B42" s="212" t="s">
        <v>131</v>
      </c>
      <c r="C42" s="213" t="s">
        <v>15</v>
      </c>
      <c r="D42" s="210" t="s">
        <v>15</v>
      </c>
      <c r="E42" s="211" t="s">
        <v>132</v>
      </c>
    </row>
    <row r="43">
      <c r="A43" s="205" t="s">
        <v>134</v>
      </c>
      <c r="B43" s="212" t="s">
        <v>135</v>
      </c>
      <c r="C43" s="213" t="s">
        <v>15</v>
      </c>
      <c r="D43" s="210" t="s">
        <v>15</v>
      </c>
      <c r="E43" s="211" t="s">
        <v>136</v>
      </c>
    </row>
    <row r="44">
      <c r="A44" s="205" t="s">
        <v>138</v>
      </c>
      <c r="B44" s="212" t="s">
        <v>139</v>
      </c>
      <c r="C44" s="213" t="s">
        <v>140</v>
      </c>
      <c r="D44" s="210">
        <v>7.45546000078E11</v>
      </c>
      <c r="E44" s="211"/>
    </row>
    <row r="45">
      <c r="A45" s="205" t="s">
        <v>141</v>
      </c>
      <c r="B45" s="212" t="s">
        <v>142</v>
      </c>
      <c r="C45" s="213" t="s">
        <v>15</v>
      </c>
      <c r="D45" s="210" t="s">
        <v>15</v>
      </c>
      <c r="E45" s="211" t="s">
        <v>143</v>
      </c>
    </row>
    <row r="46">
      <c r="A46" s="205" t="s">
        <v>145</v>
      </c>
      <c r="B46" s="212" t="s">
        <v>146</v>
      </c>
      <c r="C46" s="213" t="s">
        <v>15</v>
      </c>
      <c r="D46" s="210" t="s">
        <v>15</v>
      </c>
      <c r="E46" s="211" t="s">
        <v>147</v>
      </c>
    </row>
    <row r="47">
      <c r="A47" s="205" t="s">
        <v>148</v>
      </c>
      <c r="B47" s="212" t="s">
        <v>149</v>
      </c>
      <c r="C47" s="213" t="s">
        <v>15</v>
      </c>
      <c r="D47" s="210" t="s">
        <v>15</v>
      </c>
      <c r="E47" s="211" t="s">
        <v>150</v>
      </c>
    </row>
    <row r="48">
      <c r="A48" s="205" t="s">
        <v>151</v>
      </c>
      <c r="B48" s="212" t="s">
        <v>152</v>
      </c>
      <c r="C48" s="213" t="s">
        <v>15</v>
      </c>
      <c r="D48" s="210" t="s">
        <v>15</v>
      </c>
      <c r="E48" s="211" t="s">
        <v>153</v>
      </c>
    </row>
    <row r="49">
      <c r="A49" s="205" t="s">
        <v>154</v>
      </c>
      <c r="B49" s="212" t="s">
        <v>155</v>
      </c>
      <c r="C49" s="213" t="s">
        <v>156</v>
      </c>
      <c r="D49" s="214">
        <v>1.05485000257E11</v>
      </c>
      <c r="E49" s="211"/>
    </row>
    <row r="50">
      <c r="A50" s="205" t="s">
        <v>157</v>
      </c>
      <c r="B50" s="212" t="s">
        <v>158</v>
      </c>
      <c r="C50" s="213" t="s">
        <v>15</v>
      </c>
      <c r="D50" s="210" t="s">
        <v>15</v>
      </c>
      <c r="E50" s="211" t="s">
        <v>15</v>
      </c>
    </row>
    <row r="51">
      <c r="A51" s="205" t="s">
        <v>159</v>
      </c>
      <c r="B51" s="212" t="s">
        <v>160</v>
      </c>
      <c r="C51" s="213" t="s">
        <v>15</v>
      </c>
      <c r="D51" s="210" t="s">
        <v>15</v>
      </c>
      <c r="E51" s="211" t="s">
        <v>161</v>
      </c>
    </row>
    <row r="52">
      <c r="A52" s="205" t="s">
        <v>164</v>
      </c>
      <c r="B52" s="212" t="s">
        <v>165</v>
      </c>
      <c r="C52" s="213" t="s">
        <v>15</v>
      </c>
      <c r="D52" s="210" t="s">
        <v>15</v>
      </c>
      <c r="E52" s="211" t="s">
        <v>166</v>
      </c>
    </row>
    <row r="53">
      <c r="A53" s="205" t="s">
        <v>167</v>
      </c>
      <c r="B53" s="212" t="s">
        <v>168</v>
      </c>
      <c r="C53" s="213" t="s">
        <v>15</v>
      </c>
      <c r="D53" s="210" t="s">
        <v>15</v>
      </c>
      <c r="E53" s="211" t="s">
        <v>169</v>
      </c>
    </row>
    <row r="54">
      <c r="A54" s="205" t="s">
        <v>170</v>
      </c>
      <c r="B54" s="212" t="s">
        <v>171</v>
      </c>
      <c r="C54" s="213" t="s">
        <v>15</v>
      </c>
      <c r="D54" s="210" t="s">
        <v>15</v>
      </c>
      <c r="E54" s="211" t="s">
        <v>172</v>
      </c>
    </row>
    <row r="55">
      <c r="A55" s="205" t="s">
        <v>173</v>
      </c>
      <c r="B55" s="212" t="s">
        <v>174</v>
      </c>
      <c r="C55" s="213" t="s">
        <v>15</v>
      </c>
      <c r="D55" s="210" t="s">
        <v>15</v>
      </c>
      <c r="E55" s="211" t="s">
        <v>175</v>
      </c>
    </row>
    <row r="56">
      <c r="A56" s="205" t="s">
        <v>176</v>
      </c>
      <c r="B56" s="212" t="s">
        <v>177</v>
      </c>
      <c r="C56" s="213" t="s">
        <v>15</v>
      </c>
      <c r="D56" s="210">
        <v>1.55070010564E12</v>
      </c>
      <c r="E56" s="211" t="s">
        <v>15</v>
      </c>
    </row>
    <row r="57">
      <c r="A57" s="205" t="s">
        <v>178</v>
      </c>
      <c r="B57" s="212" t="s">
        <v>179</v>
      </c>
      <c r="C57" s="213" t="s">
        <v>15</v>
      </c>
      <c r="D57" s="210" t="s">
        <v>15</v>
      </c>
      <c r="E57" s="211" t="s">
        <v>15</v>
      </c>
    </row>
    <row r="58">
      <c r="A58" s="205" t="s">
        <v>180</v>
      </c>
      <c r="B58" s="212" t="s">
        <v>181</v>
      </c>
      <c r="C58" s="213" t="s">
        <v>15</v>
      </c>
      <c r="D58" s="210" t="s">
        <v>15</v>
      </c>
      <c r="E58" s="211" t="s">
        <v>182</v>
      </c>
    </row>
    <row r="59">
      <c r="A59" s="205" t="s">
        <v>183</v>
      </c>
      <c r="B59" s="212" t="s">
        <v>184</v>
      </c>
      <c r="C59" s="213" t="s">
        <v>185</v>
      </c>
      <c r="D59" s="210">
        <v>1.35557015433E11</v>
      </c>
      <c r="E59" s="211" t="s">
        <v>15</v>
      </c>
    </row>
    <row r="60">
      <c r="A60" s="205" t="s">
        <v>186</v>
      </c>
      <c r="B60" s="212" t="s">
        <v>187</v>
      </c>
      <c r="C60" s="213" t="s">
        <v>188</v>
      </c>
      <c r="D60" s="210">
        <v>1.05546034385E11</v>
      </c>
      <c r="E60" s="211" t="s">
        <v>15</v>
      </c>
    </row>
    <row r="61">
      <c r="A61" s="205" t="s">
        <v>190</v>
      </c>
      <c r="B61" s="212" t="s">
        <v>191</v>
      </c>
      <c r="C61" s="213" t="s">
        <v>15</v>
      </c>
      <c r="D61" s="210" t="s">
        <v>15</v>
      </c>
      <c r="E61" s="211" t="s">
        <v>192</v>
      </c>
    </row>
    <row r="62">
      <c r="A62" s="205" t="s">
        <v>195</v>
      </c>
      <c r="B62" s="212" t="s">
        <v>196</v>
      </c>
      <c r="C62" s="213" t="s">
        <v>15</v>
      </c>
      <c r="D62" s="210" t="s">
        <v>15</v>
      </c>
      <c r="E62" s="211" t="s">
        <v>197</v>
      </c>
    </row>
    <row r="63">
      <c r="A63" s="205" t="s">
        <v>198</v>
      </c>
      <c r="B63" s="212" t="s">
        <v>199</v>
      </c>
      <c r="C63" s="213" t="s">
        <v>15</v>
      </c>
      <c r="D63" s="210" t="s">
        <v>15</v>
      </c>
      <c r="E63" s="211" t="s">
        <v>200</v>
      </c>
    </row>
    <row r="64">
      <c r="A64" s="205" t="s">
        <v>201</v>
      </c>
      <c r="B64" s="212" t="s">
        <v>202</v>
      </c>
      <c r="C64" s="213" t="s">
        <v>15</v>
      </c>
      <c r="D64" s="210" t="s">
        <v>15</v>
      </c>
      <c r="E64" s="211" t="s">
        <v>203</v>
      </c>
    </row>
    <row r="65">
      <c r="A65" s="205" t="s">
        <v>204</v>
      </c>
      <c r="B65" s="212" t="s">
        <v>205</v>
      </c>
      <c r="C65" s="213" t="s">
        <v>15</v>
      </c>
      <c r="D65" s="210" t="s">
        <v>15</v>
      </c>
      <c r="E65" s="211" t="s">
        <v>206</v>
      </c>
    </row>
    <row r="66">
      <c r="A66" s="205" t="s">
        <v>207</v>
      </c>
      <c r="B66" s="212" t="s">
        <v>208</v>
      </c>
      <c r="C66" s="213" t="s">
        <v>15</v>
      </c>
      <c r="D66" s="210" t="s">
        <v>15</v>
      </c>
      <c r="E66" s="211" t="s">
        <v>209</v>
      </c>
    </row>
    <row r="67">
      <c r="A67" s="205" t="s">
        <v>210</v>
      </c>
      <c r="B67" s="212" t="s">
        <v>211</v>
      </c>
      <c r="C67" s="213" t="s">
        <v>15</v>
      </c>
      <c r="D67" s="210" t="s">
        <v>15</v>
      </c>
      <c r="E67" s="211" t="s">
        <v>212</v>
      </c>
    </row>
    <row r="68">
      <c r="A68" s="205" t="s">
        <v>213</v>
      </c>
      <c r="B68" s="212" t="s">
        <v>214</v>
      </c>
      <c r="C68" s="213" t="s">
        <v>15</v>
      </c>
      <c r="D68" s="210" t="s">
        <v>15</v>
      </c>
      <c r="E68" s="211" t="s">
        <v>215</v>
      </c>
    </row>
    <row r="69">
      <c r="A69" s="205" t="s">
        <v>216</v>
      </c>
      <c r="B69" s="212" t="s">
        <v>217</v>
      </c>
      <c r="C69" s="213" t="s">
        <v>15</v>
      </c>
      <c r="D69" s="210" t="s">
        <v>15</v>
      </c>
      <c r="E69" s="211" t="s">
        <v>218</v>
      </c>
    </row>
    <row r="70">
      <c r="A70" s="205" t="s">
        <v>219</v>
      </c>
      <c r="B70" s="212" t="s">
        <v>220</v>
      </c>
      <c r="C70" s="213" t="s">
        <v>15</v>
      </c>
      <c r="D70" s="210" t="s">
        <v>15</v>
      </c>
      <c r="E70" s="211" t="s">
        <v>221</v>
      </c>
    </row>
    <row r="71">
      <c r="A71" s="205" t="s">
        <v>222</v>
      </c>
      <c r="B71" s="212" t="s">
        <v>223</v>
      </c>
      <c r="C71" s="213" t="s">
        <v>15</v>
      </c>
      <c r="D71" s="210" t="s">
        <v>15</v>
      </c>
      <c r="E71" s="211" t="s">
        <v>15</v>
      </c>
    </row>
    <row r="72">
      <c r="A72" s="205" t="s">
        <v>224</v>
      </c>
      <c r="B72" s="212" t="s">
        <v>225</v>
      </c>
      <c r="C72" s="213" t="s">
        <v>15</v>
      </c>
      <c r="D72" s="210" t="s">
        <v>15</v>
      </c>
      <c r="E72" s="211" t="s">
        <v>15</v>
      </c>
    </row>
    <row r="73">
      <c r="A73" s="205" t="s">
        <v>226</v>
      </c>
      <c r="B73" s="212" t="s">
        <v>227</v>
      </c>
      <c r="C73" s="213" t="s">
        <v>15</v>
      </c>
      <c r="D73" s="210">
        <v>1.480800071071E12</v>
      </c>
      <c r="E73" s="211" t="s">
        <v>228</v>
      </c>
    </row>
    <row r="74">
      <c r="A74" s="205" t="s">
        <v>229</v>
      </c>
      <c r="B74" s="212" t="s">
        <v>230</v>
      </c>
      <c r="C74" s="213" t="s">
        <v>15</v>
      </c>
      <c r="D74" s="210" t="s">
        <v>15</v>
      </c>
      <c r="E74" s="211" t="s">
        <v>231</v>
      </c>
    </row>
    <row r="75">
      <c r="A75" s="205" t="s">
        <v>234</v>
      </c>
      <c r="B75" s="212" t="s">
        <v>235</v>
      </c>
      <c r="C75" s="213" t="s">
        <v>15</v>
      </c>
      <c r="D75" s="210" t="s">
        <v>15</v>
      </c>
      <c r="E75" s="211" t="s">
        <v>236</v>
      </c>
    </row>
    <row r="76">
      <c r="A76" s="205" t="s">
        <v>237</v>
      </c>
      <c r="B76" s="212" t="s">
        <v>238</v>
      </c>
      <c r="C76" s="213" t="s">
        <v>239</v>
      </c>
      <c r="D76" s="210">
        <v>3.25558000268E11</v>
      </c>
      <c r="E76" s="211" t="s">
        <v>240</v>
      </c>
    </row>
    <row r="77">
      <c r="A77" s="205" t="s">
        <v>241</v>
      </c>
      <c r="B77" s="212" t="s">
        <v>242</v>
      </c>
      <c r="C77" s="213" t="s">
        <v>15</v>
      </c>
      <c r="D77" s="210" t="s">
        <v>15</v>
      </c>
      <c r="E77" s="211"/>
    </row>
    <row r="78">
      <c r="A78" s="205" t="s">
        <v>243</v>
      </c>
      <c r="B78" s="212" t="s">
        <v>244</v>
      </c>
      <c r="C78" s="213" t="s">
        <v>15</v>
      </c>
      <c r="D78" s="210" t="s">
        <v>15</v>
      </c>
      <c r="E78" s="211" t="s">
        <v>236</v>
      </c>
    </row>
    <row r="79">
      <c r="A79" s="205" t="s">
        <v>245</v>
      </c>
      <c r="B79" s="212" t="s">
        <v>246</v>
      </c>
      <c r="C79" s="213" t="s">
        <v>15</v>
      </c>
      <c r="D79" s="210" t="s">
        <v>15</v>
      </c>
      <c r="E79" s="211" t="s">
        <v>247</v>
      </c>
    </row>
    <row r="80">
      <c r="A80" s="205" t="s">
        <v>248</v>
      </c>
      <c r="B80" s="212" t="s">
        <v>249</v>
      </c>
      <c r="C80" s="213" t="s">
        <v>15</v>
      </c>
      <c r="D80" s="210"/>
      <c r="E80" s="211" t="s">
        <v>250</v>
      </c>
    </row>
    <row r="81">
      <c r="A81" s="205" t="s">
        <v>251</v>
      </c>
      <c r="B81" s="212" t="s">
        <v>252</v>
      </c>
      <c r="C81" s="213" t="s">
        <v>15</v>
      </c>
      <c r="D81" s="210" t="s">
        <v>15</v>
      </c>
      <c r="E81" s="211" t="s">
        <v>253</v>
      </c>
    </row>
    <row r="82">
      <c r="A82" s="205" t="s">
        <v>254</v>
      </c>
      <c r="B82" s="212" t="s">
        <v>255</v>
      </c>
      <c r="C82" s="213" t="s">
        <v>15</v>
      </c>
      <c r="D82" s="210" t="s">
        <v>15</v>
      </c>
      <c r="E82" s="211" t="s">
        <v>256</v>
      </c>
    </row>
    <row r="83">
      <c r="A83" s="205" t="s">
        <v>257</v>
      </c>
      <c r="B83" s="212" t="s">
        <v>258</v>
      </c>
      <c r="C83" s="213" t="s">
        <v>259</v>
      </c>
      <c r="D83" s="210">
        <v>1.430301364481E12</v>
      </c>
      <c r="E83" s="211" t="s">
        <v>260</v>
      </c>
    </row>
    <row r="84">
      <c r="A84" s="205" t="s">
        <v>261</v>
      </c>
      <c r="B84" s="212" t="s">
        <v>262</v>
      </c>
      <c r="C84" s="213" t="s">
        <v>15</v>
      </c>
      <c r="D84" s="210" t="s">
        <v>15</v>
      </c>
      <c r="E84" s="211" t="s">
        <v>263</v>
      </c>
    </row>
    <row r="85">
      <c r="A85" s="205" t="s">
        <v>264</v>
      </c>
      <c r="B85" s="212" t="s">
        <v>265</v>
      </c>
      <c r="C85" s="213" t="s">
        <v>15</v>
      </c>
      <c r="D85" s="210" t="s">
        <v>15</v>
      </c>
      <c r="E85" s="211" t="s">
        <v>15</v>
      </c>
    </row>
    <row r="86">
      <c r="A86" s="205" t="s">
        <v>266</v>
      </c>
      <c r="B86" s="212" t="s">
        <v>267</v>
      </c>
      <c r="C86" s="213"/>
      <c r="D86" s="210"/>
      <c r="E86" s="211" t="s">
        <v>268</v>
      </c>
    </row>
    <row r="87">
      <c r="A87" s="205" t="s">
        <v>269</v>
      </c>
      <c r="B87" s="212" t="s">
        <v>270</v>
      </c>
      <c r="C87" s="213" t="s">
        <v>15</v>
      </c>
      <c r="D87" s="210" t="s">
        <v>15</v>
      </c>
      <c r="E87" s="211" t="s">
        <v>15</v>
      </c>
    </row>
    <row r="88">
      <c r="A88" s="205" t="s">
        <v>271</v>
      </c>
      <c r="B88" s="212" t="s">
        <v>272</v>
      </c>
      <c r="C88" s="213" t="s">
        <v>15</v>
      </c>
      <c r="D88" s="210" t="s">
        <v>15</v>
      </c>
      <c r="E88" s="211" t="s">
        <v>273</v>
      </c>
    </row>
    <row r="89">
      <c r="A89" s="205" t="s">
        <v>274</v>
      </c>
      <c r="B89" s="212" t="s">
        <v>275</v>
      </c>
      <c r="C89" s="213" t="s">
        <v>15</v>
      </c>
      <c r="D89" s="210" t="s">
        <v>15</v>
      </c>
      <c r="E89" s="211" t="s">
        <v>276</v>
      </c>
    </row>
    <row r="90">
      <c r="A90" s="205" t="s">
        <v>277</v>
      </c>
      <c r="B90" s="212" t="s">
        <v>278</v>
      </c>
      <c r="C90" s="213" t="s">
        <v>15</v>
      </c>
      <c r="D90" s="210" t="s">
        <v>15</v>
      </c>
      <c r="E90" s="211" t="s">
        <v>279</v>
      </c>
    </row>
    <row r="91">
      <c r="A91" s="205" t="s">
        <v>280</v>
      </c>
      <c r="B91" s="212" t="s">
        <v>281</v>
      </c>
      <c r="C91" s="213" t="s">
        <v>15</v>
      </c>
      <c r="D91" s="210" t="s">
        <v>15</v>
      </c>
      <c r="E91" s="211" t="s">
        <v>282</v>
      </c>
    </row>
    <row r="92">
      <c r="A92" s="205" t="s">
        <v>283</v>
      </c>
      <c r="B92" s="212" t="s">
        <v>284</v>
      </c>
      <c r="C92" s="213" t="s">
        <v>15</v>
      </c>
      <c r="D92" s="210" t="s">
        <v>15</v>
      </c>
      <c r="E92" s="211" t="s">
        <v>285</v>
      </c>
    </row>
    <row r="93">
      <c r="A93" s="205" t="s">
        <v>286</v>
      </c>
      <c r="B93" s="212" t="s">
        <v>287</v>
      </c>
      <c r="C93" s="213" t="s">
        <v>15</v>
      </c>
      <c r="D93" s="210">
        <v>1.479300060141E12</v>
      </c>
      <c r="E93" s="211" t="s">
        <v>288</v>
      </c>
    </row>
    <row r="94">
      <c r="A94" s="205" t="s">
        <v>289</v>
      </c>
      <c r="B94" s="212" t="s">
        <v>290</v>
      </c>
      <c r="C94" s="213" t="s">
        <v>15</v>
      </c>
      <c r="D94" s="210" t="s">
        <v>15</v>
      </c>
      <c r="E94" s="211" t="s">
        <v>15</v>
      </c>
    </row>
    <row r="95">
      <c r="A95" s="205" t="s">
        <v>291</v>
      </c>
      <c r="B95" s="212" t="s">
        <v>292</v>
      </c>
      <c r="C95" s="213" t="s">
        <v>15</v>
      </c>
      <c r="D95" s="210" t="s">
        <v>15</v>
      </c>
      <c r="E95" s="211" t="s">
        <v>293</v>
      </c>
    </row>
    <row r="96">
      <c r="A96" s="205" t="s">
        <v>294</v>
      </c>
      <c r="B96" s="212" t="s">
        <v>295</v>
      </c>
      <c r="C96" s="213" t="s">
        <v>15</v>
      </c>
      <c r="D96" s="210" t="s">
        <v>15</v>
      </c>
      <c r="E96" s="211" t="s">
        <v>15</v>
      </c>
    </row>
    <row r="97">
      <c r="A97" s="205" t="s">
        <v>296</v>
      </c>
      <c r="B97" s="212" t="s">
        <v>297</v>
      </c>
      <c r="C97" s="213" t="s">
        <v>15</v>
      </c>
      <c r="D97" s="210" t="s">
        <v>15</v>
      </c>
      <c r="E97" s="211" t="s">
        <v>298</v>
      </c>
    </row>
    <row r="98">
      <c r="A98" s="205" t="s">
        <v>299</v>
      </c>
      <c r="B98" s="212" t="s">
        <v>300</v>
      </c>
      <c r="C98" s="213" t="s">
        <v>15</v>
      </c>
      <c r="D98" s="210" t="s">
        <v>15</v>
      </c>
      <c r="E98" s="211" t="s">
        <v>301</v>
      </c>
    </row>
    <row r="99">
      <c r="A99" s="205" t="s">
        <v>302</v>
      </c>
      <c r="B99" s="212" t="s">
        <v>303</v>
      </c>
      <c r="C99" s="213" t="s">
        <v>15</v>
      </c>
      <c r="D99" s="210" t="s">
        <v>15</v>
      </c>
      <c r="E99" s="211" t="s">
        <v>304</v>
      </c>
    </row>
    <row r="100">
      <c r="A100" s="205" t="s">
        <v>305</v>
      </c>
      <c r="B100" s="212" t="s">
        <v>306</v>
      </c>
      <c r="C100" s="213" t="s">
        <v>15</v>
      </c>
      <c r="D100" s="210" t="s">
        <v>15</v>
      </c>
      <c r="E100" s="211" t="s">
        <v>307</v>
      </c>
    </row>
    <row r="101">
      <c r="A101" s="205" t="s">
        <v>308</v>
      </c>
      <c r="B101" s="212" t="s">
        <v>309</v>
      </c>
      <c r="C101" s="213" t="s">
        <v>15</v>
      </c>
      <c r="D101" s="210" t="s">
        <v>15</v>
      </c>
      <c r="E101" s="211" t="s">
        <v>310</v>
      </c>
    </row>
    <row r="102">
      <c r="A102" s="205" t="s">
        <v>311</v>
      </c>
      <c r="B102" s="212" t="s">
        <v>312</v>
      </c>
      <c r="C102" s="213" t="s">
        <v>15</v>
      </c>
      <c r="D102" s="210" t="s">
        <v>15</v>
      </c>
      <c r="E102" s="211" t="s">
        <v>313</v>
      </c>
    </row>
    <row r="103">
      <c r="A103" s="205" t="s">
        <v>314</v>
      </c>
      <c r="B103" s="212" t="s">
        <v>315</v>
      </c>
      <c r="C103" s="213" t="s">
        <v>15</v>
      </c>
      <c r="D103" s="210" t="s">
        <v>15</v>
      </c>
      <c r="E103" s="211" t="s">
        <v>316</v>
      </c>
    </row>
    <row r="104">
      <c r="A104" s="205" t="s">
        <v>317</v>
      </c>
      <c r="B104" s="212" t="s">
        <v>318</v>
      </c>
      <c r="C104" s="213" t="s">
        <v>15</v>
      </c>
      <c r="D104" s="210" t="s">
        <v>15</v>
      </c>
      <c r="E104" s="211" t="s">
        <v>319</v>
      </c>
    </row>
    <row r="105">
      <c r="A105" s="205" t="s">
        <v>320</v>
      </c>
      <c r="B105" s="212" t="s">
        <v>321</v>
      </c>
      <c r="C105" s="213" t="s">
        <v>15</v>
      </c>
      <c r="D105" s="210" t="s">
        <v>15</v>
      </c>
      <c r="E105" s="211" t="s">
        <v>322</v>
      </c>
    </row>
    <row r="106">
      <c r="A106" s="205" t="s">
        <v>323</v>
      </c>
      <c r="B106" s="212" t="s">
        <v>324</v>
      </c>
      <c r="C106" s="213" t="s">
        <v>15</v>
      </c>
      <c r="D106" s="210" t="s">
        <v>15</v>
      </c>
      <c r="E106" s="211" t="s">
        <v>325</v>
      </c>
    </row>
    <row r="107">
      <c r="A107" s="205" t="s">
        <v>326</v>
      </c>
      <c r="B107" s="212" t="s">
        <v>327</v>
      </c>
      <c r="C107" s="213" t="s">
        <v>15</v>
      </c>
      <c r="D107" s="210" t="s">
        <v>15</v>
      </c>
      <c r="E107" s="211" t="s">
        <v>328</v>
      </c>
    </row>
    <row r="108">
      <c r="A108" s="205" t="s">
        <v>329</v>
      </c>
      <c r="B108" s="212" t="s">
        <v>330</v>
      </c>
      <c r="C108" s="213" t="s">
        <v>15</v>
      </c>
      <c r="D108" s="210" t="s">
        <v>15</v>
      </c>
      <c r="E108" s="211" t="s">
        <v>331</v>
      </c>
    </row>
    <row r="109">
      <c r="A109" s="205" t="s">
        <v>332</v>
      </c>
      <c r="B109" s="212" t="s">
        <v>333</v>
      </c>
      <c r="C109" s="213" t="s">
        <v>15</v>
      </c>
      <c r="D109" s="210" t="s">
        <v>15</v>
      </c>
      <c r="E109" s="211" t="s">
        <v>334</v>
      </c>
    </row>
    <row r="110">
      <c r="A110" s="205" t="s">
        <v>336</v>
      </c>
      <c r="B110" s="212" t="s">
        <v>337</v>
      </c>
      <c r="C110" s="213" t="s">
        <v>15</v>
      </c>
      <c r="D110" s="210" t="s">
        <v>15</v>
      </c>
      <c r="E110" s="211" t="s">
        <v>338</v>
      </c>
    </row>
    <row r="111">
      <c r="A111" s="205" t="s">
        <v>339</v>
      </c>
      <c r="B111" s="212" t="s">
        <v>340</v>
      </c>
      <c r="C111" s="213" t="s">
        <v>15</v>
      </c>
      <c r="D111" s="210"/>
      <c r="E111" s="211" t="s">
        <v>341</v>
      </c>
    </row>
    <row r="112">
      <c r="A112" s="205" t="s">
        <v>342</v>
      </c>
      <c r="B112" s="212" t="s">
        <v>343</v>
      </c>
      <c r="C112" s="213" t="s">
        <v>15</v>
      </c>
      <c r="D112" s="210">
        <v>1.419900226874E12</v>
      </c>
      <c r="E112" s="211" t="s">
        <v>344</v>
      </c>
    </row>
    <row r="113">
      <c r="A113" s="205" t="s">
        <v>345</v>
      </c>
      <c r="B113" s="212" t="s">
        <v>346</v>
      </c>
      <c r="C113" s="213" t="s">
        <v>15</v>
      </c>
      <c r="D113" s="210" t="s">
        <v>15</v>
      </c>
      <c r="E113" s="211" t="s">
        <v>347</v>
      </c>
    </row>
    <row r="114">
      <c r="A114" s="205" t="s">
        <v>348</v>
      </c>
      <c r="B114" s="212" t="s">
        <v>349</v>
      </c>
      <c r="C114" s="213" t="s">
        <v>15</v>
      </c>
      <c r="D114" s="210" t="s">
        <v>15</v>
      </c>
      <c r="E114" s="211" t="s">
        <v>143</v>
      </c>
    </row>
    <row r="115">
      <c r="A115" s="205" t="s">
        <v>350</v>
      </c>
      <c r="B115" s="212" t="s">
        <v>351</v>
      </c>
      <c r="C115" s="213" t="s">
        <v>15</v>
      </c>
      <c r="D115" s="210" t="s">
        <v>15</v>
      </c>
      <c r="E115" s="211" t="s">
        <v>352</v>
      </c>
    </row>
    <row r="116">
      <c r="A116" s="205" t="s">
        <v>353</v>
      </c>
      <c r="B116" s="212" t="s">
        <v>354</v>
      </c>
      <c r="C116" s="213" t="s">
        <v>15</v>
      </c>
      <c r="D116" s="210" t="s">
        <v>15</v>
      </c>
      <c r="E116" s="211" t="s">
        <v>355</v>
      </c>
    </row>
    <row r="117">
      <c r="A117" s="205" t="s">
        <v>356</v>
      </c>
      <c r="B117" s="212" t="s">
        <v>357</v>
      </c>
      <c r="C117" s="213" t="s">
        <v>15</v>
      </c>
      <c r="D117" s="210" t="s">
        <v>15</v>
      </c>
      <c r="E117" s="211" t="s">
        <v>15</v>
      </c>
    </row>
    <row r="118">
      <c r="A118" s="205" t="s">
        <v>358</v>
      </c>
      <c r="B118" s="212" t="s">
        <v>359</v>
      </c>
      <c r="C118" s="213" t="s">
        <v>15</v>
      </c>
      <c r="D118" s="210" t="s">
        <v>15</v>
      </c>
      <c r="E118" s="211" t="s">
        <v>250</v>
      </c>
    </row>
    <row r="119">
      <c r="A119" s="205" t="s">
        <v>360</v>
      </c>
      <c r="B119" s="212" t="s">
        <v>361</v>
      </c>
      <c r="C119" s="213" t="s">
        <v>15</v>
      </c>
      <c r="D119" s="210" t="s">
        <v>15</v>
      </c>
      <c r="E119" s="211"/>
    </row>
    <row r="120">
      <c r="A120" s="205" t="s">
        <v>362</v>
      </c>
      <c r="B120" s="212" t="s">
        <v>363</v>
      </c>
      <c r="C120" s="213" t="s">
        <v>15</v>
      </c>
      <c r="D120" s="210" t="s">
        <v>15</v>
      </c>
      <c r="E120" s="211" t="s">
        <v>364</v>
      </c>
    </row>
    <row r="121">
      <c r="A121" s="205" t="s">
        <v>365</v>
      </c>
      <c r="B121" s="212" t="s">
        <v>366</v>
      </c>
      <c r="C121" s="213" t="s">
        <v>15</v>
      </c>
      <c r="D121" s="210" t="s">
        <v>15</v>
      </c>
      <c r="E121" s="211"/>
    </row>
    <row r="122">
      <c r="A122" s="205" t="s">
        <v>367</v>
      </c>
      <c r="B122" s="212" t="s">
        <v>368</v>
      </c>
      <c r="C122" s="213" t="s">
        <v>15</v>
      </c>
      <c r="D122" s="210" t="s">
        <v>15</v>
      </c>
      <c r="E122" s="211" t="s">
        <v>369</v>
      </c>
    </row>
    <row r="123">
      <c r="A123" s="205" t="s">
        <v>370</v>
      </c>
      <c r="B123" s="212" t="s">
        <v>371</v>
      </c>
      <c r="C123" s="213" t="s">
        <v>15</v>
      </c>
      <c r="D123" s="210" t="s">
        <v>15</v>
      </c>
      <c r="E123" s="211" t="s">
        <v>372</v>
      </c>
    </row>
    <row r="124">
      <c r="A124" s="205" t="s">
        <v>373</v>
      </c>
      <c r="B124" s="212" t="s">
        <v>374</v>
      </c>
      <c r="C124" s="213" t="s">
        <v>15</v>
      </c>
      <c r="D124" s="210" t="s">
        <v>15</v>
      </c>
      <c r="E124" s="211" t="s">
        <v>375</v>
      </c>
    </row>
    <row r="125">
      <c r="A125" s="205" t="s">
        <v>376</v>
      </c>
      <c r="B125" s="212" t="s">
        <v>377</v>
      </c>
      <c r="C125" s="213" t="s">
        <v>15</v>
      </c>
      <c r="D125" s="210" t="s">
        <v>15</v>
      </c>
      <c r="E125" s="211" t="s">
        <v>378</v>
      </c>
    </row>
    <row r="126">
      <c r="A126" s="205" t="s">
        <v>379</v>
      </c>
      <c r="B126" s="212" t="s">
        <v>380</v>
      </c>
      <c r="C126" s="213" t="s">
        <v>15</v>
      </c>
      <c r="D126" s="210" t="s">
        <v>15</v>
      </c>
      <c r="E126" s="211" t="s">
        <v>381</v>
      </c>
    </row>
    <row r="127">
      <c r="A127" s="205" t="s">
        <v>382</v>
      </c>
      <c r="B127" s="212" t="s">
        <v>383</v>
      </c>
      <c r="C127" s="213" t="s">
        <v>15</v>
      </c>
      <c r="D127" s="210" t="s">
        <v>15</v>
      </c>
      <c r="E127" s="211" t="s">
        <v>384</v>
      </c>
    </row>
    <row r="128">
      <c r="A128" s="205" t="s">
        <v>385</v>
      </c>
      <c r="B128" s="212" t="s">
        <v>386</v>
      </c>
      <c r="C128" s="213" t="s">
        <v>15</v>
      </c>
      <c r="D128" s="210" t="s">
        <v>15</v>
      </c>
      <c r="E128" s="211" t="s">
        <v>387</v>
      </c>
    </row>
    <row r="129">
      <c r="A129" s="205" t="s">
        <v>388</v>
      </c>
      <c r="B129" s="212" t="s">
        <v>389</v>
      </c>
      <c r="C129" s="213" t="s">
        <v>15</v>
      </c>
      <c r="D129" s="210">
        <v>1.539900814294E12</v>
      </c>
      <c r="E129" s="211" t="s">
        <v>390</v>
      </c>
    </row>
    <row r="130">
      <c r="A130" s="205" t="s">
        <v>391</v>
      </c>
      <c r="B130" s="212" t="s">
        <v>392</v>
      </c>
      <c r="C130" s="213" t="s">
        <v>15</v>
      </c>
      <c r="D130" s="210" t="s">
        <v>15</v>
      </c>
      <c r="E130" s="211" t="s">
        <v>393</v>
      </c>
    </row>
    <row r="131">
      <c r="A131" s="205" t="s">
        <v>394</v>
      </c>
      <c r="B131" s="212" t="s">
        <v>395</v>
      </c>
      <c r="C131" s="213" t="s">
        <v>15</v>
      </c>
      <c r="D131" s="210" t="s">
        <v>15</v>
      </c>
      <c r="E131" s="211" t="s">
        <v>396</v>
      </c>
    </row>
    <row r="132">
      <c r="A132" s="205" t="s">
        <v>397</v>
      </c>
      <c r="B132" s="212" t="s">
        <v>398</v>
      </c>
      <c r="C132" s="213" t="s">
        <v>15</v>
      </c>
      <c r="D132" s="210" t="s">
        <v>15</v>
      </c>
      <c r="E132" s="211" t="s">
        <v>15</v>
      </c>
    </row>
    <row r="133">
      <c r="A133" s="205" t="s">
        <v>399</v>
      </c>
      <c r="B133" s="212" t="s">
        <v>400</v>
      </c>
      <c r="C133" s="213" t="s">
        <v>15</v>
      </c>
      <c r="D133" s="210" t="s">
        <v>15</v>
      </c>
      <c r="E133" s="211" t="s">
        <v>401</v>
      </c>
    </row>
    <row r="134">
      <c r="A134" s="205" t="s">
        <v>402</v>
      </c>
      <c r="B134" s="212" t="s">
        <v>403</v>
      </c>
      <c r="C134" s="213" t="s">
        <v>15</v>
      </c>
      <c r="D134" s="210" t="s">
        <v>15</v>
      </c>
      <c r="E134" s="211" t="s">
        <v>404</v>
      </c>
    </row>
    <row r="135">
      <c r="A135" s="205" t="s">
        <v>405</v>
      </c>
      <c r="B135" s="212" t="s">
        <v>406</v>
      </c>
      <c r="C135" s="213" t="s">
        <v>15</v>
      </c>
      <c r="D135" s="210" t="s">
        <v>15</v>
      </c>
      <c r="E135" s="211" t="s">
        <v>407</v>
      </c>
    </row>
    <row r="136">
      <c r="A136" s="205" t="s">
        <v>408</v>
      </c>
      <c r="B136" s="212" t="s">
        <v>409</v>
      </c>
      <c r="C136" s="213" t="s">
        <v>15</v>
      </c>
      <c r="D136" s="210" t="s">
        <v>15</v>
      </c>
      <c r="E136" s="211" t="s">
        <v>410</v>
      </c>
    </row>
    <row r="137">
      <c r="A137" s="205" t="s">
        <v>411</v>
      </c>
      <c r="B137" s="212" t="s">
        <v>412</v>
      </c>
      <c r="C137" s="213" t="s">
        <v>15</v>
      </c>
      <c r="D137" s="210" t="s">
        <v>15</v>
      </c>
      <c r="E137" s="211" t="s">
        <v>413</v>
      </c>
    </row>
    <row r="138">
      <c r="A138" s="205" t="s">
        <v>414</v>
      </c>
      <c r="B138" s="212" t="s">
        <v>415</v>
      </c>
      <c r="C138" s="213" t="s">
        <v>15</v>
      </c>
      <c r="D138" s="210" t="s">
        <v>15</v>
      </c>
      <c r="E138" s="211" t="s">
        <v>416</v>
      </c>
    </row>
    <row r="139">
      <c r="A139" s="205" t="s">
        <v>417</v>
      </c>
      <c r="B139" s="212" t="s">
        <v>418</v>
      </c>
      <c r="C139" s="213" t="s">
        <v>15</v>
      </c>
      <c r="D139" s="210" t="s">
        <v>15</v>
      </c>
      <c r="E139" s="211" t="s">
        <v>70</v>
      </c>
    </row>
    <row r="140">
      <c r="A140" s="205" t="s">
        <v>419</v>
      </c>
      <c r="B140" s="212" t="s">
        <v>420</v>
      </c>
      <c r="C140" s="213" t="s">
        <v>15</v>
      </c>
      <c r="D140" s="210" t="s">
        <v>15</v>
      </c>
      <c r="E140" s="211" t="s">
        <v>421</v>
      </c>
    </row>
    <row r="141">
      <c r="A141" s="205" t="s">
        <v>422</v>
      </c>
      <c r="B141" s="212" t="s">
        <v>423</v>
      </c>
      <c r="C141" s="213" t="s">
        <v>15</v>
      </c>
      <c r="D141" s="210" t="s">
        <v>15</v>
      </c>
      <c r="E141" s="211" t="s">
        <v>424</v>
      </c>
    </row>
    <row r="142">
      <c r="A142" s="205" t="s">
        <v>425</v>
      </c>
      <c r="B142" s="212" t="s">
        <v>426</v>
      </c>
      <c r="C142" s="213" t="s">
        <v>427</v>
      </c>
      <c r="D142" s="210">
        <v>1.05551130478E11</v>
      </c>
      <c r="E142" s="211" t="s">
        <v>15</v>
      </c>
    </row>
    <row r="143">
      <c r="A143" s="205" t="s">
        <v>428</v>
      </c>
      <c r="B143" s="212" t="s">
        <v>429</v>
      </c>
      <c r="C143" s="213" t="s">
        <v>15</v>
      </c>
      <c r="D143" s="210" t="s">
        <v>15</v>
      </c>
      <c r="E143" s="211" t="s">
        <v>430</v>
      </c>
    </row>
    <row r="144">
      <c r="A144" s="205" t="s">
        <v>431</v>
      </c>
      <c r="B144" s="212" t="s">
        <v>432</v>
      </c>
      <c r="C144" s="213" t="s">
        <v>15</v>
      </c>
      <c r="D144" s="210" t="s">
        <v>15</v>
      </c>
      <c r="E144" s="211" t="s">
        <v>433</v>
      </c>
    </row>
    <row r="145">
      <c r="A145" s="205" t="s">
        <v>434</v>
      </c>
      <c r="B145" s="212" t="s">
        <v>435</v>
      </c>
      <c r="C145" s="213" t="s">
        <v>15</v>
      </c>
      <c r="D145" s="210" t="s">
        <v>15</v>
      </c>
      <c r="E145" s="211" t="s">
        <v>15</v>
      </c>
    </row>
    <row r="146">
      <c r="A146" s="205" t="s">
        <v>436</v>
      </c>
      <c r="B146" s="212" t="s">
        <v>437</v>
      </c>
      <c r="C146" s="213" t="s">
        <v>15</v>
      </c>
      <c r="D146" s="210" t="s">
        <v>15</v>
      </c>
      <c r="E146" s="211" t="s">
        <v>438</v>
      </c>
    </row>
    <row r="147">
      <c r="A147" s="205" t="s">
        <v>439</v>
      </c>
      <c r="B147" s="212" t="s">
        <v>440</v>
      </c>
      <c r="C147" s="213" t="s">
        <v>15</v>
      </c>
      <c r="D147" s="210" t="s">
        <v>15</v>
      </c>
      <c r="E147" s="211" t="s">
        <v>441</v>
      </c>
    </row>
    <row r="148">
      <c r="A148" s="205" t="s">
        <v>442</v>
      </c>
      <c r="B148" s="212" t="s">
        <v>443</v>
      </c>
      <c r="C148" s="213" t="s">
        <v>15</v>
      </c>
      <c r="D148" s="210" t="s">
        <v>15</v>
      </c>
      <c r="E148" s="211" t="s">
        <v>444</v>
      </c>
    </row>
    <row r="149">
      <c r="A149" s="205" t="s">
        <v>445</v>
      </c>
      <c r="B149" s="212" t="s">
        <v>446</v>
      </c>
      <c r="C149" s="213" t="s">
        <v>15</v>
      </c>
      <c r="D149" s="210" t="s">
        <v>15</v>
      </c>
      <c r="E149" s="211" t="s">
        <v>447</v>
      </c>
    </row>
    <row r="150">
      <c r="A150" s="205" t="s">
        <v>448</v>
      </c>
      <c r="B150" s="212" t="s">
        <v>449</v>
      </c>
      <c r="C150" s="213" t="s">
        <v>15</v>
      </c>
      <c r="D150" s="210" t="s">
        <v>15</v>
      </c>
      <c r="E150" s="211" t="s">
        <v>450</v>
      </c>
    </row>
    <row r="151">
      <c r="A151" s="205" t="s">
        <v>451</v>
      </c>
      <c r="B151" s="212" t="s">
        <v>452</v>
      </c>
      <c r="C151" s="213" t="s">
        <v>15</v>
      </c>
      <c r="D151" s="210" t="s">
        <v>15</v>
      </c>
      <c r="E151" s="211" t="s">
        <v>453</v>
      </c>
    </row>
    <row r="152">
      <c r="A152" s="205" t="s">
        <v>455</v>
      </c>
      <c r="B152" s="212" t="s">
        <v>456</v>
      </c>
      <c r="C152" s="213" t="s">
        <v>15</v>
      </c>
      <c r="D152" s="210" t="s">
        <v>15</v>
      </c>
      <c r="E152" s="211" t="s">
        <v>457</v>
      </c>
    </row>
    <row r="153">
      <c r="A153" s="205" t="s">
        <v>458</v>
      </c>
      <c r="B153" s="212" t="s">
        <v>459</v>
      </c>
      <c r="C153" s="213" t="s">
        <v>15</v>
      </c>
      <c r="D153" s="210" t="s">
        <v>15</v>
      </c>
      <c r="E153" s="211" t="s">
        <v>460</v>
      </c>
    </row>
    <row r="154">
      <c r="A154" s="205" t="s">
        <v>461</v>
      </c>
      <c r="B154" s="212" t="s">
        <v>462</v>
      </c>
      <c r="C154" s="213" t="s">
        <v>15</v>
      </c>
      <c r="D154" s="210" t="s">
        <v>15</v>
      </c>
      <c r="E154" s="211" t="s">
        <v>463</v>
      </c>
    </row>
    <row r="155">
      <c r="A155" s="205" t="s">
        <v>464</v>
      </c>
      <c r="B155" s="212" t="s">
        <v>465</v>
      </c>
      <c r="C155" s="213" t="s">
        <v>15</v>
      </c>
      <c r="D155" s="210" t="s">
        <v>15</v>
      </c>
      <c r="E155" s="211" t="s">
        <v>466</v>
      </c>
    </row>
    <row r="156">
      <c r="A156" s="205" t="s">
        <v>468</v>
      </c>
      <c r="B156" s="212" t="s">
        <v>469</v>
      </c>
      <c r="C156" s="213" t="s">
        <v>15</v>
      </c>
      <c r="D156" s="210" t="s">
        <v>15</v>
      </c>
      <c r="E156" s="211" t="s">
        <v>15</v>
      </c>
    </row>
    <row r="157">
      <c r="A157" s="205" t="s">
        <v>470</v>
      </c>
      <c r="B157" s="212" t="s">
        <v>471</v>
      </c>
      <c r="C157" s="213" t="s">
        <v>15</v>
      </c>
      <c r="D157" s="210" t="s">
        <v>15</v>
      </c>
      <c r="E157" s="211" t="s">
        <v>472</v>
      </c>
    </row>
    <row r="158">
      <c r="A158" s="205" t="s">
        <v>473</v>
      </c>
      <c r="B158" s="212" t="s">
        <v>474</v>
      </c>
      <c r="C158" s="213" t="s">
        <v>15</v>
      </c>
      <c r="D158" s="210" t="s">
        <v>15</v>
      </c>
      <c r="E158" s="211" t="s">
        <v>475</v>
      </c>
    </row>
    <row r="159">
      <c r="A159" s="205" t="s">
        <v>476</v>
      </c>
      <c r="B159" s="212" t="s">
        <v>477</v>
      </c>
      <c r="C159" s="213" t="s">
        <v>15</v>
      </c>
      <c r="D159" s="210" t="s">
        <v>15</v>
      </c>
      <c r="E159" s="211" t="s">
        <v>478</v>
      </c>
    </row>
    <row r="160">
      <c r="A160" s="205" t="s">
        <v>479</v>
      </c>
      <c r="B160" s="212" t="s">
        <v>480</v>
      </c>
      <c r="C160" s="213" t="s">
        <v>15</v>
      </c>
      <c r="D160" s="210" t="s">
        <v>15</v>
      </c>
      <c r="E160" s="211" t="s">
        <v>481</v>
      </c>
    </row>
    <row r="161">
      <c r="A161" s="205" t="s">
        <v>482</v>
      </c>
      <c r="B161" s="212" t="s">
        <v>483</v>
      </c>
      <c r="C161" s="213" t="s">
        <v>15</v>
      </c>
      <c r="D161" s="210" t="s">
        <v>15</v>
      </c>
      <c r="E161" s="211" t="s">
        <v>484</v>
      </c>
    </row>
    <row r="162">
      <c r="A162" s="205" t="s">
        <v>485</v>
      </c>
      <c r="B162" s="212" t="s">
        <v>486</v>
      </c>
      <c r="C162" s="213"/>
      <c r="D162" s="210"/>
      <c r="E162" s="211" t="s">
        <v>307</v>
      </c>
    </row>
    <row r="163">
      <c r="A163" s="205" t="s">
        <v>487</v>
      </c>
      <c r="B163" s="212" t="s">
        <v>488</v>
      </c>
      <c r="C163" s="213" t="s">
        <v>15</v>
      </c>
      <c r="D163" s="210" t="s">
        <v>15</v>
      </c>
      <c r="E163" s="211" t="s">
        <v>489</v>
      </c>
    </row>
    <row r="164">
      <c r="A164" s="205" t="s">
        <v>490</v>
      </c>
      <c r="B164" s="212" t="s">
        <v>491</v>
      </c>
      <c r="C164" s="213" t="s">
        <v>15</v>
      </c>
      <c r="D164" s="210" t="s">
        <v>15</v>
      </c>
      <c r="E164" s="211" t="s">
        <v>492</v>
      </c>
    </row>
    <row r="165">
      <c r="A165" s="205" t="s">
        <v>493</v>
      </c>
      <c r="B165" s="212" t="s">
        <v>494</v>
      </c>
      <c r="C165" s="213" t="s">
        <v>15</v>
      </c>
      <c r="D165" s="210" t="s">
        <v>15</v>
      </c>
      <c r="E165" s="211" t="s">
        <v>495</v>
      </c>
    </row>
    <row r="166">
      <c r="A166" s="205" t="s">
        <v>496</v>
      </c>
      <c r="B166" s="212" t="s">
        <v>497</v>
      </c>
      <c r="C166" s="213" t="s">
        <v>15</v>
      </c>
      <c r="D166" s="210" t="s">
        <v>15</v>
      </c>
      <c r="E166" s="211" t="s">
        <v>489</v>
      </c>
    </row>
    <row r="167">
      <c r="A167" s="205" t="s">
        <v>498</v>
      </c>
      <c r="B167" s="212" t="s">
        <v>499</v>
      </c>
      <c r="C167" s="213" t="s">
        <v>15</v>
      </c>
      <c r="D167" s="210" t="s">
        <v>15</v>
      </c>
      <c r="E167" s="211" t="s">
        <v>293</v>
      </c>
    </row>
    <row r="168">
      <c r="A168" s="205" t="s">
        <v>500</v>
      </c>
      <c r="B168" s="212" t="s">
        <v>501</v>
      </c>
      <c r="C168" s="213" t="s">
        <v>15</v>
      </c>
      <c r="D168" s="210" t="s">
        <v>15</v>
      </c>
      <c r="E168" s="211" t="s">
        <v>502</v>
      </c>
    </row>
    <row r="169">
      <c r="A169" s="205" t="s">
        <v>503</v>
      </c>
      <c r="B169" s="212" t="s">
        <v>504</v>
      </c>
      <c r="C169" s="213" t="s">
        <v>15</v>
      </c>
      <c r="D169" s="210" t="s">
        <v>15</v>
      </c>
      <c r="E169" s="211" t="s">
        <v>505</v>
      </c>
    </row>
    <row r="170">
      <c r="A170" s="205" t="s">
        <v>506</v>
      </c>
      <c r="B170" s="212" t="s">
        <v>507</v>
      </c>
      <c r="C170" s="213" t="s">
        <v>15</v>
      </c>
      <c r="D170" s="210">
        <v>1.410100067322E12</v>
      </c>
      <c r="E170" s="211" t="s">
        <v>94</v>
      </c>
    </row>
    <row r="171">
      <c r="A171" s="205" t="s">
        <v>508</v>
      </c>
      <c r="B171" s="212" t="s">
        <v>509</v>
      </c>
      <c r="C171" s="213" t="s">
        <v>15</v>
      </c>
      <c r="D171" s="210" t="s">
        <v>15</v>
      </c>
      <c r="E171" s="211" t="s">
        <v>510</v>
      </c>
    </row>
    <row r="172">
      <c r="A172" s="205" t="s">
        <v>511</v>
      </c>
      <c r="B172" s="212" t="s">
        <v>512</v>
      </c>
      <c r="C172" s="213" t="s">
        <v>15</v>
      </c>
      <c r="D172" s="210" t="s">
        <v>15</v>
      </c>
      <c r="E172" s="211" t="s">
        <v>513</v>
      </c>
    </row>
    <row r="173">
      <c r="A173" s="205" t="s">
        <v>514</v>
      </c>
      <c r="B173" s="212" t="s">
        <v>515</v>
      </c>
      <c r="C173" s="213" t="s">
        <v>15</v>
      </c>
      <c r="D173" s="210" t="s">
        <v>15</v>
      </c>
      <c r="E173" s="211" t="s">
        <v>15</v>
      </c>
    </row>
    <row r="174">
      <c r="A174" s="205" t="s">
        <v>516</v>
      </c>
      <c r="B174" s="212" t="s">
        <v>517</v>
      </c>
      <c r="C174" s="213" t="s">
        <v>15</v>
      </c>
      <c r="D174" s="210" t="s">
        <v>15</v>
      </c>
      <c r="E174" s="211" t="s">
        <v>518</v>
      </c>
    </row>
    <row r="175">
      <c r="A175" s="205" t="s">
        <v>519</v>
      </c>
      <c r="B175" s="212" t="s">
        <v>520</v>
      </c>
      <c r="C175" s="213" t="s">
        <v>15</v>
      </c>
      <c r="D175" s="210" t="s">
        <v>15</v>
      </c>
      <c r="E175" s="211" t="s">
        <v>521</v>
      </c>
    </row>
    <row r="176">
      <c r="A176" s="205" t="s">
        <v>522</v>
      </c>
      <c r="B176" s="212" t="s">
        <v>523</v>
      </c>
      <c r="C176" s="213" t="s">
        <v>15</v>
      </c>
      <c r="D176" s="210" t="s">
        <v>15</v>
      </c>
      <c r="E176" s="211" t="s">
        <v>524</v>
      </c>
    </row>
    <row r="177">
      <c r="A177" s="205" t="s">
        <v>525</v>
      </c>
      <c r="B177" s="212" t="s">
        <v>526</v>
      </c>
      <c r="C177" s="213" t="s">
        <v>15</v>
      </c>
      <c r="D177" s="210" t="s">
        <v>15</v>
      </c>
      <c r="E177" s="211" t="s">
        <v>527</v>
      </c>
    </row>
    <row r="178">
      <c r="A178" s="205" t="s">
        <v>528</v>
      </c>
      <c r="B178" s="212" t="s">
        <v>529</v>
      </c>
      <c r="C178" s="213" t="s">
        <v>15</v>
      </c>
      <c r="D178" s="210" t="s">
        <v>15</v>
      </c>
      <c r="E178" s="211" t="s">
        <v>530</v>
      </c>
    </row>
    <row r="179">
      <c r="A179" s="205" t="s">
        <v>531</v>
      </c>
      <c r="B179" s="212" t="s">
        <v>532</v>
      </c>
      <c r="C179" s="213" t="s">
        <v>15</v>
      </c>
      <c r="D179" s="210" t="s">
        <v>15</v>
      </c>
      <c r="E179" s="211" t="s">
        <v>533</v>
      </c>
    </row>
    <row r="180">
      <c r="A180" s="205" t="s">
        <v>534</v>
      </c>
      <c r="B180" s="212" t="s">
        <v>535</v>
      </c>
      <c r="C180" s="213" t="s">
        <v>15</v>
      </c>
      <c r="D180" s="210" t="s">
        <v>15</v>
      </c>
      <c r="E180" s="211" t="s">
        <v>536</v>
      </c>
    </row>
    <row r="181">
      <c r="A181" s="205" t="s">
        <v>537</v>
      </c>
      <c r="B181" s="212" t="s">
        <v>538</v>
      </c>
      <c r="C181" s="213" t="s">
        <v>15</v>
      </c>
      <c r="D181" s="210" t="s">
        <v>15</v>
      </c>
      <c r="E181" s="211" t="s">
        <v>539</v>
      </c>
    </row>
    <row r="182">
      <c r="A182" s="205" t="s">
        <v>540</v>
      </c>
      <c r="B182" s="212" t="s">
        <v>541</v>
      </c>
      <c r="C182" s="213" t="s">
        <v>15</v>
      </c>
      <c r="D182" s="210" t="s">
        <v>15</v>
      </c>
      <c r="E182" s="211" t="s">
        <v>15</v>
      </c>
    </row>
    <row r="183">
      <c r="A183" s="205" t="s">
        <v>542</v>
      </c>
      <c r="B183" s="212" t="s">
        <v>543</v>
      </c>
      <c r="C183" s="213" t="s">
        <v>15</v>
      </c>
      <c r="D183" s="210" t="s">
        <v>15</v>
      </c>
      <c r="E183" s="211" t="s">
        <v>544</v>
      </c>
    </row>
    <row r="184">
      <c r="A184" s="205" t="s">
        <v>545</v>
      </c>
      <c r="B184" s="212" t="s">
        <v>546</v>
      </c>
      <c r="C184" s="213" t="s">
        <v>15</v>
      </c>
      <c r="D184" s="210">
        <v>1.321000125347E12</v>
      </c>
      <c r="E184" s="211" t="s">
        <v>547</v>
      </c>
    </row>
    <row r="185">
      <c r="A185" s="205" t="s">
        <v>548</v>
      </c>
      <c r="B185" s="212" t="s">
        <v>549</v>
      </c>
      <c r="C185" s="213" t="s">
        <v>15</v>
      </c>
      <c r="D185" s="210" t="s">
        <v>15</v>
      </c>
      <c r="E185" s="211" t="s">
        <v>550</v>
      </c>
    </row>
    <row r="186">
      <c r="A186" s="205" t="s">
        <v>551</v>
      </c>
      <c r="B186" s="212" t="s">
        <v>552</v>
      </c>
      <c r="C186" s="213" t="s">
        <v>15</v>
      </c>
      <c r="D186" s="210" t="s">
        <v>15</v>
      </c>
      <c r="E186" s="211" t="s">
        <v>553</v>
      </c>
    </row>
    <row r="187">
      <c r="A187" s="205" t="s">
        <v>554</v>
      </c>
      <c r="B187" s="212" t="s">
        <v>555</v>
      </c>
      <c r="C187" s="213" t="s">
        <v>15</v>
      </c>
      <c r="D187" s="210" t="s">
        <v>15</v>
      </c>
      <c r="E187" s="211" t="s">
        <v>556</v>
      </c>
    </row>
    <row r="188">
      <c r="A188" s="205" t="s">
        <v>557</v>
      </c>
      <c r="B188" s="212" t="s">
        <v>558</v>
      </c>
      <c r="C188" s="213" t="s">
        <v>15</v>
      </c>
      <c r="D188" s="210" t="s">
        <v>15</v>
      </c>
      <c r="E188" s="211" t="s">
        <v>559</v>
      </c>
    </row>
    <row r="189">
      <c r="A189" s="205" t="s">
        <v>560</v>
      </c>
      <c r="B189" s="212" t="s">
        <v>561</v>
      </c>
      <c r="C189" s="213" t="s">
        <v>15</v>
      </c>
      <c r="D189" s="210" t="s">
        <v>15</v>
      </c>
      <c r="E189" s="211" t="s">
        <v>562</v>
      </c>
    </row>
    <row r="190">
      <c r="A190" s="205" t="s">
        <v>563</v>
      </c>
      <c r="B190" s="212" t="s">
        <v>564</v>
      </c>
      <c r="C190" s="213" t="s">
        <v>15</v>
      </c>
      <c r="D190" s="210" t="s">
        <v>15</v>
      </c>
      <c r="E190" s="211" t="s">
        <v>565</v>
      </c>
    </row>
    <row r="191">
      <c r="A191" s="205" t="s">
        <v>566</v>
      </c>
      <c r="B191" s="212" t="s">
        <v>567</v>
      </c>
      <c r="C191" s="213" t="s">
        <v>15</v>
      </c>
      <c r="D191" s="210" t="s">
        <v>15</v>
      </c>
      <c r="E191" s="211" t="s">
        <v>568</v>
      </c>
    </row>
    <row r="192">
      <c r="A192" s="205" t="s">
        <v>569</v>
      </c>
      <c r="B192" s="212" t="s">
        <v>570</v>
      </c>
      <c r="C192" s="213" t="s">
        <v>15</v>
      </c>
      <c r="D192" s="210" t="s">
        <v>15</v>
      </c>
      <c r="E192" s="211" t="s">
        <v>571</v>
      </c>
    </row>
    <row r="193">
      <c r="A193" s="205" t="s">
        <v>572</v>
      </c>
      <c r="B193" s="212" t="s">
        <v>573</v>
      </c>
      <c r="C193" s="213" t="s">
        <v>574</v>
      </c>
      <c r="D193" s="210">
        <v>1.470600071159E12</v>
      </c>
      <c r="E193" s="211" t="s">
        <v>575</v>
      </c>
    </row>
    <row r="194">
      <c r="A194" s="205" t="s">
        <v>576</v>
      </c>
      <c r="B194" s="212" t="s">
        <v>577</v>
      </c>
      <c r="C194" s="213"/>
      <c r="D194" s="210"/>
      <c r="E194" s="211" t="s">
        <v>578</v>
      </c>
    </row>
    <row r="195">
      <c r="A195" s="205" t="s">
        <v>580</v>
      </c>
      <c r="B195" s="212" t="s">
        <v>581</v>
      </c>
      <c r="C195" s="213"/>
      <c r="D195" s="210"/>
      <c r="E195" s="211" t="s">
        <v>582</v>
      </c>
    </row>
    <row r="196">
      <c r="A196" s="205" t="s">
        <v>584</v>
      </c>
      <c r="B196" s="212" t="s">
        <v>585</v>
      </c>
      <c r="C196" s="213" t="s">
        <v>586</v>
      </c>
      <c r="D196" s="210">
        <v>3.480900365383E12</v>
      </c>
      <c r="E196" s="211" t="s">
        <v>587</v>
      </c>
    </row>
    <row r="197">
      <c r="A197" s="205" t="s">
        <v>589</v>
      </c>
      <c r="B197" s="212" t="s">
        <v>590</v>
      </c>
      <c r="C197" s="213"/>
      <c r="D197" s="210"/>
      <c r="E197" s="211" t="s">
        <v>591</v>
      </c>
    </row>
    <row r="198">
      <c r="A198" s="205" t="s">
        <v>593</v>
      </c>
      <c r="B198" s="212" t="s">
        <v>594</v>
      </c>
      <c r="C198" s="213"/>
      <c r="D198" s="210"/>
      <c r="E198" s="211" t="s">
        <v>595</v>
      </c>
    </row>
    <row r="199">
      <c r="A199" s="205" t="s">
        <v>597</v>
      </c>
      <c r="B199" s="212" t="s">
        <v>598</v>
      </c>
      <c r="C199" s="213"/>
      <c r="D199" s="210"/>
      <c r="E199" s="211" t="s">
        <v>599</v>
      </c>
    </row>
    <row r="200">
      <c r="A200" s="205" t="s">
        <v>601</v>
      </c>
      <c r="B200" s="212" t="s">
        <v>602</v>
      </c>
      <c r="C200" s="213"/>
      <c r="D200" s="210"/>
      <c r="E200" s="211" t="s">
        <v>15</v>
      </c>
    </row>
    <row r="201">
      <c r="A201" s="205" t="s">
        <v>604</v>
      </c>
      <c r="B201" s="212" t="s">
        <v>605</v>
      </c>
      <c r="C201" s="213"/>
      <c r="D201" s="210"/>
      <c r="E201" s="211" t="s">
        <v>67</v>
      </c>
    </row>
    <row r="202">
      <c r="A202" s="205" t="s">
        <v>606</v>
      </c>
      <c r="B202" s="212" t="s">
        <v>607</v>
      </c>
      <c r="C202" s="213" t="s">
        <v>608</v>
      </c>
      <c r="D202" s="210">
        <v>1.05545076084E11</v>
      </c>
      <c r="E202" s="211"/>
    </row>
    <row r="203">
      <c r="A203" s="205" t="s">
        <v>609</v>
      </c>
      <c r="B203" s="212" t="s">
        <v>610</v>
      </c>
      <c r="C203" s="213" t="s">
        <v>611</v>
      </c>
      <c r="D203" s="210">
        <v>8.45566002229E11</v>
      </c>
      <c r="E203" s="211"/>
    </row>
    <row r="204">
      <c r="A204" s="205" t="s">
        <v>612</v>
      </c>
      <c r="B204" s="212" t="s">
        <v>613</v>
      </c>
      <c r="C204" s="213"/>
      <c r="D204" s="210"/>
      <c r="E204" s="211"/>
    </row>
    <row r="205">
      <c r="A205" s="205" t="s">
        <v>614</v>
      </c>
      <c r="B205" s="212" t="s">
        <v>615</v>
      </c>
      <c r="C205" s="213"/>
      <c r="D205" s="210"/>
      <c r="E205" s="211" t="s">
        <v>616</v>
      </c>
    </row>
    <row r="206">
      <c r="A206" s="205" t="s">
        <v>617</v>
      </c>
      <c r="B206" s="212" t="s">
        <v>618</v>
      </c>
      <c r="C206" s="213"/>
      <c r="D206" s="210"/>
      <c r="E206" s="211" t="s">
        <v>619</v>
      </c>
    </row>
    <row r="207">
      <c r="A207" s="205" t="s">
        <v>620</v>
      </c>
      <c r="B207" s="212" t="s">
        <v>621</v>
      </c>
      <c r="C207" s="213" t="s">
        <v>622</v>
      </c>
      <c r="D207" s="210">
        <v>1.431000175388E12</v>
      </c>
      <c r="E207" s="211"/>
    </row>
    <row r="208">
      <c r="A208" s="205" t="s">
        <v>623</v>
      </c>
      <c r="B208" s="212" t="s">
        <v>624</v>
      </c>
      <c r="C208" s="213"/>
      <c r="D208" s="210"/>
      <c r="E208" s="211" t="s">
        <v>625</v>
      </c>
    </row>
    <row r="209">
      <c r="A209" s="205" t="s">
        <v>626</v>
      </c>
      <c r="B209" s="212" t="s">
        <v>627</v>
      </c>
      <c r="C209" s="213"/>
      <c r="D209" s="210"/>
      <c r="E209" s="211" t="s">
        <v>628</v>
      </c>
    </row>
    <row r="210">
      <c r="A210" s="205" t="s">
        <v>629</v>
      </c>
      <c r="B210" s="212" t="s">
        <v>630</v>
      </c>
      <c r="C210" s="213"/>
      <c r="D210" s="210"/>
      <c r="E210" s="211"/>
    </row>
    <row r="211">
      <c r="A211" s="205" t="s">
        <v>656</v>
      </c>
      <c r="B211" s="212" t="s">
        <v>657</v>
      </c>
      <c r="C211" s="213" t="s">
        <v>658</v>
      </c>
      <c r="D211" s="210">
        <v>1.07556000507E11</v>
      </c>
      <c r="E211" s="211"/>
    </row>
    <row r="212">
      <c r="A212" s="205" t="s">
        <v>659</v>
      </c>
      <c r="B212" s="212" t="s">
        <v>660</v>
      </c>
      <c r="C212" s="213" t="s">
        <v>661</v>
      </c>
      <c r="D212" s="210">
        <v>1.05523002118E11</v>
      </c>
      <c r="E212" s="211"/>
    </row>
    <row r="213">
      <c r="A213" s="205" t="s">
        <v>662</v>
      </c>
      <c r="B213" s="212" t="s">
        <v>663</v>
      </c>
      <c r="C213" s="213"/>
      <c r="D213" s="210"/>
      <c r="E213" s="211"/>
    </row>
    <row r="214">
      <c r="A214" s="205" t="s">
        <v>664</v>
      </c>
      <c r="B214" s="212" t="s">
        <v>665</v>
      </c>
      <c r="C214" s="213" t="s">
        <v>666</v>
      </c>
      <c r="D214" s="210">
        <v>1.05539030507E11</v>
      </c>
      <c r="E214" s="211"/>
    </row>
    <row r="215">
      <c r="A215" s="205" t="s">
        <v>667</v>
      </c>
      <c r="B215" s="212" t="s">
        <v>668</v>
      </c>
      <c r="C215" s="213"/>
      <c r="D215" s="210"/>
      <c r="E215" s="211" t="s">
        <v>669</v>
      </c>
    </row>
    <row r="216">
      <c r="A216" s="205" t="s">
        <v>670</v>
      </c>
      <c r="B216" s="212" t="s">
        <v>671</v>
      </c>
      <c r="C216" s="213"/>
      <c r="D216" s="210"/>
      <c r="E216" s="211" t="s">
        <v>672</v>
      </c>
    </row>
    <row r="217">
      <c r="A217" s="205" t="s">
        <v>673</v>
      </c>
      <c r="B217" s="212" t="s">
        <v>674</v>
      </c>
      <c r="C217" s="213"/>
      <c r="D217" s="210"/>
      <c r="E217" s="211" t="s">
        <v>91</v>
      </c>
    </row>
    <row r="218">
      <c r="A218" s="205" t="s">
        <v>675</v>
      </c>
      <c r="B218" s="212" t="s">
        <v>676</v>
      </c>
      <c r="C218" s="213"/>
      <c r="D218" s="210"/>
      <c r="E218" s="211" t="s">
        <v>677</v>
      </c>
    </row>
    <row r="219">
      <c r="A219" s="205" t="s">
        <v>678</v>
      </c>
      <c r="B219" s="212" t="s">
        <v>679</v>
      </c>
      <c r="C219" s="213"/>
      <c r="D219" s="210"/>
      <c r="E219" s="211"/>
    </row>
    <row r="220">
      <c r="A220" s="205" t="s">
        <v>680</v>
      </c>
      <c r="B220" s="212" t="s">
        <v>681</v>
      </c>
      <c r="C220" s="213"/>
      <c r="D220" s="210"/>
      <c r="E220" s="211" t="s">
        <v>682</v>
      </c>
    </row>
    <row r="221">
      <c r="A221" s="205" t="s">
        <v>683</v>
      </c>
      <c r="B221" s="212" t="s">
        <v>684</v>
      </c>
      <c r="C221" s="213" t="s">
        <v>685</v>
      </c>
      <c r="D221" s="210">
        <v>2.05548026478E11</v>
      </c>
      <c r="E221" s="211"/>
    </row>
    <row r="222">
      <c r="A222" s="205" t="s">
        <v>686</v>
      </c>
      <c r="B222" s="212" t="s">
        <v>687</v>
      </c>
      <c r="C222" s="213"/>
      <c r="D222" s="210"/>
      <c r="E222" s="211" t="s">
        <v>688</v>
      </c>
    </row>
    <row r="223">
      <c r="A223" s="205" t="s">
        <v>690</v>
      </c>
      <c r="B223" s="212" t="s">
        <v>691</v>
      </c>
      <c r="C223" s="213" t="s">
        <v>692</v>
      </c>
      <c r="D223" s="210">
        <v>1.07551000231E11</v>
      </c>
      <c r="E223" s="211"/>
    </row>
    <row r="224">
      <c r="A224" s="205" t="s">
        <v>693</v>
      </c>
      <c r="B224" s="212" t="s">
        <v>694</v>
      </c>
      <c r="C224" s="213"/>
      <c r="D224" s="210"/>
      <c r="E224" s="211" t="s">
        <v>695</v>
      </c>
    </row>
    <row r="225">
      <c r="A225" s="205" t="s">
        <v>696</v>
      </c>
      <c r="B225" s="212" t="s">
        <v>697</v>
      </c>
      <c r="C225" s="213" t="s">
        <v>698</v>
      </c>
      <c r="D225" s="210">
        <v>1.35557010539E11</v>
      </c>
      <c r="E225" s="211"/>
    </row>
    <row r="226">
      <c r="A226" s="205" t="s">
        <v>699</v>
      </c>
      <c r="B226" s="212" t="s">
        <v>700</v>
      </c>
      <c r="C226" s="213" t="s">
        <v>701</v>
      </c>
      <c r="D226" s="210">
        <v>4.15554000955E11</v>
      </c>
      <c r="E226" s="211"/>
    </row>
    <row r="227">
      <c r="A227" s="205" t="s">
        <v>702</v>
      </c>
      <c r="B227" s="212" t="s">
        <v>703</v>
      </c>
      <c r="C227" s="213" t="s">
        <v>704</v>
      </c>
      <c r="D227" s="210">
        <v>1.15556014913E11</v>
      </c>
      <c r="E227" s="211"/>
    </row>
    <row r="228">
      <c r="A228" s="205" t="s">
        <v>705</v>
      </c>
      <c r="B228" s="212" t="s">
        <v>706</v>
      </c>
      <c r="C228" s="213" t="s">
        <v>707</v>
      </c>
      <c r="D228" s="210">
        <v>4.15558001425E11</v>
      </c>
      <c r="E228" s="211"/>
    </row>
    <row r="229">
      <c r="A229" s="205" t="s">
        <v>708</v>
      </c>
      <c r="B229" s="212" t="s">
        <v>709</v>
      </c>
      <c r="C229" s="213"/>
      <c r="D229" s="210"/>
      <c r="E229" s="211" t="s">
        <v>710</v>
      </c>
    </row>
    <row r="230">
      <c r="A230" s="205" t="s">
        <v>711</v>
      </c>
      <c r="B230" s="212" t="s">
        <v>712</v>
      </c>
      <c r="C230" s="213"/>
      <c r="D230" s="210"/>
      <c r="E230" s="211" t="s">
        <v>713</v>
      </c>
    </row>
    <row r="231">
      <c r="A231" s="205" t="s">
        <v>714</v>
      </c>
      <c r="B231" s="212" t="s">
        <v>715</v>
      </c>
      <c r="C231" s="213" t="s">
        <v>716</v>
      </c>
      <c r="D231" s="210">
        <v>1.05558096445E11</v>
      </c>
      <c r="E231" s="211"/>
    </row>
    <row r="232">
      <c r="A232" s="205" t="s">
        <v>717</v>
      </c>
      <c r="B232" s="212" t="s">
        <v>718</v>
      </c>
      <c r="C232" s="213"/>
      <c r="D232" s="210"/>
      <c r="E232" s="211" t="s">
        <v>293</v>
      </c>
    </row>
    <row r="233">
      <c r="A233" s="205" t="s">
        <v>719</v>
      </c>
      <c r="B233" s="212" t="s">
        <v>720</v>
      </c>
      <c r="C233" s="213" t="s">
        <v>721</v>
      </c>
      <c r="D233" s="210">
        <v>7.05541000266E11</v>
      </c>
      <c r="E233" s="211"/>
    </row>
    <row r="234">
      <c r="A234" s="205" t="s">
        <v>722</v>
      </c>
      <c r="B234" s="212" t="s">
        <v>723</v>
      </c>
      <c r="C234" s="213"/>
      <c r="D234" s="210"/>
      <c r="E234" s="211" t="s">
        <v>724</v>
      </c>
    </row>
    <row r="235">
      <c r="A235" s="205" t="s">
        <v>725</v>
      </c>
      <c r="B235" s="212" t="s">
        <v>726</v>
      </c>
      <c r="C235" s="213"/>
      <c r="D235" s="210"/>
      <c r="E235" s="211" t="s">
        <v>587</v>
      </c>
    </row>
    <row r="236">
      <c r="A236" s="205" t="s">
        <v>727</v>
      </c>
      <c r="B236" s="212" t="s">
        <v>728</v>
      </c>
      <c r="C236" s="213"/>
      <c r="D236" s="210"/>
      <c r="E236" s="211"/>
    </row>
    <row r="237">
      <c r="A237" s="205" t="s">
        <v>729</v>
      </c>
      <c r="B237" s="212" t="s">
        <v>730</v>
      </c>
      <c r="C237" s="213" t="s">
        <v>731</v>
      </c>
      <c r="D237" s="210">
        <v>4.15550000357E11</v>
      </c>
      <c r="E237" s="211"/>
    </row>
    <row r="238">
      <c r="A238" s="205" t="s">
        <v>732</v>
      </c>
      <c r="B238" s="212" t="s">
        <v>733</v>
      </c>
      <c r="C238" s="213" t="s">
        <v>734</v>
      </c>
      <c r="D238" s="210">
        <v>5.05554001624E11</v>
      </c>
      <c r="E238" s="211"/>
    </row>
    <row r="239">
      <c r="A239" s="205" t="s">
        <v>735</v>
      </c>
      <c r="B239" s="212" t="s">
        <v>736</v>
      </c>
      <c r="C239" s="213"/>
      <c r="D239" s="210"/>
      <c r="E239" s="211" t="s">
        <v>737</v>
      </c>
    </row>
    <row r="240">
      <c r="A240" s="205" t="s">
        <v>738</v>
      </c>
      <c r="B240" s="212" t="s">
        <v>739</v>
      </c>
      <c r="C240" s="213"/>
      <c r="D240" s="210"/>
      <c r="E240" s="211" t="s">
        <v>740</v>
      </c>
    </row>
    <row r="241">
      <c r="A241" s="205" t="s">
        <v>741</v>
      </c>
      <c r="B241" s="212" t="s">
        <v>742</v>
      </c>
      <c r="C241" s="213" t="s">
        <v>743</v>
      </c>
      <c r="D241" s="210">
        <v>7.455370008E11</v>
      </c>
      <c r="E241" s="211"/>
    </row>
    <row r="242">
      <c r="A242" s="205" t="s">
        <v>744</v>
      </c>
      <c r="B242" s="212" t="s">
        <v>745</v>
      </c>
      <c r="C242" s="213" t="s">
        <v>746</v>
      </c>
      <c r="D242" s="210">
        <v>1.05536026878E11</v>
      </c>
      <c r="E242" s="211"/>
    </row>
    <row r="243">
      <c r="A243" s="205" t="s">
        <v>747</v>
      </c>
      <c r="B243" s="212" t="s">
        <v>748</v>
      </c>
      <c r="C243" s="213" t="s">
        <v>749</v>
      </c>
      <c r="D243" s="210">
        <v>1.07551000053E11</v>
      </c>
      <c r="E243" s="211"/>
    </row>
    <row r="244">
      <c r="A244" s="205" t="s">
        <v>750</v>
      </c>
      <c r="B244" s="212" t="s">
        <v>751</v>
      </c>
      <c r="C244" s="213"/>
      <c r="D244" s="210"/>
      <c r="E244" s="211" t="s">
        <v>752</v>
      </c>
    </row>
    <row r="245">
      <c r="A245" s="205" t="s">
        <v>753</v>
      </c>
      <c r="B245" s="212" t="s">
        <v>754</v>
      </c>
      <c r="C245" s="213"/>
      <c r="D245" s="210"/>
      <c r="E245" s="211"/>
    </row>
    <row r="246">
      <c r="A246" s="205" t="s">
        <v>755</v>
      </c>
      <c r="B246" s="212" t="s">
        <v>756</v>
      </c>
      <c r="C246" s="213"/>
      <c r="D246" s="210"/>
      <c r="E246" s="211"/>
    </row>
    <row r="247">
      <c r="A247" s="205" t="s">
        <v>757</v>
      </c>
      <c r="B247" s="212" t="s">
        <v>758</v>
      </c>
      <c r="C247" s="213"/>
      <c r="D247" s="210"/>
      <c r="E247" s="211"/>
    </row>
    <row r="248">
      <c r="A248" s="205" t="s">
        <v>759</v>
      </c>
      <c r="B248" s="212" t="s">
        <v>760</v>
      </c>
      <c r="C248" s="213"/>
      <c r="D248" s="210"/>
      <c r="E248" s="211" t="s">
        <v>761</v>
      </c>
    </row>
    <row r="249">
      <c r="A249" s="205" t="s">
        <v>762</v>
      </c>
      <c r="B249" s="212" t="s">
        <v>763</v>
      </c>
      <c r="C249" s="213"/>
      <c r="D249" s="210"/>
      <c r="E249" s="211"/>
    </row>
    <row r="250">
      <c r="A250" s="205" t="s">
        <v>764</v>
      </c>
      <c r="B250" s="212" t="s">
        <v>765</v>
      </c>
      <c r="C250" s="213"/>
      <c r="D250" s="210"/>
      <c r="E250" s="211"/>
    </row>
    <row r="251">
      <c r="A251" s="205" t="s">
        <v>766</v>
      </c>
      <c r="B251" s="212" t="s">
        <v>767</v>
      </c>
      <c r="C251" s="213"/>
      <c r="D251" s="210"/>
      <c r="E251" s="211"/>
    </row>
    <row r="252">
      <c r="A252" s="205" t="s">
        <v>768</v>
      </c>
      <c r="B252" s="212" t="s">
        <v>769</v>
      </c>
      <c r="C252" s="213"/>
      <c r="D252" s="210"/>
      <c r="E252" s="211" t="s">
        <v>770</v>
      </c>
    </row>
    <row r="253">
      <c r="A253" s="205" t="s">
        <v>771</v>
      </c>
      <c r="B253" s="212" t="s">
        <v>772</v>
      </c>
      <c r="C253" s="213"/>
      <c r="D253" s="210"/>
      <c r="E253" s="211" t="s">
        <v>773</v>
      </c>
    </row>
    <row r="254">
      <c r="A254" s="205" t="s">
        <v>774</v>
      </c>
      <c r="B254" s="212" t="s">
        <v>775</v>
      </c>
      <c r="C254" s="213" t="s">
        <v>776</v>
      </c>
      <c r="D254" s="210">
        <v>1.05533129722E11</v>
      </c>
      <c r="E254" s="211"/>
    </row>
    <row r="255">
      <c r="A255" s="205" t="s">
        <v>777</v>
      </c>
      <c r="B255" s="212" t="s">
        <v>778</v>
      </c>
      <c r="C255" s="213" t="s">
        <v>779</v>
      </c>
      <c r="D255" s="210">
        <v>4.15566003504E11</v>
      </c>
      <c r="E255" s="211"/>
    </row>
    <row r="256">
      <c r="A256" s="205" t="s">
        <v>780</v>
      </c>
      <c r="B256" s="212" t="s">
        <v>781</v>
      </c>
      <c r="C256" s="213" t="s">
        <v>782</v>
      </c>
      <c r="D256" s="210">
        <v>1.2356100242E11</v>
      </c>
      <c r="E256" s="211"/>
    </row>
    <row r="257">
      <c r="A257" s="205" t="s">
        <v>783</v>
      </c>
      <c r="B257" s="212" t="s">
        <v>784</v>
      </c>
      <c r="C257" s="213"/>
      <c r="D257" s="210"/>
      <c r="E257" s="211" t="s">
        <v>785</v>
      </c>
    </row>
    <row r="258">
      <c r="A258" s="205" t="s">
        <v>786</v>
      </c>
      <c r="B258" s="212" t="s">
        <v>787</v>
      </c>
      <c r="C258" s="213"/>
      <c r="D258" s="210"/>
      <c r="E258" s="211" t="s">
        <v>788</v>
      </c>
    </row>
    <row r="259">
      <c r="A259" s="205" t="s">
        <v>789</v>
      </c>
      <c r="B259" s="212" t="s">
        <v>790</v>
      </c>
      <c r="C259" s="213"/>
      <c r="D259" s="210"/>
      <c r="E259" s="211" t="s">
        <v>682</v>
      </c>
    </row>
    <row r="260">
      <c r="A260" s="205" t="s">
        <v>791</v>
      </c>
      <c r="B260" s="212" t="s">
        <v>792</v>
      </c>
      <c r="C260" s="213"/>
      <c r="D260" s="210"/>
      <c r="E260" s="211" t="s">
        <v>793</v>
      </c>
    </row>
    <row r="261">
      <c r="A261" s="205" t="s">
        <v>794</v>
      </c>
      <c r="B261" s="212" t="s">
        <v>795</v>
      </c>
      <c r="C261" s="213"/>
      <c r="D261" s="210"/>
      <c r="E261" s="211" t="s">
        <v>796</v>
      </c>
    </row>
    <row r="262">
      <c r="A262" s="205" t="s">
        <v>797</v>
      </c>
      <c r="B262" s="212" t="s">
        <v>798</v>
      </c>
      <c r="C262" s="213"/>
      <c r="D262" s="210"/>
      <c r="E262" s="211" t="s">
        <v>799</v>
      </c>
    </row>
    <row r="263">
      <c r="A263" s="205" t="s">
        <v>800</v>
      </c>
      <c r="B263" s="212" t="s">
        <v>801</v>
      </c>
      <c r="C263" s="213"/>
      <c r="D263" s="210"/>
      <c r="E263" s="211" t="s">
        <v>802</v>
      </c>
    </row>
    <row r="264">
      <c r="A264" s="205" t="s">
        <v>803</v>
      </c>
      <c r="B264" s="212" t="s">
        <v>804</v>
      </c>
      <c r="C264" s="213" t="s">
        <v>805</v>
      </c>
      <c r="D264" s="210">
        <v>1.25554018466E11</v>
      </c>
      <c r="E264" s="211"/>
    </row>
    <row r="265">
      <c r="A265" s="205" t="s">
        <v>806</v>
      </c>
      <c r="B265" s="212" t="s">
        <v>807</v>
      </c>
      <c r="C265" s="213"/>
      <c r="D265" s="210"/>
      <c r="E265" s="211" t="s">
        <v>808</v>
      </c>
    </row>
    <row r="266">
      <c r="A266" s="205" t="s">
        <v>809</v>
      </c>
      <c r="B266" s="212" t="s">
        <v>810</v>
      </c>
      <c r="C266" s="213"/>
      <c r="D266" s="210"/>
      <c r="E266" s="211" t="s">
        <v>811</v>
      </c>
    </row>
    <row r="267">
      <c r="A267" s="205" t="s">
        <v>812</v>
      </c>
      <c r="B267" s="212" t="s">
        <v>813</v>
      </c>
      <c r="C267" s="213"/>
      <c r="D267" s="210"/>
      <c r="E267" s="211" t="s">
        <v>814</v>
      </c>
    </row>
    <row r="268">
      <c r="A268" s="205" t="s">
        <v>815</v>
      </c>
      <c r="B268" s="212" t="s">
        <v>816</v>
      </c>
      <c r="C268" s="213"/>
      <c r="D268" s="210"/>
      <c r="E268" s="211" t="s">
        <v>817</v>
      </c>
    </row>
    <row r="269">
      <c r="A269" s="205" t="s">
        <v>818</v>
      </c>
      <c r="B269" s="212" t="s">
        <v>819</v>
      </c>
      <c r="C269" s="213"/>
      <c r="D269" s="210"/>
      <c r="E269" s="211" t="s">
        <v>820</v>
      </c>
    </row>
    <row r="270">
      <c r="A270" s="205" t="s">
        <v>821</v>
      </c>
      <c r="B270" s="212" t="s">
        <v>822</v>
      </c>
      <c r="C270" s="213" t="s">
        <v>823</v>
      </c>
      <c r="D270" s="210">
        <v>1.05550005858E11</v>
      </c>
      <c r="E270" s="211"/>
    </row>
    <row r="271">
      <c r="A271" s="205" t="s">
        <v>824</v>
      </c>
      <c r="B271" s="212" t="s">
        <v>825</v>
      </c>
      <c r="C271" s="213"/>
      <c r="D271" s="210"/>
      <c r="E271" s="211" t="s">
        <v>826</v>
      </c>
    </row>
    <row r="272">
      <c r="A272" s="205" t="s">
        <v>827</v>
      </c>
      <c r="B272" s="212" t="s">
        <v>828</v>
      </c>
      <c r="C272" s="213"/>
      <c r="D272" s="210"/>
      <c r="E272" s="211" t="s">
        <v>829</v>
      </c>
    </row>
    <row r="273">
      <c r="A273" s="205" t="s">
        <v>830</v>
      </c>
      <c r="B273" s="212" t="s">
        <v>831</v>
      </c>
      <c r="C273" s="213"/>
      <c r="D273" s="210"/>
      <c r="E273" s="211" t="s">
        <v>832</v>
      </c>
    </row>
    <row r="274">
      <c r="A274" s="205" t="s">
        <v>833</v>
      </c>
      <c r="B274" s="212" t="s">
        <v>834</v>
      </c>
      <c r="C274" s="213"/>
      <c r="D274" s="210"/>
      <c r="E274" s="211" t="s">
        <v>835</v>
      </c>
    </row>
    <row r="275">
      <c r="A275" s="205" t="s">
        <v>836</v>
      </c>
      <c r="B275" s="212" t="s">
        <v>837</v>
      </c>
      <c r="C275" s="213"/>
      <c r="D275" s="210"/>
      <c r="E275" s="211"/>
    </row>
    <row r="276">
      <c r="A276" s="205" t="s">
        <v>838</v>
      </c>
      <c r="B276" s="212" t="s">
        <v>839</v>
      </c>
      <c r="C276" s="213"/>
      <c r="D276" s="210"/>
      <c r="E276" s="211" t="s">
        <v>840</v>
      </c>
    </row>
    <row r="277">
      <c r="A277" s="205" t="s">
        <v>841</v>
      </c>
      <c r="B277" s="212" t="s">
        <v>842</v>
      </c>
      <c r="C277" s="213"/>
      <c r="D277" s="210"/>
      <c r="E277" s="211" t="s">
        <v>843</v>
      </c>
    </row>
    <row r="278">
      <c r="A278" s="205" t="s">
        <v>844</v>
      </c>
      <c r="B278" s="212" t="s">
        <v>845</v>
      </c>
      <c r="C278" s="213"/>
      <c r="D278" s="210"/>
      <c r="E278" s="211"/>
    </row>
    <row r="279">
      <c r="A279" s="205" t="s">
        <v>846</v>
      </c>
      <c r="B279" s="212" t="s">
        <v>847</v>
      </c>
      <c r="C279" s="213"/>
      <c r="D279" s="210"/>
      <c r="E279" s="211" t="s">
        <v>848</v>
      </c>
    </row>
    <row r="280">
      <c r="A280" s="205" t="s">
        <v>849</v>
      </c>
      <c r="B280" s="212" t="s">
        <v>850</v>
      </c>
      <c r="C280" s="213"/>
      <c r="D280" s="210"/>
      <c r="E280" s="211"/>
    </row>
    <row r="281">
      <c r="A281" s="205" t="s">
        <v>851</v>
      </c>
      <c r="B281" s="212" t="s">
        <v>852</v>
      </c>
      <c r="C281" s="213"/>
      <c r="D281" s="210"/>
      <c r="E281" s="211" t="s">
        <v>853</v>
      </c>
    </row>
    <row r="282">
      <c r="A282" s="205" t="s">
        <v>854</v>
      </c>
      <c r="B282" s="212" t="s">
        <v>855</v>
      </c>
      <c r="C282" s="213" t="s">
        <v>856</v>
      </c>
      <c r="D282" s="210">
        <v>6.25550000118E11</v>
      </c>
      <c r="E282" s="211"/>
    </row>
    <row r="283">
      <c r="A283" s="205" t="s">
        <v>857</v>
      </c>
      <c r="B283" s="212" t="s">
        <v>858</v>
      </c>
      <c r="C283" s="213"/>
      <c r="D283" s="210"/>
      <c r="E283" s="211" t="s">
        <v>859</v>
      </c>
    </row>
    <row r="284">
      <c r="A284" s="205" t="s">
        <v>860</v>
      </c>
      <c r="B284" s="212" t="s">
        <v>861</v>
      </c>
      <c r="C284" s="213"/>
      <c r="D284" s="210"/>
      <c r="E284" s="211" t="s">
        <v>862</v>
      </c>
    </row>
    <row r="285">
      <c r="A285" s="205" t="s">
        <v>863</v>
      </c>
      <c r="B285" s="212" t="s">
        <v>864</v>
      </c>
      <c r="C285" s="213"/>
      <c r="D285" s="210"/>
      <c r="E285" s="211" t="s">
        <v>865</v>
      </c>
    </row>
    <row r="286">
      <c r="A286" s="205" t="s">
        <v>866</v>
      </c>
      <c r="B286" s="212" t="s">
        <v>867</v>
      </c>
      <c r="C286" s="213"/>
      <c r="D286" s="210"/>
      <c r="E286" s="211" t="s">
        <v>868</v>
      </c>
    </row>
    <row r="287">
      <c r="A287" s="205" t="s">
        <v>870</v>
      </c>
      <c r="B287" s="212" t="s">
        <v>871</v>
      </c>
      <c r="C287" s="213"/>
      <c r="D287" s="210"/>
      <c r="E287" s="211" t="s">
        <v>872</v>
      </c>
    </row>
    <row r="288">
      <c r="A288" s="205" t="s">
        <v>873</v>
      </c>
      <c r="B288" s="212" t="s">
        <v>874</v>
      </c>
      <c r="C288" s="213"/>
      <c r="D288" s="210"/>
      <c r="E288" s="211" t="s">
        <v>875</v>
      </c>
    </row>
    <row r="289">
      <c r="A289" s="205" t="s">
        <v>876</v>
      </c>
      <c r="B289" s="212" t="s">
        <v>877</v>
      </c>
      <c r="C289" s="213"/>
      <c r="D289" s="210"/>
      <c r="E289" s="211"/>
    </row>
    <row r="290">
      <c r="A290" s="205" t="s">
        <v>878</v>
      </c>
      <c r="B290" s="212" t="s">
        <v>879</v>
      </c>
      <c r="C290" s="213" t="s">
        <v>880</v>
      </c>
      <c r="D290" s="210">
        <v>1.03531012478E11</v>
      </c>
      <c r="E290" s="211"/>
    </row>
    <row r="291">
      <c r="A291" s="205" t="s">
        <v>881</v>
      </c>
      <c r="B291" s="212" t="s">
        <v>882</v>
      </c>
      <c r="C291" s="213"/>
      <c r="D291" s="210"/>
      <c r="E291" s="211" t="s">
        <v>883</v>
      </c>
    </row>
    <row r="292">
      <c r="A292" s="205" t="s">
        <v>884</v>
      </c>
      <c r="B292" s="212" t="s">
        <v>885</v>
      </c>
      <c r="C292" s="213"/>
      <c r="D292" s="210"/>
      <c r="E292" s="211"/>
    </row>
    <row r="293">
      <c r="A293" s="205" t="s">
        <v>886</v>
      </c>
      <c r="B293" s="212" t="s">
        <v>887</v>
      </c>
      <c r="C293" s="213"/>
      <c r="D293" s="210"/>
      <c r="E293" s="211"/>
    </row>
    <row r="294">
      <c r="A294" s="205" t="s">
        <v>888</v>
      </c>
      <c r="B294" s="212" t="s">
        <v>889</v>
      </c>
      <c r="C294" s="213"/>
      <c r="D294" s="210"/>
      <c r="E294" s="211"/>
    </row>
    <row r="295">
      <c r="A295" s="205" t="s">
        <v>890</v>
      </c>
      <c r="B295" s="212" t="s">
        <v>891</v>
      </c>
      <c r="C295" s="213"/>
      <c r="D295" s="210"/>
      <c r="E295" s="211"/>
    </row>
    <row r="296">
      <c r="A296" s="205" t="s">
        <v>892</v>
      </c>
      <c r="B296" s="212" t="s">
        <v>893</v>
      </c>
      <c r="C296" s="213"/>
      <c r="D296" s="210"/>
      <c r="E296" s="211" t="s">
        <v>894</v>
      </c>
    </row>
    <row r="297">
      <c r="A297" s="205" t="s">
        <v>895</v>
      </c>
      <c r="B297" s="212" t="s">
        <v>896</v>
      </c>
      <c r="C297" s="213"/>
      <c r="D297" s="210"/>
      <c r="E297" s="211" t="s">
        <v>897</v>
      </c>
    </row>
    <row r="298">
      <c r="A298" s="205" t="s">
        <v>898</v>
      </c>
      <c r="B298" s="212" t="s">
        <v>899</v>
      </c>
      <c r="C298" s="213"/>
      <c r="D298" s="210"/>
      <c r="E298" s="211" t="s">
        <v>900</v>
      </c>
    </row>
    <row r="299">
      <c r="A299" s="205" t="s">
        <v>901</v>
      </c>
      <c r="B299" s="212" t="s">
        <v>902</v>
      </c>
      <c r="C299" s="213"/>
      <c r="D299" s="210"/>
      <c r="E299" s="211" t="s">
        <v>903</v>
      </c>
    </row>
    <row r="300">
      <c r="A300" s="205" t="s">
        <v>904</v>
      </c>
      <c r="B300" s="212" t="s">
        <v>905</v>
      </c>
      <c r="C300" s="213"/>
      <c r="D300" s="210"/>
      <c r="E300" s="211" t="s">
        <v>906</v>
      </c>
    </row>
    <row r="301">
      <c r="A301" s="205" t="s">
        <v>907</v>
      </c>
      <c r="B301" s="212" t="s">
        <v>908</v>
      </c>
      <c r="C301" s="213"/>
      <c r="D301" s="210"/>
      <c r="E301" s="211" t="s">
        <v>909</v>
      </c>
    </row>
    <row r="302">
      <c r="A302" s="205" t="s">
        <v>910</v>
      </c>
      <c r="B302" s="212" t="s">
        <v>911</v>
      </c>
      <c r="C302" s="213"/>
      <c r="D302" s="210"/>
      <c r="E302" s="211" t="s">
        <v>912</v>
      </c>
    </row>
    <row r="303">
      <c r="A303" s="205" t="s">
        <v>913</v>
      </c>
      <c r="B303" s="212" t="s">
        <v>914</v>
      </c>
      <c r="C303" s="213"/>
      <c r="D303" s="210"/>
      <c r="E303" s="211" t="s">
        <v>915</v>
      </c>
    </row>
    <row r="304">
      <c r="A304" s="205" t="s">
        <v>916</v>
      </c>
      <c r="B304" s="212" t="s">
        <v>917</v>
      </c>
      <c r="C304" s="213"/>
      <c r="D304" s="210"/>
      <c r="E304" s="211" t="s">
        <v>918</v>
      </c>
    </row>
    <row r="305">
      <c r="A305" s="205" t="s">
        <v>919</v>
      </c>
      <c r="B305" s="212" t="s">
        <v>920</v>
      </c>
      <c r="C305" s="213"/>
      <c r="D305" s="210"/>
      <c r="E305" s="211"/>
    </row>
    <row r="306">
      <c r="A306" s="205" t="s">
        <v>921</v>
      </c>
      <c r="B306" s="212" t="s">
        <v>922</v>
      </c>
      <c r="C306" s="213"/>
      <c r="D306" s="210"/>
      <c r="E306" s="211" t="s">
        <v>923</v>
      </c>
    </row>
    <row r="307">
      <c r="A307" s="205" t="s">
        <v>924</v>
      </c>
      <c r="B307" s="212" t="s">
        <v>925</v>
      </c>
      <c r="C307" s="213"/>
      <c r="D307" s="210"/>
      <c r="E307" s="211" t="s">
        <v>926</v>
      </c>
    </row>
    <row r="308">
      <c r="A308" s="205" t="s">
        <v>927</v>
      </c>
      <c r="B308" s="212" t="s">
        <v>928</v>
      </c>
      <c r="C308" s="213"/>
      <c r="D308" s="210"/>
      <c r="E308" s="211"/>
    </row>
    <row r="309">
      <c r="A309" s="205" t="s">
        <v>929</v>
      </c>
      <c r="B309" s="212" t="s">
        <v>930</v>
      </c>
      <c r="C309" s="213"/>
      <c r="D309" s="210"/>
      <c r="E309" s="211" t="s">
        <v>931</v>
      </c>
    </row>
    <row r="310">
      <c r="A310" s="205" t="s">
        <v>932</v>
      </c>
      <c r="B310" s="212" t="s">
        <v>933</v>
      </c>
      <c r="C310" s="213"/>
      <c r="D310" s="210"/>
      <c r="E310" s="211" t="s">
        <v>934</v>
      </c>
    </row>
    <row r="311">
      <c r="A311" s="205" t="s">
        <v>935</v>
      </c>
      <c r="B311" s="212" t="s">
        <v>936</v>
      </c>
      <c r="C311" s="213"/>
      <c r="D311" s="210"/>
      <c r="E311" s="211" t="s">
        <v>937</v>
      </c>
    </row>
    <row r="312">
      <c r="A312" s="205" t="s">
        <v>938</v>
      </c>
      <c r="B312" s="212" t="s">
        <v>939</v>
      </c>
      <c r="C312" s="213"/>
      <c r="D312" s="210"/>
      <c r="E312" s="211"/>
    </row>
    <row r="313">
      <c r="A313" s="205" t="s">
        <v>940</v>
      </c>
      <c r="B313" s="212" t="s">
        <v>941</v>
      </c>
      <c r="C313" s="213"/>
      <c r="D313" s="210"/>
      <c r="E313" s="211" t="s">
        <v>942</v>
      </c>
    </row>
    <row r="314">
      <c r="A314" s="205" t="s">
        <v>943</v>
      </c>
      <c r="B314" s="212" t="s">
        <v>944</v>
      </c>
      <c r="C314" s="213"/>
      <c r="D314" s="210"/>
      <c r="E314" s="211" t="s">
        <v>945</v>
      </c>
    </row>
    <row r="315">
      <c r="A315" s="205" t="s">
        <v>946</v>
      </c>
      <c r="B315" s="212" t="s">
        <v>947</v>
      </c>
      <c r="C315" s="213"/>
      <c r="D315" s="210"/>
      <c r="E315" s="211" t="s">
        <v>948</v>
      </c>
    </row>
    <row r="316">
      <c r="A316" s="205" t="s">
        <v>949</v>
      </c>
      <c r="B316" s="212" t="s">
        <v>950</v>
      </c>
      <c r="C316" s="213"/>
      <c r="D316" s="210"/>
      <c r="E316" s="211" t="s">
        <v>951</v>
      </c>
    </row>
    <row r="317">
      <c r="A317" s="205" t="s">
        <v>952</v>
      </c>
      <c r="B317" s="212" t="s">
        <v>953</v>
      </c>
      <c r="C317" s="213"/>
      <c r="D317" s="210"/>
      <c r="E317" s="211" t="s">
        <v>954</v>
      </c>
    </row>
    <row r="318">
      <c r="A318" s="205" t="s">
        <v>955</v>
      </c>
      <c r="B318" s="212" t="s">
        <v>956</v>
      </c>
      <c r="C318" s="213"/>
      <c r="D318" s="210"/>
      <c r="E318" s="211" t="s">
        <v>957</v>
      </c>
    </row>
    <row r="319">
      <c r="A319" s="205" t="s">
        <v>958</v>
      </c>
      <c r="B319" s="212" t="s">
        <v>959</v>
      </c>
      <c r="C319" s="213"/>
      <c r="D319" s="210"/>
      <c r="E319" s="211"/>
    </row>
    <row r="320">
      <c r="A320" s="205" t="s">
        <v>960</v>
      </c>
      <c r="B320" s="212" t="s">
        <v>961</v>
      </c>
      <c r="C320" s="213"/>
      <c r="D320" s="210"/>
      <c r="E320" s="211" t="s">
        <v>962</v>
      </c>
    </row>
    <row r="321">
      <c r="A321" s="205" t="s">
        <v>963</v>
      </c>
      <c r="B321" s="212" t="s">
        <v>964</v>
      </c>
      <c r="C321" s="213"/>
      <c r="D321" s="210"/>
      <c r="E321" s="211" t="s">
        <v>965</v>
      </c>
    </row>
    <row r="322">
      <c r="A322" s="205" t="s">
        <v>966</v>
      </c>
      <c r="B322" s="212" t="s">
        <v>967</v>
      </c>
      <c r="C322" s="213"/>
      <c r="D322" s="210"/>
      <c r="E322" s="211" t="s">
        <v>968</v>
      </c>
    </row>
    <row r="323">
      <c r="A323" s="205" t="s">
        <v>969</v>
      </c>
      <c r="B323" s="212" t="s">
        <v>970</v>
      </c>
      <c r="C323" s="213"/>
      <c r="D323" s="210"/>
      <c r="E323" s="211" t="s">
        <v>971</v>
      </c>
    </row>
    <row r="324">
      <c r="A324" s="205" t="s">
        <v>972</v>
      </c>
      <c r="B324" s="212" t="s">
        <v>973</v>
      </c>
      <c r="C324" s="213"/>
      <c r="D324" s="210"/>
      <c r="E324" s="211" t="s">
        <v>974</v>
      </c>
    </row>
    <row r="325">
      <c r="A325" s="205" t="s">
        <v>975</v>
      </c>
      <c r="B325" s="212" t="s">
        <v>976</v>
      </c>
      <c r="C325" s="213"/>
      <c r="D325" s="210"/>
      <c r="E325" s="211" t="s">
        <v>977</v>
      </c>
    </row>
    <row r="326">
      <c r="A326" s="205" t="s">
        <v>978</v>
      </c>
      <c r="B326" s="212" t="s">
        <v>979</v>
      </c>
      <c r="C326" s="213"/>
      <c r="D326" s="210"/>
      <c r="E326" s="211" t="s">
        <v>980</v>
      </c>
    </row>
    <row r="327">
      <c r="A327" s="205" t="s">
        <v>981</v>
      </c>
      <c r="B327" s="212" t="s">
        <v>982</v>
      </c>
      <c r="C327" s="213"/>
      <c r="D327" s="210"/>
      <c r="E327" s="211" t="s">
        <v>983</v>
      </c>
    </row>
    <row r="328">
      <c r="A328" s="205" t="s">
        <v>984</v>
      </c>
      <c r="B328" s="212" t="s">
        <v>985</v>
      </c>
      <c r="C328" s="213"/>
      <c r="D328" s="210"/>
      <c r="E328" s="211" t="s">
        <v>986</v>
      </c>
    </row>
    <row r="329">
      <c r="A329" s="205" t="s">
        <v>987</v>
      </c>
      <c r="B329" s="212" t="s">
        <v>988</v>
      </c>
      <c r="C329" s="213"/>
      <c r="D329" s="210"/>
      <c r="E329" s="211"/>
    </row>
    <row r="330">
      <c r="A330" s="205" t="s">
        <v>989</v>
      </c>
      <c r="B330" s="212" t="s">
        <v>990</v>
      </c>
      <c r="C330" s="213"/>
      <c r="D330" s="210"/>
      <c r="E330" s="211" t="s">
        <v>991</v>
      </c>
    </row>
    <row r="331">
      <c r="A331" s="205" t="s">
        <v>992</v>
      </c>
      <c r="B331" s="212" t="s">
        <v>993</v>
      </c>
      <c r="C331" s="213"/>
      <c r="D331" s="210"/>
      <c r="E331" s="211"/>
    </row>
    <row r="332">
      <c r="A332" s="205" t="s">
        <v>994</v>
      </c>
      <c r="B332" s="212" t="s">
        <v>995</v>
      </c>
      <c r="C332" s="213"/>
      <c r="D332" s="210"/>
      <c r="E332" s="211"/>
    </row>
    <row r="333">
      <c r="A333" s="205" t="s">
        <v>996</v>
      </c>
      <c r="B333" s="212" t="s">
        <v>997</v>
      </c>
      <c r="C333" s="213"/>
      <c r="D333" s="210"/>
      <c r="E333" s="211" t="s">
        <v>998</v>
      </c>
    </row>
    <row r="334">
      <c r="A334" s="205" t="s">
        <v>999</v>
      </c>
      <c r="B334" s="212" t="s">
        <v>1000</v>
      </c>
      <c r="C334" s="213"/>
      <c r="D334" s="210"/>
      <c r="E334" s="211" t="s">
        <v>1001</v>
      </c>
    </row>
    <row r="335">
      <c r="A335" s="205" t="s">
        <v>1002</v>
      </c>
      <c r="B335" s="212" t="s">
        <v>1003</v>
      </c>
      <c r="C335" s="213"/>
      <c r="D335" s="210"/>
      <c r="E335" s="211" t="s">
        <v>1004</v>
      </c>
    </row>
    <row r="336">
      <c r="A336" s="205" t="s">
        <v>1005</v>
      </c>
      <c r="B336" s="212" t="s">
        <v>1006</v>
      </c>
      <c r="C336" s="213"/>
      <c r="D336" s="210"/>
      <c r="E336" s="211" t="s">
        <v>1007</v>
      </c>
    </row>
    <row r="337">
      <c r="A337" s="205" t="s">
        <v>1008</v>
      </c>
      <c r="B337" s="212" t="s">
        <v>1009</v>
      </c>
      <c r="C337" s="213"/>
      <c r="D337" s="210"/>
      <c r="E337" s="211" t="s">
        <v>1010</v>
      </c>
    </row>
    <row r="338">
      <c r="A338" s="205" t="s">
        <v>1011</v>
      </c>
      <c r="B338" s="212" t="s">
        <v>1012</v>
      </c>
      <c r="C338" s="213"/>
      <c r="D338" s="210"/>
      <c r="E338" s="211" t="s">
        <v>322</v>
      </c>
    </row>
    <row r="339">
      <c r="A339" s="205" t="s">
        <v>1013</v>
      </c>
      <c r="B339" s="212" t="s">
        <v>1014</v>
      </c>
      <c r="C339" s="213"/>
      <c r="D339" s="210">
        <v>3.471201015392E12</v>
      </c>
      <c r="E339" s="211" t="s">
        <v>840</v>
      </c>
    </row>
    <row r="340">
      <c r="A340" s="205" t="s">
        <v>1015</v>
      </c>
      <c r="B340" s="212" t="s">
        <v>1016</v>
      </c>
      <c r="C340" s="213"/>
      <c r="D340" s="210"/>
      <c r="E340" s="211"/>
    </row>
    <row r="341">
      <c r="A341" s="205" t="s">
        <v>1017</v>
      </c>
      <c r="B341" s="212" t="s">
        <v>1018</v>
      </c>
      <c r="C341" s="213"/>
      <c r="D341" s="210"/>
      <c r="E341" s="211" t="s">
        <v>1019</v>
      </c>
    </row>
    <row r="342">
      <c r="A342" s="205" t="s">
        <v>1020</v>
      </c>
      <c r="B342" s="212" t="s">
        <v>1021</v>
      </c>
      <c r="C342" s="213"/>
      <c r="D342" s="210"/>
      <c r="E342" s="211" t="s">
        <v>334</v>
      </c>
    </row>
    <row r="343">
      <c r="A343" s="205" t="s">
        <v>1022</v>
      </c>
      <c r="B343" s="212" t="s">
        <v>1023</v>
      </c>
      <c r="C343" s="213"/>
      <c r="D343" s="210"/>
      <c r="E343" s="211" t="s">
        <v>1024</v>
      </c>
    </row>
    <row r="344">
      <c r="A344" s="205" t="s">
        <v>1025</v>
      </c>
      <c r="B344" s="212" t="s">
        <v>1026</v>
      </c>
      <c r="C344" s="213"/>
      <c r="D344" s="210"/>
      <c r="E344" s="211" t="s">
        <v>1027</v>
      </c>
    </row>
    <row r="345">
      <c r="A345" s="205" t="s">
        <v>1028</v>
      </c>
      <c r="B345" s="212" t="s">
        <v>1029</v>
      </c>
      <c r="C345" s="213"/>
      <c r="D345" s="210"/>
      <c r="E345" s="211" t="s">
        <v>1030</v>
      </c>
    </row>
    <row r="346">
      <c r="A346" s="205" t="s">
        <v>1031</v>
      </c>
      <c r="B346" s="212" t="s">
        <v>1032</v>
      </c>
      <c r="C346" s="213"/>
      <c r="D346" s="210"/>
      <c r="E346" s="211" t="s">
        <v>1033</v>
      </c>
    </row>
    <row r="347">
      <c r="A347" s="205" t="s">
        <v>1034</v>
      </c>
      <c r="B347" s="212" t="s">
        <v>1035</v>
      </c>
      <c r="C347" s="213"/>
      <c r="D347" s="210"/>
      <c r="E347" s="211" t="s">
        <v>1036</v>
      </c>
    </row>
    <row r="348">
      <c r="A348" s="205" t="s">
        <v>1037</v>
      </c>
      <c r="B348" s="212" t="s">
        <v>1038</v>
      </c>
      <c r="C348" s="213"/>
      <c r="D348" s="210"/>
      <c r="E348" s="211" t="s">
        <v>1039</v>
      </c>
    </row>
    <row r="349">
      <c r="A349" s="205" t="s">
        <v>1040</v>
      </c>
      <c r="B349" s="212" t="s">
        <v>1041</v>
      </c>
      <c r="C349" s="213"/>
      <c r="D349" s="210"/>
      <c r="E349" s="211" t="s">
        <v>1042</v>
      </c>
    </row>
    <row r="350">
      <c r="A350" s="205" t="s">
        <v>1043</v>
      </c>
      <c r="B350" s="212" t="s">
        <v>1044</v>
      </c>
      <c r="C350" s="213"/>
      <c r="D350" s="210"/>
      <c r="E350" s="211" t="s">
        <v>1045</v>
      </c>
    </row>
    <row r="351">
      <c r="A351" s="205" t="s">
        <v>1046</v>
      </c>
      <c r="B351" s="212" t="s">
        <v>1047</v>
      </c>
      <c r="C351" s="213"/>
      <c r="D351" s="210"/>
      <c r="E351" s="211" t="s">
        <v>1048</v>
      </c>
    </row>
    <row r="352">
      <c r="A352" s="205" t="s">
        <v>1049</v>
      </c>
      <c r="B352" s="212" t="s">
        <v>1050</v>
      </c>
      <c r="C352" s="213"/>
      <c r="D352" s="210"/>
      <c r="E352" s="211" t="s">
        <v>1051</v>
      </c>
    </row>
    <row r="353">
      <c r="A353" s="205" t="s">
        <v>1052</v>
      </c>
      <c r="B353" s="212" t="s">
        <v>1053</v>
      </c>
      <c r="C353" s="213"/>
      <c r="D353" s="210"/>
      <c r="E353" s="211" t="s">
        <v>1054</v>
      </c>
    </row>
    <row r="354">
      <c r="A354" s="205" t="s">
        <v>1055</v>
      </c>
      <c r="B354" s="212" t="s">
        <v>1056</v>
      </c>
      <c r="C354" s="213"/>
      <c r="D354" s="210"/>
      <c r="E354" s="211" t="s">
        <v>1057</v>
      </c>
    </row>
    <row r="355">
      <c r="A355" s="205" t="s">
        <v>1058</v>
      </c>
      <c r="B355" s="212" t="s">
        <v>1059</v>
      </c>
      <c r="C355" s="213" t="s">
        <v>1060</v>
      </c>
      <c r="D355" s="210">
        <v>1.320500230027E12</v>
      </c>
      <c r="E355" s="211" t="s">
        <v>1061</v>
      </c>
    </row>
    <row r="356">
      <c r="A356" s="205" t="s">
        <v>1062</v>
      </c>
      <c r="B356" s="212" t="s">
        <v>1063</v>
      </c>
      <c r="C356" s="213"/>
      <c r="D356" s="210"/>
      <c r="E356" s="211" t="s">
        <v>1064</v>
      </c>
    </row>
    <row r="357">
      <c r="A357" s="205" t="s">
        <v>1065</v>
      </c>
      <c r="B357" s="212" t="s">
        <v>1066</v>
      </c>
      <c r="C357" s="213"/>
      <c r="D357" s="210"/>
      <c r="E357" s="211" t="s">
        <v>1067</v>
      </c>
    </row>
    <row r="358">
      <c r="A358" s="205" t="s">
        <v>1068</v>
      </c>
      <c r="B358" s="212" t="s">
        <v>1069</v>
      </c>
      <c r="C358" s="213"/>
      <c r="D358" s="210"/>
      <c r="E358" s="211" t="s">
        <v>1070</v>
      </c>
    </row>
    <row r="359">
      <c r="A359" s="205" t="s">
        <v>1071</v>
      </c>
      <c r="B359" s="212" t="s">
        <v>1072</v>
      </c>
      <c r="C359" s="213"/>
      <c r="D359" s="210"/>
      <c r="E359" s="211" t="s">
        <v>1073</v>
      </c>
    </row>
    <row r="360">
      <c r="A360" s="205" t="s">
        <v>1074</v>
      </c>
      <c r="B360" s="212" t="s">
        <v>1075</v>
      </c>
      <c r="C360" s="213"/>
      <c r="D360" s="210"/>
      <c r="E360" s="211"/>
    </row>
    <row r="361">
      <c r="A361" s="205" t="s">
        <v>1076</v>
      </c>
      <c r="B361" s="212" t="s">
        <v>1077</v>
      </c>
      <c r="C361" s="213"/>
      <c r="D361" s="210"/>
      <c r="E361" s="211" t="s">
        <v>1078</v>
      </c>
    </row>
    <row r="362">
      <c r="A362" s="205" t="s">
        <v>1079</v>
      </c>
      <c r="B362" s="212" t="s">
        <v>1080</v>
      </c>
      <c r="C362" s="213"/>
      <c r="D362" s="210"/>
      <c r="E362" s="211" t="s">
        <v>1081</v>
      </c>
    </row>
    <row r="363">
      <c r="A363" s="205" t="s">
        <v>1082</v>
      </c>
      <c r="B363" s="212" t="s">
        <v>1083</v>
      </c>
      <c r="C363" s="213"/>
      <c r="D363" s="210"/>
      <c r="E363" s="211" t="s">
        <v>1084</v>
      </c>
    </row>
    <row r="364">
      <c r="A364" s="205" t="s">
        <v>1085</v>
      </c>
      <c r="B364" s="212" t="s">
        <v>1086</v>
      </c>
      <c r="C364" s="213"/>
      <c r="D364" s="210"/>
      <c r="E364" s="211" t="s">
        <v>1087</v>
      </c>
    </row>
    <row r="365">
      <c r="A365" s="205" t="s">
        <v>1088</v>
      </c>
      <c r="B365" s="212" t="s">
        <v>1089</v>
      </c>
      <c r="C365" s="213"/>
      <c r="D365" s="210"/>
      <c r="E365" s="211"/>
    </row>
    <row r="366">
      <c r="A366" s="205" t="s">
        <v>1090</v>
      </c>
      <c r="B366" s="212" t="s">
        <v>1091</v>
      </c>
      <c r="C366" s="213"/>
      <c r="D366" s="210"/>
      <c r="E366" s="211" t="s">
        <v>505</v>
      </c>
    </row>
    <row r="367">
      <c r="A367" s="205" t="s">
        <v>1092</v>
      </c>
      <c r="B367" s="212" t="s">
        <v>1093</v>
      </c>
      <c r="C367" s="213"/>
      <c r="D367" s="210"/>
      <c r="E367" s="211" t="s">
        <v>571</v>
      </c>
    </row>
    <row r="368">
      <c r="A368" s="205" t="s">
        <v>1094</v>
      </c>
      <c r="B368" s="212" t="s">
        <v>1095</v>
      </c>
      <c r="C368" s="213"/>
      <c r="D368" s="210"/>
      <c r="E368" s="211" t="s">
        <v>1096</v>
      </c>
    </row>
    <row r="369">
      <c r="A369" s="205" t="s">
        <v>1097</v>
      </c>
      <c r="B369" s="212" t="s">
        <v>1098</v>
      </c>
      <c r="C369" s="213"/>
      <c r="D369" s="210"/>
      <c r="E369" s="211" t="s">
        <v>421</v>
      </c>
    </row>
    <row r="370">
      <c r="A370" s="205" t="s">
        <v>1099</v>
      </c>
      <c r="B370" s="212" t="s">
        <v>1100</v>
      </c>
      <c r="C370" s="213"/>
      <c r="D370" s="210"/>
      <c r="E370" s="211" t="s">
        <v>1101</v>
      </c>
    </row>
    <row r="371">
      <c r="A371" s="205" t="s">
        <v>1102</v>
      </c>
      <c r="B371" s="212" t="s">
        <v>1103</v>
      </c>
      <c r="C371" s="213"/>
      <c r="D371" s="210"/>
      <c r="E371" s="211" t="s">
        <v>1104</v>
      </c>
    </row>
    <row r="372">
      <c r="A372" s="205" t="s">
        <v>1105</v>
      </c>
      <c r="B372" s="212" t="s">
        <v>1106</v>
      </c>
      <c r="C372" s="213" t="s">
        <v>1107</v>
      </c>
      <c r="D372" s="210">
        <v>1.909802884545E12</v>
      </c>
      <c r="E372" s="211" t="s">
        <v>1108</v>
      </c>
    </row>
    <row r="373">
      <c r="A373" s="205" t="s">
        <v>1109</v>
      </c>
      <c r="B373" s="212" t="s">
        <v>1110</v>
      </c>
      <c r="C373" s="213"/>
      <c r="D373" s="210"/>
      <c r="E373" s="211" t="s">
        <v>1111</v>
      </c>
    </row>
    <row r="374">
      <c r="A374" s="205" t="s">
        <v>1112</v>
      </c>
      <c r="B374" s="212" t="s">
        <v>1113</v>
      </c>
      <c r="C374" s="213"/>
      <c r="D374" s="210"/>
      <c r="E374" s="211" t="s">
        <v>1114</v>
      </c>
    </row>
    <row r="375">
      <c r="A375" s="205" t="s">
        <v>1115</v>
      </c>
      <c r="B375" s="212" t="s">
        <v>1116</v>
      </c>
      <c r="C375" s="213"/>
      <c r="D375" s="210"/>
      <c r="E375" s="211" t="s">
        <v>1117</v>
      </c>
    </row>
    <row r="376">
      <c r="A376" s="205" t="s">
        <v>1118</v>
      </c>
      <c r="B376" s="212" t="s">
        <v>1119</v>
      </c>
      <c r="C376" s="213"/>
      <c r="D376" s="210"/>
      <c r="E376" s="211" t="s">
        <v>965</v>
      </c>
    </row>
    <row r="377">
      <c r="A377" s="205" t="s">
        <v>1120</v>
      </c>
      <c r="B377" s="212" t="s">
        <v>1121</v>
      </c>
      <c r="C377" s="213"/>
      <c r="D377" s="210"/>
      <c r="E377" s="211" t="s">
        <v>1122</v>
      </c>
    </row>
    <row r="378">
      <c r="A378" s="205" t="s">
        <v>1123</v>
      </c>
      <c r="B378" s="212" t="s">
        <v>1124</v>
      </c>
      <c r="C378" s="213"/>
      <c r="D378" s="210"/>
      <c r="E378" s="211" t="s">
        <v>1125</v>
      </c>
    </row>
    <row r="379">
      <c r="A379" s="205" t="s">
        <v>1126</v>
      </c>
      <c r="B379" s="212" t="s">
        <v>1127</v>
      </c>
      <c r="C379" s="213"/>
      <c r="D379" s="210"/>
      <c r="E379" s="211" t="s">
        <v>1128</v>
      </c>
    </row>
    <row r="380">
      <c r="A380" s="205" t="s">
        <v>1129</v>
      </c>
      <c r="B380" s="212" t="s">
        <v>1130</v>
      </c>
      <c r="C380" s="213"/>
      <c r="D380" s="210"/>
      <c r="E380" s="211" t="s">
        <v>1131</v>
      </c>
    </row>
    <row r="381">
      <c r="A381" s="205" t="s">
        <v>1132</v>
      </c>
      <c r="B381" s="212" t="s">
        <v>1133</v>
      </c>
      <c r="C381" s="213"/>
      <c r="D381" s="210"/>
      <c r="E381" s="211" t="s">
        <v>1134</v>
      </c>
    </row>
    <row r="382">
      <c r="A382" s="205" t="s">
        <v>1135</v>
      </c>
      <c r="B382" s="212" t="s">
        <v>1136</v>
      </c>
      <c r="C382" s="213"/>
      <c r="D382" s="210"/>
      <c r="E382" s="211"/>
    </row>
    <row r="383">
      <c r="A383" s="205" t="s">
        <v>1137</v>
      </c>
      <c r="B383" s="212" t="s">
        <v>1138</v>
      </c>
      <c r="C383" s="213"/>
      <c r="D383" s="210"/>
      <c r="E383" s="211" t="s">
        <v>1139</v>
      </c>
    </row>
    <row r="384">
      <c r="A384" s="205" t="s">
        <v>1140</v>
      </c>
      <c r="B384" s="212" t="s">
        <v>1141</v>
      </c>
      <c r="C384" s="213"/>
      <c r="D384" s="210"/>
      <c r="E384" s="211" t="s">
        <v>1142</v>
      </c>
    </row>
    <row r="385">
      <c r="A385" s="205" t="s">
        <v>1143</v>
      </c>
      <c r="B385" s="212" t="s">
        <v>1144</v>
      </c>
      <c r="C385" s="213"/>
      <c r="D385" s="210"/>
      <c r="E385" s="211" t="s">
        <v>132</v>
      </c>
    </row>
    <row r="386">
      <c r="A386" s="205" t="s">
        <v>1145</v>
      </c>
      <c r="B386" s="212" t="s">
        <v>1146</v>
      </c>
      <c r="C386" s="213"/>
      <c r="D386" s="210"/>
      <c r="E386" s="211" t="s">
        <v>1147</v>
      </c>
    </row>
    <row r="387">
      <c r="A387" s="205" t="s">
        <v>1148</v>
      </c>
      <c r="B387" s="212" t="s">
        <v>1149</v>
      </c>
      <c r="C387" s="213"/>
      <c r="D387" s="210"/>
      <c r="E387" s="211" t="s">
        <v>1150</v>
      </c>
    </row>
    <row r="388">
      <c r="A388" s="205" t="s">
        <v>1151</v>
      </c>
      <c r="B388" s="212" t="s">
        <v>1152</v>
      </c>
      <c r="C388" s="213"/>
      <c r="D388" s="210"/>
      <c r="E388" s="211" t="s">
        <v>1153</v>
      </c>
    </row>
    <row r="389">
      <c r="A389" s="205" t="s">
        <v>1154</v>
      </c>
      <c r="B389" s="212" t="s">
        <v>1155</v>
      </c>
      <c r="C389" s="213"/>
      <c r="D389" s="210"/>
      <c r="E389" s="211"/>
    </row>
    <row r="390">
      <c r="A390" s="205" t="s">
        <v>1156</v>
      </c>
      <c r="B390" s="212" t="s">
        <v>1157</v>
      </c>
      <c r="C390" s="213"/>
      <c r="D390" s="210"/>
      <c r="E390" s="211" t="s">
        <v>1158</v>
      </c>
    </row>
    <row r="391">
      <c r="A391" s="205" t="s">
        <v>1159</v>
      </c>
      <c r="B391" s="212" t="s">
        <v>1160</v>
      </c>
      <c r="C391" s="213"/>
      <c r="D391" s="210"/>
      <c r="E391" s="211" t="s">
        <v>1161</v>
      </c>
    </row>
    <row r="392">
      <c r="A392" s="205" t="s">
        <v>1162</v>
      </c>
      <c r="B392" s="212" t="s">
        <v>1163</v>
      </c>
      <c r="C392" s="213"/>
      <c r="D392" s="210"/>
      <c r="E392" s="211" t="s">
        <v>1164</v>
      </c>
    </row>
    <row r="393">
      <c r="A393" s="205" t="s">
        <v>1165</v>
      </c>
      <c r="B393" s="212" t="s">
        <v>1166</v>
      </c>
      <c r="C393" s="213"/>
      <c r="D393" s="210"/>
      <c r="E393" s="211"/>
    </row>
    <row r="394">
      <c r="A394" s="205" t="s">
        <v>1167</v>
      </c>
      <c r="B394" s="212" t="s">
        <v>1168</v>
      </c>
      <c r="C394" s="213"/>
      <c r="D394" s="210"/>
      <c r="E394" s="211" t="s">
        <v>1169</v>
      </c>
    </row>
    <row r="395">
      <c r="A395" s="205" t="s">
        <v>1170</v>
      </c>
      <c r="B395" s="212" t="s">
        <v>1171</v>
      </c>
      <c r="C395" s="213"/>
      <c r="D395" s="210"/>
      <c r="E395" s="211" t="s">
        <v>1172</v>
      </c>
    </row>
    <row r="396">
      <c r="A396" s="205" t="s">
        <v>1173</v>
      </c>
      <c r="B396" s="212" t="s">
        <v>1174</v>
      </c>
      <c r="C396" s="213"/>
      <c r="D396" s="210"/>
      <c r="E396" s="211" t="s">
        <v>1175</v>
      </c>
    </row>
    <row r="397">
      <c r="A397" s="205" t="s">
        <v>1176</v>
      </c>
      <c r="B397" s="212" t="s">
        <v>1177</v>
      </c>
      <c r="C397" s="213"/>
      <c r="D397" s="210"/>
      <c r="E397" s="211" t="s">
        <v>1178</v>
      </c>
    </row>
    <row r="398">
      <c r="A398" s="205" t="s">
        <v>1179</v>
      </c>
      <c r="B398" s="212" t="s">
        <v>1180</v>
      </c>
      <c r="C398" s="213"/>
      <c r="D398" s="210"/>
      <c r="E398" s="211" t="s">
        <v>1181</v>
      </c>
    </row>
    <row r="399">
      <c r="A399" s="205" t="s">
        <v>1182</v>
      </c>
      <c r="B399" s="212" t="s">
        <v>1183</v>
      </c>
      <c r="C399" s="213"/>
      <c r="D399" s="210"/>
      <c r="E399" s="211" t="s">
        <v>1184</v>
      </c>
    </row>
    <row r="400">
      <c r="A400" s="205" t="s">
        <v>1185</v>
      </c>
      <c r="B400" s="212" t="s">
        <v>1186</v>
      </c>
      <c r="C400" s="213"/>
      <c r="D400" s="210"/>
      <c r="E400" s="211" t="s">
        <v>1187</v>
      </c>
    </row>
    <row r="401">
      <c r="A401" s="205" t="s">
        <v>1188</v>
      </c>
      <c r="B401" s="212" t="s">
        <v>1189</v>
      </c>
      <c r="C401" s="213"/>
      <c r="D401" s="210"/>
      <c r="E401" s="211" t="s">
        <v>1190</v>
      </c>
    </row>
    <row r="402">
      <c r="A402" s="205" t="s">
        <v>1191</v>
      </c>
      <c r="B402" s="212" t="s">
        <v>1192</v>
      </c>
      <c r="C402" s="213"/>
      <c r="D402" s="210"/>
      <c r="E402" s="211" t="s">
        <v>1193</v>
      </c>
    </row>
    <row r="403">
      <c r="A403" s="205" t="s">
        <v>1194</v>
      </c>
      <c r="B403" s="212" t="s">
        <v>1195</v>
      </c>
      <c r="C403" s="213"/>
      <c r="D403" s="210"/>
      <c r="E403" s="211" t="s">
        <v>1196</v>
      </c>
    </row>
    <row r="404">
      <c r="A404" s="205" t="s">
        <v>1197</v>
      </c>
      <c r="B404" s="212" t="s">
        <v>1198</v>
      </c>
      <c r="C404" s="213"/>
      <c r="D404" s="210"/>
      <c r="E404" s="211" t="s">
        <v>1199</v>
      </c>
    </row>
    <row r="405">
      <c r="A405" s="205" t="s">
        <v>1200</v>
      </c>
      <c r="B405" s="212" t="s">
        <v>1201</v>
      </c>
      <c r="C405" s="213"/>
      <c r="D405" s="210"/>
      <c r="E405" s="211"/>
    </row>
    <row r="406">
      <c r="A406" s="205" t="s">
        <v>1202</v>
      </c>
      <c r="B406" s="212" t="s">
        <v>1203</v>
      </c>
      <c r="C406" s="213"/>
      <c r="D406" s="210"/>
      <c r="E406" s="211" t="s">
        <v>1204</v>
      </c>
    </row>
    <row r="407">
      <c r="A407" s="205" t="s">
        <v>1205</v>
      </c>
      <c r="B407" s="212" t="s">
        <v>1206</v>
      </c>
      <c r="C407" s="213"/>
      <c r="D407" s="210"/>
      <c r="E407" s="211"/>
    </row>
    <row r="408">
      <c r="A408" s="205" t="s">
        <v>1207</v>
      </c>
      <c r="B408" s="212" t="s">
        <v>1208</v>
      </c>
      <c r="C408" s="213"/>
      <c r="D408" s="210"/>
      <c r="E408" s="211"/>
    </row>
    <row r="409">
      <c r="A409" s="205" t="s">
        <v>1209</v>
      </c>
      <c r="B409" s="212" t="s">
        <v>1210</v>
      </c>
      <c r="C409" s="213"/>
      <c r="D409" s="210"/>
      <c r="E409" s="211"/>
    </row>
    <row r="410">
      <c r="A410" s="205" t="s">
        <v>1211</v>
      </c>
      <c r="B410" s="212" t="s">
        <v>1212</v>
      </c>
      <c r="C410" s="213"/>
      <c r="D410" s="210"/>
      <c r="E410" s="211" t="s">
        <v>1213</v>
      </c>
    </row>
    <row r="411">
      <c r="A411" s="205" t="s">
        <v>1214</v>
      </c>
      <c r="B411" s="212" t="s">
        <v>1215</v>
      </c>
      <c r="C411" s="213"/>
      <c r="D411" s="210"/>
      <c r="E411" s="211" t="s">
        <v>1216</v>
      </c>
    </row>
    <row r="412">
      <c r="A412" s="205" t="s">
        <v>1217</v>
      </c>
      <c r="B412" s="212" t="s">
        <v>1218</v>
      </c>
      <c r="C412" s="213"/>
      <c r="D412" s="210"/>
      <c r="E412" s="211" t="s">
        <v>1219</v>
      </c>
    </row>
    <row r="413">
      <c r="A413" s="205" t="s">
        <v>1220</v>
      </c>
      <c r="B413" s="212" t="s">
        <v>1221</v>
      </c>
      <c r="C413" s="213"/>
      <c r="D413" s="210"/>
      <c r="E413" s="211" t="s">
        <v>1222</v>
      </c>
    </row>
    <row r="414">
      <c r="A414" s="205" t="s">
        <v>1224</v>
      </c>
      <c r="B414" s="212" t="s">
        <v>1225</v>
      </c>
      <c r="C414" s="213"/>
      <c r="D414" s="210"/>
      <c r="E414" s="211"/>
    </row>
    <row r="415">
      <c r="A415" s="205" t="s">
        <v>1226</v>
      </c>
      <c r="B415" s="212" t="s">
        <v>1227</v>
      </c>
      <c r="C415" s="213"/>
      <c r="D415" s="210"/>
      <c r="E415" s="211" t="s">
        <v>1228</v>
      </c>
    </row>
    <row r="416">
      <c r="A416" s="205" t="s">
        <v>1229</v>
      </c>
      <c r="B416" s="212" t="s">
        <v>1230</v>
      </c>
      <c r="C416" s="213"/>
      <c r="D416" s="210"/>
      <c r="E416" s="211" t="s">
        <v>1231</v>
      </c>
    </row>
    <row r="417">
      <c r="A417" s="205" t="s">
        <v>1232</v>
      </c>
      <c r="B417" s="212" t="s">
        <v>1233</v>
      </c>
      <c r="C417" s="213"/>
      <c r="D417" s="210"/>
      <c r="E417" s="211" t="s">
        <v>1234</v>
      </c>
    </row>
    <row r="418">
      <c r="A418" s="205" t="s">
        <v>1235</v>
      </c>
      <c r="B418" s="212" t="s">
        <v>1236</v>
      </c>
      <c r="C418" s="213"/>
      <c r="D418" s="210"/>
      <c r="E418" s="211" t="s">
        <v>1237</v>
      </c>
    </row>
    <row r="419">
      <c r="A419" s="205" t="s">
        <v>1238</v>
      </c>
      <c r="B419" s="212" t="s">
        <v>1239</v>
      </c>
      <c r="C419" s="213"/>
      <c r="D419" s="210"/>
      <c r="E419" s="211" t="s">
        <v>1240</v>
      </c>
    </row>
    <row r="420">
      <c r="A420" s="205" t="s">
        <v>1241</v>
      </c>
      <c r="B420" s="212" t="s">
        <v>1242</v>
      </c>
      <c r="C420" s="213"/>
      <c r="D420" s="210"/>
      <c r="E420" s="211" t="s">
        <v>1243</v>
      </c>
    </row>
    <row r="421">
      <c r="A421" s="205" t="s">
        <v>1244</v>
      </c>
      <c r="B421" s="212" t="s">
        <v>1245</v>
      </c>
      <c r="C421" s="213"/>
      <c r="D421" s="210"/>
      <c r="E421" s="211" t="s">
        <v>1246</v>
      </c>
    </row>
    <row r="422">
      <c r="A422" s="205" t="s">
        <v>1247</v>
      </c>
      <c r="B422" s="212" t="s">
        <v>1248</v>
      </c>
      <c r="C422" s="213"/>
      <c r="D422" s="210"/>
      <c r="E422" s="211"/>
    </row>
    <row r="423">
      <c r="A423" s="205" t="s">
        <v>1250</v>
      </c>
      <c r="B423" s="212" t="s">
        <v>1251</v>
      </c>
      <c r="C423" s="213"/>
      <c r="D423" s="210"/>
      <c r="E423" s="211"/>
    </row>
    <row r="424">
      <c r="A424" s="205" t="s">
        <v>1253</v>
      </c>
      <c r="B424" s="212" t="s">
        <v>1254</v>
      </c>
      <c r="C424" s="213"/>
      <c r="D424" s="210"/>
      <c r="E424" s="211" t="s">
        <v>1255</v>
      </c>
    </row>
    <row r="425">
      <c r="A425" s="205" t="s">
        <v>1257</v>
      </c>
      <c r="B425" s="212" t="s">
        <v>1258</v>
      </c>
      <c r="C425" s="213" t="s">
        <v>1259</v>
      </c>
      <c r="D425" s="210">
        <v>1.05560069727E11</v>
      </c>
      <c r="E425" s="211"/>
    </row>
    <row r="426">
      <c r="A426" s="205" t="s">
        <v>1260</v>
      </c>
      <c r="B426" s="212" t="s">
        <v>1261</v>
      </c>
      <c r="C426" s="213"/>
      <c r="D426" s="210"/>
      <c r="E426" s="211"/>
    </row>
    <row r="427">
      <c r="A427" s="205" t="s">
        <v>1262</v>
      </c>
      <c r="B427" s="212" t="s">
        <v>1263</v>
      </c>
      <c r="C427" s="213"/>
      <c r="D427" s="210"/>
      <c r="E427" s="211" t="s">
        <v>1264</v>
      </c>
    </row>
    <row r="428">
      <c r="A428" s="205" t="s">
        <v>1265</v>
      </c>
      <c r="B428" s="212" t="s">
        <v>1266</v>
      </c>
      <c r="C428" s="213"/>
      <c r="D428" s="210"/>
      <c r="E428" s="211" t="s">
        <v>1267</v>
      </c>
    </row>
    <row r="429">
      <c r="A429" s="205" t="s">
        <v>1268</v>
      </c>
      <c r="B429" s="212" t="s">
        <v>1269</v>
      </c>
      <c r="C429" s="213"/>
      <c r="D429" s="210"/>
      <c r="E429" s="211" t="s">
        <v>1270</v>
      </c>
    </row>
    <row r="430">
      <c r="A430" s="205" t="s">
        <v>1271</v>
      </c>
      <c r="B430" s="212" t="s">
        <v>1272</v>
      </c>
      <c r="C430" s="213"/>
      <c r="D430" s="210"/>
      <c r="E430" s="211" t="s">
        <v>1273</v>
      </c>
    </row>
    <row r="431">
      <c r="A431" s="205" t="s">
        <v>1274</v>
      </c>
      <c r="B431" s="212" t="s">
        <v>1275</v>
      </c>
      <c r="C431" s="213"/>
      <c r="D431" s="210"/>
      <c r="E431" s="211" t="s">
        <v>1276</v>
      </c>
    </row>
    <row r="432">
      <c r="A432" s="205" t="s">
        <v>1277</v>
      </c>
      <c r="B432" s="212" t="s">
        <v>1278</v>
      </c>
      <c r="C432" s="213"/>
      <c r="D432" s="210"/>
      <c r="E432" s="211" t="s">
        <v>1279</v>
      </c>
    </row>
    <row r="433">
      <c r="A433" s="205" t="s">
        <v>1280</v>
      </c>
      <c r="B433" s="212" t="s">
        <v>1281</v>
      </c>
      <c r="C433" s="213" t="s">
        <v>1282</v>
      </c>
      <c r="D433" s="210">
        <v>5.354419589674E12</v>
      </c>
      <c r="E433" s="211" t="s">
        <v>1283</v>
      </c>
    </row>
    <row r="434">
      <c r="A434" s="205" t="s">
        <v>1284</v>
      </c>
      <c r="B434" s="212" t="s">
        <v>1285</v>
      </c>
      <c r="C434" s="213" t="s">
        <v>1286</v>
      </c>
      <c r="D434" s="210">
        <v>1.863615486608E12</v>
      </c>
      <c r="E434" s="211" t="s">
        <v>1287</v>
      </c>
    </row>
    <row r="435">
      <c r="A435" s="205" t="s">
        <v>1288</v>
      </c>
      <c r="B435" s="212" t="s">
        <v>1289</v>
      </c>
      <c r="C435" s="213" t="s">
        <v>1290</v>
      </c>
      <c r="D435" s="210">
        <v>9.253448169057E12</v>
      </c>
      <c r="E435" s="211" t="s">
        <v>1291</v>
      </c>
    </row>
    <row r="436">
      <c r="A436" s="205" t="s">
        <v>1292</v>
      </c>
      <c r="B436" s="212" t="s">
        <v>1293</v>
      </c>
      <c r="C436" s="213" t="s">
        <v>1290</v>
      </c>
      <c r="D436" s="210">
        <v>8.441068113149E12</v>
      </c>
      <c r="E436" s="211" t="s">
        <v>1294</v>
      </c>
    </row>
    <row r="437">
      <c r="A437" s="205" t="s">
        <v>1295</v>
      </c>
      <c r="B437" s="212" t="s">
        <v>1296</v>
      </c>
      <c r="C437" s="213" t="s">
        <v>1297</v>
      </c>
      <c r="D437" s="210">
        <v>6.752630941777E12</v>
      </c>
      <c r="E437" s="211" t="s">
        <v>1298</v>
      </c>
    </row>
    <row r="438">
      <c r="A438" s="205" t="s">
        <v>1299</v>
      </c>
      <c r="B438" s="212" t="s">
        <v>1300</v>
      </c>
      <c r="C438" s="213" t="s">
        <v>1297</v>
      </c>
      <c r="D438" s="210">
        <v>8.960220051996E12</v>
      </c>
      <c r="E438" s="211" t="s">
        <v>1301</v>
      </c>
    </row>
    <row r="439">
      <c r="A439" s="205" t="s">
        <v>1302</v>
      </c>
      <c r="B439" s="212" t="s">
        <v>1303</v>
      </c>
      <c r="C439" s="213" t="s">
        <v>1304</v>
      </c>
      <c r="D439" s="210">
        <v>6.97708423207E12</v>
      </c>
      <c r="E439" s="211" t="s">
        <v>1305</v>
      </c>
    </row>
    <row r="440">
      <c r="A440" s="205" t="s">
        <v>1306</v>
      </c>
      <c r="B440" s="212" t="s">
        <v>1307</v>
      </c>
      <c r="C440" s="213" t="s">
        <v>1297</v>
      </c>
      <c r="D440" s="210">
        <v>2.818016738566E12</v>
      </c>
      <c r="E440" s="211" t="s">
        <v>1308</v>
      </c>
    </row>
    <row r="441">
      <c r="A441" s="205" t="s">
        <v>1309</v>
      </c>
      <c r="B441" s="212" t="s">
        <v>1310</v>
      </c>
      <c r="C441" s="213" t="s">
        <v>1304</v>
      </c>
      <c r="D441" s="210">
        <v>9.174776962683E12</v>
      </c>
      <c r="E441" s="211" t="s">
        <v>1311</v>
      </c>
    </row>
    <row r="442">
      <c r="A442" s="205" t="s">
        <v>1312</v>
      </c>
      <c r="B442" s="212" t="s">
        <v>1313</v>
      </c>
      <c r="C442" s="213" t="s">
        <v>1297</v>
      </c>
      <c r="D442" s="210">
        <v>9.733082526708E12</v>
      </c>
      <c r="E442" s="211" t="s">
        <v>1314</v>
      </c>
    </row>
    <row r="443">
      <c r="A443" s="205" t="s">
        <v>1315</v>
      </c>
      <c r="B443" s="212" t="s">
        <v>1316</v>
      </c>
      <c r="C443" s="213" t="s">
        <v>1282</v>
      </c>
      <c r="D443" s="210">
        <v>8.124817347606E12</v>
      </c>
      <c r="E443" s="211" t="s">
        <v>1317</v>
      </c>
    </row>
    <row r="444">
      <c r="A444" s="205" t="s">
        <v>1318</v>
      </c>
      <c r="B444" s="212" t="s">
        <v>1319</v>
      </c>
      <c r="C444" s="213" t="s">
        <v>1297</v>
      </c>
      <c r="D444" s="210">
        <v>9.802052070345E12</v>
      </c>
      <c r="E444" s="211" t="s">
        <v>1320</v>
      </c>
    </row>
    <row r="445">
      <c r="A445" s="205" t="s">
        <v>1321</v>
      </c>
      <c r="B445" s="212" t="s">
        <v>1322</v>
      </c>
      <c r="C445" s="213" t="s">
        <v>1286</v>
      </c>
      <c r="D445" s="210">
        <v>8.495911528325E12</v>
      </c>
      <c r="E445" s="211" t="s">
        <v>1323</v>
      </c>
    </row>
    <row r="446">
      <c r="A446" s="205" t="s">
        <v>1324</v>
      </c>
      <c r="B446" s="212" t="s">
        <v>1325</v>
      </c>
      <c r="C446" s="213" t="s">
        <v>1304</v>
      </c>
      <c r="D446" s="210">
        <v>6.986734519446E12</v>
      </c>
      <c r="E446" s="211" t="s">
        <v>1326</v>
      </c>
    </row>
    <row r="447">
      <c r="A447" s="205" t="s">
        <v>1327</v>
      </c>
      <c r="B447" s="212" t="s">
        <v>1328</v>
      </c>
      <c r="C447" s="213" t="s">
        <v>1304</v>
      </c>
      <c r="D447" s="210">
        <v>2.865119518419E12</v>
      </c>
      <c r="E447" s="211" t="s">
        <v>1329</v>
      </c>
    </row>
    <row r="448">
      <c r="A448" s="205" t="s">
        <v>1330</v>
      </c>
      <c r="B448" s="212" t="s">
        <v>1331</v>
      </c>
      <c r="C448" s="213" t="s">
        <v>1290</v>
      </c>
      <c r="D448" s="210">
        <v>6.26919965405E12</v>
      </c>
      <c r="E448" s="211" t="s">
        <v>2652</v>
      </c>
    </row>
    <row r="449">
      <c r="A449" s="205" t="s">
        <v>1332</v>
      </c>
      <c r="B449" s="212" t="s">
        <v>1333</v>
      </c>
      <c r="C449" s="213" t="s">
        <v>1290</v>
      </c>
      <c r="D449" s="210">
        <v>3.301139141788E12</v>
      </c>
      <c r="E449" s="211" t="s">
        <v>2653</v>
      </c>
    </row>
    <row r="450">
      <c r="A450" s="205" t="s">
        <v>1334</v>
      </c>
      <c r="B450" s="212" t="s">
        <v>1335</v>
      </c>
      <c r="C450" s="213" t="s">
        <v>1286</v>
      </c>
      <c r="D450" s="210">
        <v>4.020267568813E12</v>
      </c>
      <c r="E450" s="211" t="s">
        <v>2654</v>
      </c>
    </row>
    <row r="451">
      <c r="A451" s="205" t="s">
        <v>1336</v>
      </c>
      <c r="B451" s="212" t="s">
        <v>1337</v>
      </c>
      <c r="C451" s="213" t="s">
        <v>1282</v>
      </c>
      <c r="D451" s="210">
        <v>2.357852758253E12</v>
      </c>
      <c r="E451" s="211" t="s">
        <v>2655</v>
      </c>
    </row>
    <row r="452">
      <c r="A452" s="205" t="s">
        <v>1338</v>
      </c>
      <c r="B452" s="212" t="s">
        <v>1339</v>
      </c>
      <c r="C452" s="213" t="s">
        <v>1286</v>
      </c>
      <c r="D452" s="210">
        <v>3.399294294108E12</v>
      </c>
      <c r="E452" s="211" t="s">
        <v>2656</v>
      </c>
    </row>
    <row r="453">
      <c r="A453" s="205" t="s">
        <v>1340</v>
      </c>
      <c r="B453" s="212" t="s">
        <v>1341</v>
      </c>
      <c r="C453" s="213" t="s">
        <v>1304</v>
      </c>
      <c r="D453" s="210">
        <v>6.736857322934E12</v>
      </c>
      <c r="E453" s="211" t="s">
        <v>1342</v>
      </c>
    </row>
    <row r="454">
      <c r="A454" s="205" t="s">
        <v>1344</v>
      </c>
      <c r="B454" s="212" t="s">
        <v>1345</v>
      </c>
      <c r="C454" s="213" t="s">
        <v>1304</v>
      </c>
      <c r="D454" s="210">
        <v>7.270475899904E12</v>
      </c>
      <c r="E454" s="211" t="s">
        <v>1346</v>
      </c>
    </row>
    <row r="455">
      <c r="A455" s="205" t="s">
        <v>1348</v>
      </c>
      <c r="B455" s="212" t="s">
        <v>1349</v>
      </c>
      <c r="C455" s="213" t="s">
        <v>1282</v>
      </c>
      <c r="D455" s="210">
        <v>1.051871687522E12</v>
      </c>
      <c r="E455" s="211" t="s">
        <v>1350</v>
      </c>
    </row>
    <row r="456">
      <c r="A456" s="205" t="s">
        <v>1351</v>
      </c>
      <c r="B456" s="212" t="s">
        <v>1352</v>
      </c>
      <c r="C456" s="213" t="s">
        <v>1286</v>
      </c>
      <c r="D456" s="210">
        <v>7.438414107891E12</v>
      </c>
      <c r="E456" s="211" t="s">
        <v>1353</v>
      </c>
    </row>
    <row r="457">
      <c r="A457" s="205" t="s">
        <v>1354</v>
      </c>
      <c r="B457" s="212" t="s">
        <v>1355</v>
      </c>
      <c r="C457" s="213" t="s">
        <v>1297</v>
      </c>
      <c r="D457" s="210">
        <v>8.102568371498E12</v>
      </c>
      <c r="E457" s="211" t="s">
        <v>1356</v>
      </c>
    </row>
    <row r="458">
      <c r="A458" s="205" t="s">
        <v>1357</v>
      </c>
      <c r="B458" s="212" t="s">
        <v>1358</v>
      </c>
      <c r="C458" s="213" t="s">
        <v>1290</v>
      </c>
      <c r="D458" s="210">
        <v>1.774808059486E12</v>
      </c>
      <c r="E458" s="211" t="s">
        <v>2657</v>
      </c>
    </row>
    <row r="459">
      <c r="A459" s="205" t="s">
        <v>1360</v>
      </c>
      <c r="B459" s="212" t="s">
        <v>1361</v>
      </c>
      <c r="C459" s="213" t="s">
        <v>1290</v>
      </c>
      <c r="D459" s="210">
        <v>2.320793392462E12</v>
      </c>
      <c r="E459" s="211" t="s">
        <v>2658</v>
      </c>
    </row>
    <row r="460">
      <c r="A460" s="205" t="s">
        <v>1363</v>
      </c>
      <c r="B460" s="212" t="s">
        <v>1364</v>
      </c>
      <c r="C460" s="213" t="s">
        <v>1286</v>
      </c>
      <c r="D460" s="210">
        <v>9.083672706118E12</v>
      </c>
      <c r="E460" s="211" t="s">
        <v>2659</v>
      </c>
    </row>
    <row r="461">
      <c r="A461" s="205" t="s">
        <v>1365</v>
      </c>
      <c r="B461" s="212" t="s">
        <v>1366</v>
      </c>
      <c r="C461" s="213" t="s">
        <v>1297</v>
      </c>
      <c r="D461" s="210">
        <v>2.310153923828E12</v>
      </c>
      <c r="E461" s="211" t="s">
        <v>1367</v>
      </c>
    </row>
    <row r="462">
      <c r="A462" s="205" t="s">
        <v>1368</v>
      </c>
      <c r="B462" s="212" t="s">
        <v>1369</v>
      </c>
      <c r="C462" s="213" t="s">
        <v>1304</v>
      </c>
      <c r="D462" s="210">
        <v>8.848316044749E12</v>
      </c>
      <c r="E462" s="211" t="s">
        <v>2660</v>
      </c>
    </row>
    <row r="463">
      <c r="A463" s="205" t="s">
        <v>1370</v>
      </c>
      <c r="B463" s="212" t="s">
        <v>1371</v>
      </c>
      <c r="C463" s="213" t="s">
        <v>1286</v>
      </c>
      <c r="D463" s="210">
        <v>2.817632208305E12</v>
      </c>
      <c r="E463" s="211" t="s">
        <v>2661</v>
      </c>
    </row>
    <row r="464">
      <c r="A464" s="205" t="s">
        <v>1372</v>
      </c>
      <c r="B464" s="212" t="s">
        <v>1373</v>
      </c>
      <c r="C464" s="213" t="s">
        <v>1282</v>
      </c>
      <c r="D464" s="210">
        <v>5.17203004393E12</v>
      </c>
      <c r="E464" s="211" t="s">
        <v>2662</v>
      </c>
    </row>
    <row r="465">
      <c r="A465" s="205" t="s">
        <v>1374</v>
      </c>
      <c r="B465" s="212" t="s">
        <v>1375</v>
      </c>
      <c r="C465" s="213" t="s">
        <v>1282</v>
      </c>
      <c r="D465" s="210">
        <v>6.21690510371E12</v>
      </c>
      <c r="E465" s="211" t="s">
        <v>2663</v>
      </c>
    </row>
    <row r="466">
      <c r="A466" s="205" t="s">
        <v>1376</v>
      </c>
      <c r="B466" s="212" t="s">
        <v>1377</v>
      </c>
      <c r="C466" s="213" t="s">
        <v>1297</v>
      </c>
      <c r="D466" s="210">
        <v>8.817961503861E12</v>
      </c>
      <c r="E466" s="211" t="s">
        <v>1378</v>
      </c>
    </row>
    <row r="467">
      <c r="A467" s="205" t="s">
        <v>1379</v>
      </c>
      <c r="B467" s="212" t="s">
        <v>1380</v>
      </c>
      <c r="C467" s="213" t="s">
        <v>1297</v>
      </c>
      <c r="D467" s="210">
        <v>4.093520384568E12</v>
      </c>
      <c r="E467" s="211" t="s">
        <v>2664</v>
      </c>
    </row>
    <row r="468">
      <c r="A468" s="205" t="s">
        <v>1381</v>
      </c>
      <c r="B468" s="212" t="s">
        <v>1382</v>
      </c>
      <c r="C468" s="213" t="s">
        <v>1304</v>
      </c>
      <c r="D468" s="210">
        <v>8.30121480929E11</v>
      </c>
      <c r="E468" s="211" t="s">
        <v>1383</v>
      </c>
    </row>
    <row r="469">
      <c r="A469" s="205" t="s">
        <v>1384</v>
      </c>
      <c r="B469" s="212" t="s">
        <v>1385</v>
      </c>
      <c r="C469" s="213" t="s">
        <v>1282</v>
      </c>
      <c r="D469" s="210">
        <v>2.087926469804E12</v>
      </c>
      <c r="E469" s="211" t="s">
        <v>1386</v>
      </c>
    </row>
    <row r="470">
      <c r="A470" s="205" t="s">
        <v>1388</v>
      </c>
      <c r="B470" s="212" t="s">
        <v>1389</v>
      </c>
      <c r="C470" s="213" t="s">
        <v>1290</v>
      </c>
      <c r="D470" s="210">
        <v>7.490376361409E12</v>
      </c>
      <c r="E470" s="211" t="s">
        <v>1390</v>
      </c>
    </row>
    <row r="471">
      <c r="A471" s="205" t="s">
        <v>1392</v>
      </c>
      <c r="B471" s="212" t="s">
        <v>1393</v>
      </c>
      <c r="C471" s="213" t="s">
        <v>1290</v>
      </c>
      <c r="D471" s="210">
        <v>3.367647768122E12</v>
      </c>
      <c r="E471" s="211" t="s">
        <v>1394</v>
      </c>
    </row>
    <row r="472">
      <c r="A472" s="205" t="s">
        <v>1395</v>
      </c>
      <c r="B472" s="212" t="s">
        <v>1396</v>
      </c>
      <c r="C472" s="213" t="s">
        <v>1286</v>
      </c>
      <c r="D472" s="210">
        <v>3.223471425442E12</v>
      </c>
      <c r="E472" s="211" t="s">
        <v>1397</v>
      </c>
    </row>
    <row r="473">
      <c r="A473" s="205" t="s">
        <v>1398</v>
      </c>
      <c r="B473" s="212" t="s">
        <v>1399</v>
      </c>
      <c r="C473" s="213" t="s">
        <v>1297</v>
      </c>
      <c r="D473" s="210">
        <v>6.928881710697E12</v>
      </c>
      <c r="E473" s="211" t="s">
        <v>1400</v>
      </c>
    </row>
    <row r="474">
      <c r="A474" s="205" t="s">
        <v>1401</v>
      </c>
      <c r="B474" s="212" t="s">
        <v>1402</v>
      </c>
      <c r="C474" s="213" t="s">
        <v>1290</v>
      </c>
      <c r="D474" s="210">
        <v>7.193167229684E12</v>
      </c>
      <c r="E474" s="211" t="s">
        <v>1403</v>
      </c>
    </row>
    <row r="475">
      <c r="A475" s="205" t="s">
        <v>1404</v>
      </c>
      <c r="B475" s="212" t="s">
        <v>1405</v>
      </c>
      <c r="C475" s="213" t="s">
        <v>1290</v>
      </c>
      <c r="D475" s="210">
        <v>7.168550623404E12</v>
      </c>
      <c r="E475" s="211" t="s">
        <v>1406</v>
      </c>
    </row>
    <row r="476">
      <c r="A476" s="205" t="s">
        <v>1407</v>
      </c>
      <c r="B476" s="212" t="s">
        <v>1408</v>
      </c>
      <c r="C476" s="213" t="s">
        <v>1290</v>
      </c>
      <c r="D476" s="210">
        <v>2.809609011816E12</v>
      </c>
      <c r="E476" s="211" t="s">
        <v>1409</v>
      </c>
    </row>
    <row r="477">
      <c r="A477" s="205" t="s">
        <v>1410</v>
      </c>
      <c r="B477" s="212" t="s">
        <v>1411</v>
      </c>
      <c r="C477" s="213" t="s">
        <v>1304</v>
      </c>
      <c r="D477" s="210">
        <v>5.536014716727E12</v>
      </c>
      <c r="E477" s="211" t="s">
        <v>1412</v>
      </c>
    </row>
    <row r="478">
      <c r="A478" s="205" t="s">
        <v>1413</v>
      </c>
      <c r="B478" s="212" t="s">
        <v>1414</v>
      </c>
      <c r="C478" s="213" t="s">
        <v>1290</v>
      </c>
      <c r="D478" s="210">
        <v>5.977989136118E12</v>
      </c>
      <c r="E478" s="211" t="s">
        <v>1415</v>
      </c>
    </row>
    <row r="479">
      <c r="A479" s="205" t="s">
        <v>1416</v>
      </c>
      <c r="B479" s="212" t="s">
        <v>1417</v>
      </c>
      <c r="C479" s="213" t="s">
        <v>1282</v>
      </c>
      <c r="D479" s="210">
        <v>2.003100722258E12</v>
      </c>
      <c r="E479" s="211" t="s">
        <v>1418</v>
      </c>
    </row>
    <row r="480">
      <c r="A480" s="205" t="s">
        <v>1419</v>
      </c>
      <c r="B480" s="212" t="s">
        <v>1420</v>
      </c>
      <c r="C480" s="213" t="s">
        <v>1290</v>
      </c>
      <c r="D480" s="210">
        <v>9.623178779906E12</v>
      </c>
      <c r="E480" s="211" t="s">
        <v>1421</v>
      </c>
    </row>
    <row r="481">
      <c r="A481" s="205" t="s">
        <v>1422</v>
      </c>
      <c r="B481" s="212" t="s">
        <v>1423</v>
      </c>
      <c r="C481" s="213" t="s">
        <v>1290</v>
      </c>
      <c r="D481" s="210">
        <v>3.021456882801E12</v>
      </c>
      <c r="E481" s="211" t="s">
        <v>1424</v>
      </c>
    </row>
    <row r="482">
      <c r="A482" s="205" t="s">
        <v>1425</v>
      </c>
      <c r="B482" s="212" t="s">
        <v>1426</v>
      </c>
      <c r="C482" s="213" t="s">
        <v>1297</v>
      </c>
      <c r="D482" s="210">
        <v>8.45547887684E12</v>
      </c>
      <c r="E482" s="211" t="s">
        <v>1427</v>
      </c>
    </row>
    <row r="483">
      <c r="A483" s="205" t="s">
        <v>1428</v>
      </c>
      <c r="B483" s="212" t="s">
        <v>1429</v>
      </c>
      <c r="C483" s="213" t="s">
        <v>1304</v>
      </c>
      <c r="D483" s="210">
        <v>1.0642189003E11</v>
      </c>
      <c r="E483" s="211" t="s">
        <v>1430</v>
      </c>
    </row>
    <row r="484">
      <c r="A484" s="205" t="s">
        <v>1431</v>
      </c>
      <c r="B484" s="212" t="s">
        <v>1432</v>
      </c>
      <c r="C484" s="213" t="s">
        <v>1282</v>
      </c>
      <c r="D484" s="210">
        <v>4.973543657794E12</v>
      </c>
      <c r="E484" s="211" t="s">
        <v>1433</v>
      </c>
    </row>
    <row r="485">
      <c r="A485" s="205" t="s">
        <v>1435</v>
      </c>
      <c r="B485" s="212" t="s">
        <v>1436</v>
      </c>
      <c r="C485" s="213" t="s">
        <v>1304</v>
      </c>
      <c r="D485" s="210">
        <v>2.069305590053E12</v>
      </c>
      <c r="E485" s="211" t="s">
        <v>1437</v>
      </c>
    </row>
    <row r="486">
      <c r="A486" s="205" t="s">
        <v>1438</v>
      </c>
      <c r="B486" s="212" t="s">
        <v>1439</v>
      </c>
      <c r="C486" s="213" t="s">
        <v>1297</v>
      </c>
      <c r="D486" s="210">
        <v>2.878515702987E12</v>
      </c>
      <c r="E486" s="211" t="s">
        <v>1440</v>
      </c>
    </row>
    <row r="487">
      <c r="A487" s="205" t="s">
        <v>1441</v>
      </c>
      <c r="B487" s="212" t="s">
        <v>1442</v>
      </c>
      <c r="C487" s="213" t="s">
        <v>1286</v>
      </c>
      <c r="D487" s="210">
        <v>2.301506968216E12</v>
      </c>
      <c r="E487" s="211" t="s">
        <v>1443</v>
      </c>
    </row>
    <row r="488">
      <c r="A488" s="205" t="s">
        <v>1444</v>
      </c>
      <c r="B488" s="212" t="s">
        <v>1445</v>
      </c>
      <c r="C488" s="213" t="s">
        <v>1304</v>
      </c>
      <c r="D488" s="210">
        <v>5.489326700512E12</v>
      </c>
      <c r="E488" s="211" t="s">
        <v>1446</v>
      </c>
    </row>
    <row r="489">
      <c r="A489" s="205" t="s">
        <v>1447</v>
      </c>
      <c r="B489" s="212" t="s">
        <v>1448</v>
      </c>
      <c r="C489" s="213" t="s">
        <v>1282</v>
      </c>
      <c r="D489" s="210">
        <v>9.648917919981E12</v>
      </c>
      <c r="E489" s="211" t="s">
        <v>1449</v>
      </c>
    </row>
    <row r="490">
      <c r="A490" s="205" t="s">
        <v>1451</v>
      </c>
      <c r="B490" s="212" t="s">
        <v>1452</v>
      </c>
      <c r="C490" s="213" t="s">
        <v>1286</v>
      </c>
      <c r="D490" s="210">
        <v>9.856476565302E12</v>
      </c>
      <c r="E490" s="211" t="s">
        <v>1453</v>
      </c>
    </row>
    <row r="491">
      <c r="A491" s="205" t="s">
        <v>1454</v>
      </c>
      <c r="B491" s="212" t="s">
        <v>1455</v>
      </c>
      <c r="C491" s="213" t="s">
        <v>1282</v>
      </c>
      <c r="D491" s="210">
        <v>2.57622984744E12</v>
      </c>
      <c r="E491" s="211" t="s">
        <v>1456</v>
      </c>
    </row>
    <row r="492">
      <c r="A492" s="205" t="s">
        <v>1457</v>
      </c>
      <c r="B492" s="212" t="s">
        <v>1458</v>
      </c>
      <c r="C492" s="213" t="s">
        <v>1304</v>
      </c>
      <c r="D492" s="210">
        <v>4.158609450199E12</v>
      </c>
      <c r="E492" s="211" t="s">
        <v>1459</v>
      </c>
    </row>
    <row r="493">
      <c r="A493" s="205" t="s">
        <v>1460</v>
      </c>
      <c r="B493" s="212" t="s">
        <v>1461</v>
      </c>
      <c r="C493" s="213" t="s">
        <v>1304</v>
      </c>
      <c r="D493" s="210">
        <v>4.075118055346E12</v>
      </c>
      <c r="E493" s="211" t="s">
        <v>1462</v>
      </c>
    </row>
    <row r="494">
      <c r="A494" s="205" t="s">
        <v>1463</v>
      </c>
      <c r="B494" s="212" t="s">
        <v>1464</v>
      </c>
      <c r="C494" s="213" t="s">
        <v>1282</v>
      </c>
      <c r="D494" s="210">
        <v>6.1109948428E10</v>
      </c>
      <c r="E494" s="211" t="s">
        <v>1465</v>
      </c>
    </row>
    <row r="495">
      <c r="A495" s="205" t="s">
        <v>1466</v>
      </c>
      <c r="B495" s="212" t="s">
        <v>1467</v>
      </c>
      <c r="C495" s="213" t="s">
        <v>1304</v>
      </c>
      <c r="D495" s="210">
        <v>3.60208842023E12</v>
      </c>
      <c r="E495" s="211" t="s">
        <v>2665</v>
      </c>
    </row>
    <row r="496">
      <c r="A496" s="205" t="s">
        <v>1468</v>
      </c>
      <c r="B496" s="212" t="s">
        <v>1469</v>
      </c>
      <c r="C496" s="213" t="s">
        <v>1304</v>
      </c>
      <c r="D496" s="210">
        <v>6.27227822769E11</v>
      </c>
      <c r="E496" s="211" t="s">
        <v>1470</v>
      </c>
    </row>
    <row r="497">
      <c r="A497" s="205" t="s">
        <v>1472</v>
      </c>
      <c r="B497" s="212" t="s">
        <v>1473</v>
      </c>
      <c r="C497" s="213" t="s">
        <v>1286</v>
      </c>
      <c r="D497" s="210">
        <v>3.302496224529E12</v>
      </c>
      <c r="E497" s="211" t="s">
        <v>1474</v>
      </c>
    </row>
    <row r="498">
      <c r="A498" s="205" t="s">
        <v>1475</v>
      </c>
      <c r="B498" s="212" t="s">
        <v>1476</v>
      </c>
      <c r="C498" s="213" t="s">
        <v>1297</v>
      </c>
      <c r="D498" s="210">
        <v>6.11857725596E12</v>
      </c>
      <c r="E498" s="211" t="s">
        <v>2666</v>
      </c>
    </row>
    <row r="499">
      <c r="A499" s="205" t="s">
        <v>1477</v>
      </c>
      <c r="B499" s="212" t="s">
        <v>1478</v>
      </c>
      <c r="C499" s="213" t="s">
        <v>1297</v>
      </c>
      <c r="D499" s="210">
        <v>7.625870837634E12</v>
      </c>
      <c r="E499" s="211" t="s">
        <v>2667</v>
      </c>
    </row>
    <row r="500">
      <c r="A500" s="205" t="s">
        <v>1479</v>
      </c>
      <c r="B500" s="212" t="s">
        <v>1480</v>
      </c>
      <c r="C500" s="213" t="s">
        <v>1290</v>
      </c>
      <c r="D500" s="210">
        <v>7.827570713671E12</v>
      </c>
      <c r="E500" s="211" t="s">
        <v>1481</v>
      </c>
    </row>
    <row r="501">
      <c r="A501" s="205" t="s">
        <v>1482</v>
      </c>
      <c r="B501" s="212" t="s">
        <v>1483</v>
      </c>
      <c r="C501" s="213" t="s">
        <v>1290</v>
      </c>
      <c r="D501" s="210">
        <v>8.617164882346E12</v>
      </c>
      <c r="E501" s="211" t="s">
        <v>2668</v>
      </c>
    </row>
    <row r="502">
      <c r="A502" s="205" t="s">
        <v>1484</v>
      </c>
      <c r="B502" s="212" t="s">
        <v>1485</v>
      </c>
      <c r="C502" s="213" t="s">
        <v>1304</v>
      </c>
      <c r="D502" s="210">
        <v>4.306188271328E12</v>
      </c>
      <c r="E502" s="211" t="s">
        <v>2669</v>
      </c>
    </row>
    <row r="503">
      <c r="A503" s="205" t="s">
        <v>1486</v>
      </c>
      <c r="B503" s="212" t="s">
        <v>1487</v>
      </c>
      <c r="C503" s="213" t="s">
        <v>1286</v>
      </c>
      <c r="D503" s="210">
        <v>8.667184484391E12</v>
      </c>
      <c r="E503" s="211" t="s">
        <v>2670</v>
      </c>
    </row>
    <row r="504">
      <c r="A504" s="205" t="s">
        <v>1488</v>
      </c>
      <c r="B504" s="212" t="s">
        <v>1489</v>
      </c>
      <c r="C504" s="213" t="s">
        <v>1286</v>
      </c>
      <c r="D504" s="210">
        <v>9.909227653649E12</v>
      </c>
      <c r="E504" s="211" t="s">
        <v>2671</v>
      </c>
    </row>
    <row r="505">
      <c r="A505" s="205" t="s">
        <v>1490</v>
      </c>
      <c r="B505" s="212" t="s">
        <v>1491</v>
      </c>
      <c r="C505" s="213" t="s">
        <v>1282</v>
      </c>
      <c r="D505" s="210">
        <v>1.62847557865E12</v>
      </c>
      <c r="E505" s="211" t="s">
        <v>1492</v>
      </c>
    </row>
    <row r="506">
      <c r="A506" s="205" t="s">
        <v>1493</v>
      </c>
      <c r="B506" s="212" t="s">
        <v>1494</v>
      </c>
      <c r="C506" s="213" t="s">
        <v>1297</v>
      </c>
      <c r="D506" s="210">
        <v>3.141935965276E12</v>
      </c>
      <c r="E506" s="211" t="s">
        <v>1495</v>
      </c>
    </row>
    <row r="507">
      <c r="A507" s="205" t="s">
        <v>1496</v>
      </c>
      <c r="B507" s="212" t="s">
        <v>1497</v>
      </c>
      <c r="C507" s="213" t="s">
        <v>1286</v>
      </c>
      <c r="D507" s="210">
        <v>7.914396493102E12</v>
      </c>
      <c r="E507" s="211" t="s">
        <v>1498</v>
      </c>
    </row>
    <row r="508">
      <c r="A508" s="205" t="s">
        <v>1499</v>
      </c>
      <c r="B508" s="212" t="s">
        <v>1500</v>
      </c>
      <c r="C508" s="213" t="s">
        <v>1290</v>
      </c>
      <c r="D508" s="210">
        <v>2.600658414032E12</v>
      </c>
      <c r="E508" s="211" t="s">
        <v>2672</v>
      </c>
    </row>
    <row r="509">
      <c r="A509" s="205" t="s">
        <v>1501</v>
      </c>
      <c r="B509" s="212" t="s">
        <v>1502</v>
      </c>
      <c r="C509" s="213" t="s">
        <v>1286</v>
      </c>
      <c r="D509" s="210">
        <v>9.36543738921E12</v>
      </c>
      <c r="E509" s="211" t="s">
        <v>1503</v>
      </c>
    </row>
    <row r="510">
      <c r="A510" s="205" t="s">
        <v>1504</v>
      </c>
      <c r="B510" s="212" t="s">
        <v>1505</v>
      </c>
      <c r="C510" s="213" t="s">
        <v>1290</v>
      </c>
      <c r="D510" s="210">
        <v>9.98520618498E11</v>
      </c>
      <c r="E510" s="211" t="s">
        <v>2673</v>
      </c>
    </row>
    <row r="511">
      <c r="A511" s="205" t="s">
        <v>1506</v>
      </c>
      <c r="B511" s="212" t="s">
        <v>1507</v>
      </c>
      <c r="C511" s="213" t="s">
        <v>1297</v>
      </c>
      <c r="D511" s="210">
        <v>8.188680523706E12</v>
      </c>
      <c r="E511" s="211" t="s">
        <v>1508</v>
      </c>
    </row>
    <row r="512">
      <c r="A512" s="205" t="s">
        <v>1509</v>
      </c>
      <c r="B512" s="212" t="s">
        <v>1510</v>
      </c>
      <c r="C512" s="213" t="s">
        <v>1290</v>
      </c>
      <c r="D512" s="210">
        <v>5.840113166497E12</v>
      </c>
      <c r="E512" s="211" t="s">
        <v>1511</v>
      </c>
    </row>
    <row r="513">
      <c r="A513" s="205" t="s">
        <v>1512</v>
      </c>
      <c r="B513" s="212" t="s">
        <v>1513</v>
      </c>
      <c r="C513" s="213" t="s">
        <v>1282</v>
      </c>
      <c r="D513" s="210">
        <v>5.657213184983E12</v>
      </c>
      <c r="E513" s="211" t="s">
        <v>1514</v>
      </c>
    </row>
    <row r="514">
      <c r="A514" s="205" t="s">
        <v>1515</v>
      </c>
      <c r="B514" s="212" t="s">
        <v>1516</v>
      </c>
      <c r="C514" s="213" t="s">
        <v>1286</v>
      </c>
      <c r="D514" s="210">
        <v>1.67729508718E12</v>
      </c>
      <c r="E514" s="211" t="s">
        <v>1517</v>
      </c>
    </row>
    <row r="515">
      <c r="A515" s="205" t="s">
        <v>1518</v>
      </c>
      <c r="B515" s="212" t="s">
        <v>1519</v>
      </c>
      <c r="C515" s="213" t="s">
        <v>1290</v>
      </c>
      <c r="D515" s="210">
        <v>9.846032333038E12</v>
      </c>
      <c r="E515" s="211" t="s">
        <v>1520</v>
      </c>
    </row>
    <row r="516">
      <c r="A516" s="205" t="s">
        <v>1521</v>
      </c>
      <c r="B516" s="212" t="s">
        <v>1522</v>
      </c>
      <c r="C516" s="213" t="s">
        <v>1282</v>
      </c>
      <c r="D516" s="210">
        <v>7.8847820956E12</v>
      </c>
      <c r="E516" s="211" t="s">
        <v>1523</v>
      </c>
    </row>
    <row r="517">
      <c r="A517" s="205" t="s">
        <v>1524</v>
      </c>
      <c r="B517" s="212" t="s">
        <v>1525</v>
      </c>
      <c r="C517" s="213" t="s">
        <v>1286</v>
      </c>
      <c r="D517" s="210">
        <v>5.434394474136E12</v>
      </c>
      <c r="E517" s="211" t="s">
        <v>1526</v>
      </c>
    </row>
    <row r="518">
      <c r="A518" s="205" t="s">
        <v>1527</v>
      </c>
      <c r="B518" s="212" t="s">
        <v>1528</v>
      </c>
      <c r="C518" s="213" t="s">
        <v>1297</v>
      </c>
      <c r="D518" s="210">
        <v>8.845034011056E12</v>
      </c>
      <c r="E518" s="211" t="s">
        <v>2674</v>
      </c>
    </row>
    <row r="519">
      <c r="A519" s="205" t="s">
        <v>1529</v>
      </c>
      <c r="B519" s="212" t="s">
        <v>1530</v>
      </c>
      <c r="C519" s="213" t="s">
        <v>1286</v>
      </c>
      <c r="D519" s="210">
        <v>9.869157206132E12</v>
      </c>
      <c r="E519" s="211" t="s">
        <v>1531</v>
      </c>
    </row>
    <row r="520">
      <c r="A520" s="205" t="s">
        <v>1532</v>
      </c>
      <c r="B520" s="212" t="s">
        <v>1533</v>
      </c>
      <c r="C520" s="213" t="s">
        <v>1297</v>
      </c>
      <c r="D520" s="210">
        <v>5.956877150931E12</v>
      </c>
      <c r="E520" s="211" t="s">
        <v>1534</v>
      </c>
    </row>
    <row r="521">
      <c r="A521" s="205" t="s">
        <v>1535</v>
      </c>
      <c r="B521" s="212" t="s">
        <v>1536</v>
      </c>
      <c r="C521" s="213" t="s">
        <v>1290</v>
      </c>
      <c r="D521" s="210">
        <v>1.689961598106E12</v>
      </c>
      <c r="E521" s="211" t="s">
        <v>1537</v>
      </c>
    </row>
    <row r="522">
      <c r="A522" s="205" t="s">
        <v>1538</v>
      </c>
      <c r="B522" s="212" t="s">
        <v>1539</v>
      </c>
      <c r="C522" s="213" t="s">
        <v>1282</v>
      </c>
      <c r="D522" s="210">
        <v>8.267087400866E12</v>
      </c>
      <c r="E522" s="211" t="s">
        <v>1540</v>
      </c>
    </row>
    <row r="523">
      <c r="A523" s="205" t="s">
        <v>1541</v>
      </c>
      <c r="B523" s="212" t="s">
        <v>1542</v>
      </c>
      <c r="C523" s="213" t="s">
        <v>1304</v>
      </c>
      <c r="D523" s="210">
        <v>1.330215238723E12</v>
      </c>
      <c r="E523" s="211" t="s">
        <v>1543</v>
      </c>
    </row>
    <row r="524">
      <c r="A524" s="205" t="s">
        <v>1544</v>
      </c>
      <c r="B524" s="212" t="s">
        <v>1545</v>
      </c>
      <c r="C524" s="213" t="s">
        <v>1297</v>
      </c>
      <c r="D524" s="210">
        <v>7.894461933994E12</v>
      </c>
      <c r="E524" s="211" t="s">
        <v>1546</v>
      </c>
    </row>
    <row r="525">
      <c r="A525" s="205" t="s">
        <v>1547</v>
      </c>
      <c r="B525" s="212" t="s">
        <v>1548</v>
      </c>
      <c r="C525" s="213" t="s">
        <v>1304</v>
      </c>
      <c r="D525" s="210">
        <v>2.856314653041E12</v>
      </c>
      <c r="E525" s="211" t="s">
        <v>1549</v>
      </c>
    </row>
    <row r="526">
      <c r="A526" s="205" t="s">
        <v>1550</v>
      </c>
      <c r="B526" s="212" t="s">
        <v>1551</v>
      </c>
      <c r="C526" s="213" t="s">
        <v>1282</v>
      </c>
      <c r="D526" s="210">
        <v>9.32607050542E12</v>
      </c>
      <c r="E526" s="211" t="s">
        <v>2675</v>
      </c>
    </row>
    <row r="527">
      <c r="A527" s="205" t="s">
        <v>1552</v>
      </c>
      <c r="B527" s="212" t="s">
        <v>1553</v>
      </c>
      <c r="C527" s="213" t="s">
        <v>1304</v>
      </c>
      <c r="D527" s="210">
        <v>5.4245658829E10</v>
      </c>
      <c r="E527" s="211" t="s">
        <v>2676</v>
      </c>
    </row>
    <row r="528">
      <c r="A528" s="205" t="s">
        <v>1554</v>
      </c>
      <c r="B528" s="212" t="s">
        <v>1555</v>
      </c>
      <c r="C528" s="213" t="s">
        <v>1286</v>
      </c>
      <c r="D528" s="210">
        <v>4.78484380951E11</v>
      </c>
      <c r="E528" s="211" t="s">
        <v>1556</v>
      </c>
    </row>
    <row r="529">
      <c r="A529" s="205" t="s">
        <v>1557</v>
      </c>
      <c r="B529" s="212" t="s">
        <v>1558</v>
      </c>
      <c r="C529" s="213" t="s">
        <v>1290</v>
      </c>
      <c r="D529" s="210">
        <v>2.810394245423E12</v>
      </c>
      <c r="E529" s="211" t="s">
        <v>1559</v>
      </c>
    </row>
    <row r="530">
      <c r="A530" s="205" t="s">
        <v>1560</v>
      </c>
      <c r="B530" s="212" t="s">
        <v>1561</v>
      </c>
      <c r="C530" s="213" t="s">
        <v>1286</v>
      </c>
      <c r="D530" s="210">
        <v>5.92150099126E11</v>
      </c>
      <c r="E530" s="211" t="s">
        <v>1562</v>
      </c>
    </row>
    <row r="531">
      <c r="A531" s="205" t="s">
        <v>1563</v>
      </c>
      <c r="B531" s="212" t="s">
        <v>1564</v>
      </c>
      <c r="C531" s="213" t="s">
        <v>1290</v>
      </c>
      <c r="D531" s="210">
        <v>2.079340183844E12</v>
      </c>
      <c r="E531" s="211" t="s">
        <v>2677</v>
      </c>
    </row>
    <row r="532">
      <c r="A532" s="205" t="s">
        <v>1565</v>
      </c>
      <c r="B532" s="212" t="s">
        <v>1566</v>
      </c>
      <c r="C532" s="213" t="s">
        <v>1282</v>
      </c>
      <c r="D532" s="210">
        <v>6.85887184976E12</v>
      </c>
      <c r="E532" s="211" t="s">
        <v>1567</v>
      </c>
    </row>
    <row r="533">
      <c r="A533" s="205" t="s">
        <v>1568</v>
      </c>
      <c r="B533" s="212" t="s">
        <v>1569</v>
      </c>
      <c r="C533" s="213" t="s">
        <v>1290</v>
      </c>
      <c r="D533" s="210">
        <v>9.096950972837E12</v>
      </c>
      <c r="E533" s="211" t="s">
        <v>2678</v>
      </c>
    </row>
    <row r="534">
      <c r="A534" s="205" t="s">
        <v>1570</v>
      </c>
      <c r="B534" s="212" t="s">
        <v>1571</v>
      </c>
      <c r="C534" s="213" t="s">
        <v>1286</v>
      </c>
      <c r="D534" s="210">
        <v>2.55779423213E11</v>
      </c>
      <c r="E534" s="211" t="s">
        <v>2679</v>
      </c>
    </row>
    <row r="535">
      <c r="A535" s="205" t="s">
        <v>1572</v>
      </c>
      <c r="B535" s="212" t="s">
        <v>1573</v>
      </c>
      <c r="C535" s="213" t="s">
        <v>1290</v>
      </c>
      <c r="D535" s="210">
        <v>8.025656124389E12</v>
      </c>
      <c r="E535" s="211" t="s">
        <v>2680</v>
      </c>
    </row>
    <row r="536">
      <c r="A536" s="205" t="s">
        <v>1574</v>
      </c>
      <c r="B536" s="212" t="s">
        <v>1575</v>
      </c>
      <c r="C536" s="213" t="s">
        <v>1297</v>
      </c>
      <c r="D536" s="210">
        <v>6.158030253385E12</v>
      </c>
      <c r="E536" s="211" t="s">
        <v>2681</v>
      </c>
    </row>
    <row r="537">
      <c r="A537" s="205" t="s">
        <v>1576</v>
      </c>
      <c r="B537" s="212" t="s">
        <v>1577</v>
      </c>
      <c r="C537" s="213" t="s">
        <v>1286</v>
      </c>
      <c r="D537" s="210">
        <v>5.43443373551E12</v>
      </c>
      <c r="E537" s="211" t="s">
        <v>2682</v>
      </c>
    </row>
    <row r="538">
      <c r="A538" s="205" t="s">
        <v>1578</v>
      </c>
      <c r="B538" s="212" t="s">
        <v>1579</v>
      </c>
      <c r="C538" s="213" t="s">
        <v>1304</v>
      </c>
      <c r="D538" s="210">
        <v>5.479635240305E12</v>
      </c>
      <c r="E538" s="211" t="s">
        <v>1580</v>
      </c>
    </row>
    <row r="539">
      <c r="A539" s="205" t="s">
        <v>1581</v>
      </c>
      <c r="B539" s="212" t="s">
        <v>1582</v>
      </c>
      <c r="C539" s="213" t="s">
        <v>1282</v>
      </c>
      <c r="D539" s="210">
        <v>6.546266471349E12</v>
      </c>
      <c r="E539" s="211" t="s">
        <v>2683</v>
      </c>
    </row>
    <row r="540">
      <c r="A540" s="205" t="s">
        <v>1583</v>
      </c>
      <c r="B540" s="212" t="s">
        <v>1584</v>
      </c>
      <c r="C540" s="213" t="s">
        <v>1286</v>
      </c>
      <c r="D540" s="210">
        <v>3.3046794697E11</v>
      </c>
      <c r="E540" s="211" t="s">
        <v>1585</v>
      </c>
    </row>
    <row r="541">
      <c r="A541" s="205" t="s">
        <v>1586</v>
      </c>
      <c r="B541" s="212" t="s">
        <v>1587</v>
      </c>
      <c r="C541" s="213" t="s">
        <v>1304</v>
      </c>
      <c r="D541" s="210">
        <v>1.97445694682E11</v>
      </c>
      <c r="E541" s="211" t="s">
        <v>1588</v>
      </c>
    </row>
    <row r="542">
      <c r="A542" s="205" t="s">
        <v>1589</v>
      </c>
      <c r="B542" s="212" t="s">
        <v>1590</v>
      </c>
      <c r="C542" s="213" t="s">
        <v>1297</v>
      </c>
      <c r="D542" s="210">
        <v>6.35833604831E12</v>
      </c>
      <c r="E542" s="211" t="s">
        <v>1591</v>
      </c>
    </row>
    <row r="543">
      <c r="A543" s="205" t="s">
        <v>1592</v>
      </c>
      <c r="B543" s="212" t="s">
        <v>1593</v>
      </c>
      <c r="C543" s="213" t="s">
        <v>1297</v>
      </c>
      <c r="D543" s="210">
        <v>5.096232906358E12</v>
      </c>
      <c r="E543" s="211" t="s">
        <v>1594</v>
      </c>
    </row>
    <row r="544">
      <c r="A544" s="205" t="s">
        <v>1595</v>
      </c>
      <c r="B544" s="212" t="s">
        <v>1596</v>
      </c>
      <c r="C544" s="213" t="s">
        <v>1297</v>
      </c>
      <c r="D544" s="210">
        <v>3.388457015435E12</v>
      </c>
      <c r="E544" s="211" t="s">
        <v>1597</v>
      </c>
    </row>
    <row r="545">
      <c r="A545" s="205" t="s">
        <v>1598</v>
      </c>
      <c r="B545" s="212" t="s">
        <v>1599</v>
      </c>
      <c r="C545" s="213" t="s">
        <v>1286</v>
      </c>
      <c r="D545" s="210">
        <v>5.331701149701E12</v>
      </c>
      <c r="E545" s="211" t="s">
        <v>1600</v>
      </c>
    </row>
    <row r="546">
      <c r="A546" s="205" t="s">
        <v>1601</v>
      </c>
      <c r="B546" s="212" t="s">
        <v>1602</v>
      </c>
      <c r="C546" s="213" t="s">
        <v>1282</v>
      </c>
      <c r="D546" s="210">
        <v>7.623856745841E12</v>
      </c>
      <c r="E546" s="211" t="s">
        <v>1603</v>
      </c>
    </row>
    <row r="547">
      <c r="A547" s="205" t="s">
        <v>1604</v>
      </c>
      <c r="B547" s="212" t="s">
        <v>1605</v>
      </c>
      <c r="C547" s="213" t="s">
        <v>1282</v>
      </c>
      <c r="D547" s="210">
        <v>9.682843998299E12</v>
      </c>
      <c r="E547" s="211" t="s">
        <v>1606</v>
      </c>
    </row>
    <row r="548">
      <c r="A548" s="205" t="s">
        <v>1607</v>
      </c>
      <c r="B548" s="212" t="s">
        <v>1608</v>
      </c>
      <c r="C548" s="213" t="s">
        <v>1282</v>
      </c>
      <c r="D548" s="210">
        <v>9.274710817622E12</v>
      </c>
      <c r="E548" s="211" t="s">
        <v>1609</v>
      </c>
    </row>
    <row r="549">
      <c r="A549" s="205" t="s">
        <v>1610</v>
      </c>
      <c r="B549" s="212" t="s">
        <v>1611</v>
      </c>
      <c r="C549" s="213" t="s">
        <v>1286</v>
      </c>
      <c r="D549" s="210">
        <v>1.464393679264E12</v>
      </c>
      <c r="E549" s="211" t="s">
        <v>1612</v>
      </c>
    </row>
    <row r="550">
      <c r="A550" s="205" t="s">
        <v>1613</v>
      </c>
      <c r="B550" s="212" t="s">
        <v>1614</v>
      </c>
      <c r="C550" s="213" t="s">
        <v>1304</v>
      </c>
      <c r="D550" s="210">
        <v>4.908443969517E12</v>
      </c>
      <c r="E550" s="211" t="s">
        <v>1615</v>
      </c>
    </row>
    <row r="551">
      <c r="A551" s="205" t="s">
        <v>1616</v>
      </c>
      <c r="B551" s="212" t="s">
        <v>1617</v>
      </c>
      <c r="C551" s="213" t="s">
        <v>1297</v>
      </c>
      <c r="D551" s="210">
        <v>5.570447311224E12</v>
      </c>
      <c r="E551" s="211" t="s">
        <v>2684</v>
      </c>
    </row>
    <row r="552">
      <c r="A552" s="205" t="s">
        <v>1618</v>
      </c>
      <c r="B552" s="212" t="s">
        <v>1619</v>
      </c>
      <c r="C552" s="213" t="s">
        <v>1282</v>
      </c>
      <c r="D552" s="210">
        <v>9.129318990573E12</v>
      </c>
      <c r="E552" s="211" t="s">
        <v>2685</v>
      </c>
    </row>
    <row r="553">
      <c r="A553" s="205" t="s">
        <v>1620</v>
      </c>
      <c r="B553" s="212" t="s">
        <v>1621</v>
      </c>
      <c r="C553" s="213" t="s">
        <v>1304</v>
      </c>
      <c r="D553" s="210">
        <v>2.687437610027E12</v>
      </c>
      <c r="E553" s="211" t="s">
        <v>2686</v>
      </c>
    </row>
    <row r="554">
      <c r="A554" s="205" t="s">
        <v>1622</v>
      </c>
      <c r="B554" s="212" t="s">
        <v>1623</v>
      </c>
      <c r="C554" s="213" t="s">
        <v>1297</v>
      </c>
      <c r="D554" s="210">
        <v>5.225811414163E12</v>
      </c>
      <c r="E554" s="211" t="s">
        <v>1624</v>
      </c>
    </row>
    <row r="555">
      <c r="A555" s="205" t="s">
        <v>1625</v>
      </c>
      <c r="B555" s="212" t="s">
        <v>1626</v>
      </c>
      <c r="C555" s="213" t="s">
        <v>1286</v>
      </c>
      <c r="D555" s="210">
        <v>1.410624623363E12</v>
      </c>
      <c r="E555" s="211" t="s">
        <v>2687</v>
      </c>
    </row>
    <row r="556">
      <c r="A556" s="205" t="s">
        <v>1627</v>
      </c>
      <c r="B556" s="212" t="s">
        <v>1628</v>
      </c>
      <c r="C556" s="213" t="s">
        <v>1297</v>
      </c>
      <c r="D556" s="210">
        <v>2.284491726359E12</v>
      </c>
      <c r="E556" s="211" t="s">
        <v>2688</v>
      </c>
    </row>
    <row r="557">
      <c r="A557" s="205" t="s">
        <v>1629</v>
      </c>
      <c r="B557" s="212" t="s">
        <v>1630</v>
      </c>
      <c r="C557" s="213" t="s">
        <v>1304</v>
      </c>
      <c r="D557" s="210">
        <v>8.105610006386E12</v>
      </c>
      <c r="E557" s="211" t="s">
        <v>2689</v>
      </c>
    </row>
    <row r="558">
      <c r="A558" s="205" t="s">
        <v>1631</v>
      </c>
      <c r="B558" s="212" t="s">
        <v>1632</v>
      </c>
      <c r="C558" s="213" t="s">
        <v>1297</v>
      </c>
      <c r="D558" s="210">
        <v>7.940620948041E12</v>
      </c>
      <c r="E558" s="211" t="s">
        <v>2690</v>
      </c>
    </row>
    <row r="559">
      <c r="A559" s="205" t="s">
        <v>1633</v>
      </c>
      <c r="B559" s="212" t="s">
        <v>1634</v>
      </c>
      <c r="C559" s="213" t="s">
        <v>1290</v>
      </c>
      <c r="D559" s="210">
        <v>1.435632882791E12</v>
      </c>
      <c r="E559" s="211" t="s">
        <v>2691</v>
      </c>
    </row>
    <row r="560">
      <c r="A560" s="205" t="s">
        <v>1635</v>
      </c>
      <c r="B560" s="212" t="s">
        <v>1636</v>
      </c>
      <c r="C560" s="213" t="s">
        <v>1290</v>
      </c>
      <c r="D560" s="210">
        <v>1.957847150737E12</v>
      </c>
      <c r="E560" s="211" t="s">
        <v>2692</v>
      </c>
    </row>
    <row r="561">
      <c r="A561" s="205" t="s">
        <v>1637</v>
      </c>
      <c r="B561" s="212" t="s">
        <v>1638</v>
      </c>
      <c r="C561" s="213" t="s">
        <v>1304</v>
      </c>
      <c r="D561" s="210">
        <v>7.332872555946E12</v>
      </c>
      <c r="E561" s="211" t="s">
        <v>2693</v>
      </c>
    </row>
    <row r="562">
      <c r="A562" s="205" t="s">
        <v>1639</v>
      </c>
      <c r="B562" s="212" t="s">
        <v>1640</v>
      </c>
      <c r="C562" s="213" t="s">
        <v>1304</v>
      </c>
      <c r="D562" s="210">
        <v>1.185702674551E12</v>
      </c>
      <c r="E562" s="211" t="s">
        <v>2694</v>
      </c>
    </row>
    <row r="563">
      <c r="A563" s="205" t="s">
        <v>1641</v>
      </c>
      <c r="B563" s="212" t="s">
        <v>1642</v>
      </c>
      <c r="C563" s="213" t="s">
        <v>1282</v>
      </c>
      <c r="D563" s="210">
        <v>5.856506428384E12</v>
      </c>
      <c r="E563" s="211" t="s">
        <v>2695</v>
      </c>
    </row>
    <row r="564">
      <c r="A564" s="205" t="s">
        <v>1643</v>
      </c>
      <c r="B564" s="212" t="s">
        <v>1644</v>
      </c>
      <c r="C564" s="213" t="s">
        <v>1297</v>
      </c>
      <c r="D564" s="210">
        <v>6.452510510408E12</v>
      </c>
      <c r="E564" s="211" t="s">
        <v>2696</v>
      </c>
    </row>
    <row r="565">
      <c r="A565" s="205" t="s">
        <v>1645</v>
      </c>
      <c r="B565" s="212" t="s">
        <v>1646</v>
      </c>
      <c r="C565" s="213" t="s">
        <v>1286</v>
      </c>
      <c r="D565" s="210">
        <v>4.274700821105E12</v>
      </c>
      <c r="E565" s="211" t="s">
        <v>2697</v>
      </c>
    </row>
    <row r="566">
      <c r="A566" s="205" t="s">
        <v>1647</v>
      </c>
      <c r="B566" s="212" t="s">
        <v>1648</v>
      </c>
      <c r="C566" s="213" t="s">
        <v>1286</v>
      </c>
      <c r="D566" s="210">
        <v>1.542127857566E12</v>
      </c>
      <c r="E566" s="211" t="s">
        <v>2698</v>
      </c>
    </row>
    <row r="567">
      <c r="A567" s="205" t="s">
        <v>1649</v>
      </c>
      <c r="B567" s="212" t="s">
        <v>1650</v>
      </c>
      <c r="C567" s="213" t="s">
        <v>1290</v>
      </c>
      <c r="D567" s="210">
        <v>6.378458358236E12</v>
      </c>
      <c r="E567" s="211" t="s">
        <v>1651</v>
      </c>
    </row>
    <row r="568">
      <c r="A568" s="205" t="s">
        <v>1652</v>
      </c>
      <c r="B568" s="212" t="s">
        <v>1653</v>
      </c>
      <c r="C568" s="213" t="s">
        <v>1282</v>
      </c>
      <c r="D568" s="210">
        <v>1.0530132609E12</v>
      </c>
      <c r="E568" s="211" t="s">
        <v>1654</v>
      </c>
    </row>
    <row r="569">
      <c r="A569" s="205" t="s">
        <v>1655</v>
      </c>
      <c r="B569" s="212" t="s">
        <v>1656</v>
      </c>
      <c r="C569" s="213" t="s">
        <v>1290</v>
      </c>
      <c r="D569" s="210">
        <v>4.707259098937E12</v>
      </c>
      <c r="E569" s="211" t="s">
        <v>2699</v>
      </c>
    </row>
    <row r="570">
      <c r="A570" s="205" t="s">
        <v>1657</v>
      </c>
      <c r="B570" s="212" t="s">
        <v>1658</v>
      </c>
      <c r="C570" s="213" t="s">
        <v>1282</v>
      </c>
      <c r="D570" s="210">
        <v>4.479334191196E12</v>
      </c>
      <c r="E570" s="211" t="s">
        <v>1659</v>
      </c>
    </row>
    <row r="571">
      <c r="A571" s="205" t="s">
        <v>1660</v>
      </c>
      <c r="B571" s="212" t="s">
        <v>1661</v>
      </c>
      <c r="C571" s="213" t="s">
        <v>1290</v>
      </c>
      <c r="D571" s="210">
        <v>4.126969892784E12</v>
      </c>
      <c r="E571" s="211" t="s">
        <v>1662</v>
      </c>
    </row>
    <row r="572">
      <c r="A572" s="205" t="s">
        <v>1663</v>
      </c>
      <c r="B572" s="212" t="s">
        <v>1664</v>
      </c>
      <c r="C572" s="213" t="s">
        <v>1297</v>
      </c>
      <c r="D572" s="210">
        <v>6.702737153051E12</v>
      </c>
      <c r="E572" s="211" t="s">
        <v>1665</v>
      </c>
    </row>
    <row r="573">
      <c r="A573" s="205" t="s">
        <v>1666</v>
      </c>
      <c r="B573" s="212" t="s">
        <v>1667</v>
      </c>
      <c r="C573" s="213" t="s">
        <v>1282</v>
      </c>
      <c r="D573" s="210">
        <v>2.671952637877E12</v>
      </c>
      <c r="E573" s="211" t="s">
        <v>1668</v>
      </c>
    </row>
    <row r="574">
      <c r="A574" s="205" t="s">
        <v>1669</v>
      </c>
      <c r="B574" s="212" t="s">
        <v>1670</v>
      </c>
      <c r="C574" s="213" t="s">
        <v>1304</v>
      </c>
      <c r="D574" s="210">
        <v>8.420752488137E12</v>
      </c>
      <c r="E574" s="211" t="s">
        <v>1671</v>
      </c>
    </row>
    <row r="575">
      <c r="A575" s="205" t="s">
        <v>1672</v>
      </c>
      <c r="B575" s="212" t="s">
        <v>1673</v>
      </c>
      <c r="C575" s="213" t="s">
        <v>1282</v>
      </c>
      <c r="D575" s="210">
        <v>3.939572919117E12</v>
      </c>
      <c r="E575" s="211" t="s">
        <v>1674</v>
      </c>
    </row>
    <row r="576">
      <c r="A576" s="205" t="s">
        <v>1675</v>
      </c>
      <c r="B576" s="212" t="s">
        <v>1676</v>
      </c>
      <c r="C576" s="213" t="s">
        <v>1290</v>
      </c>
      <c r="D576" s="210">
        <v>2.917126186311E12</v>
      </c>
      <c r="E576" s="211" t="s">
        <v>2700</v>
      </c>
    </row>
    <row r="577">
      <c r="A577" s="205" t="s">
        <v>1677</v>
      </c>
      <c r="B577" s="212" t="s">
        <v>1678</v>
      </c>
      <c r="C577" s="213" t="s">
        <v>1286</v>
      </c>
      <c r="D577" s="210">
        <v>5.541117904456E12</v>
      </c>
      <c r="E577" s="211" t="s">
        <v>2701</v>
      </c>
    </row>
    <row r="578">
      <c r="A578" s="205" t="s">
        <v>1679</v>
      </c>
      <c r="B578" s="212" t="s">
        <v>1680</v>
      </c>
      <c r="C578" s="213" t="s">
        <v>1297</v>
      </c>
      <c r="D578" s="210">
        <v>1.130392978594E12</v>
      </c>
      <c r="E578" s="211" t="s">
        <v>1681</v>
      </c>
    </row>
    <row r="579">
      <c r="A579" s="205" t="s">
        <v>1682</v>
      </c>
      <c r="B579" s="212" t="s">
        <v>1683</v>
      </c>
      <c r="C579" s="213" t="s">
        <v>1286</v>
      </c>
      <c r="D579" s="210">
        <v>6.694691284358E12</v>
      </c>
      <c r="E579" s="211" t="s">
        <v>2702</v>
      </c>
    </row>
    <row r="580">
      <c r="A580" s="205" t="s">
        <v>1684</v>
      </c>
      <c r="B580" s="212" t="s">
        <v>1685</v>
      </c>
      <c r="C580" s="213" t="s">
        <v>1290</v>
      </c>
      <c r="D580" s="210">
        <v>6.16678654074E12</v>
      </c>
      <c r="E580" s="211" t="s">
        <v>1686</v>
      </c>
    </row>
    <row r="581">
      <c r="A581" s="205" t="s">
        <v>1687</v>
      </c>
      <c r="B581" s="212" t="s">
        <v>1688</v>
      </c>
      <c r="C581" s="213" t="s">
        <v>1304</v>
      </c>
      <c r="D581" s="210">
        <v>5.884136851817E12</v>
      </c>
      <c r="E581" s="211" t="s">
        <v>1689</v>
      </c>
    </row>
    <row r="582">
      <c r="A582" s="205" t="s">
        <v>1690</v>
      </c>
      <c r="B582" s="212" t="s">
        <v>1691</v>
      </c>
      <c r="C582" s="213" t="s">
        <v>1286</v>
      </c>
      <c r="D582" s="210">
        <v>8.268587710104E12</v>
      </c>
      <c r="E582" s="211" t="s">
        <v>2703</v>
      </c>
    </row>
    <row r="583">
      <c r="A583" s="205" t="s">
        <v>1692</v>
      </c>
      <c r="B583" s="212" t="s">
        <v>1693</v>
      </c>
      <c r="C583" s="213" t="s">
        <v>1297</v>
      </c>
      <c r="D583" s="210">
        <v>3.32475281784E12</v>
      </c>
      <c r="E583" s="211" t="s">
        <v>2704</v>
      </c>
    </row>
    <row r="584">
      <c r="A584" s="205" t="s">
        <v>1694</v>
      </c>
      <c r="B584" s="212" t="s">
        <v>1695</v>
      </c>
      <c r="C584" s="213" t="s">
        <v>1286</v>
      </c>
      <c r="D584" s="210">
        <v>2.085329946493E12</v>
      </c>
      <c r="E584" s="211" t="s">
        <v>2705</v>
      </c>
    </row>
    <row r="585">
      <c r="A585" s="205" t="s">
        <v>1696</v>
      </c>
      <c r="B585" s="212" t="s">
        <v>1697</v>
      </c>
      <c r="C585" s="213" t="s">
        <v>1286</v>
      </c>
      <c r="D585" s="210">
        <v>2.146933722005E12</v>
      </c>
      <c r="E585" s="211" t="s">
        <v>1698</v>
      </c>
    </row>
    <row r="586">
      <c r="A586" s="205" t="s">
        <v>1699</v>
      </c>
      <c r="B586" s="212" t="s">
        <v>1700</v>
      </c>
      <c r="C586" s="213" t="s">
        <v>1297</v>
      </c>
      <c r="D586" s="210">
        <v>8.204539142284E12</v>
      </c>
      <c r="E586" s="211" t="s">
        <v>2706</v>
      </c>
    </row>
    <row r="587">
      <c r="A587" s="205" t="s">
        <v>1701</v>
      </c>
      <c r="B587" s="212" t="s">
        <v>1702</v>
      </c>
      <c r="C587" s="213" t="s">
        <v>1297</v>
      </c>
      <c r="D587" s="210">
        <v>9.563723673066E12</v>
      </c>
      <c r="E587" s="211" t="s">
        <v>1703</v>
      </c>
    </row>
    <row r="588">
      <c r="A588" s="205" t="s">
        <v>1704</v>
      </c>
      <c r="B588" s="212" t="s">
        <v>1705</v>
      </c>
      <c r="C588" s="213" t="s">
        <v>1304</v>
      </c>
      <c r="D588" s="210">
        <v>4.565227726677E12</v>
      </c>
      <c r="E588" s="211" t="s">
        <v>1706</v>
      </c>
    </row>
    <row r="589">
      <c r="A589" s="205" t="s">
        <v>1707</v>
      </c>
      <c r="B589" s="212" t="s">
        <v>1708</v>
      </c>
      <c r="C589" s="213" t="s">
        <v>1297</v>
      </c>
      <c r="D589" s="210">
        <v>7.872001058696E12</v>
      </c>
      <c r="E589" s="211" t="s">
        <v>1709</v>
      </c>
    </row>
    <row r="590">
      <c r="A590" s="205" t="s">
        <v>2707</v>
      </c>
      <c r="B590" s="215" t="str">
        <f>'ชีต12'!E1</f>
        <v>คุณเกียรติศักดิ์</v>
      </c>
      <c r="C590" s="216" t="str">
        <f>'ชีต12'!H1</f>
        <v/>
      </c>
      <c r="D590" s="217" t="str">
        <f>'ชีต12'!I1</f>
        <v/>
      </c>
      <c r="E590" s="218" t="str">
        <f>'ชีต12'!J1</f>
        <v/>
      </c>
    </row>
    <row r="591">
      <c r="A591" s="205" t="s">
        <v>2708</v>
      </c>
      <c r="B591" s="215" t="str">
        <f>'ชีต12'!E2</f>
        <v>คุณพิชยดล</v>
      </c>
      <c r="C591" s="216" t="str">
        <f>'ชีต12'!H2</f>
        <v/>
      </c>
      <c r="D591" s="217" t="str">
        <f>'ชีต12'!I2</f>
        <v/>
      </c>
      <c r="E591" s="218" t="str">
        <f>'ชีต12'!J2</f>
        <v/>
      </c>
    </row>
    <row r="592">
      <c r="A592" s="205" t="s">
        <v>2709</v>
      </c>
      <c r="B592" s="215" t="str">
        <f>'ชีต12'!E3</f>
        <v>คุณอนุรักษ์</v>
      </c>
      <c r="C592" s="216" t="str">
        <f>'ชีต12'!H3</f>
        <v/>
      </c>
      <c r="D592" s="217" t="str">
        <f>'ชีต12'!I3</f>
        <v/>
      </c>
      <c r="E592" s="218" t="str">
        <f>'ชีต12'!J3</f>
        <v/>
      </c>
    </row>
    <row r="593">
      <c r="A593" s="205" t="s">
        <v>2710</v>
      </c>
      <c r="B593" s="215" t="str">
        <f>'ชีต12'!E4</f>
        <v>คุณพิชยดล</v>
      </c>
      <c r="C593" s="216" t="str">
        <f>'ชีต12'!H4</f>
        <v>749 หมู่ 2 ถนนสุขุมวิท ต.หนองจิก อ.ลำลูกกา จ.นนทบุรี</v>
      </c>
      <c r="D593" s="217">
        <f>'ชีต12'!I4</f>
        <v>1468647714210</v>
      </c>
      <c r="E593" s="218">
        <f>'ชีต12'!J4</f>
        <v>948970725</v>
      </c>
    </row>
    <row r="594">
      <c r="A594" s="205" t="s">
        <v>2711</v>
      </c>
      <c r="B594" s="215" t="str">
        <f>'ชีต12'!E5</f>
        <v>คุณจิราวัฒน์</v>
      </c>
      <c r="C594" s="216" t="str">
        <f>'ชีต12'!H5</f>
        <v/>
      </c>
      <c r="D594" s="217" t="str">
        <f>'ชีต12'!I5</f>
        <v/>
      </c>
      <c r="E594" s="218" t="str">
        <f>'ชีต12'!J5</f>
        <v/>
      </c>
    </row>
    <row r="595">
      <c r="A595" s="205" t="s">
        <v>2712</v>
      </c>
      <c r="B595" s="215" t="str">
        <f>'ชีต12'!E6</f>
        <v>คุณสุดารัตน์</v>
      </c>
      <c r="C595" s="216" t="str">
        <f>'ชีต12'!H6</f>
        <v/>
      </c>
      <c r="D595" s="217" t="str">
        <f>'ชีต12'!I6</f>
        <v/>
      </c>
      <c r="E595" s="218" t="str">
        <f>'ชีต12'!J6</f>
        <v/>
      </c>
    </row>
    <row r="596">
      <c r="A596" s="205" t="s">
        <v>2713</v>
      </c>
      <c r="B596" s="215" t="str">
        <f>'ชีต12'!E7</f>
        <v>คุณกิตติชัย</v>
      </c>
      <c r="C596" s="216" t="str">
        <f>'ชีต12'!H7</f>
        <v/>
      </c>
      <c r="D596" s="217" t="str">
        <f>'ชีต12'!I7</f>
        <v/>
      </c>
      <c r="E596" s="218" t="str">
        <f>'ชีต12'!J7</f>
        <v/>
      </c>
    </row>
    <row r="597">
      <c r="A597" s="205" t="s">
        <v>2714</v>
      </c>
      <c r="B597" s="215" t="str">
        <f>'ชีต12'!E8</f>
        <v>คุณกิติศักดิ์</v>
      </c>
      <c r="C597" s="216" t="str">
        <f>'ชีต12'!H8</f>
        <v/>
      </c>
      <c r="D597" s="217" t="str">
        <f>'ชีต12'!I8</f>
        <v/>
      </c>
      <c r="E597" s="218" t="str">
        <f>'ชีต12'!J8</f>
        <v/>
      </c>
    </row>
    <row r="598">
      <c r="A598" s="205" t="s">
        <v>2715</v>
      </c>
      <c r="B598" s="215" t="str">
        <f>'ชีต12'!E9</f>
        <v>คุณคเชนทร์</v>
      </c>
      <c r="C598" s="216" t="str">
        <f>'ชีต12'!H9</f>
        <v>749 หมู่ 2 ถนนสุขุมวิท ต.หนองจิก อ.บ้านไผ่ จ.ขอนแก่น</v>
      </c>
      <c r="D598" s="217">
        <f>'ชีต12'!I9</f>
        <v>1468647714210</v>
      </c>
      <c r="E598" s="218">
        <f>'ชีต12'!J9</f>
        <v>948970725</v>
      </c>
    </row>
    <row r="599">
      <c r="A599" s="205" t="s">
        <v>2716</v>
      </c>
      <c r="B599" s="215" t="str">
        <f>'ชีต12'!E10</f>
        <v>คุณธนาธิป</v>
      </c>
      <c r="C599" s="216" t="str">
        <f>'ชีต12'!H10</f>
        <v/>
      </c>
      <c r="D599" s="217" t="str">
        <f>'ชีต12'!I10</f>
        <v/>
      </c>
      <c r="E599" s="218" t="str">
        <f>'ชีต12'!J10</f>
        <v/>
      </c>
    </row>
    <row r="600">
      <c r="A600" s="205" t="s">
        <v>2717</v>
      </c>
      <c r="B600" s="215" t="str">
        <f>'ชีต12'!E11</f>
        <v>คุณศราวุฒิ</v>
      </c>
      <c r="C600" s="216" t="str">
        <f>'ชีต12'!H11</f>
        <v>599 หมู่ 10 ถนนพหลโยธิน ต.โคกสูง อ.ท่าเรือ จ.สระบุรี</v>
      </c>
      <c r="D600" s="217">
        <f>'ชีต12'!I11</f>
        <v>1468647714210</v>
      </c>
      <c r="E600" s="218">
        <f>'ชีต12'!J11</f>
        <v>948970725</v>
      </c>
    </row>
    <row r="601">
      <c r="A601" s="205" t="s">
        <v>2718</v>
      </c>
      <c r="B601" s="215" t="str">
        <f>'ชีต12'!E12</f>
        <v>คุณจิราวัฒน์</v>
      </c>
      <c r="C601" s="216" t="str">
        <f>'ชีต12'!H12</f>
        <v/>
      </c>
      <c r="D601" s="217" t="str">
        <f>'ชีต12'!I12</f>
        <v/>
      </c>
      <c r="E601" s="218" t="str">
        <f>'ชีต12'!J12</f>
        <v/>
      </c>
    </row>
    <row r="602">
      <c r="A602" s="205" t="s">
        <v>2719</v>
      </c>
      <c r="B602" s="215" t="str">
        <f>'ชีต12'!E13</f>
        <v>คุณศราวุฒิ</v>
      </c>
      <c r="C602" s="216" t="str">
        <f>'ชีต12'!H13</f>
        <v>567 หมู่ 13 ถนนสุขุมวิท ต.หนองจิก อ.ปากช่อง จ.ขอนแก่น</v>
      </c>
      <c r="D602" s="217">
        <f>'ชีต12'!I13</f>
        <v>2537637841198</v>
      </c>
      <c r="E602" s="218">
        <f>'ชีต12'!J13</f>
        <v>877905813</v>
      </c>
    </row>
    <row r="603">
      <c r="A603" s="205" t="s">
        <v>2720</v>
      </c>
      <c r="B603" s="215" t="str">
        <f>'ชีต12'!E14</f>
        <v>คุณศราวุฒิ</v>
      </c>
      <c r="C603" s="216" t="str">
        <f>'ชีต12'!H14</f>
        <v>41 หมู่ 13 ถนนรามอินทรา ต.ท่าศาลา อ.สีคิ้ว จ.พระนครศรีอยุธยา</v>
      </c>
      <c r="D603" s="217">
        <f>'ชีต12'!I14</f>
        <v>3849318155985</v>
      </c>
      <c r="E603" s="218">
        <f>'ชีต12'!J14</f>
        <v>903334237</v>
      </c>
    </row>
    <row r="604">
      <c r="A604" s="205" t="s">
        <v>2721</v>
      </c>
      <c r="B604" s="215" t="str">
        <f>'ชีต12'!E15</f>
        <v>คุณแสงจันทร์</v>
      </c>
      <c r="C604" s="216" t="str">
        <f>'ชีต12'!H15</f>
        <v>61 หมู่ 2 ถนนรามอินทรา ต.ท่าศาลา อ.บ้านไผ่ จ.นครปฐม</v>
      </c>
      <c r="D604" s="217">
        <f>'ชีต12'!I15</f>
        <v>1681284705030</v>
      </c>
      <c r="E604" s="218">
        <f>'ชีต12'!J15</f>
        <v>917634346</v>
      </c>
    </row>
    <row r="605">
      <c r="A605" s="205" t="s">
        <v>2722</v>
      </c>
      <c r="B605" s="215" t="str">
        <f>'ชีต12'!E16</f>
        <v>คุณพิชยดล</v>
      </c>
      <c r="C605" s="216" t="str">
        <f>'ชีต12'!H16</f>
        <v>749 หมู่ 2 ถนนสุขุมวิท ต.หนองจิก อ.ลำลูกกา จ.นนทบุรี</v>
      </c>
      <c r="D605" s="217">
        <f>'ชีต12'!I16</f>
        <v>1468647714210</v>
      </c>
      <c r="E605" s="218">
        <f>'ชีต12'!J16</f>
        <v>948970725</v>
      </c>
    </row>
    <row r="606">
      <c r="A606" s="205" t="s">
        <v>2723</v>
      </c>
      <c r="B606" s="215" t="str">
        <f>'ชีต12'!E17</f>
        <v>คุณปราโมทย์</v>
      </c>
      <c r="C606" s="216" t="str">
        <f>'ชีต12'!H17</f>
        <v/>
      </c>
      <c r="D606" s="217" t="str">
        <f>'ชีต12'!I17</f>
        <v/>
      </c>
      <c r="E606" s="218" t="str">
        <f>'ชีต12'!J17</f>
        <v/>
      </c>
    </row>
    <row r="607">
      <c r="A607" s="205" t="s">
        <v>2724</v>
      </c>
      <c r="B607" s="215" t="str">
        <f>'ชีต12'!E18</f>
        <v>คุณรัศมี</v>
      </c>
      <c r="C607" s="216" t="str">
        <f>'ชีต12'!H18</f>
        <v/>
      </c>
      <c r="D607" s="217" t="str">
        <f>'ชีต12'!I18</f>
        <v/>
      </c>
      <c r="E607" s="218" t="str">
        <f>'ชีต12'!J18</f>
        <v/>
      </c>
    </row>
    <row r="608">
      <c r="A608" s="205" t="s">
        <v>2725</v>
      </c>
      <c r="B608" s="215" t="str">
        <f>'ชีต12'!E19</f>
        <v>คุณพงษ์</v>
      </c>
      <c r="C608" s="216" t="str">
        <f>'ชีต12'!H19</f>
        <v>599 หมู่ 15 ถนนรัชดาภิเษก ต.หนองจิก อ.ปากช่อง จ.มหาสารคาม</v>
      </c>
      <c r="D608" s="217">
        <f>'ชีต12'!I19</f>
        <v>8515560195513</v>
      </c>
      <c r="E608" s="218">
        <f>'ชีต12'!J19</f>
        <v>917242125</v>
      </c>
    </row>
    <row r="609">
      <c r="A609" s="205" t="s">
        <v>2726</v>
      </c>
      <c r="B609" s="215" t="str">
        <f>'ชีต12'!E20</f>
        <v>คุณจิราวัฒน์</v>
      </c>
      <c r="C609" s="216" t="str">
        <f>'ชีต12'!H20</f>
        <v/>
      </c>
      <c r="D609" s="217" t="str">
        <f>'ชีต12'!I20</f>
        <v/>
      </c>
      <c r="E609" s="218" t="str">
        <f>'ชีต12'!J20</f>
        <v/>
      </c>
    </row>
    <row r="610">
      <c r="A610" s="205" t="s">
        <v>2727</v>
      </c>
      <c r="B610" s="215" t="str">
        <f>'ชีต12'!E21</f>
        <v>คุณสุดารัตน์</v>
      </c>
      <c r="C610" s="216" t="str">
        <f>'ชีต12'!H21</f>
        <v/>
      </c>
      <c r="D610" s="217" t="str">
        <f>'ชีต12'!I21</f>
        <v/>
      </c>
      <c r="E610" s="218" t="str">
        <f>'ชีต12'!J21</f>
        <v/>
      </c>
    </row>
    <row r="611">
      <c r="A611" s="205" t="s">
        <v>2728</v>
      </c>
      <c r="B611" s="215" t="str">
        <f>'ชีต12'!E22</f>
        <v>คุณธนาธิป</v>
      </c>
      <c r="C611" s="216" t="str">
        <f>'ชีต12'!H22</f>
        <v/>
      </c>
      <c r="D611" s="217" t="str">
        <f>'ชีต12'!I22</f>
        <v/>
      </c>
      <c r="E611" s="218" t="str">
        <f>'ชีต12'!J22</f>
        <v/>
      </c>
    </row>
    <row r="612">
      <c r="A612" s="205" t="s">
        <v>2729</v>
      </c>
      <c r="B612" s="215" t="str">
        <f>'ชีต12'!E23</f>
        <v>คุณพิชยดล</v>
      </c>
      <c r="C612" s="216" t="str">
        <f>'ชีต12'!H23</f>
        <v/>
      </c>
      <c r="D612" s="217" t="str">
        <f>'ชีต12'!I23</f>
        <v/>
      </c>
      <c r="E612" s="218" t="str">
        <f>'ชีต12'!J23</f>
        <v/>
      </c>
    </row>
    <row r="613">
      <c r="A613" s="205" t="s">
        <v>2730</v>
      </c>
      <c r="B613" s="215" t="str">
        <f>'ชีต12'!E24</f>
        <v>คุณกิตติคุณ</v>
      </c>
      <c r="C613" s="216" t="str">
        <f>'ชีต12'!H24</f>
        <v>866 หมู่ 10 ถนนมิตรภาพ ต.หนองจิก อ.สีคิ้ว จ.บุรีรัมย์</v>
      </c>
      <c r="D613" s="217">
        <f>'ชีต12'!I24</f>
        <v>1397022206461</v>
      </c>
      <c r="E613" s="218">
        <f>'ชีต12'!J24</f>
        <v>934661876</v>
      </c>
    </row>
    <row r="614">
      <c r="A614" s="205" t="s">
        <v>2731</v>
      </c>
      <c r="B614" s="215" t="str">
        <f>'ชีต12'!E25</f>
        <v>คุณจินตนา</v>
      </c>
      <c r="C614" s="216" t="str">
        <f>'ชีต12'!H25</f>
        <v/>
      </c>
      <c r="D614" s="217" t="str">
        <f>'ชีต12'!I25</f>
        <v/>
      </c>
      <c r="E614" s="218" t="str">
        <f>'ชีต12'!J25</f>
        <v/>
      </c>
    </row>
    <row r="615">
      <c r="A615" s="205" t="s">
        <v>2732</v>
      </c>
      <c r="B615" s="215" t="str">
        <f>'ชีต12'!E26</f>
        <v>คุณศราวุฒิ</v>
      </c>
      <c r="C615" s="216" t="str">
        <f>'ชีต12'!H26</f>
        <v>599 หมู่ 10 ถนนพหลโยธิน ต.โคกสูง อ.ท่าเรือ จ.สระบุรี</v>
      </c>
      <c r="D615" s="217">
        <f>'ชีต12'!I26</f>
        <v>1468647714210</v>
      </c>
      <c r="E615" s="218">
        <f>'ชีต12'!J26</f>
        <v>948970725</v>
      </c>
    </row>
    <row r="616">
      <c r="A616" s="205" t="s">
        <v>2733</v>
      </c>
      <c r="B616" s="215" t="str">
        <f>'ชีต12'!E27</f>
        <v>คุณจิราวัฒน์</v>
      </c>
      <c r="C616" s="216" t="str">
        <f>'ชีต12'!H27</f>
        <v/>
      </c>
      <c r="D616" s="217" t="str">
        <f>'ชีต12'!I27</f>
        <v/>
      </c>
      <c r="E616" s="218" t="str">
        <f>'ชีต12'!J27</f>
        <v/>
      </c>
    </row>
    <row r="617">
      <c r="A617" s="205" t="s">
        <v>2734</v>
      </c>
      <c r="B617" s="215" t="str">
        <f>'ชีต12'!E28</f>
        <v>คุณแสงจันทร์</v>
      </c>
      <c r="C617" s="216" t="str">
        <f>'ชีต12'!H28</f>
        <v>61 หมู่ 2 ถนนรามอินทรา ต.ท่าศาลา อ.บ้านไผ่ จ.นครปฐม</v>
      </c>
      <c r="D617" s="217">
        <f>'ชีต12'!I28</f>
        <v>1681284705030</v>
      </c>
      <c r="E617" s="218">
        <f>'ชีต12'!J28</f>
        <v>917634346</v>
      </c>
    </row>
    <row r="618">
      <c r="A618" s="205" t="s">
        <v>2735</v>
      </c>
      <c r="B618" s="215" t="str">
        <f>'ชีต12'!E29</f>
        <v>คุณทรงวุฒิ</v>
      </c>
      <c r="C618" s="216" t="str">
        <f>'ชีต12'!H29</f>
        <v>227 หมู่ 14 ถนนพหลโยธิน ต.ท่าศาลา อ.สีคิ้ว จ.สมุทรสาคร</v>
      </c>
      <c r="D618" s="217">
        <f>'ชีต12'!I29</f>
        <v>8137277764951</v>
      </c>
      <c r="E618" s="218">
        <f>'ชีต12'!J29</f>
        <v>915905971</v>
      </c>
    </row>
    <row r="619">
      <c r="A619" s="205" t="s">
        <v>2736</v>
      </c>
      <c r="B619" s="215" t="str">
        <f>'ชีต12'!E30</f>
        <v>คุณทรงวุฒิ</v>
      </c>
      <c r="C619" s="216" t="str">
        <f>'ชีต12'!H30</f>
        <v/>
      </c>
      <c r="D619" s="217" t="str">
        <f>'ชีต12'!I30</f>
        <v/>
      </c>
      <c r="E619" s="218" t="str">
        <f>'ชีต12'!J30</f>
        <v/>
      </c>
    </row>
    <row r="620">
      <c r="A620" s="205" t="s">
        <v>2737</v>
      </c>
      <c r="B620" s="215" t="str">
        <f>'ชีต12'!E31</f>
        <v>คุณนฤวุฒิ</v>
      </c>
      <c r="C620" s="216" t="str">
        <f>'ชีต12'!H31</f>
        <v/>
      </c>
      <c r="D620" s="217" t="str">
        <f>'ชีต12'!I31</f>
        <v/>
      </c>
      <c r="E620" s="218" t="str">
        <f>'ชีต12'!J31</f>
        <v/>
      </c>
    </row>
    <row r="621">
      <c r="A621" s="205" t="s">
        <v>2738</v>
      </c>
      <c r="B621" s="215" t="str">
        <f>'ชีต12'!E32</f>
        <v>คุณพิชยดล</v>
      </c>
      <c r="C621" s="216" t="str">
        <f>'ชีต12'!H32</f>
        <v>749 หมู่ 2 ถนนสุขุมวิท ต.หนองจิก อ.ลำลูกกา จ.นนทบุรี</v>
      </c>
      <c r="D621" s="217">
        <f>'ชีต12'!I32</f>
        <v>1468647714210</v>
      </c>
      <c r="E621" s="218">
        <f>'ชีต12'!J32</f>
        <v>948970725</v>
      </c>
    </row>
    <row r="622">
      <c r="A622" s="205" t="s">
        <v>2739</v>
      </c>
      <c r="B622" s="215" t="str">
        <f>'ชีต12'!E33</f>
        <v>คุณจิราวัฒน์</v>
      </c>
      <c r="C622" s="216" t="str">
        <f>'ชีต12'!H33</f>
        <v/>
      </c>
      <c r="D622" s="217" t="str">
        <f>'ชีต12'!I33</f>
        <v/>
      </c>
      <c r="E622" s="218" t="str">
        <f>'ชีต12'!J33</f>
        <v/>
      </c>
    </row>
    <row r="623">
      <c r="A623" s="205" t="s">
        <v>2740</v>
      </c>
      <c r="B623" s="215" t="str">
        <f>'ชีต12'!E34</f>
        <v>คุณสุดารัตน์</v>
      </c>
      <c r="C623" s="216" t="str">
        <f>'ชีต12'!H34</f>
        <v/>
      </c>
      <c r="D623" s="217" t="str">
        <f>'ชีต12'!I34</f>
        <v/>
      </c>
      <c r="E623" s="218" t="str">
        <f>'ชีต12'!J34</f>
        <v/>
      </c>
    </row>
    <row r="624">
      <c r="A624" s="205" t="s">
        <v>2741</v>
      </c>
      <c r="B624" s="215" t="str">
        <f>'ชีต12'!E35</f>
        <v>คุณสุดารัตน์</v>
      </c>
      <c r="C624" s="216" t="str">
        <f>'ชีต12'!H35</f>
        <v>235 หมู่ 13 ถนนรามอินทรา ต.บ้านใหม่ อ.ปากช่อง จ.สุพรรณบุรี</v>
      </c>
      <c r="D624" s="217">
        <f>'ชีต12'!I35</f>
        <v>1681284705030</v>
      </c>
      <c r="E624" s="218">
        <f>'ชีต12'!J35</f>
        <v>917634346</v>
      </c>
    </row>
    <row r="625">
      <c r="A625" s="205" t="s">
        <v>2742</v>
      </c>
      <c r="B625" s="215" t="str">
        <f>'ชีต12'!E36</f>
        <v>คุณสมเกียรติ</v>
      </c>
      <c r="C625" s="216" t="str">
        <f>'ชีต12'!H36</f>
        <v>788 หมู่ 6 ถนนรามอินทรา ต.หนองจิก อ.สีคิ้ว จ.มหาสารคาม</v>
      </c>
      <c r="D625" s="217">
        <f>'ชีต12'!I36</f>
        <v>3298150495834</v>
      </c>
      <c r="E625" s="218">
        <f>'ชีต12'!J36</f>
        <v>899013098</v>
      </c>
    </row>
    <row r="626">
      <c r="A626" s="205" t="s">
        <v>2743</v>
      </c>
      <c r="B626" s="215" t="str">
        <f>'ชีต12'!E37</f>
        <v>คุณอภินันท์</v>
      </c>
      <c r="C626" s="216" t="str">
        <f>'ชีต12'!H37</f>
        <v/>
      </c>
      <c r="D626" s="217" t="str">
        <f>'ชีต12'!I37</f>
        <v/>
      </c>
      <c r="E626" s="218" t="str">
        <f>'ชีต12'!J37</f>
        <v/>
      </c>
    </row>
    <row r="627">
      <c r="A627" s="205" t="s">
        <v>2744</v>
      </c>
      <c r="B627" s="215" t="str">
        <f>'ชีต12'!E38</f>
        <v>คุณธนาธิป</v>
      </c>
      <c r="C627" s="216" t="str">
        <f>'ชีต12'!H38</f>
        <v/>
      </c>
      <c r="D627" s="217" t="str">
        <f>'ชีต12'!I38</f>
        <v/>
      </c>
      <c r="E627" s="218" t="str">
        <f>'ชีต12'!J38</f>
        <v/>
      </c>
    </row>
    <row r="628">
      <c r="A628" s="205" t="s">
        <v>2745</v>
      </c>
      <c r="B628" s="215" t="str">
        <f>'ชีต12'!E39</f>
        <v>คุณศราวุฒิ</v>
      </c>
      <c r="C628" s="216" t="str">
        <f>'ชีต12'!H39</f>
        <v>599 หมู่ 10 ถนนพหลโยธิน ต.โคกสูง อ.ท่าเรือ จ.สระบุรี</v>
      </c>
      <c r="D628" s="217">
        <f>'ชีต12'!I39</f>
        <v>1468647714210</v>
      </c>
      <c r="E628" s="218">
        <f>'ชีต12'!J39</f>
        <v>948970725</v>
      </c>
    </row>
    <row r="629">
      <c r="A629" s="205" t="s">
        <v>2746</v>
      </c>
      <c r="B629" s="215" t="str">
        <f>'ชีต12'!E40</f>
        <v>คุณจิราวัฒน์</v>
      </c>
      <c r="C629" s="216" t="str">
        <f>'ชีต12'!H40</f>
        <v/>
      </c>
      <c r="D629" s="217" t="str">
        <f>'ชีต12'!I40</f>
        <v/>
      </c>
      <c r="E629" s="218" t="str">
        <f>'ชีต12'!J40</f>
        <v/>
      </c>
    </row>
    <row r="630">
      <c r="A630" s="205" t="s">
        <v>2747</v>
      </c>
      <c r="B630" s="215" t="str">
        <f>'ชีต12'!E41</f>
        <v>คุณกิตติชัย</v>
      </c>
      <c r="C630" s="216" t="str">
        <f>'ชีต12'!H41</f>
        <v>74 หมู่ 11 ถนนมิตรภาพ ต.ท่าศาลา อ.บ้านไผ่ จ.พระนครศรีอยุธยา</v>
      </c>
      <c r="D630" s="217">
        <f>'ชีต12'!I41</f>
        <v>5500854407425</v>
      </c>
      <c r="E630" s="218">
        <f>'ชีต12'!J41</f>
        <v>934148408</v>
      </c>
    </row>
    <row r="631">
      <c r="A631" s="205" t="s">
        <v>2748</v>
      </c>
      <c r="B631" s="215" t="str">
        <f>'ชีต12'!E42</f>
        <v>คุณมิน</v>
      </c>
      <c r="C631" s="216" t="str">
        <f>'ชีต12'!H42</f>
        <v/>
      </c>
      <c r="D631" s="217" t="str">
        <f>'ชีต12'!I42</f>
        <v/>
      </c>
      <c r="E631" s="218" t="str">
        <f>'ชีต12'!J42</f>
        <v/>
      </c>
    </row>
    <row r="632">
      <c r="A632" s="205" t="s">
        <v>2749</v>
      </c>
      <c r="B632" s="215" t="str">
        <f>'ชีต12'!E43</f>
        <v>คุณคมกริช</v>
      </c>
      <c r="C632" s="216" t="str">
        <f>'ชีต12'!H43</f>
        <v/>
      </c>
      <c r="D632" s="217" t="str">
        <f>'ชีต12'!I43</f>
        <v/>
      </c>
      <c r="E632" s="218" t="str">
        <f>'ชีต12'!J43</f>
        <v/>
      </c>
    </row>
    <row r="633">
      <c r="A633" s="205" t="s">
        <v>2750</v>
      </c>
      <c r="B633" s="215" t="str">
        <f>'ชีต12'!E44</f>
        <v>คุณแสงจันทร์</v>
      </c>
      <c r="C633" s="216" t="str">
        <f>'ชีต12'!H44</f>
        <v>61 หมู่ 2 ถนนรามอินทรา ต.ท่าศาลา อ.บ้านไผ่ จ.นครปฐม</v>
      </c>
      <c r="D633" s="217">
        <f>'ชีต12'!I44</f>
        <v>1681284705030</v>
      </c>
      <c r="E633" s="218">
        <f>'ชีต12'!J44</f>
        <v>917634346</v>
      </c>
    </row>
    <row r="634">
      <c r="A634" s="205" t="s">
        <v>2751</v>
      </c>
      <c r="B634" s="215" t="str">
        <f>'ชีต12'!E45</f>
        <v>คุณพิชยดล</v>
      </c>
      <c r="C634" s="216" t="str">
        <f>'ชีต12'!H45</f>
        <v>749 หมู่ 2 ถนนสุขุมวิท ต.หนองจิก อ.ลำลูกกา จ.นนทบุรี</v>
      </c>
      <c r="D634" s="217">
        <f>'ชีต12'!I45</f>
        <v>1468647714210</v>
      </c>
      <c r="E634" s="218">
        <f>'ชีต12'!J45</f>
        <v>948970725</v>
      </c>
    </row>
    <row r="635">
      <c r="A635" s="205" t="s">
        <v>2752</v>
      </c>
      <c r="B635" s="215" t="str">
        <f>'ชีต12'!E46</f>
        <v>คุณพิสุทธ</v>
      </c>
      <c r="C635" s="216" t="str">
        <f>'ชีต12'!H46</f>
        <v/>
      </c>
      <c r="D635" s="217" t="str">
        <f>'ชีต12'!I46</f>
        <v/>
      </c>
      <c r="E635" s="218" t="str">
        <f>'ชีต12'!J46</f>
        <v/>
      </c>
    </row>
    <row r="636">
      <c r="A636" s="205" t="s">
        <v>2753</v>
      </c>
      <c r="B636" s="215" t="str">
        <f>'ชีต12'!E47</f>
        <v>คุณศราวุฒิ</v>
      </c>
      <c r="C636" s="216" t="str">
        <f>'ชีต12'!H47</f>
        <v>227 หมู่ 11 ถนนพหลโยธิน ต.โคกสูง อ.ลำลูกกา จ.สุพรรณบุรี</v>
      </c>
      <c r="D636" s="217">
        <f>'ชีต12'!I47</f>
        <v>1874984180491</v>
      </c>
      <c r="E636" s="218">
        <f>'ชีต12'!J47</f>
        <v>854048704</v>
      </c>
    </row>
    <row r="637">
      <c r="A637" s="205" t="s">
        <v>2754</v>
      </c>
      <c r="B637" s="215" t="str">
        <f>'ชีต12'!E48</f>
        <v>คุณธนฤต</v>
      </c>
      <c r="C637" s="216" t="str">
        <f>'ชีต12'!H48</f>
        <v/>
      </c>
      <c r="D637" s="217" t="str">
        <f>'ชีต12'!I48</f>
        <v/>
      </c>
      <c r="E637" s="218" t="str">
        <f>'ชีต12'!J48</f>
        <v/>
      </c>
    </row>
    <row r="638">
      <c r="A638" s="205" t="s">
        <v>2755</v>
      </c>
      <c r="B638" s="215" t="str">
        <f>'ชีต12'!E49</f>
        <v>คุณกิติศักดิ์</v>
      </c>
      <c r="C638" s="216" t="str">
        <f>'ชีต12'!H49</f>
        <v/>
      </c>
      <c r="D638" s="217" t="str">
        <f>'ชีต12'!I49</f>
        <v/>
      </c>
      <c r="E638" s="218" t="str">
        <f>'ชีต12'!J49</f>
        <v/>
      </c>
    </row>
    <row r="639">
      <c r="A639" s="205" t="s">
        <v>2756</v>
      </c>
      <c r="B639" s="215" t="str">
        <f>'ชีต12'!E50</f>
        <v>คุณกิตติชัย</v>
      </c>
      <c r="C639" s="216" t="str">
        <f>'ชีต12'!H50</f>
        <v/>
      </c>
      <c r="D639" s="217" t="str">
        <f>'ชีต12'!I50</f>
        <v/>
      </c>
      <c r="E639" s="218" t="str">
        <f>'ชีต12'!J50</f>
        <v/>
      </c>
    </row>
    <row r="640">
      <c r="A640" s="205" t="s">
        <v>2757</v>
      </c>
      <c r="B640" s="215" t="str">
        <f>'ชีต12'!E51</f>
        <v>คุณพงษ์</v>
      </c>
      <c r="C640" s="216" t="str">
        <f>'ชีต12'!H51</f>
        <v/>
      </c>
      <c r="D640" s="217" t="str">
        <f>'ชีต12'!I51</f>
        <v/>
      </c>
      <c r="E640" s="218" t="str">
        <f>'ชีต12'!J51</f>
        <v/>
      </c>
    </row>
    <row r="641">
      <c r="A641" s="205" t="s">
        <v>2758</v>
      </c>
      <c r="B641" s="215" t="str">
        <f>'ชีต12'!E52</f>
        <v>คุณศราวุฒิ</v>
      </c>
      <c r="C641" s="216" t="str">
        <f>'ชีต12'!H52</f>
        <v>380 หมู่ 6 ถนนพหลโยธิน ต.โคกสูง อ.ท่าเรือ จ.นนทบุรี</v>
      </c>
      <c r="D641" s="217">
        <f>'ชีต12'!I52</f>
        <v>5599026409893</v>
      </c>
      <c r="E641" s="218">
        <f>'ชีต12'!J52</f>
        <v>903334237</v>
      </c>
    </row>
    <row r="642">
      <c r="A642" s="205" t="s">
        <v>2759</v>
      </c>
      <c r="B642" s="215" t="str">
        <f>'ชีต12'!E53</f>
        <v>คุณศราวุฒิ</v>
      </c>
      <c r="C642" s="216" t="str">
        <f>'ชีต12'!H53</f>
        <v/>
      </c>
      <c r="D642" s="217" t="str">
        <f>'ชีต12'!I53</f>
        <v/>
      </c>
      <c r="E642" s="218" t="str">
        <f>'ชีต12'!J53</f>
        <v/>
      </c>
    </row>
    <row r="643">
      <c r="A643" s="205" t="s">
        <v>2760</v>
      </c>
      <c r="B643" s="215" t="str">
        <f>'ชีต12'!E54</f>
        <v>คุณสุดารัตน์</v>
      </c>
      <c r="C643" s="216" t="str">
        <f>'ชีต12'!H54</f>
        <v>925 หมู่ 13 ถนนสุขุมวิท ต.ท่าศาลา อ.ลำลูกกา จ.ชัยภูมิ</v>
      </c>
      <c r="D643" s="217">
        <f>'ชีต12'!I54</f>
        <v>1842363725595</v>
      </c>
      <c r="E643" s="218">
        <f>'ชีต12'!J54</f>
        <v>825368143</v>
      </c>
    </row>
    <row r="644">
      <c r="A644" s="205" t="s">
        <v>2761</v>
      </c>
      <c r="B644" s="215" t="str">
        <f>'ชีต12'!E55</f>
        <v>คุณแสงจันทร์</v>
      </c>
      <c r="C644" s="216" t="str">
        <f>'ชีต12'!H55</f>
        <v/>
      </c>
      <c r="D644" s="217" t="str">
        <f>'ชีต12'!I55</f>
        <v/>
      </c>
      <c r="E644" s="218" t="str">
        <f>'ชีต12'!J55</f>
        <v/>
      </c>
    </row>
    <row r="645">
      <c r="A645" s="205" t="s">
        <v>2762</v>
      </c>
      <c r="B645" s="215" t="str">
        <f>'ชีต12'!E56</f>
        <v>คุณพิชยดล</v>
      </c>
      <c r="C645" s="216" t="str">
        <f>'ชีต12'!H56</f>
        <v/>
      </c>
      <c r="D645" s="217" t="str">
        <f>'ชีต12'!I56</f>
        <v/>
      </c>
      <c r="E645" s="218" t="str">
        <f>'ชีต12'!J56</f>
        <v/>
      </c>
    </row>
    <row r="646">
      <c r="A646" s="205" t="s">
        <v>2763</v>
      </c>
      <c r="B646" s="215" t="str">
        <f>'ชีต12'!E57</f>
        <v>คุณสุดารัตน์</v>
      </c>
      <c r="C646" s="216" t="str">
        <f>'ชีต12'!H57</f>
        <v>61 หมู่ 2 ถนนพหลโยธิน ต.บ้านใหม่ อ.ท่าเรือ จ.สุพรรณบุรี</v>
      </c>
      <c r="D646" s="217">
        <f>'ชีต12'!I57</f>
        <v>1681284705030</v>
      </c>
      <c r="E646" s="218">
        <f>'ชีต12'!J57</f>
        <v>864387693</v>
      </c>
    </row>
    <row r="647">
      <c r="A647" s="205" t="s">
        <v>2764</v>
      </c>
      <c r="B647" s="215" t="str">
        <f>'ชีต12'!E58</f>
        <v>คุณสุกัญญา</v>
      </c>
      <c r="C647" s="216" t="str">
        <f>'ชีต12'!H58</f>
        <v/>
      </c>
      <c r="D647" s="217" t="str">
        <f>'ชีต12'!I58</f>
        <v/>
      </c>
      <c r="E647" s="218" t="str">
        <f>'ชีต12'!J58</f>
        <v/>
      </c>
    </row>
    <row r="648">
      <c r="A648" s="205" t="s">
        <v>2765</v>
      </c>
      <c r="B648" s="215" t="str">
        <f>'ชีต12'!E59</f>
        <v>คุณธนาธิป</v>
      </c>
      <c r="C648" s="216" t="str">
        <f>'ชีต12'!H59</f>
        <v/>
      </c>
      <c r="D648" s="217" t="str">
        <f>'ชีต12'!I59</f>
        <v/>
      </c>
      <c r="E648" s="218" t="str">
        <f>'ชีต12'!J59</f>
        <v/>
      </c>
    </row>
    <row r="649">
      <c r="A649" s="205" t="s">
        <v>2766</v>
      </c>
      <c r="B649" s="215" t="str">
        <f>'ชีต12'!E60</f>
        <v>คุณนุจิรา</v>
      </c>
      <c r="C649" s="216" t="str">
        <f>'ชีต12'!H60</f>
        <v/>
      </c>
      <c r="D649" s="217" t="str">
        <f>'ชีต12'!I60</f>
        <v/>
      </c>
      <c r="E649" s="218" t="str">
        <f>'ชีต12'!J60</f>
        <v/>
      </c>
    </row>
    <row r="650">
      <c r="A650" s="205" t="s">
        <v>2767</v>
      </c>
      <c r="B650" s="215" t="str">
        <f>'ชีต12'!E61</f>
        <v>คุณมิ้นท์</v>
      </c>
      <c r="C650" s="216" t="str">
        <f>'ชีต12'!H61</f>
        <v/>
      </c>
      <c r="D650" s="217" t="str">
        <f>'ชีต12'!I61</f>
        <v/>
      </c>
      <c r="E650" s="218" t="str">
        <f>'ชีต12'!J61</f>
        <v/>
      </c>
    </row>
    <row r="651">
      <c r="A651" s="205" t="s">
        <v>2768</v>
      </c>
      <c r="B651" s="215" t="str">
        <f>'ชีต12'!E62</f>
        <v>คุณพิชยดล</v>
      </c>
      <c r="C651" s="216" t="str">
        <f>'ชีต12'!H62</f>
        <v>227 หมู่ 7 ถนนรามอินทรา ต.โคกสูง อ.ลำลูกกา จ.สระบุรี</v>
      </c>
      <c r="D651" s="217">
        <f>'ชีต12'!I62</f>
        <v>3849318155985</v>
      </c>
      <c r="E651" s="218">
        <f>'ชีต12'!J62</f>
        <v>848035174</v>
      </c>
    </row>
    <row r="652">
      <c r="A652" s="205" t="s">
        <v>2769</v>
      </c>
      <c r="B652" s="215" t="str">
        <f>'ชีต12'!E63</f>
        <v>คุณกิติศักดิ์</v>
      </c>
      <c r="C652" s="216" t="str">
        <f>'ชีต12'!H63</f>
        <v>567 หมู่ 14 ถนนพหลโยธิน ต.หนองจิก อ.ปากช่อง จ.ขอนแก่น</v>
      </c>
      <c r="D652" s="217">
        <f>'ชีต12'!I63</f>
        <v>2537637841198</v>
      </c>
      <c r="E652" s="218">
        <f>'ชีต12'!J63</f>
        <v>915905971</v>
      </c>
    </row>
    <row r="653">
      <c r="A653" s="205" t="s">
        <v>2770</v>
      </c>
      <c r="B653" s="215" t="str">
        <f>'ชีต12'!E64</f>
        <v>คุณมงคล</v>
      </c>
      <c r="C653" s="216" t="str">
        <f>'ชีต12'!H64</f>
        <v/>
      </c>
      <c r="D653" s="217" t="str">
        <f>'ชีต12'!I64</f>
        <v/>
      </c>
      <c r="E653" s="218" t="str">
        <f>'ชีต12'!J64</f>
        <v/>
      </c>
    </row>
    <row r="654">
      <c r="A654" s="205" t="s">
        <v>2771</v>
      </c>
      <c r="B654" s="215" t="str">
        <f>'ชีต12'!E65</f>
        <v>คุณนฤวุฒิ</v>
      </c>
      <c r="C654" s="216" t="str">
        <f>'ชีต12'!H65</f>
        <v/>
      </c>
      <c r="D654" s="217" t="str">
        <f>'ชีต12'!I65</f>
        <v/>
      </c>
      <c r="E654" s="218" t="str">
        <f>'ชีต12'!J65</f>
        <v/>
      </c>
    </row>
    <row r="655">
      <c r="A655" s="205" t="s">
        <v>2772</v>
      </c>
      <c r="B655" s="215" t="str">
        <f>'ชีต12'!E66</f>
        <v>คุณวุฒิ</v>
      </c>
      <c r="C655" s="216" t="str">
        <f>'ชีต12'!H66</f>
        <v>599 หมู่ 10 ถนนพหลโยธิน ต.ท่าศาลา อ.บ้านไผ่ จ.ขอนแก่น</v>
      </c>
      <c r="D655" s="217">
        <f>'ชีต12'!I66</f>
        <v>1468647714210</v>
      </c>
      <c r="E655" s="218">
        <f>'ชีต12'!J66</f>
        <v>948970725</v>
      </c>
    </row>
    <row r="656">
      <c r="A656" s="205" t="s">
        <v>2773</v>
      </c>
      <c r="B656" s="215" t="str">
        <f>'ชีต12'!E67</f>
        <v>คุณทัจนีย์</v>
      </c>
      <c r="C656" s="216" t="str">
        <f>'ชีต12'!H67</f>
        <v/>
      </c>
      <c r="D656" s="217" t="str">
        <f>'ชีต12'!I67</f>
        <v/>
      </c>
      <c r="E656" s="218" t="str">
        <f>'ชีต12'!J67</f>
        <v/>
      </c>
    </row>
    <row r="657">
      <c r="A657" s="205" t="s">
        <v>2774</v>
      </c>
      <c r="B657" s="215" t="str">
        <f>'ชีต12'!E68</f>
        <v>คุณจิรศักดิ์</v>
      </c>
      <c r="C657" s="216" t="str">
        <f>'ชีต12'!H68</f>
        <v>380 หมู่ 6 ถนนรามอินทรา ต.หนองจิก อ.ปากช่อง จ.ขอนแก่น</v>
      </c>
      <c r="D657" s="217">
        <f>'ชีต12'!I68</f>
        <v>5599026409893</v>
      </c>
      <c r="E657" s="218">
        <f>'ชีต12'!J68</f>
        <v>864387693</v>
      </c>
    </row>
    <row r="658">
      <c r="A658" s="205" t="s">
        <v>2775</v>
      </c>
      <c r="B658" s="215" t="str">
        <f>'ชีต12'!E69</f>
        <v>คุณปัญญา</v>
      </c>
      <c r="C658" s="216" t="str">
        <f>'ชีต12'!H69</f>
        <v>235 หมู่ 13 ถนนสุขุมวิท ต.หนองจิก อ.บ้านไผ่ จ.พระนครศรีอยุธยา</v>
      </c>
      <c r="D658" s="217">
        <f>'ชีต12'!I69</f>
        <v>1842363725595</v>
      </c>
      <c r="E658" s="218">
        <f>'ชีต12'!J69</f>
        <v>825368143</v>
      </c>
    </row>
    <row r="659">
      <c r="A659" s="205" t="s">
        <v>2776</v>
      </c>
      <c r="B659" s="215" t="str">
        <f>'ชีต12'!E70</f>
        <v>คุณธนาธิป</v>
      </c>
      <c r="C659" s="216" t="str">
        <f>'ชีต12'!H70</f>
        <v/>
      </c>
      <c r="D659" s="217" t="str">
        <f>'ชีต12'!I70</f>
        <v/>
      </c>
      <c r="E659" s="218" t="str">
        <f>'ชีต12'!J70</f>
        <v/>
      </c>
    </row>
    <row r="660">
      <c r="A660" s="205" t="s">
        <v>2777</v>
      </c>
      <c r="B660" s="215" t="str">
        <f>'ชีต12'!E71</f>
        <v>คุณอดิศักดิ์</v>
      </c>
      <c r="C660" s="216" t="str">
        <f>'ชีต12'!H71</f>
        <v>61 หมู่ 2 ถนนรามอินทรา ต.ท่าศาลา อ.ลำลูกกา จ.หนองคาย</v>
      </c>
      <c r="D660" s="217">
        <f>'ชีต12'!I71</f>
        <v>1681284705030</v>
      </c>
      <c r="E660" s="218">
        <f>'ชีต12'!J71</f>
        <v>864387693</v>
      </c>
    </row>
    <row r="661">
      <c r="A661" s="205" t="s">
        <v>2778</v>
      </c>
      <c r="B661" s="215" t="str">
        <f>'ชีต12'!E72</f>
        <v>คุณแสงจันทร์</v>
      </c>
      <c r="C661" s="216" t="str">
        <f>'ชีต12'!H72</f>
        <v>749 หมู่ 2 ถนนมิตรภาพ ต.หนองจิก อ.ปากช่อง จ.ขอนแก่น</v>
      </c>
      <c r="D661" s="217">
        <f>'ชีต12'!I72</f>
        <v>1468647714210</v>
      </c>
      <c r="E661" s="218">
        <f>'ชีต12'!J72</f>
        <v>948970725</v>
      </c>
    </row>
    <row r="662">
      <c r="A662" s="205" t="s">
        <v>2779</v>
      </c>
      <c r="B662" s="215" t="str">
        <f>'ชีต12'!E73</f>
        <v>คุณอดิศักดิ์</v>
      </c>
      <c r="C662" s="216" t="str">
        <f>'ชีต12'!H73</f>
        <v/>
      </c>
      <c r="D662" s="217" t="str">
        <f>'ชีต12'!I73</f>
        <v/>
      </c>
      <c r="E662" s="218" t="str">
        <f>'ชีต12'!J73</f>
        <v/>
      </c>
    </row>
    <row r="663">
      <c r="A663" s="205" t="s">
        <v>2780</v>
      </c>
      <c r="B663" s="215" t="str">
        <f>'ชีต12'!E74</f>
        <v>คุณคมกริช</v>
      </c>
      <c r="C663" s="216" t="str">
        <f>'ชีต12'!H74</f>
        <v/>
      </c>
      <c r="D663" s="217" t="str">
        <f>'ชีต12'!I74</f>
        <v/>
      </c>
      <c r="E663" s="218" t="str">
        <f>'ชีต12'!J74</f>
        <v/>
      </c>
    </row>
    <row r="664">
      <c r="A664" s="205" t="s">
        <v>2781</v>
      </c>
      <c r="B664" s="215" t="str">
        <f>'ชีต12'!E75</f>
        <v>คุณพิมมาดา</v>
      </c>
      <c r="C664" s="216" t="str">
        <f>'ชีต12'!H75</f>
        <v>599 หมู่ 10 ถนนสุขุมวิท ต.บ้านใหม่ อ.บ้านไผ่ จ.นครปฐม</v>
      </c>
      <c r="D664" s="217">
        <f>'ชีต12'!I75</f>
        <v>1468647714210</v>
      </c>
      <c r="E664" s="218">
        <f>'ชีต12'!J75</f>
        <v>877905813</v>
      </c>
    </row>
    <row r="665">
      <c r="A665" s="205" t="s">
        <v>2782</v>
      </c>
      <c r="B665" s="215" t="str">
        <f>'ชีต12'!E76</f>
        <v>คุณปรีชา</v>
      </c>
      <c r="C665" s="216" t="str">
        <f>'ชีต12'!H76</f>
        <v/>
      </c>
      <c r="D665" s="217" t="str">
        <f>'ชีต12'!I76</f>
        <v/>
      </c>
      <c r="E665" s="218" t="str">
        <f>'ชีต12'!J76</f>
        <v/>
      </c>
    </row>
    <row r="666">
      <c r="A666" s="205" t="s">
        <v>2783</v>
      </c>
      <c r="B666" s="215" t="str">
        <f>'ชีต12'!E77</f>
        <v>คุณปัญญาจิตร</v>
      </c>
      <c r="C666" s="216" t="str">
        <f>'ชีต12'!H77</f>
        <v/>
      </c>
      <c r="D666" s="217" t="str">
        <f>'ชีต12'!I77</f>
        <v/>
      </c>
      <c r="E666" s="218" t="str">
        <f>'ชีต12'!J77</f>
        <v/>
      </c>
    </row>
    <row r="667">
      <c r="A667" s="205" t="s">
        <v>2784</v>
      </c>
      <c r="B667" s="215" t="str">
        <f>'ชีต12'!E78</f>
        <v>คุณทัจนีย์</v>
      </c>
      <c r="C667" s="216" t="str">
        <f>'ชีต12'!H78</f>
        <v/>
      </c>
      <c r="D667" s="217" t="str">
        <f>'ชีต12'!I78</f>
        <v/>
      </c>
      <c r="E667" s="218" t="str">
        <f>'ชีต12'!J78</f>
        <v/>
      </c>
    </row>
    <row r="668">
      <c r="A668" s="205" t="s">
        <v>2785</v>
      </c>
      <c r="B668" s="215" t="str">
        <f>'ชีต12'!E79</f>
        <v>คุณธนาธิป</v>
      </c>
      <c r="C668" s="216" t="str">
        <f>'ชีต12'!H79</f>
        <v/>
      </c>
      <c r="D668" s="217" t="str">
        <f>'ชีต12'!I79</f>
        <v/>
      </c>
      <c r="E668" s="218" t="str">
        <f>'ชีต12'!J79</f>
        <v/>
      </c>
    </row>
    <row r="669">
      <c r="A669" s="205" t="s">
        <v>2786</v>
      </c>
      <c r="B669" s="215" t="str">
        <f>'ชีต12'!E80</f>
        <v>คุณศราวุฒิ</v>
      </c>
      <c r="C669" s="216" t="str">
        <f>'ชีต12'!H80</f>
        <v>599 หมู่ 10 ถนนพหลโยธิน ต.โคกสูง อ.ท่าเรือ จ.สระบุรี</v>
      </c>
      <c r="D669" s="217">
        <f>'ชีต12'!I80</f>
        <v>1468647714210</v>
      </c>
      <c r="E669" s="218">
        <f>'ชีต12'!J80</f>
        <v>948970725</v>
      </c>
    </row>
    <row r="670">
      <c r="A670" s="205" t="s">
        <v>2787</v>
      </c>
      <c r="B670" s="215" t="str">
        <f>'ชีต12'!E81</f>
        <v>คุณจิราวัฒน์</v>
      </c>
      <c r="C670" s="216" t="str">
        <f>'ชีต12'!H81</f>
        <v/>
      </c>
      <c r="D670" s="217" t="str">
        <f>'ชีต12'!I81</f>
        <v/>
      </c>
      <c r="E670" s="218" t="str">
        <f>'ชีต12'!J81</f>
        <v/>
      </c>
    </row>
    <row r="671">
      <c r="A671" s="205" t="s">
        <v>2788</v>
      </c>
      <c r="B671" s="215" t="str">
        <f>'ชีต12'!E82</f>
        <v>คุณกิติศักดิ์</v>
      </c>
      <c r="C671" s="216" t="str">
        <f>'ชีต12'!H82</f>
        <v/>
      </c>
      <c r="D671" s="217" t="str">
        <f>'ชีต12'!I82</f>
        <v/>
      </c>
      <c r="E671" s="218" t="str">
        <f>'ชีต12'!J82</f>
        <v/>
      </c>
    </row>
    <row r="672">
      <c r="A672" s="205" t="s">
        <v>2789</v>
      </c>
      <c r="B672" s="215" t="str">
        <f>'ชีต12'!E83</f>
        <v>คุณจิราวัฒน์</v>
      </c>
      <c r="C672" s="216" t="str">
        <f>'ชีต12'!H83</f>
        <v/>
      </c>
      <c r="D672" s="217" t="str">
        <f>'ชีต12'!I83</f>
        <v/>
      </c>
      <c r="E672" s="218" t="str">
        <f>'ชีต12'!J83</f>
        <v/>
      </c>
    </row>
    <row r="673">
      <c r="A673" s="205" t="s">
        <v>2790</v>
      </c>
      <c r="B673" s="215" t="str">
        <f>'ชีต12'!E84</f>
        <v>คุณนิราช</v>
      </c>
      <c r="C673" s="216" t="str">
        <f>'ชีต12'!H84</f>
        <v>227 หมู่ 11 ถนนรัชดาภิเษก ต.หนองจิก อ.สีคิ้ว จ.สุรินทร์</v>
      </c>
      <c r="D673" s="217">
        <f>'ชีต12'!I84</f>
        <v>1874984180491</v>
      </c>
      <c r="E673" s="218">
        <f>'ชีต12'!J84</f>
        <v>854048704</v>
      </c>
    </row>
    <row r="674">
      <c r="A674" s="205" t="s">
        <v>2791</v>
      </c>
      <c r="B674" s="215" t="str">
        <f>'ชีต12'!E85</f>
        <v>คุณแสงจันทร์</v>
      </c>
      <c r="C674" s="216" t="str">
        <f>'ชีต12'!H85</f>
        <v>61 หมู่ 2 ถนนรามอินทรา ต.ท่าศาลา อ.บ้านไผ่ จ.นครปฐม</v>
      </c>
      <c r="D674" s="217">
        <f>'ชีต12'!I85</f>
        <v>1681284705030</v>
      </c>
      <c r="E674" s="218">
        <f>'ชีต12'!J85</f>
        <v>917634346</v>
      </c>
    </row>
    <row r="675">
      <c r="A675" s="205" t="s">
        <v>2792</v>
      </c>
      <c r="B675" s="215" t="str">
        <f>'ชีต12'!E86</f>
        <v>คุณพิชยดล</v>
      </c>
      <c r="C675" s="216" t="str">
        <f>'ชีต12'!H86</f>
        <v>749 หมู่ 2 ถนนสุขุมวิท ต.หนองจิก อ.ลำลูกกา จ.นนทบุรี</v>
      </c>
      <c r="D675" s="217">
        <f>'ชีต12'!I86</f>
        <v>1468647714210</v>
      </c>
      <c r="E675" s="218">
        <f>'ชีต12'!J86</f>
        <v>948970725</v>
      </c>
    </row>
    <row r="676">
      <c r="A676" s="205" t="s">
        <v>2793</v>
      </c>
      <c r="B676" s="215" t="str">
        <f>'ชีต12'!E87</f>
        <v>คุณจิราวัฒน์</v>
      </c>
      <c r="C676" s="216" t="str">
        <f>'ชีต12'!H87</f>
        <v/>
      </c>
      <c r="D676" s="217" t="str">
        <f>'ชีต12'!I87</f>
        <v/>
      </c>
      <c r="E676" s="218" t="str">
        <f>'ชีต12'!J87</f>
        <v/>
      </c>
    </row>
    <row r="677">
      <c r="A677" s="205" t="s">
        <v>2794</v>
      </c>
      <c r="B677" s="215" t="str">
        <f>'ชีต12'!E88</f>
        <v>คุณอรินญา</v>
      </c>
      <c r="C677" s="216" t="str">
        <f>'ชีต12'!H88</f>
        <v>788 หมู่ 6 ถนนสุขุมวิท ต.โคกสูง อ.ลำลูกกา จ.นครปฐม</v>
      </c>
      <c r="D677" s="217">
        <f>'ชีต12'!I88</f>
        <v>5599026409893</v>
      </c>
      <c r="E677" s="218">
        <f>'ชีต12'!J88</f>
        <v>903334237</v>
      </c>
    </row>
    <row r="678">
      <c r="A678" s="205" t="s">
        <v>2795</v>
      </c>
      <c r="B678" s="215" t="str">
        <f>'ชีต12'!E89</f>
        <v>คุณทัจนีย์</v>
      </c>
      <c r="C678" s="216" t="str">
        <f>'ชีต12'!H89</f>
        <v/>
      </c>
      <c r="D678" s="217" t="str">
        <f>'ชีต12'!I89</f>
        <v/>
      </c>
      <c r="E678" s="218" t="str">
        <f>'ชีต12'!J89</f>
        <v/>
      </c>
    </row>
    <row r="679">
      <c r="A679" s="205" t="s">
        <v>2796</v>
      </c>
      <c r="B679" s="215" t="str">
        <f>'ชีต12'!E90</f>
        <v>คุณปรีชา</v>
      </c>
      <c r="C679" s="216" t="str">
        <f>'ชีต12'!H90</f>
        <v>41 หมู่ 13 ถนนรามอินทรา ต.หนองจิก อ.ปากช่อง จ.บุรีรัมย์</v>
      </c>
      <c r="D679" s="217">
        <f>'ชีต12'!I90</f>
        <v>3849318155985</v>
      </c>
      <c r="E679" s="218">
        <f>'ชีต12'!J90</f>
        <v>903334237</v>
      </c>
    </row>
    <row r="680">
      <c r="A680" s="205" t="s">
        <v>2797</v>
      </c>
      <c r="B680" s="215" t="str">
        <f>'ชีต12'!E91</f>
        <v>คุณสุดารัตน์</v>
      </c>
      <c r="C680" s="216" t="str">
        <f>'ชีต12'!H91</f>
        <v/>
      </c>
      <c r="D680" s="217" t="str">
        <f>'ชีต12'!I91</f>
        <v/>
      </c>
      <c r="E680" s="218" t="str">
        <f>'ชีต12'!J91</f>
        <v/>
      </c>
    </row>
    <row r="681">
      <c r="A681" s="205" t="s">
        <v>2798</v>
      </c>
      <c r="B681" s="215" t="str">
        <f>'ชีต12'!E92</f>
        <v>คุณธนาธิป</v>
      </c>
      <c r="C681" s="216" t="str">
        <f>'ชีต12'!H92</f>
        <v/>
      </c>
      <c r="D681" s="217" t="str">
        <f>'ชีต12'!I92</f>
        <v/>
      </c>
      <c r="E681" s="218" t="str">
        <f>'ชีต12'!J92</f>
        <v/>
      </c>
    </row>
    <row r="682">
      <c r="A682" s="205" t="s">
        <v>2799</v>
      </c>
      <c r="B682" s="215" t="str">
        <f>'ชีต12'!E93</f>
        <v>คุณศราวุฒิ</v>
      </c>
      <c r="C682" s="216" t="str">
        <f>'ชีต12'!H93</f>
        <v>599 หมู่ 10 ถนนพหลโยธิน ต.โคกสูง อ.ท่าเรือ จ.สระบุรี</v>
      </c>
      <c r="D682" s="217">
        <f>'ชีต12'!I93</f>
        <v>1468647714210</v>
      </c>
      <c r="E682" s="218">
        <f>'ชีต12'!J93</f>
        <v>948970725</v>
      </c>
    </row>
    <row r="683">
      <c r="A683" s="205" t="s">
        <v>2800</v>
      </c>
      <c r="B683" s="215" t="str">
        <f>'ชีต12'!E94</f>
        <v>คุณนุศรา</v>
      </c>
      <c r="C683" s="216" t="str">
        <f>'ชีต12'!H94</f>
        <v/>
      </c>
      <c r="D683" s="217" t="str">
        <f>'ชีต12'!I94</f>
        <v/>
      </c>
      <c r="E683" s="218" t="str">
        <f>'ชีต12'!J94</f>
        <v/>
      </c>
    </row>
    <row r="684">
      <c r="A684" s="205" t="s">
        <v>2801</v>
      </c>
      <c r="B684" s="215" t="str">
        <f>'ชีต12'!E95</f>
        <v>คุณชัชวาล</v>
      </c>
      <c r="C684" s="216" t="str">
        <f>'ชีต12'!H95</f>
        <v>61 หมู่ 2 ถนนพหลโยธิน ต.หนองจิก อ.ปากช่อง จ.สมุทรสาคร</v>
      </c>
      <c r="D684" s="217">
        <f>'ชีต12'!I95</f>
        <v>1681284705030</v>
      </c>
      <c r="E684" s="218">
        <f>'ชีต12'!J95</f>
        <v>917634346</v>
      </c>
    </row>
    <row r="685">
      <c r="A685" s="205" t="s">
        <v>2802</v>
      </c>
      <c r="B685" s="215" t="str">
        <f>'ชีต12'!E96</f>
        <v>คุณแสงจันทร์</v>
      </c>
      <c r="C685" s="216" t="str">
        <f>'ชีต12'!H96</f>
        <v>749 หมู่ 2 ถนนมิตรภาพ ต.หนองจิก อ.บ้านไผ่ จ.หนองคาย</v>
      </c>
      <c r="D685" s="217">
        <f>'ชีต12'!I96</f>
        <v>1468647714210</v>
      </c>
      <c r="E685" s="218">
        <f>'ชีต12'!J96</f>
        <v>948970725</v>
      </c>
    </row>
    <row r="686">
      <c r="A686" s="205" t="s">
        <v>2803</v>
      </c>
      <c r="B686" s="215" t="str">
        <f>'ชีต12'!E97</f>
        <v>คุณจิราวัฒน์</v>
      </c>
      <c r="C686" s="216" t="str">
        <f>'ชีต12'!H97</f>
        <v/>
      </c>
      <c r="D686" s="217" t="str">
        <f>'ชีต12'!I97</f>
        <v/>
      </c>
      <c r="E686" s="218" t="str">
        <f>'ชีต12'!J97</f>
        <v/>
      </c>
    </row>
    <row r="687">
      <c r="A687" s="205" t="s">
        <v>2804</v>
      </c>
      <c r="B687" s="215" t="str">
        <f>'ชีต12'!E98</f>
        <v>คุณแสงจันทร์</v>
      </c>
      <c r="C687" s="216" t="str">
        <f>'ชีต12'!H98</f>
        <v>61 หมู่ 2 ถนนรามอินทรา ต.ท่าศาลา อ.บ้านไผ่ จ.นครปฐม</v>
      </c>
      <c r="D687" s="217">
        <f>'ชีต12'!I98</f>
        <v>1681284705030</v>
      </c>
      <c r="E687" s="218">
        <f>'ชีต12'!J98</f>
        <v>917634346</v>
      </c>
    </row>
    <row r="688">
      <c r="A688" s="205" t="s">
        <v>2805</v>
      </c>
      <c r="B688" s="215" t="str">
        <f>'ชีต12'!E99</f>
        <v>คุณพิชยดล</v>
      </c>
      <c r="C688" s="216" t="str">
        <f>'ชีต12'!H99</f>
        <v>749 หมู่ 2 ถนนสุขุมวิท ต.หนองจิก อ.ลำลูกกา จ.นนทบุรี</v>
      </c>
      <c r="D688" s="217">
        <f>'ชีต12'!I99</f>
        <v>1468647714210</v>
      </c>
      <c r="E688" s="218">
        <f>'ชีต12'!J99</f>
        <v>948970725</v>
      </c>
    </row>
    <row r="689">
      <c r="A689" s="205" t="s">
        <v>2806</v>
      </c>
      <c r="B689" s="215" t="str">
        <f>'ชีต12'!E100</f>
        <v>คุณจันทรีจิรา</v>
      </c>
      <c r="C689" s="216" t="str">
        <f>'ชีต12'!H100</f>
        <v/>
      </c>
      <c r="D689" s="217" t="str">
        <f>'ชีต12'!I100</f>
        <v/>
      </c>
      <c r="E689" s="218" t="str">
        <f>'ชีต12'!J100</f>
        <v/>
      </c>
    </row>
    <row r="690">
      <c r="A690" s="205" t="s">
        <v>2807</v>
      </c>
      <c r="B690" s="215" t="str">
        <f>'ชีต12'!E101</f>
        <v>คุณนุศรา</v>
      </c>
      <c r="C690" s="216" t="str">
        <f>'ชีต12'!H101</f>
        <v>567 หมู่ 14 ถนนสุขุมวิท ต.ท่าศาลา อ.บ้านไผ่ จ.ขอนแก่น</v>
      </c>
      <c r="D690" s="217">
        <f>'ชีต12'!I101</f>
        <v>2537637841198</v>
      </c>
      <c r="E690" s="218">
        <f>'ชีต12'!J101</f>
        <v>877905813</v>
      </c>
    </row>
    <row r="691">
      <c r="A691" s="205" t="s">
        <v>2808</v>
      </c>
      <c r="B691" s="215" t="str">
        <f>'ชีต12'!E102</f>
        <v>คุณนุช</v>
      </c>
      <c r="C691" s="216" t="str">
        <f>'ชีต12'!H102</f>
        <v/>
      </c>
      <c r="D691" s="217" t="str">
        <f>'ชีต12'!I102</f>
        <v/>
      </c>
      <c r="E691" s="218" t="str">
        <f>'ชีต12'!J102</f>
        <v/>
      </c>
    </row>
    <row r="692">
      <c r="A692" s="205" t="s">
        <v>2809</v>
      </c>
      <c r="B692" s="215" t="str">
        <f>'ชีต12'!E103</f>
        <v>คุณจิราวัฒน์</v>
      </c>
      <c r="C692" s="216" t="str">
        <f>'ชีต12'!H103</f>
        <v/>
      </c>
      <c r="D692" s="217" t="str">
        <f>'ชีต12'!I103</f>
        <v/>
      </c>
      <c r="E692" s="218" t="str">
        <f>'ชีต12'!J103</f>
        <v/>
      </c>
    </row>
    <row r="693">
      <c r="A693" s="205" t="s">
        <v>2810</v>
      </c>
      <c r="B693" s="215" t="str">
        <f>'ชีต12'!E104</f>
        <v>คุณสุดารัตน์</v>
      </c>
      <c r="C693" s="216" t="str">
        <f>'ชีต12'!H104</f>
        <v/>
      </c>
      <c r="D693" s="217" t="str">
        <f>'ชีต12'!I104</f>
        <v/>
      </c>
      <c r="E693" s="218" t="str">
        <f>'ชีต12'!J104</f>
        <v/>
      </c>
    </row>
    <row r="694">
      <c r="A694" s="205" t="s">
        <v>2811</v>
      </c>
      <c r="B694" s="215" t="str">
        <f>'ชีต12'!E105</f>
        <v>คุณธนาธิป</v>
      </c>
      <c r="C694" s="216" t="str">
        <f>'ชีต12'!H105</f>
        <v/>
      </c>
      <c r="D694" s="217" t="str">
        <f>'ชีต12'!I105</f>
        <v/>
      </c>
      <c r="E694" s="218" t="str">
        <f>'ชีต12'!J105</f>
        <v/>
      </c>
    </row>
    <row r="695">
      <c r="A695" s="205" t="s">
        <v>2812</v>
      </c>
      <c r="B695" s="215" t="str">
        <f>'ชีต12'!E106</f>
        <v>คุณวีระ</v>
      </c>
      <c r="C695" s="216" t="str">
        <f>'ชีต12'!H106</f>
        <v>599 หมู่ 10 ถนนพหลโยธิน ต.หนองจิก อ.ลำลูกกา จ.อุบลราชธานี</v>
      </c>
      <c r="D695" s="217">
        <f>'ชีต12'!I106</f>
        <v>1468647714210</v>
      </c>
      <c r="E695" s="218">
        <f>'ชีต12'!J106</f>
        <v>948970725</v>
      </c>
    </row>
    <row r="696">
      <c r="A696" s="205" t="s">
        <v>2813</v>
      </c>
      <c r="B696" s="215" t="str">
        <f>'ชีต12'!E107</f>
        <v>คุณรัชดา</v>
      </c>
      <c r="C696" s="216" t="str">
        <f>'ชีต12'!H107</f>
        <v/>
      </c>
      <c r="D696" s="217" t="str">
        <f>'ชีต12'!I107</f>
        <v/>
      </c>
      <c r="E696" s="218" t="str">
        <f>'ชีต12'!J107</f>
        <v/>
      </c>
    </row>
    <row r="697">
      <c r="A697" s="205" t="s">
        <v>2814</v>
      </c>
      <c r="B697" s="215" t="str">
        <f>'ชีต12'!E108</f>
        <v>คุณทัจนีย์</v>
      </c>
      <c r="C697" s="216" t="str">
        <f>'ชีต12'!H108</f>
        <v/>
      </c>
      <c r="D697" s="217" t="str">
        <f>'ชีต12'!I108</f>
        <v/>
      </c>
      <c r="E697" s="218" t="str">
        <f>'ชีต12'!J108</f>
        <v/>
      </c>
    </row>
    <row r="698">
      <c r="A698" s="205" t="s">
        <v>2815</v>
      </c>
      <c r="B698" s="215" t="str">
        <f>'ชีต12'!E109</f>
        <v>คุณศราวุฒิ</v>
      </c>
      <c r="C698" s="216" t="str">
        <f>'ชีต12'!H109</f>
        <v>599 หมู่ 10 ถนนพหลโยธิน ต.โคกสูง อ.ท่าเรือ จ.สระบุรี</v>
      </c>
      <c r="D698" s="217">
        <f>'ชีต12'!I109</f>
        <v>1468647714210</v>
      </c>
      <c r="E698" s="218">
        <f>'ชีต12'!J109</f>
        <v>948970725</v>
      </c>
    </row>
    <row r="699">
      <c r="A699" s="205" t="s">
        <v>2816</v>
      </c>
      <c r="B699" s="215" t="str">
        <f>'ชีต12'!E110</f>
        <v>คุณจิราวัฒน์</v>
      </c>
      <c r="C699" s="216" t="str">
        <f>'ชีต12'!H110</f>
        <v/>
      </c>
      <c r="D699" s="217" t="str">
        <f>'ชีต12'!I110</f>
        <v/>
      </c>
      <c r="E699" s="218" t="str">
        <f>'ชีต12'!J110</f>
        <v/>
      </c>
    </row>
    <row r="700">
      <c r="A700" s="205" t="s">
        <v>2817</v>
      </c>
      <c r="B700" s="215" t="str">
        <f>'ชีต12'!E111</f>
        <v>คุณแสงจันทร์</v>
      </c>
      <c r="C700" s="216" t="str">
        <f>'ชีต12'!H111</f>
        <v>61 หมู่ 2 ถนนรามอินทรา ต.ท่าศาลา อ.บ้านไผ่ จ.นครปฐม</v>
      </c>
      <c r="D700" s="217">
        <f>'ชีต12'!I111</f>
        <v>1681284705030</v>
      </c>
      <c r="E700" s="218">
        <f>'ชีต12'!J111</f>
        <v>917634346</v>
      </c>
    </row>
    <row r="701">
      <c r="A701" s="205" t="s">
        <v>2818</v>
      </c>
      <c r="B701" s="215" t="str">
        <f>'ชีต12'!E112</f>
        <v>คุณชัชวาล</v>
      </c>
      <c r="C701" s="216" t="str">
        <f>'ชีต12'!H112</f>
        <v>61 หมู่ 2 ถนนรามอินทรา ต.หนองจิก อ.บ้านไผ่ จ.อุบลราชธานี</v>
      </c>
      <c r="D701" s="217">
        <f>'ชีต12'!I112</f>
        <v>1681284705030</v>
      </c>
      <c r="E701" s="218">
        <f>'ชีต12'!J112</f>
        <v>917634346</v>
      </c>
    </row>
    <row r="702">
      <c r="A702" s="205" t="s">
        <v>2819</v>
      </c>
      <c r="B702" s="215" t="str">
        <f>'ชีต12'!E113</f>
        <v>คุณตุ๊ก</v>
      </c>
      <c r="C702" s="216" t="str">
        <f>'ชีต12'!H113</f>
        <v>749 หมู่ 2 ถนนมิตรภาพ ต.ท่าศาลา อ.บ้านไผ่ จ.นนทบุรี</v>
      </c>
      <c r="D702" s="217">
        <f>'ชีต12'!I113</f>
        <v>1468647714210</v>
      </c>
      <c r="E702" s="218">
        <f>'ชีต12'!J113</f>
        <v>948970725</v>
      </c>
    </row>
    <row r="703">
      <c r="A703" s="205" t="s">
        <v>2820</v>
      </c>
      <c r="B703" s="215" t="str">
        <f>'ชีต12'!E114</f>
        <v>คุณทัจนีย์</v>
      </c>
      <c r="C703" s="216" t="str">
        <f>'ชีต12'!H114</f>
        <v/>
      </c>
      <c r="D703" s="217" t="str">
        <f>'ชีต12'!I114</f>
        <v/>
      </c>
      <c r="E703" s="218" t="str">
        <f>'ชีต12'!J114</f>
        <v/>
      </c>
    </row>
    <row r="704">
      <c r="A704" s="205" t="s">
        <v>2821</v>
      </c>
      <c r="B704" s="215" t="str">
        <f>'ชีต12'!E115</f>
        <v>คุณวิสัย</v>
      </c>
      <c r="C704" s="216" t="str">
        <f>'ชีต12'!H115</f>
        <v/>
      </c>
      <c r="D704" s="217" t="str">
        <f>'ชีต12'!I115</f>
        <v/>
      </c>
      <c r="E704" s="218" t="str">
        <f>'ชีต12'!J115</f>
        <v/>
      </c>
    </row>
    <row r="705">
      <c r="A705" s="205" t="s">
        <v>2822</v>
      </c>
      <c r="B705" s="215" t="str">
        <f>'ชีต12'!E116</f>
        <v>คุณนุศรา</v>
      </c>
      <c r="C705" s="216" t="str">
        <f>'ชีต12'!H116</f>
        <v/>
      </c>
      <c r="D705" s="217" t="str">
        <f>'ชีต12'!I116</f>
        <v/>
      </c>
      <c r="E705" s="218" t="str">
        <f>'ชีต12'!J116</f>
        <v/>
      </c>
    </row>
    <row r="706">
      <c r="A706" s="205" t="s">
        <v>2823</v>
      </c>
      <c r="B706" s="215" t="str">
        <f>'ชีต12'!E117</f>
        <v>คุณจิรศักดิ์</v>
      </c>
      <c r="C706" s="216" t="str">
        <f>'ชีต12'!H117</f>
        <v>599 หมู่ 10 ถนนพหลโยธิน ต.หนองจิก อ.ลำลูกกา จ.หนองคาย</v>
      </c>
      <c r="D706" s="217">
        <f>'ชีต12'!I117</f>
        <v>1468647714210</v>
      </c>
      <c r="E706" s="218">
        <f>'ชีต12'!J117</f>
        <v>948970725</v>
      </c>
    </row>
    <row r="707">
      <c r="A707" s="205" t="s">
        <v>2824</v>
      </c>
      <c r="B707" s="215" t="str">
        <f>'ชีต12'!E118</f>
        <v>คุณพงษ์</v>
      </c>
      <c r="C707" s="216" t="str">
        <f>'ชีต12'!H118</f>
        <v/>
      </c>
      <c r="D707" s="217" t="str">
        <f>'ชีต12'!I118</f>
        <v/>
      </c>
      <c r="E707" s="218" t="str">
        <f>'ชีต12'!J118</f>
        <v/>
      </c>
    </row>
    <row r="708">
      <c r="A708" s="205" t="s">
        <v>2825</v>
      </c>
      <c r="B708" s="215" t="str">
        <f>'ชีต12'!E119</f>
        <v>คุณนิราช</v>
      </c>
      <c r="C708" s="216" t="str">
        <f>'ชีต12'!H119</f>
        <v>61 หมู่ 2 ถนนรามอินทรา ต.ท่าศาลา อ.บ้านไผ่ จ.นครปฐม</v>
      </c>
      <c r="D708" s="217">
        <f>'ชีต12'!I119</f>
        <v>1681284705030</v>
      </c>
      <c r="E708" s="218">
        <f>'ชีต12'!J119</f>
        <v>917634346</v>
      </c>
    </row>
    <row r="709">
      <c r="A709" s="205" t="s">
        <v>2826</v>
      </c>
      <c r="B709" s="215" t="str">
        <f>'ชีต12'!E120</f>
        <v>คุณวิสัย</v>
      </c>
      <c r="C709" s="216" t="str">
        <f>'ชีต12'!H120</f>
        <v>749 หมู่ 2 ถนนสุขุมวิท ต.หนองจิก อ.ลำลูกกา จ.นนทบุรี</v>
      </c>
      <c r="D709" s="217">
        <f>'ชีต12'!I120</f>
        <v>1468647714210</v>
      </c>
      <c r="E709" s="218">
        <f>'ชีต12'!J120</f>
        <v>948970725</v>
      </c>
    </row>
    <row r="710">
      <c r="A710" s="205" t="s">
        <v>2827</v>
      </c>
      <c r="B710" s="215" t="str">
        <f>'ชีต12'!E121</f>
        <v>คุณอภินันท์</v>
      </c>
      <c r="C710" s="216" t="str">
        <f>'ชีต12'!H121</f>
        <v/>
      </c>
      <c r="D710" s="217" t="str">
        <f>'ชีต12'!I121</f>
        <v/>
      </c>
      <c r="E710" s="218" t="str">
        <f>'ชีต12'!J121</f>
        <v/>
      </c>
    </row>
    <row r="711">
      <c r="A711" s="205" t="s">
        <v>2828</v>
      </c>
      <c r="B711" s="215" t="str">
        <f>'ชีต12'!E122</f>
        <v>คุณอรินญา</v>
      </c>
      <c r="C711" s="216" t="str">
        <f>'ชีต12'!H122</f>
        <v/>
      </c>
      <c r="D711" s="217" t="str">
        <f>'ชีต12'!I122</f>
        <v/>
      </c>
      <c r="E711" s="218" t="str">
        <f>'ชีต12'!J122</f>
        <v/>
      </c>
    </row>
    <row r="712">
      <c r="A712" s="205" t="s">
        <v>2829</v>
      </c>
      <c r="B712" s="215" t="str">
        <f>'ชีต12'!E123</f>
        <v>คุณจิราวัฒน์</v>
      </c>
      <c r="C712" s="216" t="str">
        <f>'ชีต12'!H123</f>
        <v>235 หมู่ 13 ถนนรามอินทรา ต.โคกสูง อ.ท่าเรือ จ.สระบุรี</v>
      </c>
      <c r="D712" s="217">
        <f>'ชีต12'!I123</f>
        <v>1842363725595</v>
      </c>
      <c r="E712" s="218">
        <f>'ชีต12'!J123</f>
        <v>825368143</v>
      </c>
    </row>
    <row r="713">
      <c r="A713" s="205" t="s">
        <v>2830</v>
      </c>
      <c r="B713" s="215" t="str">
        <f>'ชีต12'!E124</f>
        <v>คุณคมกริช</v>
      </c>
      <c r="C713" s="216" t="str">
        <f>'ชีต12'!H124</f>
        <v/>
      </c>
      <c r="D713" s="217" t="str">
        <f>'ชีต12'!I124</f>
        <v/>
      </c>
      <c r="E713" s="218" t="str">
        <f>'ชีต12'!J124</f>
        <v/>
      </c>
    </row>
    <row r="714">
      <c r="A714" s="205" t="s">
        <v>2831</v>
      </c>
      <c r="B714" s="215" t="str">
        <f>'ชีต12'!E125</f>
        <v>คุณนันทพงศ์</v>
      </c>
      <c r="C714" s="216" t="str">
        <f>'ชีต12'!H125</f>
        <v/>
      </c>
      <c r="D714" s="217" t="str">
        <f>'ชีต12'!I125</f>
        <v/>
      </c>
      <c r="E714" s="218" t="str">
        <f>'ชีต12'!J125</f>
        <v/>
      </c>
    </row>
    <row r="715">
      <c r="A715" s="205" t="s">
        <v>2832</v>
      </c>
      <c r="B715" s="215" t="str">
        <f>'ชีต12'!E126</f>
        <v>คุณศราวุฒิ</v>
      </c>
      <c r="C715" s="216" t="str">
        <f>'ชีต12'!H126</f>
        <v/>
      </c>
      <c r="D715" s="217" t="str">
        <f>'ชีต12'!I126</f>
        <v/>
      </c>
      <c r="E715" s="218" t="str">
        <f>'ชีต12'!J126</f>
        <v/>
      </c>
    </row>
    <row r="716">
      <c r="A716" s="205" t="s">
        <v>2833</v>
      </c>
      <c r="B716" s="215" t="str">
        <f>'ชีต12'!E127</f>
        <v>คุณนุศรา</v>
      </c>
      <c r="C716" s="216" t="str">
        <f>'ชีต12'!H127</f>
        <v>61 หมู่ 2 ถนนมิตรภาพ ต.หนองจิก อ.ปากช่อง จ.สุพรรณบุรี</v>
      </c>
      <c r="D716" s="217">
        <f>'ชีต12'!I127</f>
        <v>1681284705030</v>
      </c>
      <c r="E716" s="218">
        <f>'ชีต12'!J127</f>
        <v>917634346</v>
      </c>
    </row>
    <row r="717">
      <c r="A717" s="205" t="s">
        <v>2834</v>
      </c>
      <c r="B717" s="215" t="str">
        <f>'ชีต12'!E128</f>
        <v>คุณกิตติชัย</v>
      </c>
      <c r="C717" s="216" t="str">
        <f>'ชีต12'!H128</f>
        <v>749 หมู่ 2 ถนนพหลโยธิน ต.หนองจิก อ.บ้านไผ่ จ.ขอนแก่น</v>
      </c>
      <c r="D717" s="217">
        <f>'ชีต12'!I128</f>
        <v>1468647714210</v>
      </c>
      <c r="E717" s="218">
        <f>'ชีต12'!J128</f>
        <v>948970725</v>
      </c>
    </row>
    <row r="718">
      <c r="A718" s="205" t="s">
        <v>2835</v>
      </c>
      <c r="B718" s="215" t="str">
        <f>'ชีต12'!E129</f>
        <v>คุณนุศรา</v>
      </c>
      <c r="C718" s="216" t="str">
        <f>'ชีต12'!H129</f>
        <v/>
      </c>
      <c r="D718" s="217" t="str">
        <f>'ชีต12'!I129</f>
        <v/>
      </c>
      <c r="E718" s="218" t="str">
        <f>'ชีต12'!J129</f>
        <v/>
      </c>
    </row>
    <row r="719">
      <c r="A719" s="205" t="s">
        <v>2836</v>
      </c>
      <c r="B719" s="215" t="str">
        <f>'ชีต12'!E130</f>
        <v>คุณธนาธิป</v>
      </c>
      <c r="C719" s="216" t="str">
        <f>'ชีต12'!H130</f>
        <v/>
      </c>
      <c r="D719" s="217" t="str">
        <f>'ชีต12'!I130</f>
        <v/>
      </c>
      <c r="E719" s="218" t="str">
        <f>'ชีต12'!J130</f>
        <v/>
      </c>
    </row>
    <row r="720">
      <c r="A720" s="205" t="s">
        <v>2837</v>
      </c>
      <c r="B720" s="215" t="str">
        <f>'ชีต12'!E131</f>
        <v>คุณธนาธิป</v>
      </c>
      <c r="C720" s="216" t="str">
        <f>'ชีต12'!H131</f>
        <v/>
      </c>
      <c r="D720" s="217" t="str">
        <f>'ชีต12'!I131</f>
        <v/>
      </c>
      <c r="E720" s="218" t="str">
        <f>'ชีต12'!J131</f>
        <v/>
      </c>
    </row>
    <row r="721">
      <c r="A721" s="205" t="s">
        <v>2838</v>
      </c>
      <c r="B721" s="215" t="str">
        <f>'ชีต12'!E132</f>
        <v>คุณกิตติชัย</v>
      </c>
      <c r="C721" s="216" t="str">
        <f>'ชีต12'!H132</f>
        <v/>
      </c>
      <c r="D721" s="217" t="str">
        <f>'ชีต12'!I132</f>
        <v/>
      </c>
      <c r="E721" s="218" t="str">
        <f>'ชีต12'!J132</f>
        <v/>
      </c>
    </row>
    <row r="722">
      <c r="A722" s="205" t="s">
        <v>2839</v>
      </c>
      <c r="B722" s="215" t="str">
        <f>'ชีต12'!E133</f>
        <v>คุณนุศรา</v>
      </c>
      <c r="C722" s="216" t="str">
        <f>'ชีต12'!H133</f>
        <v/>
      </c>
      <c r="D722" s="217" t="str">
        <f>'ชีต12'!I133</f>
        <v/>
      </c>
      <c r="E722" s="218" t="str">
        <f>'ชีต12'!J133</f>
        <v/>
      </c>
    </row>
    <row r="723">
      <c r="A723" s="205" t="s">
        <v>2840</v>
      </c>
      <c r="B723" s="215" t="str">
        <f>'ชีต12'!E134</f>
        <v>คุณกิติศักดิ์</v>
      </c>
      <c r="C723" s="216" t="str">
        <f>'ชีต12'!H134</f>
        <v/>
      </c>
      <c r="D723" s="217" t="str">
        <f>'ชีต12'!I134</f>
        <v/>
      </c>
      <c r="E723" s="218" t="str">
        <f>'ชีต12'!J134</f>
        <v/>
      </c>
    </row>
    <row r="724">
      <c r="A724" s="205" t="s">
        <v>2841</v>
      </c>
      <c r="B724" s="215" t="str">
        <f>'ชีต12'!E135</f>
        <v>คุณพิชยดล</v>
      </c>
      <c r="C724" s="216" t="str">
        <f>'ชีต12'!H135</f>
        <v/>
      </c>
      <c r="D724" s="217" t="str">
        <f>'ชีต12'!I135</f>
        <v/>
      </c>
      <c r="E724" s="218" t="str">
        <f>'ชีต12'!J135</f>
        <v/>
      </c>
    </row>
    <row r="725">
      <c r="A725" s="205" t="s">
        <v>2842</v>
      </c>
      <c r="B725" s="215" t="str">
        <f>'ชีต12'!E136</f>
        <v>คุณจิราวัฒน์</v>
      </c>
      <c r="C725" s="216" t="str">
        <f>'ชีต12'!H136</f>
        <v/>
      </c>
      <c r="D725" s="217" t="str">
        <f>'ชีต12'!I136</f>
        <v/>
      </c>
      <c r="E725" s="218" t="str">
        <f>'ชีต12'!J136</f>
        <v/>
      </c>
    </row>
    <row r="726">
      <c r="A726" s="205" t="s">
        <v>2843</v>
      </c>
      <c r="B726" s="215" t="str">
        <f>'ชีต12'!E137</f>
        <v>คุณศราวุฒิ</v>
      </c>
      <c r="C726" s="216" t="str">
        <f>'ชีต12'!H137</f>
        <v/>
      </c>
      <c r="D726" s="217" t="str">
        <f>'ชีต12'!I137</f>
        <v/>
      </c>
      <c r="E726" s="218" t="str">
        <f>'ชีต12'!J137</f>
        <v/>
      </c>
    </row>
    <row r="727">
      <c r="A727" s="205" t="s">
        <v>2844</v>
      </c>
      <c r="B727" s="215" t="str">
        <f>'ชีต12'!E138</f>
        <v>คุณธนาธิป</v>
      </c>
      <c r="C727" s="216" t="str">
        <f>'ชีต12'!H138</f>
        <v/>
      </c>
      <c r="D727" s="217" t="str">
        <f>'ชีต12'!I138</f>
        <v/>
      </c>
      <c r="E727" s="218" t="str">
        <f>'ชีต12'!J138</f>
        <v/>
      </c>
    </row>
    <row r="728">
      <c r="A728" s="205" t="s">
        <v>2845</v>
      </c>
      <c r="B728" s="215" t="str">
        <f>'ชีต12'!E139</f>
        <v>คุณนุศรา</v>
      </c>
      <c r="C728" s="216" t="str">
        <f>'ชีต12'!H139</f>
        <v/>
      </c>
      <c r="D728" s="217" t="str">
        <f>'ชีต12'!I139</f>
        <v/>
      </c>
      <c r="E728" s="218" t="str">
        <f>'ชีต12'!J139</f>
        <v/>
      </c>
    </row>
    <row r="729">
      <c r="A729" s="205" t="s">
        <v>2846</v>
      </c>
      <c r="B729" s="215" t="str">
        <f>'ชีต12'!E140</f>
        <v>คุณธนาธิป</v>
      </c>
      <c r="C729" s="216" t="str">
        <f>'ชีต12'!H140</f>
        <v/>
      </c>
      <c r="D729" s="217" t="str">
        <f>'ชีต12'!I140</f>
        <v/>
      </c>
      <c r="E729" s="218" t="str">
        <f>'ชีต12'!J140</f>
        <v/>
      </c>
    </row>
    <row r="730">
      <c r="A730" s="205" t="s">
        <v>2847</v>
      </c>
      <c r="B730" s="215" t="str">
        <f>'ชีต12'!E141</f>
        <v>คุณมิน</v>
      </c>
      <c r="C730" s="216" t="str">
        <f>'ชีต12'!H141</f>
        <v/>
      </c>
      <c r="D730" s="217" t="str">
        <f>'ชีต12'!I141</f>
        <v/>
      </c>
      <c r="E730" s="218" t="str">
        <f>'ชีต12'!J141</f>
        <v/>
      </c>
    </row>
    <row r="731">
      <c r="A731" s="205" t="s">
        <v>2848</v>
      </c>
      <c r="B731" s="215" t="str">
        <f>'ชีต12'!E142</f>
        <v>คุณอภินันท์</v>
      </c>
      <c r="C731" s="216" t="str">
        <f>'ชีต12'!H142</f>
        <v/>
      </c>
      <c r="D731" s="217" t="str">
        <f>'ชีต12'!I142</f>
        <v/>
      </c>
      <c r="E731" s="218" t="str">
        <f>'ชีต12'!J142</f>
        <v/>
      </c>
    </row>
    <row r="732">
      <c r="A732" s="205" t="s">
        <v>2849</v>
      </c>
      <c r="B732" s="215" t="str">
        <f>'ชีต12'!E143</f>
        <v>คุณจิราวัฒน์</v>
      </c>
      <c r="C732" s="216" t="str">
        <f>'ชีต12'!H143</f>
        <v>235 หมู่ 13 ถนนรามอินทรา ต.หนองจิก อ.ปากช่อง จ.นนทบุรี</v>
      </c>
      <c r="D732" s="217">
        <f>'ชีต12'!I143</f>
        <v>1842363725595</v>
      </c>
      <c r="E732" s="218">
        <f>'ชีต12'!J143</f>
        <v>825368143</v>
      </c>
    </row>
    <row r="733">
      <c r="A733" s="205" t="s">
        <v>2850</v>
      </c>
      <c r="B733" s="215" t="str">
        <f>'ชีต12'!E144</f>
        <v>คุณสุดารัตน์</v>
      </c>
      <c r="C733" s="216" t="str">
        <f>'ชีต12'!H144</f>
        <v/>
      </c>
      <c r="D733" s="217" t="str">
        <f>'ชีต12'!I144</f>
        <v/>
      </c>
      <c r="E733" s="218" t="str">
        <f>'ชีต12'!J144</f>
        <v/>
      </c>
    </row>
    <row r="734">
      <c r="A734" s="205" t="s">
        <v>2851</v>
      </c>
      <c r="B734" s="215" t="str">
        <f>'ชีต12'!E145</f>
        <v>คุณกิตติชัย</v>
      </c>
      <c r="C734" s="216" t="str">
        <f>'ชีต12'!H145</f>
        <v/>
      </c>
      <c r="D734" s="217" t="str">
        <f>'ชีต12'!I145</f>
        <v/>
      </c>
      <c r="E734" s="218" t="str">
        <f>'ชีต12'!J145</f>
        <v/>
      </c>
    </row>
    <row r="735">
      <c r="A735" s="205" t="s">
        <v>2852</v>
      </c>
      <c r="B735" s="215" t="str">
        <f>'ชีต12'!E146</f>
        <v>คุณธนาธิป</v>
      </c>
      <c r="C735" s="216" t="str">
        <f>'ชีต12'!H146</f>
        <v>599 หมู่ 10 ถนนพหลโยธิน ต.บ้านใหม่ อ.บ้านไผ่ จ.ขอนแก่น</v>
      </c>
      <c r="D735" s="217">
        <f>'ชีต12'!I146</f>
        <v>1468647714210</v>
      </c>
      <c r="E735" s="218">
        <f>'ชีต12'!J146</f>
        <v>948970725</v>
      </c>
    </row>
    <row r="736">
      <c r="A736" s="205" t="s">
        <v>2853</v>
      </c>
      <c r="B736" s="215" t="str">
        <f>'ชีต12'!E147</f>
        <v>คุณจิราวัฒน์</v>
      </c>
      <c r="C736" s="216" t="str">
        <f>'ชีต12'!H147</f>
        <v/>
      </c>
      <c r="D736" s="217" t="str">
        <f>'ชีต12'!I147</f>
        <v/>
      </c>
      <c r="E736" s="218" t="str">
        <f>'ชีต12'!J147</f>
        <v/>
      </c>
    </row>
    <row r="737">
      <c r="A737" s="205" t="s">
        <v>2854</v>
      </c>
      <c r="B737" s="215" t="str">
        <f>'ชีต12'!E148</f>
        <v>คุณศราวุฒิ</v>
      </c>
      <c r="C737" s="216" t="str">
        <f>'ชีต12'!H148</f>
        <v>61 หมู่ 2 ถนนรามอินทรา ต.ท่าศาลา อ.บ้านไผ่ จ.พระนครศรีอยุธยา</v>
      </c>
      <c r="D737" s="217">
        <f>'ชีต12'!I148</f>
        <v>1681284705030</v>
      </c>
      <c r="E737" s="218">
        <f>'ชีต12'!J148</f>
        <v>917634346</v>
      </c>
    </row>
    <row r="738">
      <c r="A738" s="205" t="s">
        <v>2855</v>
      </c>
      <c r="B738" s="215" t="str">
        <f>'ชีต12'!E149</f>
        <v>คุณแสงจันทร์</v>
      </c>
      <c r="C738" s="216" t="str">
        <f>'ชีต12'!H149</f>
        <v>749 หมู่ 2 ถนนสุขุมวิท ต.หนองจิก อ.ลำลูกกา จ.นนทบุรี</v>
      </c>
      <c r="D738" s="217">
        <f>'ชีต12'!I149</f>
        <v>1468647714210</v>
      </c>
      <c r="E738" s="218">
        <f>'ชีต12'!J149</f>
        <v>948970725</v>
      </c>
    </row>
    <row r="739">
      <c r="A739" s="205" t="s">
        <v>2856</v>
      </c>
      <c r="B739" s="215" t="str">
        <f>'ชีต12'!E150</f>
        <v>คุณพิชยดล</v>
      </c>
      <c r="C739" s="216" t="str">
        <f>'ชีต12'!H150</f>
        <v/>
      </c>
      <c r="D739" s="217" t="str">
        <f>'ชีต12'!I150</f>
        <v/>
      </c>
      <c r="E739" s="218" t="str">
        <f>'ชีต12'!J150</f>
        <v/>
      </c>
    </row>
    <row r="740">
      <c r="A740" s="205" t="s">
        <v>2857</v>
      </c>
      <c r="B740" s="215" t="str">
        <f>'ชีต12'!E151</f>
        <v>คุณคมกริช</v>
      </c>
      <c r="C740" s="216" t="str">
        <f>'ชีต12'!H151</f>
        <v/>
      </c>
      <c r="D740" s="217" t="str">
        <f>'ชีต12'!I151</f>
        <v/>
      </c>
      <c r="E740" s="218" t="str">
        <f>'ชีต12'!J151</f>
        <v/>
      </c>
    </row>
    <row r="741">
      <c r="A741" s="205" t="s">
        <v>2858</v>
      </c>
      <c r="B741" s="215" t="str">
        <f>'ชีต12'!E152</f>
        <v>คุณทัจนีย์</v>
      </c>
      <c r="C741" s="216" t="str">
        <f>'ชีต12'!H152</f>
        <v/>
      </c>
      <c r="D741" s="217" t="str">
        <f>'ชีต12'!I152</f>
        <v/>
      </c>
      <c r="E741" s="218" t="str">
        <f>'ชีต12'!J152</f>
        <v/>
      </c>
    </row>
    <row r="742">
      <c r="A742" s="205" t="s">
        <v>2859</v>
      </c>
      <c r="B742" s="215" t="str">
        <f>'ชีต12'!E153</f>
        <v>คุณนุศรา</v>
      </c>
      <c r="C742" s="216" t="str">
        <f>'ชีต12'!H153</f>
        <v>599 หมู่ 10 ถนนพหลโยธิน ต.โคกสูง อ.ท่าเรือ จ.สระบุรี</v>
      </c>
      <c r="D742" s="217">
        <f>'ชีต12'!I153</f>
        <v>1468647714210</v>
      </c>
      <c r="E742" s="218">
        <f>'ชีต12'!J153</f>
        <v>948970725</v>
      </c>
    </row>
    <row r="743">
      <c r="A743" s="205" t="s">
        <v>2860</v>
      </c>
      <c r="B743" s="215" t="str">
        <f>'ชีต12'!E154</f>
        <v>คุณศราวุฒิ</v>
      </c>
      <c r="C743" s="216" t="str">
        <f>'ชีต12'!H154</f>
        <v/>
      </c>
      <c r="D743" s="217" t="str">
        <f>'ชีต12'!I154</f>
        <v/>
      </c>
      <c r="E743" s="218" t="str">
        <f>'ชีต12'!J154</f>
        <v/>
      </c>
    </row>
    <row r="744">
      <c r="A744" s="205" t="s">
        <v>2861</v>
      </c>
      <c r="B744" s="215" t="str">
        <f>'ชีต12'!E155</f>
        <v>คุณทรงวุฒิ</v>
      </c>
      <c r="C744" s="216" t="str">
        <f>'ชีต12'!H155</f>
        <v>61 หมู่ 2 ถนนรามอินทรา ต.ท่าศาลา อ.บ้านไผ่ จ.นครปฐม</v>
      </c>
      <c r="D744" s="217">
        <f>'ชีต12'!I155</f>
        <v>1681284705030</v>
      </c>
      <c r="E744" s="218">
        <f>'ชีต12'!J155</f>
        <v>917634346</v>
      </c>
    </row>
    <row r="745">
      <c r="A745" s="205" t="s">
        <v>2862</v>
      </c>
      <c r="B745" s="215" t="str">
        <f>'ชีต12'!E156</f>
        <v>คุณจิราวัฒน์</v>
      </c>
      <c r="C745" s="216" t="str">
        <f>'ชีต12'!H156</f>
        <v>749 หมู่ 2 ถนนสุขุมวิท ต.หนองจิก อ.ลำลูกกา จ.นนทบุรี</v>
      </c>
      <c r="D745" s="217">
        <f>'ชีต12'!I156</f>
        <v>1468647714210</v>
      </c>
      <c r="E745" s="218">
        <f>'ชีต12'!J156</f>
        <v>948970725</v>
      </c>
    </row>
    <row r="746">
      <c r="A746" s="205" t="s">
        <v>2863</v>
      </c>
      <c r="B746" s="215" t="str">
        <f>'ชีต12'!E157</f>
        <v>คุณกิตติชัย</v>
      </c>
      <c r="C746" s="216" t="str">
        <f>'ชีต12'!H157</f>
        <v/>
      </c>
      <c r="D746" s="217" t="str">
        <f>'ชีต12'!I157</f>
        <v/>
      </c>
      <c r="E746" s="218" t="str">
        <f>'ชีต12'!J157</f>
        <v/>
      </c>
    </row>
    <row r="747">
      <c r="A747" s="205" t="s">
        <v>2864</v>
      </c>
      <c r="B747" s="215" t="str">
        <f>'ชีต12'!E158</f>
        <v>คุณนิราช</v>
      </c>
      <c r="C747" s="216" t="str">
        <f>'ชีต12'!H158</f>
        <v/>
      </c>
      <c r="D747" s="217" t="str">
        <f>'ชีต12'!I158</f>
        <v/>
      </c>
      <c r="E747" s="218" t="str">
        <f>'ชีต12'!J158</f>
        <v/>
      </c>
    </row>
    <row r="748">
      <c r="A748" s="205" t="s">
        <v>2865</v>
      </c>
      <c r="B748" s="215" t="str">
        <f>'ชีต12'!E159</f>
        <v>คุณปิติภัทร</v>
      </c>
      <c r="C748" s="216" t="str">
        <f>'ชีต12'!H159</f>
        <v/>
      </c>
      <c r="D748" s="217" t="str">
        <f>'ชีต12'!I159</f>
        <v/>
      </c>
      <c r="E748" s="218" t="str">
        <f>'ชีต12'!J159</f>
        <v/>
      </c>
    </row>
    <row r="749">
      <c r="A749" s="205" t="s">
        <v>2866</v>
      </c>
      <c r="B749" s="215" t="str">
        <f>'ชีต12'!E160</f>
        <v>คุณคมกริช</v>
      </c>
      <c r="C749" s="216" t="str">
        <f>'ชีต12'!H160</f>
        <v>599 หมู่ 10 ถนนพหลโยธิน ต.โคกสูง อ.ท่าเรือ จ.สระบุรี</v>
      </c>
      <c r="D749" s="217">
        <f>'ชีต12'!I160</f>
        <v>1468647714210</v>
      </c>
      <c r="E749" s="218">
        <f>'ชีต12'!J160</f>
        <v>948970725</v>
      </c>
    </row>
    <row r="750">
      <c r="A750" s="205" t="s">
        <v>2867</v>
      </c>
      <c r="B750" s="215" t="str">
        <f>'ชีต12'!E161</f>
        <v>คุณพิชยดล</v>
      </c>
      <c r="C750" s="216" t="str">
        <f>'ชีต12'!H161</f>
        <v/>
      </c>
      <c r="D750" s="217" t="str">
        <f>'ชีต12'!I161</f>
        <v/>
      </c>
      <c r="E750" s="218" t="str">
        <f>'ชีต12'!J161</f>
        <v/>
      </c>
    </row>
    <row r="751">
      <c r="A751" s="205" t="s">
        <v>2868</v>
      </c>
      <c r="B751" s="215" t="str">
        <f>'ชีต12'!E162</f>
        <v>คุณวิชัยยุทธ</v>
      </c>
      <c r="C751" s="216" t="str">
        <f>'ชีต12'!H162</f>
        <v>61 หมู่ 2 ถนนรามอินทรา ต.ท่าศาลา อ.บ้านไผ่ จ.นครปฐม</v>
      </c>
      <c r="D751" s="217">
        <f>'ชีต12'!I162</f>
        <v>1681284705030</v>
      </c>
      <c r="E751" s="218">
        <f>'ชีต12'!J162</f>
        <v>917634346</v>
      </c>
    </row>
    <row r="752">
      <c r="A752" s="205" t="s">
        <v>2869</v>
      </c>
      <c r="B752" s="215" t="str">
        <f>'ชีต12'!E163</f>
        <v>คุณแสงจันทร์</v>
      </c>
      <c r="C752" s="216" t="str">
        <f>'ชีต12'!H163</f>
        <v>749 หมู่ 2 ถนนสุขุมวิท ต.หนองจิก อ.ลำลูกกา จ.นนทบุรี</v>
      </c>
      <c r="D752" s="217">
        <f>'ชีต12'!I163</f>
        <v>1468647714210</v>
      </c>
      <c r="E752" s="218">
        <f>'ชีต12'!J163</f>
        <v>948970725</v>
      </c>
    </row>
    <row r="753">
      <c r="A753" s="205" t="s">
        <v>2870</v>
      </c>
      <c r="B753" s="215" t="str">
        <f>'ชีต12'!E164</f>
        <v>คุณพิชยดล</v>
      </c>
      <c r="C753" s="216" t="str">
        <f>'ชีต12'!H164</f>
        <v/>
      </c>
      <c r="D753" s="217" t="str">
        <f>'ชีต12'!I164</f>
        <v/>
      </c>
      <c r="E753" s="218" t="str">
        <f>'ชีต12'!J164</f>
        <v/>
      </c>
    </row>
    <row r="754">
      <c r="A754" s="205" t="s">
        <v>2871</v>
      </c>
      <c r="B754" s="215" t="str">
        <f>'ชีต12'!E165</f>
        <v>คุณคมกริช</v>
      </c>
      <c r="C754" s="216" t="str">
        <f>'ชีต12'!H165</f>
        <v/>
      </c>
      <c r="D754" s="217" t="str">
        <f>'ชีต12'!I165</f>
        <v/>
      </c>
      <c r="E754" s="218" t="str">
        <f>'ชีต12'!J165</f>
        <v/>
      </c>
    </row>
    <row r="755">
      <c r="A755" s="205" t="s">
        <v>2872</v>
      </c>
      <c r="B755" s="215" t="str">
        <f>'ชีต12'!E166</f>
        <v>คุณพิชยดล</v>
      </c>
      <c r="C755" s="216" t="str">
        <f>'ชีต12'!H166</f>
        <v>749 หมู่ 2 ถนนสุขุมวิท ต.หนองจิก อ.ลำลูกกา จ.นนทบุรี</v>
      </c>
      <c r="D755" s="217">
        <f>'ชีต12'!I166</f>
        <v>1468647714210</v>
      </c>
      <c r="E755" s="218">
        <f>'ชีต12'!J166</f>
        <v>948970725</v>
      </c>
    </row>
    <row r="756">
      <c r="A756" s="205" t="s">
        <v>2873</v>
      </c>
      <c r="B756" s="215" t="str">
        <f>'ชีต12'!E167</f>
        <v>คุณจิราวัฒน์</v>
      </c>
      <c r="C756" s="216" t="str">
        <f>'ชีต12'!H167</f>
        <v/>
      </c>
      <c r="D756" s="217" t="str">
        <f>'ชีต12'!I167</f>
        <v/>
      </c>
      <c r="E756" s="218" t="str">
        <f>'ชีต12'!J167</f>
        <v/>
      </c>
    </row>
    <row r="757">
      <c r="A757" s="205" t="s">
        <v>2874</v>
      </c>
      <c r="B757" s="215" t="str">
        <f>'ชีต12'!E168</f>
        <v>คุณสุดารัตน์</v>
      </c>
      <c r="C757" s="216" t="str">
        <f>'ชีต12'!H168</f>
        <v/>
      </c>
      <c r="D757" s="217" t="str">
        <f>'ชีต12'!I168</f>
        <v/>
      </c>
      <c r="E757" s="218" t="str">
        <f>'ชีต12'!J168</f>
        <v/>
      </c>
    </row>
    <row r="758">
      <c r="A758" s="205" t="s">
        <v>2875</v>
      </c>
      <c r="B758" s="215" t="str">
        <f>'ชีต12'!E169</f>
        <v>คุณธนาธิป</v>
      </c>
      <c r="C758" s="216" t="str">
        <f>'ชีต12'!H169</f>
        <v/>
      </c>
      <c r="D758" s="217" t="str">
        <f>'ชีต12'!I169</f>
        <v/>
      </c>
      <c r="E758" s="218" t="str">
        <f>'ชีต12'!J169</f>
        <v/>
      </c>
    </row>
    <row r="759">
      <c r="A759" s="205" t="s">
        <v>2876</v>
      </c>
      <c r="B759" s="215" t="str">
        <f>'ชีต12'!E170</f>
        <v>คุณศราวุฒิ</v>
      </c>
      <c r="C759" s="216" t="str">
        <f>'ชีต12'!H170</f>
        <v>599 หมู่ 10 ถนนพหลโยธิน ต.โคกสูง อ.ท่าเรือ จ.สระบุรี</v>
      </c>
      <c r="D759" s="217">
        <f>'ชีต12'!I170</f>
        <v>1468647714210</v>
      </c>
      <c r="E759" s="218">
        <f>'ชีต12'!J170</f>
        <v>948970725</v>
      </c>
    </row>
    <row r="760">
      <c r="A760" s="205" t="s">
        <v>2877</v>
      </c>
      <c r="B760" s="215" t="str">
        <f>'ชีต12'!E171</f>
        <v>คุณจิราวัฒน์</v>
      </c>
      <c r="C760" s="216" t="str">
        <f>'ชีต12'!H171</f>
        <v/>
      </c>
      <c r="D760" s="217" t="str">
        <f>'ชีต12'!I171</f>
        <v/>
      </c>
      <c r="E760" s="218" t="str">
        <f>'ชีต12'!J171</f>
        <v/>
      </c>
    </row>
    <row r="761">
      <c r="A761" s="205" t="s">
        <v>2878</v>
      </c>
      <c r="B761" s="215" t="str">
        <f>'ชีต12'!E172</f>
        <v>คุณแสงจันทร์</v>
      </c>
      <c r="C761" s="216" t="str">
        <f>'ชีต12'!H172</f>
        <v>61 หมู่ 2 ถนนรามอินทรา ต.ท่าศาลา อ.บ้านไผ่ จ.นครปฐม</v>
      </c>
      <c r="D761" s="217">
        <f>'ชีต12'!I172</f>
        <v>1681284705030</v>
      </c>
      <c r="E761" s="218">
        <f>'ชีต12'!J172</f>
        <v>917634346</v>
      </c>
    </row>
    <row r="762">
      <c r="A762" s="205" t="s">
        <v>2879</v>
      </c>
      <c r="B762" s="215" t="str">
        <f>'ชีต12'!E173</f>
        <v>คุณพิชยดล</v>
      </c>
      <c r="C762" s="216" t="str">
        <f>'ชีต12'!H173</f>
        <v>749 หมู่ 2 ถนนสุขุมวิท ต.หนองจิก อ.ลำลูกกา จ.นนทบุรี</v>
      </c>
      <c r="D762" s="217">
        <f>'ชีต12'!I173</f>
        <v>1468647714210</v>
      </c>
      <c r="E762" s="218">
        <f>'ชีต12'!J173</f>
        <v>948970725</v>
      </c>
    </row>
    <row r="763">
      <c r="A763" s="205" t="s">
        <v>2880</v>
      </c>
      <c r="B763" s="215" t="str">
        <f>'ชีต12'!E174</f>
        <v>คุณจิราวัฒน์</v>
      </c>
      <c r="C763" s="216" t="str">
        <f>'ชีต12'!H174</f>
        <v/>
      </c>
      <c r="D763" s="217" t="str">
        <f>'ชีต12'!I174</f>
        <v/>
      </c>
      <c r="E763" s="218" t="str">
        <f>'ชีต12'!J174</f>
        <v/>
      </c>
    </row>
    <row r="764">
      <c r="A764" s="205" t="s">
        <v>2881</v>
      </c>
      <c r="B764" s="215" t="str">
        <f>'ชีต12'!E175</f>
        <v>คุณสุดารัตน์</v>
      </c>
      <c r="C764" s="216" t="str">
        <f>'ชีต12'!H175</f>
        <v/>
      </c>
      <c r="D764" s="217" t="str">
        <f>'ชีต12'!I175</f>
        <v/>
      </c>
      <c r="E764" s="218" t="str">
        <f>'ชีต12'!J175</f>
        <v/>
      </c>
    </row>
    <row r="765">
      <c r="A765" s="205" t="s">
        <v>2882</v>
      </c>
      <c r="B765" s="215" t="str">
        <f>'ชีต12'!E176</f>
        <v>คุณธนาธิป</v>
      </c>
      <c r="C765" s="216" t="str">
        <f>'ชีต12'!H176</f>
        <v/>
      </c>
      <c r="D765" s="217" t="str">
        <f>'ชีต12'!I176</f>
        <v/>
      </c>
      <c r="E765" s="218" t="str">
        <f>'ชีต12'!J176</f>
        <v/>
      </c>
    </row>
    <row r="766">
      <c r="A766" s="205" t="s">
        <v>2883</v>
      </c>
      <c r="B766" s="215" t="str">
        <f>'ชีต12'!E177</f>
        <v>คุณศราวุฒิ</v>
      </c>
      <c r="C766" s="216" t="str">
        <f>'ชีต12'!H177</f>
        <v>599 หมู่ 10 ถนนพหลโยธิน ต.โคกสูง อ.ท่าเรือ จ.สระบุรี</v>
      </c>
      <c r="D766" s="217">
        <f>'ชีต12'!I177</f>
        <v>1468647714210</v>
      </c>
      <c r="E766" s="218">
        <f>'ชีต12'!J177</f>
        <v>948970725</v>
      </c>
    </row>
    <row r="767">
      <c r="A767" s="205" t="s">
        <v>2884</v>
      </c>
      <c r="B767" s="215" t="str">
        <f>'ชีต12'!E178</f>
        <v>คุณจิราวัฒน์</v>
      </c>
      <c r="C767" s="216" t="str">
        <f>'ชีต12'!H178</f>
        <v/>
      </c>
      <c r="D767" s="217" t="str">
        <f>'ชีต12'!I178</f>
        <v/>
      </c>
      <c r="E767" s="218" t="str">
        <f>'ชีต12'!J178</f>
        <v/>
      </c>
    </row>
    <row r="768">
      <c r="A768" s="205" t="s">
        <v>2885</v>
      </c>
      <c r="B768" s="215" t="str">
        <f>'ชีต12'!E179</f>
        <v>คุณแสงจันทร์</v>
      </c>
      <c r="C768" s="216" t="str">
        <f>'ชีต12'!H179</f>
        <v>61 หมู่ 2 ถนนรามอินทรา ต.ท่าศาลา อ.บ้านไผ่ จ.นครปฐม</v>
      </c>
      <c r="D768" s="217">
        <f>'ชีต12'!I179</f>
        <v>1681284705030</v>
      </c>
      <c r="E768" s="218">
        <f>'ชีต12'!J179</f>
        <v>917634346</v>
      </c>
    </row>
    <row r="769">
      <c r="A769" s="205" t="s">
        <v>2886</v>
      </c>
      <c r="B769" s="215" t="str">
        <f>'ชีต12'!E180</f>
        <v>คุณพิชยดล</v>
      </c>
      <c r="C769" s="216" t="str">
        <f>'ชีต12'!H180</f>
        <v>749 หมู่ 2 ถนนสุขุมวิท ต.หนองจิก อ.ลำลูกกา จ.นนทบุรี</v>
      </c>
      <c r="D769" s="217">
        <f>'ชีต12'!I180</f>
        <v>1468647714210</v>
      </c>
      <c r="E769" s="218">
        <f>'ชีต12'!J180</f>
        <v>948970725</v>
      </c>
    </row>
    <row r="770">
      <c r="A770" s="205" t="s">
        <v>2887</v>
      </c>
      <c r="B770" s="215" t="str">
        <f>'ชีต12'!E181</f>
        <v>คุณจิราวัฒน์</v>
      </c>
      <c r="C770" s="216" t="str">
        <f>'ชีต12'!H181</f>
        <v/>
      </c>
      <c r="D770" s="217" t="str">
        <f>'ชีต12'!I181</f>
        <v/>
      </c>
      <c r="E770" s="218" t="str">
        <f>'ชีต12'!J181</f>
        <v/>
      </c>
    </row>
    <row r="771">
      <c r="A771" s="205" t="s">
        <v>2888</v>
      </c>
      <c r="B771" s="215" t="str">
        <f>'ชีต12'!E182</f>
        <v>คุณสุดารัตน์</v>
      </c>
      <c r="C771" s="216" t="str">
        <f>'ชีต12'!H182</f>
        <v/>
      </c>
      <c r="D771" s="217" t="str">
        <f>'ชีต12'!I182</f>
        <v/>
      </c>
      <c r="E771" s="218" t="str">
        <f>'ชีต12'!J182</f>
        <v/>
      </c>
    </row>
    <row r="772">
      <c r="A772" s="205" t="s">
        <v>2889</v>
      </c>
      <c r="B772" s="215" t="str">
        <f>'ชีต12'!E183</f>
        <v>คุณธนาธิป</v>
      </c>
      <c r="C772" s="216" t="str">
        <f>'ชีต12'!H183</f>
        <v/>
      </c>
      <c r="D772" s="217" t="str">
        <f>'ชีต12'!I183</f>
        <v/>
      </c>
      <c r="E772" s="218" t="str">
        <f>'ชีต12'!J183</f>
        <v/>
      </c>
    </row>
    <row r="773">
      <c r="A773" s="205" t="s">
        <v>2890</v>
      </c>
      <c r="B773" s="215" t="str">
        <f>'ชีต12'!E184</f>
        <v>คุณศราวุฒิ</v>
      </c>
      <c r="C773" s="216" t="str">
        <f>'ชีต12'!H184</f>
        <v>599 หมู่ 10 ถนนพหลโยธิน ต.โคกสูง อ.ท่าเรือ จ.สระบุรี</v>
      </c>
      <c r="D773" s="217">
        <f>'ชีต12'!I184</f>
        <v>1468647714210</v>
      </c>
      <c r="E773" s="218">
        <f>'ชีต12'!J184</f>
        <v>948970725</v>
      </c>
    </row>
    <row r="774">
      <c r="A774" s="205" t="s">
        <v>2891</v>
      </c>
      <c r="B774" s="215" t="str">
        <f>'ชีต12'!E185</f>
        <v>คุณจิราวัฒน์</v>
      </c>
      <c r="C774" s="216" t="str">
        <f>'ชีต12'!H185</f>
        <v/>
      </c>
      <c r="D774" s="217" t="str">
        <f>'ชีต12'!I185</f>
        <v/>
      </c>
      <c r="E774" s="218" t="str">
        <f>'ชีต12'!J185</f>
        <v/>
      </c>
    </row>
    <row r="775">
      <c r="A775" s="205" t="s">
        <v>2892</v>
      </c>
      <c r="B775" s="215" t="str">
        <f>'ชีต12'!E186</f>
        <v>คุณแสงจันทร์</v>
      </c>
      <c r="C775" s="216" t="str">
        <f>'ชีต12'!H186</f>
        <v>61 หมู่ 2 ถนนรามอินทรา ต.ท่าศาลา อ.บ้านไผ่ จ.นครปฐม</v>
      </c>
      <c r="D775" s="217">
        <f>'ชีต12'!I186</f>
        <v>1681284705030</v>
      </c>
      <c r="E775" s="218">
        <f>'ชีต12'!J186</f>
        <v>917634346</v>
      </c>
    </row>
    <row r="776">
      <c r="A776" s="205" t="s">
        <v>2893</v>
      </c>
      <c r="B776" s="215" t="str">
        <f>'ชีต12'!E187</f>
        <v>คุณพิชยดล</v>
      </c>
      <c r="C776" s="216" t="str">
        <f>'ชีต12'!H187</f>
        <v>749 หมู่ 2 ถนนสุขุมวิท ต.หนองจิก อ.ลำลูกกา จ.นนทบุรี</v>
      </c>
      <c r="D776" s="217">
        <f>'ชีต12'!I187</f>
        <v>1468647714210</v>
      </c>
      <c r="E776" s="218">
        <f>'ชีต12'!J187</f>
        <v>948970725</v>
      </c>
    </row>
    <row r="777">
      <c r="A777" s="205" t="s">
        <v>2894</v>
      </c>
      <c r="B777" s="215" t="str">
        <f>'ชีต12'!E188</f>
        <v>คุณจิราวัฒน์</v>
      </c>
      <c r="C777" s="216" t="str">
        <f>'ชีต12'!H188</f>
        <v/>
      </c>
      <c r="D777" s="217" t="str">
        <f>'ชีต12'!I188</f>
        <v/>
      </c>
      <c r="E777" s="218" t="str">
        <f>'ชีต12'!J188</f>
        <v/>
      </c>
    </row>
    <row r="778">
      <c r="A778" s="205" t="s">
        <v>2895</v>
      </c>
      <c r="B778" s="215" t="str">
        <f>'ชีต12'!E189</f>
        <v>คุณสุดารัตน์</v>
      </c>
      <c r="C778" s="216" t="str">
        <f>'ชีต12'!H189</f>
        <v/>
      </c>
      <c r="D778" s="217" t="str">
        <f>'ชีต12'!I189</f>
        <v/>
      </c>
      <c r="E778" s="218" t="str">
        <f>'ชีต12'!J189</f>
        <v/>
      </c>
    </row>
    <row r="779">
      <c r="A779" s="205" t="s">
        <v>2896</v>
      </c>
      <c r="B779" s="215" t="str">
        <f>'ชีต12'!E190</f>
        <v>คุณธนาธิป</v>
      </c>
      <c r="C779" s="216" t="str">
        <f>'ชีต12'!H190</f>
        <v/>
      </c>
      <c r="D779" s="217" t="str">
        <f>'ชีต12'!I190</f>
        <v/>
      </c>
      <c r="E779" s="218" t="str">
        <f>'ชีต12'!J190</f>
        <v/>
      </c>
    </row>
    <row r="780">
      <c r="A780" s="205" t="s">
        <v>2897</v>
      </c>
      <c r="B780" s="215" t="str">
        <f>'ชีต12'!E191</f>
        <v>คุณศราวุฒิ</v>
      </c>
      <c r="C780" s="216" t="str">
        <f>'ชีต12'!H191</f>
        <v>599 หมู่ 10 ถนนพหลโยธิน ต.โคกสูง อ.ท่าเรือ จ.สระบุรี</v>
      </c>
      <c r="D780" s="217">
        <f>'ชีต12'!I191</f>
        <v>1468647714210</v>
      </c>
      <c r="E780" s="218">
        <f>'ชีต12'!J191</f>
        <v>948970725</v>
      </c>
    </row>
    <row r="781">
      <c r="A781" s="205" t="s">
        <v>2898</v>
      </c>
      <c r="B781" s="215" t="str">
        <f>'ชีต12'!E192</f>
        <v>คุณจิราวัฒน์</v>
      </c>
      <c r="C781" s="216" t="str">
        <f>'ชีต12'!H192</f>
        <v/>
      </c>
      <c r="D781" s="217" t="str">
        <f>'ชีต12'!I192</f>
        <v/>
      </c>
      <c r="E781" s="218" t="str">
        <f>'ชีต12'!J192</f>
        <v/>
      </c>
    </row>
    <row r="782">
      <c r="A782" s="205" t="s">
        <v>2899</v>
      </c>
      <c r="B782" s="215" t="str">
        <f>'ชีต12'!E193</f>
        <v>คุณแสงจันทร์</v>
      </c>
      <c r="C782" s="216" t="str">
        <f>'ชีต12'!H193</f>
        <v>61 หมู่ 2 ถนนรามอินทรา ต.ท่าศาลา อ.บ้านไผ่ จ.นครปฐม</v>
      </c>
      <c r="D782" s="217">
        <f>'ชีต12'!I193</f>
        <v>1681284705030</v>
      </c>
      <c r="E782" s="218">
        <f>'ชีต12'!J193</f>
        <v>917634346</v>
      </c>
    </row>
    <row r="783">
      <c r="A783" s="205" t="s">
        <v>2900</v>
      </c>
      <c r="B783" s="215" t="str">
        <f>'ชีต12'!E194</f>
        <v>คุณพิชยดล</v>
      </c>
      <c r="C783" s="216" t="str">
        <f>'ชีต12'!H194</f>
        <v>749 หมู่ 2 ถนนสุขุมวิท ต.หนองจิก อ.ลำลูกกา จ.นนทบุรี</v>
      </c>
      <c r="D783" s="217">
        <f>'ชีต12'!I194</f>
        <v>1468647714210</v>
      </c>
      <c r="E783" s="218">
        <f>'ชีต12'!J194</f>
        <v>948970725</v>
      </c>
    </row>
    <row r="784">
      <c r="A784" s="205" t="s">
        <v>2901</v>
      </c>
      <c r="B784" s="215" t="str">
        <f>'ชีต12'!E195</f>
        <v>คุณจิราวัฒน์</v>
      </c>
      <c r="C784" s="216" t="str">
        <f>'ชีต12'!H195</f>
        <v/>
      </c>
      <c r="D784" s="217" t="str">
        <f>'ชีต12'!I195</f>
        <v/>
      </c>
      <c r="E784" s="218" t="str">
        <f>'ชีต12'!J195</f>
        <v/>
      </c>
    </row>
    <row r="785">
      <c r="A785" s="205" t="s">
        <v>2902</v>
      </c>
      <c r="B785" s="215" t="str">
        <f>'ชีต12'!E196</f>
        <v>คุณสุดารัตน์</v>
      </c>
      <c r="C785" s="216" t="str">
        <f>'ชีต12'!H196</f>
        <v/>
      </c>
      <c r="D785" s="217" t="str">
        <f>'ชีต12'!I196</f>
        <v/>
      </c>
      <c r="E785" s="218" t="str">
        <f>'ชีต12'!J196</f>
        <v/>
      </c>
    </row>
    <row r="786">
      <c r="A786" s="205" t="s">
        <v>2903</v>
      </c>
      <c r="B786" s="215" t="str">
        <f>'ชีต12'!E197</f>
        <v>คุณธนาธิป</v>
      </c>
      <c r="C786" s="216" t="str">
        <f>'ชีต12'!H197</f>
        <v/>
      </c>
      <c r="D786" s="217" t="str">
        <f>'ชีต12'!I197</f>
        <v/>
      </c>
      <c r="E786" s="218" t="str">
        <f>'ชีต12'!J197</f>
        <v/>
      </c>
    </row>
    <row r="787">
      <c r="A787" s="205" t="s">
        <v>2904</v>
      </c>
      <c r="B787" s="215" t="str">
        <f>'ชีต12'!E198</f>
        <v>คุณศราวุฒิ</v>
      </c>
      <c r="C787" s="216" t="str">
        <f>'ชีต12'!H198</f>
        <v>599 หมู่ 10 ถนนพหลโยธิน ต.โคกสูง อ.ท่าเรือ จ.สระบุรี</v>
      </c>
      <c r="D787" s="217">
        <f>'ชีต12'!I198</f>
        <v>1468647714210</v>
      </c>
      <c r="E787" s="218">
        <f>'ชีต12'!J198</f>
        <v>948970725</v>
      </c>
    </row>
    <row r="788">
      <c r="A788" s="205" t="s">
        <v>2905</v>
      </c>
      <c r="B788" s="215" t="str">
        <f>'ชีต12'!E199</f>
        <v>คุณจิราวัฒน์</v>
      </c>
      <c r="C788" s="216" t="str">
        <f>'ชีต12'!H199</f>
        <v/>
      </c>
      <c r="D788" s="217" t="str">
        <f>'ชีต12'!I199</f>
        <v/>
      </c>
      <c r="E788" s="218" t="str">
        <f>'ชีต12'!J199</f>
        <v/>
      </c>
    </row>
    <row r="789">
      <c r="A789" s="205" t="s">
        <v>2906</v>
      </c>
      <c r="B789" s="215" t="str">
        <f>'ชีต12'!E200</f>
        <v>ชื่อ-นามสกุล</v>
      </c>
      <c r="C789" s="216" t="str">
        <f>'ชีต12'!H200</f>
        <v>ที่อยู่</v>
      </c>
      <c r="D789" s="217" t="str">
        <f>'ชีต12'!I200</f>
        <v>หมายเลขบัตรประชาชน</v>
      </c>
      <c r="E789" s="218" t="str">
        <f>'ชีต12'!J200</f>
        <v>เบอร์ติดต่อ</v>
      </c>
    </row>
    <row r="790">
      <c r="A790" s="205" t="s">
        <v>2907</v>
      </c>
      <c r="B790" s="215" t="str">
        <f>'ชีต12'!E201</f>
        <v>คุณแสงจันทร์</v>
      </c>
      <c r="C790" s="216" t="str">
        <f>'ชีต12'!H201</f>
        <v>61 หมู่ 2 ถนนรามอินทรา ต.ท่าศาลา อ.บ้านไผ่ จ.นครปฐม</v>
      </c>
      <c r="D790" s="217">
        <f>'ชีต12'!I201</f>
        <v>1681284705030</v>
      </c>
      <c r="E790" s="218">
        <f>'ชีต12'!J201</f>
        <v>917634346</v>
      </c>
    </row>
    <row r="791">
      <c r="A791" s="216"/>
      <c r="B791" s="215" t="str">
        <f>'ชีต12'!E202</f>
        <v>คุณอรินญา</v>
      </c>
      <c r="C791" s="216"/>
      <c r="D791" s="217"/>
      <c r="E791" s="218"/>
    </row>
    <row r="792">
      <c r="A792" s="216"/>
      <c r="B792" s="215" t="str">
        <f>'ชีต12'!E203</f>
        <v>คุณทัจนีย์</v>
      </c>
      <c r="C792" s="216"/>
      <c r="D792" s="217"/>
      <c r="E792" s="218"/>
    </row>
    <row r="793">
      <c r="A793" s="216"/>
      <c r="B793" s="215" t="str">
        <f>'ชีต12'!E204</f>
        <v>คุณปรีชา</v>
      </c>
      <c r="C793" s="216"/>
      <c r="D793" s="217"/>
      <c r="E793" s="218"/>
    </row>
    <row r="794">
      <c r="A794" s="216"/>
      <c r="B794" s="215" t="str">
        <f>'ชีต12'!E205</f>
        <v>คุณสุดารัตน์</v>
      </c>
      <c r="C794" s="216"/>
      <c r="D794" s="217"/>
      <c r="E794" s="218"/>
    </row>
    <row r="795">
      <c r="A795" s="216"/>
      <c r="B795" s="215" t="str">
        <f>'ชีต12'!E206</f>
        <v>คุณธนาธิป</v>
      </c>
      <c r="C795" s="216"/>
      <c r="D795" s="217"/>
      <c r="E795" s="218"/>
    </row>
    <row r="796">
      <c r="A796" s="216"/>
      <c r="B796" s="215" t="str">
        <f>'ชีต12'!E207</f>
        <v>คุณศราวุฒิ</v>
      </c>
      <c r="C796" s="216"/>
      <c r="D796" s="217"/>
      <c r="E796" s="218"/>
    </row>
    <row r="797">
      <c r="A797" s="216"/>
      <c r="B797" s="215" t="str">
        <f>'ชีต12'!E208</f>
        <v>คุณนุศรา</v>
      </c>
      <c r="C797" s="216"/>
      <c r="D797" s="217"/>
      <c r="E797" s="218"/>
    </row>
    <row r="798">
      <c r="A798" s="216"/>
      <c r="B798" s="215" t="str">
        <f>'ชีต12'!E209</f>
        <v>คุณชัชวาล</v>
      </c>
      <c r="C798" s="216"/>
      <c r="D798" s="217"/>
      <c r="E798" s="218"/>
    </row>
    <row r="799">
      <c r="A799" s="216"/>
      <c r="B799" s="215" t="str">
        <f>'ชีต12'!E210</f>
        <v>คุณแสงจันทร์</v>
      </c>
      <c r="C799" s="216"/>
      <c r="D799" s="217"/>
      <c r="E799" s="218"/>
    </row>
    <row r="800">
      <c r="A800" s="216"/>
      <c r="B800" s="215" t="str">
        <f>'ชีต12'!E211</f>
        <v>คุณจิราวัฒน์</v>
      </c>
      <c r="C800" s="216"/>
      <c r="D800" s="217"/>
      <c r="E800" s="218"/>
    </row>
    <row r="801">
      <c r="A801" s="216"/>
      <c r="B801" s="215" t="str">
        <f>'ชีต12'!E212</f>
        <v/>
      </c>
      <c r="C801" s="216"/>
      <c r="D801" s="217"/>
      <c r="E801" s="218"/>
    </row>
    <row r="802">
      <c r="A802" s="216"/>
      <c r="B802" s="215" t="str">
        <f>'ชีต12'!E213</f>
        <v/>
      </c>
      <c r="C802" s="216"/>
      <c r="D802" s="217"/>
      <c r="E802" s="218"/>
    </row>
    <row r="803">
      <c r="A803" s="216"/>
      <c r="B803" s="215" t="str">
        <f>'ชีต12'!E214</f>
        <v/>
      </c>
      <c r="C803" s="216"/>
      <c r="D803" s="217"/>
      <c r="E803" s="218"/>
    </row>
    <row r="804">
      <c r="A804" s="216"/>
      <c r="B804" s="215" t="str">
        <f>'ชีต12'!E215</f>
        <v/>
      </c>
      <c r="C804" s="216"/>
      <c r="D804" s="217"/>
      <c r="E804" s="218"/>
    </row>
    <row r="805">
      <c r="A805" s="216"/>
      <c r="B805" s="215" t="str">
        <f>'ชีต12'!E216</f>
        <v/>
      </c>
      <c r="C805" s="216"/>
      <c r="D805" s="217"/>
      <c r="E805" s="218"/>
    </row>
    <row r="806">
      <c r="A806" s="216"/>
      <c r="B806" s="215" t="str">
        <f>'ชีต12'!E217</f>
        <v/>
      </c>
      <c r="C806" s="216"/>
      <c r="D806" s="217"/>
      <c r="E806" s="218"/>
    </row>
    <row r="807">
      <c r="A807" s="216"/>
      <c r="B807" s="215" t="str">
        <f>'ชีต12'!E218</f>
        <v/>
      </c>
      <c r="C807" s="216"/>
      <c r="D807" s="217"/>
      <c r="E807" s="218"/>
    </row>
    <row r="808">
      <c r="A808" s="216"/>
      <c r="B808" s="215" t="str">
        <f>'ชีต12'!E219</f>
        <v/>
      </c>
      <c r="C808" s="216"/>
      <c r="D808" s="217"/>
      <c r="E808" s="218"/>
    </row>
    <row r="809">
      <c r="A809" s="216"/>
      <c r="B809" s="215" t="str">
        <f>'ชีต12'!E220</f>
        <v/>
      </c>
      <c r="C809" s="216"/>
      <c r="D809" s="217"/>
      <c r="E809" s="218"/>
    </row>
    <row r="810">
      <c r="A810" s="216"/>
      <c r="B810" s="215" t="str">
        <f>'ชีต12'!E221</f>
        <v/>
      </c>
      <c r="C810" s="216"/>
      <c r="D810" s="217"/>
      <c r="E810" s="218"/>
    </row>
    <row r="811">
      <c r="A811" s="216"/>
      <c r="B811" s="215" t="str">
        <f>'ชีต12'!E222</f>
        <v/>
      </c>
      <c r="C811" s="216"/>
      <c r="D811" s="217"/>
      <c r="E811" s="218"/>
    </row>
    <row r="812">
      <c r="A812" s="216"/>
      <c r="B812" s="215" t="str">
        <f>'ชีต12'!E223</f>
        <v/>
      </c>
      <c r="C812" s="216"/>
      <c r="D812" s="217"/>
      <c r="E812" s="218"/>
    </row>
    <row r="813">
      <c r="A813" s="216"/>
      <c r="B813" s="215" t="str">
        <f>'ชีต12'!E224</f>
        <v/>
      </c>
      <c r="C813" s="216"/>
      <c r="D813" s="217"/>
      <c r="E813" s="218"/>
    </row>
    <row r="814">
      <c r="A814" s="216"/>
      <c r="B814" s="215" t="str">
        <f>'ชีต12'!E225</f>
        <v/>
      </c>
      <c r="C814" s="216"/>
      <c r="D814" s="217"/>
      <c r="E814" s="218"/>
    </row>
    <row r="815">
      <c r="A815" s="216"/>
      <c r="B815" s="215" t="str">
        <f>'ชีต12'!E226</f>
        <v/>
      </c>
      <c r="C815" s="216"/>
      <c r="D815" s="217"/>
      <c r="E815" s="218"/>
    </row>
    <row r="816">
      <c r="A816" s="216"/>
      <c r="B816" s="215" t="str">
        <f>'ชีต12'!E227</f>
        <v/>
      </c>
      <c r="C816" s="216"/>
      <c r="D816" s="217"/>
      <c r="E816" s="218"/>
    </row>
    <row r="817">
      <c r="A817" s="216"/>
      <c r="B817" s="215" t="str">
        <f>'ชีต12'!E228</f>
        <v/>
      </c>
      <c r="C817" s="216"/>
      <c r="D817" s="217"/>
      <c r="E817" s="218"/>
    </row>
    <row r="818">
      <c r="A818" s="216"/>
      <c r="B818" s="215" t="str">
        <f>'ชีต12'!E229</f>
        <v/>
      </c>
      <c r="C818" s="216"/>
      <c r="D818" s="217"/>
      <c r="E818" s="218"/>
    </row>
    <row r="819">
      <c r="A819" s="216"/>
      <c r="B819" s="215" t="str">
        <f>'ชีต12'!E230</f>
        <v/>
      </c>
      <c r="C819" s="216"/>
      <c r="D819" s="217"/>
      <c r="E819" s="218"/>
    </row>
    <row r="820">
      <c r="A820" s="216"/>
      <c r="B820" s="215" t="str">
        <f>'ชีต12'!E231</f>
        <v/>
      </c>
      <c r="C820" s="216"/>
      <c r="D820" s="217"/>
      <c r="E820" s="218"/>
    </row>
    <row r="821">
      <c r="A821" s="216"/>
      <c r="B821" s="215" t="str">
        <f>'ชีต12'!E232</f>
        <v/>
      </c>
      <c r="C821" s="216"/>
      <c r="D821" s="217"/>
      <c r="E821" s="218"/>
    </row>
    <row r="822">
      <c r="A822" s="216"/>
      <c r="B822" s="215" t="str">
        <f>'ชีต12'!E233</f>
        <v/>
      </c>
      <c r="C822" s="216"/>
      <c r="D822" s="217"/>
      <c r="E822" s="218"/>
    </row>
    <row r="823">
      <c r="A823" s="216"/>
      <c r="B823" s="215" t="str">
        <f>'ชีต12'!E234</f>
        <v/>
      </c>
      <c r="C823" s="216"/>
      <c r="D823" s="217"/>
      <c r="E823" s="218"/>
    </row>
    <row r="824">
      <c r="A824" s="216"/>
      <c r="B824" s="215" t="str">
        <f>'ชีต12'!E235</f>
        <v/>
      </c>
      <c r="C824" s="216"/>
      <c r="D824" s="217"/>
      <c r="E824" s="218"/>
    </row>
    <row r="825">
      <c r="A825" s="216"/>
      <c r="B825" s="215" t="str">
        <f>'ชีต12'!E236</f>
        <v/>
      </c>
      <c r="C825" s="216"/>
      <c r="D825" s="217"/>
      <c r="E825" s="218"/>
    </row>
    <row r="826">
      <c r="A826" s="216"/>
      <c r="B826" s="215" t="str">
        <f>'ชีต12'!E237</f>
        <v/>
      </c>
      <c r="C826" s="216"/>
      <c r="D826" s="217"/>
      <c r="E826" s="218"/>
    </row>
    <row r="827">
      <c r="A827" s="216"/>
      <c r="B827" s="215" t="str">
        <f>'ชีต12'!E238</f>
        <v/>
      </c>
      <c r="C827" s="216"/>
      <c r="D827" s="217"/>
      <c r="E827" s="218"/>
    </row>
    <row r="828">
      <c r="A828" s="216"/>
      <c r="B828" s="215" t="str">
        <f>'ชีต12'!E239</f>
        <v/>
      </c>
      <c r="C828" s="216"/>
      <c r="D828" s="217"/>
      <c r="E828" s="218"/>
    </row>
    <row r="829">
      <c r="A829" s="216"/>
      <c r="B829" s="215" t="str">
        <f>'ชีต12'!E240</f>
        <v/>
      </c>
      <c r="C829" s="216"/>
      <c r="D829" s="217"/>
      <c r="E829" s="218"/>
    </row>
    <row r="830">
      <c r="A830" s="216"/>
      <c r="B830" s="215" t="str">
        <f>'ชีต12'!E239</f>
        <v/>
      </c>
      <c r="C830" s="216"/>
      <c r="D830" s="217"/>
      <c r="E830" s="218"/>
    </row>
    <row r="831">
      <c r="A831" s="216"/>
      <c r="B831" s="215" t="str">
        <f>'ชีต12'!E240</f>
        <v/>
      </c>
      <c r="C831" s="216"/>
      <c r="D831" s="217"/>
      <c r="E831" s="218"/>
    </row>
    <row r="832">
      <c r="A832" s="216"/>
      <c r="B832" s="215" t="str">
        <f>'ชีต12'!E241</f>
        <v/>
      </c>
      <c r="C832" s="216"/>
      <c r="D832" s="217"/>
      <c r="E832" s="218"/>
    </row>
    <row r="833">
      <c r="A833" s="216"/>
      <c r="B833" s="215" t="str">
        <f>'ชีต12'!E242</f>
        <v/>
      </c>
      <c r="C833" s="216"/>
      <c r="D833" s="217"/>
      <c r="E833" s="218"/>
    </row>
    <row r="834">
      <c r="A834" s="216"/>
      <c r="B834" s="215" t="str">
        <f>'ชีต12'!E243</f>
        <v/>
      </c>
      <c r="C834" s="216"/>
      <c r="D834" s="217"/>
      <c r="E834" s="218"/>
    </row>
    <row r="835">
      <c r="A835" s="216"/>
      <c r="B835" s="215" t="str">
        <f>'ชีต12'!E244</f>
        <v/>
      </c>
      <c r="C835" s="216"/>
      <c r="D835" s="217"/>
      <c r="E835" s="218"/>
    </row>
    <row r="836">
      <c r="A836" s="216"/>
      <c r="B836" s="215" t="str">
        <f>'ชีต12'!E245</f>
        <v/>
      </c>
      <c r="C836" s="216"/>
      <c r="D836" s="217"/>
      <c r="E836" s="218"/>
    </row>
    <row r="837">
      <c r="A837" s="216"/>
      <c r="B837" s="215" t="str">
        <f>'ชีต12'!E246</f>
        <v/>
      </c>
      <c r="C837" s="216"/>
      <c r="D837" s="217"/>
      <c r="E837" s="218"/>
    </row>
    <row r="838">
      <c r="A838" s="216"/>
      <c r="B838" s="215" t="str">
        <f>'ชีต12'!E247</f>
        <v/>
      </c>
      <c r="C838" s="216"/>
      <c r="D838" s="217"/>
      <c r="E838" s="218"/>
    </row>
    <row r="839">
      <c r="A839" s="216"/>
      <c r="B839" s="215" t="str">
        <f>'ชีต12'!E248</f>
        <v/>
      </c>
      <c r="C839" s="216"/>
      <c r="D839" s="217"/>
      <c r="E839" s="218"/>
    </row>
    <row r="840">
      <c r="A840" s="216"/>
      <c r="B840" s="215" t="str">
        <f>'ชีต12'!E249</f>
        <v/>
      </c>
      <c r="C840" s="216"/>
      <c r="D840" s="217"/>
      <c r="E840" s="218"/>
    </row>
    <row r="841">
      <c r="A841" s="216"/>
      <c r="B841" s="215" t="str">
        <f>'ชีต12'!E250</f>
        <v/>
      </c>
      <c r="C841" s="216"/>
      <c r="D841" s="217"/>
      <c r="E841" s="218"/>
    </row>
    <row r="842">
      <c r="A842" s="216"/>
      <c r="B842" s="215" t="str">
        <f>'ชีต12'!E251</f>
        <v/>
      </c>
      <c r="C842" s="216"/>
      <c r="D842" s="217"/>
      <c r="E842" s="218"/>
    </row>
    <row r="843">
      <c r="A843" s="216"/>
      <c r="B843" s="215" t="str">
        <f>'ชีต12'!E252</f>
        <v/>
      </c>
      <c r="C843" s="216"/>
      <c r="D843" s="217"/>
      <c r="E843" s="218"/>
    </row>
    <row r="844">
      <c r="A844" s="216"/>
      <c r="B844" s="215" t="str">
        <f>'ชีต12'!E253</f>
        <v/>
      </c>
      <c r="C844" s="216"/>
      <c r="D844" s="217"/>
      <c r="E844" s="218"/>
    </row>
    <row r="845">
      <c r="A845" s="216"/>
      <c r="B845" s="215" t="str">
        <f>'ชีต12'!E254</f>
        <v/>
      </c>
      <c r="C845" s="216"/>
      <c r="D845" s="217"/>
      <c r="E845" s="218"/>
    </row>
    <row r="846">
      <c r="A846" s="216"/>
      <c r="B846" s="215" t="str">
        <f>'ชีต12'!E255</f>
        <v/>
      </c>
      <c r="C846" s="216"/>
      <c r="D846" s="217"/>
      <c r="E846" s="218"/>
    </row>
    <row r="847">
      <c r="A847" s="216"/>
      <c r="B847" s="215" t="str">
        <f>'ชีต12'!E256</f>
        <v/>
      </c>
      <c r="C847" s="216"/>
      <c r="D847" s="217"/>
      <c r="E847" s="218"/>
    </row>
    <row r="848">
      <c r="A848" s="216"/>
      <c r="B848" s="215" t="str">
        <f>'ชีต12'!E257</f>
        <v/>
      </c>
      <c r="C848" s="216"/>
      <c r="D848" s="217"/>
      <c r="E848" s="218"/>
    </row>
    <row r="849">
      <c r="A849" s="216"/>
      <c r="B849" s="215" t="str">
        <f>'ชีต12'!E258</f>
        <v/>
      </c>
      <c r="C849" s="216"/>
      <c r="D849" s="217"/>
      <c r="E849" s="218"/>
    </row>
    <row r="850">
      <c r="A850" s="216"/>
      <c r="B850" s="215" t="str">
        <f>'ชีต12'!E259</f>
        <v/>
      </c>
      <c r="C850" s="216"/>
      <c r="D850" s="217"/>
      <c r="E850" s="218"/>
    </row>
    <row r="851">
      <c r="A851" s="216"/>
      <c r="B851" s="215" t="str">
        <f>'ชีต12'!E260</f>
        <v/>
      </c>
      <c r="C851" s="216"/>
      <c r="D851" s="217"/>
      <c r="E851" s="218"/>
    </row>
    <row r="852">
      <c r="A852" s="216"/>
      <c r="B852" s="215" t="str">
        <f>'ชีต12'!E261</f>
        <v/>
      </c>
      <c r="C852" s="216"/>
      <c r="D852" s="217"/>
      <c r="E852" s="218"/>
    </row>
    <row r="853">
      <c r="A853" s="216"/>
      <c r="B853" s="215" t="str">
        <f>'ชีต12'!E262</f>
        <v/>
      </c>
      <c r="C853" s="216"/>
      <c r="D853" s="217"/>
      <c r="E853" s="218"/>
    </row>
    <row r="854">
      <c r="A854" s="216"/>
      <c r="B854" s="215" t="str">
        <f>'ชีต12'!E263</f>
        <v/>
      </c>
      <c r="C854" s="216"/>
      <c r="D854" s="217"/>
      <c r="E854" s="218"/>
    </row>
    <row r="855">
      <c r="A855" s="216"/>
      <c r="B855" s="216"/>
      <c r="C855" s="216"/>
      <c r="D855" s="217"/>
      <c r="E855" s="218"/>
    </row>
    <row r="856">
      <c r="A856" s="216"/>
      <c r="B856" s="216"/>
      <c r="C856" s="216"/>
      <c r="D856" s="217"/>
      <c r="E856" s="218"/>
    </row>
    <row r="857">
      <c r="A857" s="216"/>
      <c r="B857" s="216"/>
      <c r="C857" s="216"/>
      <c r="D857" s="217"/>
      <c r="E857" s="218"/>
    </row>
    <row r="858">
      <c r="A858" s="216"/>
      <c r="B858" s="216"/>
      <c r="C858" s="216"/>
      <c r="D858" s="217"/>
      <c r="E858" s="218"/>
    </row>
    <row r="859">
      <c r="A859" s="216"/>
      <c r="B859" s="216"/>
      <c r="C859" s="216"/>
      <c r="D859" s="217"/>
      <c r="E859" s="218"/>
    </row>
    <row r="860">
      <c r="A860" s="216"/>
      <c r="B860" s="216"/>
      <c r="C860" s="216"/>
      <c r="D860" s="217"/>
      <c r="E860" s="218"/>
    </row>
    <row r="861">
      <c r="A861" s="216"/>
      <c r="B861" s="216"/>
      <c r="C861" s="216"/>
      <c r="D861" s="217"/>
      <c r="E861" s="218"/>
    </row>
    <row r="862">
      <c r="A862" s="216"/>
      <c r="B862" s="216"/>
      <c r="C862" s="216"/>
      <c r="D862" s="217"/>
      <c r="E862" s="218"/>
    </row>
    <row r="863">
      <c r="A863" s="216"/>
      <c r="B863" s="216"/>
      <c r="C863" s="216"/>
      <c r="D863" s="217"/>
      <c r="E863" s="218"/>
    </row>
    <row r="864">
      <c r="A864" s="216"/>
      <c r="B864" s="216"/>
      <c r="C864" s="216"/>
      <c r="D864" s="217"/>
      <c r="E864" s="218"/>
    </row>
    <row r="865">
      <c r="A865" s="216"/>
      <c r="B865" s="216"/>
      <c r="C865" s="216"/>
      <c r="D865" s="217"/>
      <c r="E865" s="218"/>
    </row>
    <row r="866">
      <c r="A866" s="216"/>
      <c r="B866" s="216"/>
      <c r="C866" s="216"/>
      <c r="D866" s="217"/>
      <c r="E866" s="218"/>
    </row>
    <row r="867">
      <c r="A867" s="216"/>
      <c r="B867" s="216"/>
      <c r="C867" s="216"/>
      <c r="D867" s="217"/>
      <c r="E867" s="218"/>
    </row>
    <row r="868">
      <c r="A868" s="216"/>
      <c r="B868" s="216"/>
      <c r="C868" s="216"/>
      <c r="D868" s="217"/>
      <c r="E868" s="218"/>
    </row>
    <row r="869">
      <c r="A869" s="216"/>
      <c r="B869" s="216"/>
      <c r="C869" s="216"/>
      <c r="D869" s="217"/>
      <c r="E869" s="218"/>
    </row>
    <row r="870">
      <c r="A870" s="216"/>
      <c r="B870" s="216"/>
      <c r="C870" s="216"/>
      <c r="D870" s="217"/>
      <c r="E870" s="218"/>
    </row>
    <row r="871">
      <c r="A871" s="216"/>
      <c r="B871" s="216"/>
      <c r="C871" s="216"/>
      <c r="D871" s="217"/>
      <c r="E871" s="218"/>
    </row>
    <row r="872">
      <c r="A872" s="216"/>
      <c r="B872" s="216"/>
      <c r="C872" s="216"/>
      <c r="D872" s="217"/>
      <c r="E872" s="218"/>
    </row>
    <row r="873">
      <c r="A873" s="216"/>
      <c r="B873" s="216"/>
      <c r="C873" s="216"/>
      <c r="D873" s="217"/>
      <c r="E873" s="218"/>
    </row>
    <row r="874">
      <c r="A874" s="216"/>
      <c r="B874" s="216"/>
      <c r="C874" s="216"/>
      <c r="D874" s="217"/>
      <c r="E874" s="218"/>
    </row>
    <row r="875">
      <c r="A875" s="216"/>
      <c r="B875" s="216"/>
      <c r="C875" s="216"/>
      <c r="D875" s="217"/>
      <c r="E875" s="218"/>
    </row>
    <row r="876">
      <c r="A876" s="216"/>
      <c r="B876" s="216"/>
      <c r="C876" s="216"/>
      <c r="D876" s="217"/>
      <c r="E876" s="218"/>
    </row>
    <row r="877">
      <c r="A877" s="216"/>
      <c r="B877" s="216"/>
      <c r="C877" s="216"/>
      <c r="D877" s="217"/>
      <c r="E877" s="218"/>
    </row>
    <row r="878">
      <c r="A878" s="216"/>
      <c r="B878" s="216"/>
      <c r="C878" s="216"/>
      <c r="D878" s="217"/>
      <c r="E878" s="218"/>
    </row>
    <row r="879">
      <c r="A879" s="216"/>
      <c r="B879" s="216"/>
      <c r="C879" s="216"/>
      <c r="D879" s="217"/>
      <c r="E879" s="218"/>
    </row>
    <row r="880">
      <c r="A880" s="216"/>
      <c r="B880" s="216"/>
      <c r="C880" s="216"/>
      <c r="D880" s="217"/>
      <c r="E880" s="218"/>
    </row>
    <row r="881">
      <c r="A881" s="216"/>
      <c r="B881" s="216"/>
      <c r="C881" s="216"/>
      <c r="D881" s="217"/>
      <c r="E881" s="218"/>
    </row>
    <row r="882">
      <c r="A882" s="216"/>
      <c r="B882" s="216"/>
      <c r="C882" s="216"/>
      <c r="D882" s="217"/>
      <c r="E882" s="218"/>
    </row>
    <row r="883">
      <c r="A883" s="216"/>
      <c r="B883" s="216"/>
      <c r="C883" s="216"/>
      <c r="D883" s="217"/>
      <c r="E883" s="218"/>
    </row>
    <row r="884">
      <c r="A884" s="216"/>
      <c r="B884" s="216"/>
      <c r="C884" s="216"/>
      <c r="D884" s="217"/>
      <c r="E884" s="218"/>
    </row>
    <row r="885">
      <c r="A885" s="216"/>
      <c r="B885" s="216"/>
      <c r="C885" s="216"/>
      <c r="D885" s="217"/>
      <c r="E885" s="218"/>
    </row>
    <row r="886">
      <c r="A886" s="216"/>
      <c r="B886" s="216"/>
      <c r="C886" s="216"/>
      <c r="D886" s="217"/>
      <c r="E886" s="218"/>
    </row>
    <row r="887">
      <c r="A887" s="216"/>
      <c r="B887" s="216"/>
      <c r="C887" s="216"/>
      <c r="D887" s="217"/>
      <c r="E887" s="218"/>
    </row>
    <row r="888">
      <c r="A888" s="216"/>
      <c r="B888" s="216"/>
      <c r="C888" s="216"/>
      <c r="D888" s="217"/>
      <c r="E888" s="218"/>
    </row>
    <row r="889">
      <c r="A889" s="216"/>
      <c r="B889" s="216"/>
      <c r="C889" s="216"/>
      <c r="D889" s="217"/>
      <c r="E889" s="218"/>
    </row>
    <row r="890">
      <c r="A890" s="216"/>
      <c r="B890" s="216"/>
      <c r="C890" s="216"/>
      <c r="D890" s="217"/>
      <c r="E890" s="218"/>
    </row>
    <row r="891">
      <c r="A891" s="216"/>
      <c r="B891" s="216"/>
      <c r="C891" s="216"/>
      <c r="D891" s="217"/>
      <c r="E891" s="218"/>
    </row>
    <row r="892">
      <c r="A892" s="216"/>
      <c r="B892" s="216"/>
      <c r="C892" s="216"/>
      <c r="D892" s="217"/>
      <c r="E892" s="218"/>
    </row>
    <row r="893">
      <c r="A893" s="216"/>
      <c r="B893" s="216"/>
      <c r="C893" s="216"/>
      <c r="D893" s="217"/>
      <c r="E893" s="218"/>
    </row>
    <row r="894">
      <c r="A894" s="216"/>
      <c r="B894" s="216"/>
      <c r="C894" s="216"/>
      <c r="D894" s="217"/>
      <c r="E894" s="218"/>
    </row>
    <row r="895">
      <c r="A895" s="216"/>
      <c r="B895" s="216"/>
      <c r="C895" s="216"/>
      <c r="D895" s="217"/>
      <c r="E895" s="218"/>
    </row>
    <row r="896">
      <c r="A896" s="216"/>
      <c r="B896" s="216"/>
      <c r="C896" s="216"/>
      <c r="D896" s="217"/>
      <c r="E896" s="218"/>
    </row>
    <row r="897">
      <c r="A897" s="216"/>
      <c r="B897" s="216"/>
      <c r="C897" s="216"/>
      <c r="D897" s="217"/>
      <c r="E897" s="218"/>
    </row>
    <row r="898">
      <c r="A898" s="216"/>
      <c r="B898" s="216"/>
      <c r="C898" s="216"/>
      <c r="D898" s="217"/>
      <c r="E898" s="218"/>
    </row>
    <row r="899">
      <c r="A899" s="216"/>
      <c r="B899" s="216"/>
      <c r="C899" s="216"/>
      <c r="D899" s="217"/>
      <c r="E899" s="218"/>
    </row>
    <row r="900">
      <c r="A900" s="216"/>
      <c r="B900" s="216"/>
      <c r="C900" s="216"/>
      <c r="D900" s="217"/>
      <c r="E900" s="218"/>
    </row>
    <row r="901">
      <c r="A901" s="216"/>
      <c r="B901" s="216"/>
      <c r="C901" s="216"/>
      <c r="D901" s="217"/>
      <c r="E901" s="218"/>
    </row>
    <row r="902">
      <c r="A902" s="216"/>
      <c r="B902" s="216"/>
      <c r="C902" s="216"/>
      <c r="D902" s="217"/>
      <c r="E902" s="218"/>
    </row>
    <row r="903">
      <c r="A903" s="216"/>
      <c r="B903" s="216"/>
      <c r="C903" s="216"/>
      <c r="D903" s="217"/>
      <c r="E903" s="218"/>
    </row>
    <row r="904">
      <c r="A904" s="216"/>
      <c r="B904" s="216"/>
      <c r="C904" s="216"/>
      <c r="D904" s="217"/>
      <c r="E904" s="218"/>
    </row>
    <row r="905">
      <c r="A905" s="216"/>
      <c r="B905" s="216"/>
      <c r="C905" s="216"/>
      <c r="D905" s="217"/>
      <c r="E905" s="218"/>
    </row>
    <row r="906">
      <c r="A906" s="216"/>
      <c r="B906" s="216"/>
      <c r="C906" s="216"/>
      <c r="D906" s="217"/>
      <c r="E906" s="218"/>
    </row>
    <row r="907">
      <c r="A907" s="216"/>
      <c r="B907" s="216"/>
      <c r="C907" s="216"/>
      <c r="D907" s="217"/>
      <c r="E907" s="218"/>
    </row>
    <row r="908">
      <c r="A908" s="216"/>
      <c r="B908" s="216"/>
      <c r="C908" s="216"/>
      <c r="D908" s="217"/>
      <c r="E908" s="218"/>
    </row>
    <row r="909">
      <c r="A909" s="216"/>
      <c r="B909" s="216"/>
      <c r="C909" s="216"/>
      <c r="D909" s="217"/>
      <c r="E909" s="218"/>
    </row>
    <row r="910">
      <c r="A910" s="216"/>
      <c r="B910" s="216"/>
      <c r="C910" s="216"/>
      <c r="D910" s="217"/>
      <c r="E910" s="218"/>
    </row>
    <row r="911">
      <c r="A911" s="216"/>
      <c r="B911" s="216"/>
      <c r="C911" s="216"/>
      <c r="D911" s="217"/>
      <c r="E911" s="218"/>
    </row>
    <row r="912">
      <c r="A912" s="216"/>
      <c r="B912" s="216"/>
      <c r="C912" s="216"/>
      <c r="D912" s="217"/>
      <c r="E912" s="218"/>
    </row>
    <row r="913">
      <c r="A913" s="216"/>
      <c r="B913" s="216"/>
      <c r="C913" s="216"/>
      <c r="D913" s="217"/>
      <c r="E913" s="218"/>
    </row>
    <row r="914">
      <c r="A914" s="216"/>
      <c r="B914" s="216"/>
      <c r="C914" s="216"/>
      <c r="D914" s="217"/>
      <c r="E914" s="218"/>
    </row>
    <row r="915">
      <c r="A915" s="216"/>
      <c r="B915" s="216"/>
      <c r="C915" s="216"/>
      <c r="D915" s="217"/>
      <c r="E915" s="218"/>
    </row>
    <row r="916">
      <c r="A916" s="216"/>
      <c r="B916" s="216"/>
      <c r="C916" s="216"/>
      <c r="D916" s="217"/>
      <c r="E916" s="218"/>
    </row>
    <row r="917">
      <c r="A917" s="216"/>
      <c r="B917" s="216"/>
      <c r="C917" s="216"/>
      <c r="D917" s="217"/>
      <c r="E917" s="218"/>
    </row>
    <row r="918">
      <c r="A918" s="216"/>
      <c r="B918" s="216"/>
      <c r="C918" s="216"/>
      <c r="D918" s="217"/>
      <c r="E918" s="218"/>
    </row>
    <row r="919">
      <c r="A919" s="216"/>
      <c r="B919" s="216"/>
      <c r="C919" s="216"/>
      <c r="D919" s="217"/>
      <c r="E919" s="218"/>
    </row>
    <row r="920">
      <c r="A920" s="216"/>
      <c r="B920" s="216"/>
      <c r="C920" s="216"/>
      <c r="D920" s="217"/>
      <c r="E920" s="218"/>
    </row>
    <row r="921">
      <c r="A921" s="216"/>
      <c r="B921" s="216"/>
      <c r="C921" s="216"/>
      <c r="D921" s="217"/>
      <c r="E921" s="218"/>
    </row>
    <row r="922">
      <c r="A922" s="216"/>
      <c r="B922" s="216"/>
      <c r="C922" s="216"/>
      <c r="D922" s="217"/>
      <c r="E922" s="218"/>
    </row>
    <row r="923">
      <c r="A923" s="216"/>
      <c r="B923" s="216"/>
      <c r="C923" s="216"/>
      <c r="D923" s="217"/>
      <c r="E923" s="218"/>
    </row>
    <row r="924">
      <c r="A924" s="216"/>
      <c r="B924" s="216"/>
      <c r="C924" s="216"/>
      <c r="D924" s="217"/>
      <c r="E924" s="218"/>
    </row>
    <row r="925">
      <c r="A925" s="216"/>
      <c r="B925" s="216"/>
      <c r="C925" s="216"/>
      <c r="D925" s="217"/>
      <c r="E925" s="218"/>
    </row>
    <row r="926">
      <c r="A926" s="216"/>
      <c r="B926" s="216"/>
      <c r="C926" s="216"/>
      <c r="D926" s="217"/>
      <c r="E926" s="218"/>
    </row>
    <row r="927">
      <c r="A927" s="216"/>
      <c r="B927" s="216"/>
      <c r="C927" s="216"/>
      <c r="D927" s="217"/>
      <c r="E927" s="218"/>
    </row>
    <row r="928">
      <c r="A928" s="216"/>
      <c r="B928" s="216"/>
      <c r="C928" s="216"/>
      <c r="D928" s="217"/>
      <c r="E928" s="218"/>
    </row>
    <row r="929">
      <c r="A929" s="216"/>
      <c r="B929" s="216"/>
      <c r="C929" s="216"/>
      <c r="D929" s="217"/>
      <c r="E929" s="218"/>
    </row>
    <row r="930">
      <c r="A930" s="216"/>
      <c r="B930" s="216"/>
      <c r="C930" s="216"/>
      <c r="D930" s="217"/>
      <c r="E930" s="218"/>
    </row>
    <row r="931">
      <c r="A931" s="216"/>
      <c r="B931" s="216"/>
      <c r="C931" s="216"/>
      <c r="D931" s="217"/>
      <c r="E931" s="218"/>
    </row>
    <row r="932">
      <c r="A932" s="216"/>
      <c r="B932" s="216"/>
      <c r="C932" s="216"/>
      <c r="D932" s="217"/>
      <c r="E932" s="218"/>
    </row>
    <row r="933">
      <c r="A933" s="216"/>
      <c r="B933" s="216"/>
      <c r="C933" s="216"/>
      <c r="D933" s="217"/>
      <c r="E933" s="218"/>
    </row>
    <row r="934">
      <c r="A934" s="216"/>
      <c r="B934" s="216"/>
      <c r="C934" s="216"/>
      <c r="D934" s="217"/>
      <c r="E934" s="218"/>
    </row>
    <row r="935">
      <c r="A935" s="216"/>
      <c r="B935" s="216"/>
      <c r="C935" s="216"/>
      <c r="D935" s="217"/>
      <c r="E935" s="218"/>
    </row>
    <row r="936">
      <c r="A936" s="216"/>
      <c r="B936" s="216"/>
      <c r="C936" s="216"/>
      <c r="D936" s="217"/>
      <c r="E936" s="218"/>
    </row>
    <row r="937">
      <c r="A937" s="216"/>
      <c r="B937" s="216"/>
      <c r="C937" s="216"/>
      <c r="D937" s="217"/>
      <c r="E937" s="218"/>
    </row>
    <row r="938">
      <c r="A938" s="216"/>
      <c r="B938" s="216"/>
      <c r="C938" s="216"/>
      <c r="D938" s="217"/>
      <c r="E938" s="218"/>
    </row>
    <row r="939">
      <c r="A939" s="216"/>
      <c r="B939" s="216"/>
      <c r="C939" s="216"/>
      <c r="D939" s="217"/>
      <c r="E939" s="218"/>
    </row>
    <row r="940">
      <c r="A940" s="216"/>
      <c r="B940" s="216"/>
      <c r="C940" s="216"/>
      <c r="D940" s="217"/>
      <c r="E940" s="218"/>
    </row>
    <row r="941">
      <c r="A941" s="216"/>
      <c r="B941" s="216"/>
      <c r="C941" s="216"/>
      <c r="D941" s="217"/>
      <c r="E941" s="218"/>
    </row>
    <row r="942">
      <c r="A942" s="216"/>
      <c r="B942" s="216"/>
      <c r="C942" s="216"/>
      <c r="D942" s="217"/>
      <c r="E942" s="218"/>
    </row>
    <row r="943">
      <c r="A943" s="216"/>
      <c r="B943" s="216"/>
      <c r="C943" s="216"/>
      <c r="D943" s="217"/>
      <c r="E943" s="218"/>
    </row>
    <row r="944">
      <c r="A944" s="216"/>
      <c r="B944" s="216"/>
      <c r="C944" s="216"/>
      <c r="D944" s="217"/>
      <c r="E944" s="218"/>
    </row>
    <row r="945">
      <c r="A945" s="216"/>
      <c r="B945" s="216"/>
      <c r="C945" s="216"/>
      <c r="D945" s="217"/>
      <c r="E945" s="218"/>
    </row>
    <row r="946">
      <c r="A946" s="216"/>
      <c r="B946" s="216"/>
      <c r="C946" s="216"/>
      <c r="D946" s="217"/>
      <c r="E946" s="218"/>
    </row>
    <row r="947">
      <c r="A947" s="216"/>
      <c r="B947" s="216"/>
      <c r="C947" s="216"/>
      <c r="D947" s="217"/>
      <c r="E947" s="218"/>
    </row>
    <row r="948">
      <c r="A948" s="216"/>
      <c r="B948" s="216"/>
      <c r="C948" s="216"/>
      <c r="D948" s="217"/>
      <c r="E948" s="218"/>
    </row>
    <row r="949">
      <c r="A949" s="216"/>
      <c r="B949" s="216"/>
      <c r="C949" s="216"/>
      <c r="D949" s="217"/>
      <c r="E949" s="218"/>
    </row>
    <row r="950">
      <c r="A950" s="216"/>
      <c r="B950" s="216"/>
      <c r="C950" s="216"/>
      <c r="D950" s="217"/>
      <c r="E950" s="218"/>
    </row>
    <row r="951">
      <c r="A951" s="216"/>
      <c r="B951" s="216"/>
      <c r="C951" s="216"/>
      <c r="D951" s="217"/>
      <c r="E951" s="218"/>
    </row>
    <row r="952">
      <c r="A952" s="216"/>
      <c r="B952" s="216"/>
      <c r="C952" s="216"/>
      <c r="D952" s="217"/>
      <c r="E952" s="218"/>
    </row>
    <row r="953">
      <c r="A953" s="216"/>
      <c r="B953" s="216"/>
      <c r="C953" s="216"/>
      <c r="D953" s="217"/>
      <c r="E953" s="218"/>
    </row>
    <row r="954">
      <c r="A954" s="216"/>
      <c r="B954" s="216"/>
      <c r="C954" s="216"/>
      <c r="D954" s="217"/>
      <c r="E954" s="218"/>
    </row>
    <row r="955">
      <c r="A955" s="216"/>
      <c r="B955" s="216"/>
      <c r="C955" s="216"/>
      <c r="D955" s="217"/>
      <c r="E955" s="218"/>
    </row>
    <row r="956">
      <c r="A956" s="216"/>
      <c r="B956" s="216"/>
      <c r="C956" s="216"/>
      <c r="D956" s="217"/>
      <c r="E956" s="218"/>
    </row>
    <row r="957">
      <c r="A957" s="216"/>
      <c r="B957" s="216"/>
      <c r="C957" s="216"/>
      <c r="D957" s="217"/>
      <c r="E957" s="218"/>
    </row>
    <row r="958">
      <c r="A958" s="216"/>
      <c r="B958" s="216"/>
      <c r="C958" s="216"/>
      <c r="D958" s="217"/>
      <c r="E958" s="218"/>
    </row>
    <row r="959">
      <c r="A959" s="216"/>
      <c r="B959" s="216"/>
      <c r="C959" s="216"/>
      <c r="D959" s="217"/>
      <c r="E959" s="218"/>
    </row>
    <row r="960">
      <c r="A960" s="216"/>
      <c r="B960" s="216"/>
      <c r="C960" s="216"/>
      <c r="D960" s="217"/>
      <c r="E960" s="218"/>
    </row>
    <row r="961">
      <c r="A961" s="216"/>
      <c r="B961" s="216"/>
      <c r="C961" s="216"/>
      <c r="D961" s="217"/>
      <c r="E961" s="218"/>
    </row>
    <row r="962">
      <c r="A962" s="216"/>
      <c r="B962" s="216"/>
      <c r="C962" s="216"/>
      <c r="D962" s="217"/>
      <c r="E962" s="218"/>
    </row>
    <row r="963">
      <c r="A963" s="216"/>
      <c r="B963" s="216"/>
      <c r="C963" s="216"/>
      <c r="D963" s="217"/>
      <c r="E963" s="218"/>
    </row>
    <row r="964">
      <c r="A964" s="216"/>
      <c r="B964" s="216"/>
      <c r="C964" s="216"/>
      <c r="D964" s="217"/>
      <c r="E964" s="218"/>
    </row>
    <row r="965">
      <c r="A965" s="216"/>
      <c r="B965" s="216"/>
      <c r="C965" s="216"/>
      <c r="D965" s="217"/>
      <c r="E965" s="218"/>
    </row>
    <row r="966">
      <c r="A966" s="216"/>
      <c r="B966" s="216"/>
      <c r="C966" s="216"/>
      <c r="D966" s="217"/>
      <c r="E966" s="218"/>
    </row>
    <row r="967">
      <c r="A967" s="216"/>
      <c r="B967" s="216"/>
      <c r="C967" s="216"/>
      <c r="D967" s="217"/>
      <c r="E967" s="218"/>
    </row>
    <row r="968">
      <c r="A968" s="216"/>
      <c r="B968" s="216"/>
      <c r="C968" s="216"/>
      <c r="D968" s="217"/>
      <c r="E968" s="218"/>
    </row>
    <row r="969">
      <c r="A969" s="216"/>
      <c r="B969" s="216"/>
      <c r="C969" s="216"/>
      <c r="D969" s="217"/>
      <c r="E969" s="218"/>
    </row>
    <row r="970">
      <c r="A970" s="216"/>
      <c r="B970" s="216"/>
      <c r="C970" s="216"/>
      <c r="D970" s="217"/>
      <c r="E970" s="218"/>
    </row>
    <row r="971">
      <c r="A971" s="216"/>
      <c r="B971" s="216"/>
      <c r="C971" s="216"/>
      <c r="D971" s="217"/>
      <c r="E971" s="218"/>
    </row>
    <row r="972">
      <c r="A972" s="216"/>
      <c r="B972" s="216"/>
      <c r="C972" s="216"/>
      <c r="D972" s="217"/>
      <c r="E972" s="218"/>
    </row>
    <row r="973">
      <c r="A973" s="216"/>
      <c r="B973" s="216"/>
      <c r="C973" s="216"/>
      <c r="D973" s="217"/>
      <c r="E973" s="218"/>
    </row>
    <row r="974">
      <c r="A974" s="216"/>
      <c r="B974" s="216"/>
      <c r="C974" s="216"/>
      <c r="D974" s="217"/>
      <c r="E974" s="218"/>
    </row>
    <row r="975">
      <c r="A975" s="216"/>
      <c r="B975" s="216"/>
      <c r="C975" s="216"/>
      <c r="D975" s="217"/>
      <c r="E975" s="218"/>
    </row>
    <row r="976">
      <c r="A976" s="216"/>
      <c r="B976" s="216"/>
      <c r="C976" s="216"/>
      <c r="D976" s="217"/>
      <c r="E976" s="218"/>
    </row>
    <row r="977">
      <c r="A977" s="216"/>
      <c r="B977" s="216"/>
      <c r="C977" s="216"/>
      <c r="D977" s="217"/>
      <c r="E977" s="218"/>
    </row>
    <row r="978">
      <c r="A978" s="216"/>
      <c r="B978" s="216"/>
      <c r="C978" s="216"/>
      <c r="D978" s="217"/>
      <c r="E978" s="218"/>
    </row>
    <row r="979">
      <c r="A979" s="216"/>
      <c r="B979" s="216"/>
      <c r="C979" s="216"/>
      <c r="D979" s="217"/>
      <c r="E979" s="218"/>
    </row>
    <row r="980">
      <c r="A980" s="216"/>
      <c r="B980" s="216"/>
      <c r="C980" s="216"/>
      <c r="D980" s="217"/>
      <c r="E980" s="218"/>
    </row>
    <row r="981">
      <c r="A981" s="216"/>
      <c r="B981" s="216"/>
      <c r="C981" s="216"/>
      <c r="D981" s="217"/>
      <c r="E981" s="218"/>
    </row>
    <row r="982">
      <c r="A982" s="216"/>
      <c r="B982" s="216"/>
      <c r="C982" s="216"/>
      <c r="D982" s="217"/>
      <c r="E982" s="218"/>
    </row>
    <row r="983">
      <c r="A983" s="216"/>
      <c r="B983" s="216"/>
      <c r="C983" s="216"/>
      <c r="D983" s="217"/>
      <c r="E983" s="218"/>
    </row>
    <row r="984">
      <c r="A984" s="216"/>
      <c r="B984" s="216"/>
      <c r="C984" s="216"/>
      <c r="D984" s="217"/>
      <c r="E984" s="218"/>
    </row>
    <row r="985">
      <c r="A985" s="216"/>
      <c r="B985" s="216"/>
      <c r="C985" s="216"/>
      <c r="D985" s="217"/>
      <c r="E985" s="218"/>
    </row>
    <row r="986">
      <c r="A986" s="216"/>
      <c r="B986" s="216"/>
      <c r="C986" s="216"/>
      <c r="D986" s="217"/>
      <c r="E986" s="218"/>
    </row>
    <row r="987">
      <c r="A987" s="216"/>
      <c r="B987" s="216"/>
      <c r="C987" s="216"/>
      <c r="D987" s="217"/>
      <c r="E987" s="218"/>
    </row>
    <row r="988">
      <c r="A988" s="216"/>
      <c r="B988" s="216"/>
      <c r="C988" s="216"/>
      <c r="D988" s="217"/>
      <c r="E988" s="218"/>
    </row>
    <row r="989">
      <c r="A989" s="216"/>
      <c r="B989" s="216"/>
      <c r="C989" s="216"/>
      <c r="D989" s="217"/>
      <c r="E989" s="218"/>
    </row>
    <row r="990">
      <c r="A990" s="216"/>
      <c r="B990" s="216"/>
      <c r="C990" s="216"/>
      <c r="D990" s="217"/>
      <c r="E990" s="218"/>
    </row>
    <row r="991">
      <c r="A991" s="216"/>
      <c r="B991" s="216"/>
      <c r="C991" s="216"/>
      <c r="D991" s="217"/>
      <c r="E991" s="218"/>
    </row>
    <row r="992">
      <c r="A992" s="216"/>
      <c r="B992" s="216"/>
      <c r="C992" s="216"/>
      <c r="D992" s="217"/>
      <c r="E992" s="218"/>
    </row>
    <row r="993">
      <c r="A993" s="216"/>
      <c r="B993" s="216"/>
      <c r="C993" s="216"/>
      <c r="D993" s="217"/>
      <c r="E993" s="218"/>
    </row>
    <row r="994">
      <c r="A994" s="216"/>
      <c r="B994" s="216"/>
      <c r="C994" s="216"/>
      <c r="D994" s="217"/>
      <c r="E994" s="218"/>
    </row>
    <row r="995">
      <c r="A995" s="216"/>
      <c r="B995" s="216"/>
      <c r="C995" s="216"/>
      <c r="D995" s="217"/>
      <c r="E995" s="218"/>
    </row>
    <row r="996">
      <c r="A996" s="216"/>
      <c r="B996" s="216"/>
      <c r="C996" s="216"/>
      <c r="D996" s="217"/>
      <c r="E996" s="218"/>
    </row>
    <row r="997">
      <c r="A997" s="216"/>
      <c r="B997" s="216"/>
      <c r="C997" s="216"/>
      <c r="D997" s="217"/>
      <c r="E997" s="218"/>
    </row>
    <row r="998">
      <c r="A998" s="216"/>
      <c r="B998" s="216"/>
      <c r="C998" s="216"/>
      <c r="D998" s="217"/>
      <c r="E998" s="218"/>
    </row>
    <row r="999">
      <c r="A999" s="216"/>
      <c r="B999" s="216"/>
      <c r="C999" s="216"/>
      <c r="D999" s="217"/>
      <c r="E999" s="218"/>
    </row>
    <row r="1000">
      <c r="A1000" s="216"/>
      <c r="B1000" s="216"/>
      <c r="C1000" s="216"/>
      <c r="D1000" s="217"/>
      <c r="E1000" s="218"/>
    </row>
  </sheetData>
  <customSheetViews>
    <customSheetView guid="{4AC30485-FAB5-47B0-85A9-A7781841546D}" filter="1" showAutoFilter="1">
      <autoFilter ref="$B$1:$E$590"/>
    </customSheetView>
    <customSheetView guid="{F5B9A73A-9E59-4479-9CF1-406360024F0F}" filter="1" showAutoFilter="1">
      <autoFilter ref="$B$1:$E$590"/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Col="1" outlineLevelRow="1"/>
  <cols>
    <col customWidth="1" min="1" max="1" width="9.88"/>
    <col customWidth="1" min="2" max="2" width="39.63"/>
    <col customWidth="1" min="3" max="3" width="24.5"/>
    <col customWidth="1" min="4" max="4" width="17.25"/>
    <col customWidth="1" min="5" max="5" width="21.13"/>
    <col customWidth="1" min="6" max="6" width="16.0"/>
    <col customWidth="1" min="7" max="7" width="15.25"/>
    <col customWidth="1" min="8" max="8" width="22.63"/>
    <col customWidth="1" min="9" max="9" width="10.5"/>
    <col customWidth="1" min="10" max="10" width="10.63" outlineLevel="1"/>
    <col customWidth="1" min="11" max="11" width="10.38" outlineLevel="1"/>
    <col customWidth="1" min="12" max="12" width="19.75" outlineLevel="1"/>
    <col customWidth="1" min="13" max="13" width="10.88" outlineLevel="1"/>
    <col customWidth="1" min="14" max="14" width="18.5" outlineLevel="1"/>
    <col customWidth="1" min="15" max="15" width="20.25" outlineLevel="1"/>
    <col min="16" max="26" width="12.63" outlineLevel="1"/>
  </cols>
  <sheetData>
    <row r="1" ht="40.5" customHeight="1">
      <c r="A1" s="219" t="s">
        <v>2908</v>
      </c>
      <c r="B1" s="220"/>
      <c r="C1" s="220"/>
      <c r="D1" s="220"/>
      <c r="E1" s="220"/>
      <c r="F1" s="221"/>
      <c r="G1" s="222" t="s">
        <v>2909</v>
      </c>
      <c r="H1" s="221"/>
      <c r="I1" s="223"/>
      <c r="J1" s="223"/>
      <c r="K1" s="223"/>
      <c r="L1" s="224" t="s">
        <v>2910</v>
      </c>
      <c r="M1" s="224" t="s">
        <v>2911</v>
      </c>
      <c r="N1" s="224" t="s">
        <v>2912</v>
      </c>
      <c r="O1" s="224" t="s">
        <v>2913</v>
      </c>
    </row>
    <row r="2" outlineLevel="1">
      <c r="A2" s="225"/>
      <c r="B2" s="225"/>
      <c r="C2" s="225"/>
      <c r="D2" s="225"/>
      <c r="E2" s="226"/>
      <c r="F2" s="225"/>
      <c r="G2" s="225"/>
      <c r="H2" s="225"/>
      <c r="I2" s="223"/>
      <c r="J2" s="223"/>
      <c r="K2" s="223"/>
      <c r="L2" s="227">
        <v>400.0</v>
      </c>
      <c r="M2" s="228">
        <v>152.0</v>
      </c>
      <c r="N2" s="229">
        <v>60800.0</v>
      </c>
      <c r="O2" s="230">
        <v>608.0</v>
      </c>
    </row>
    <row r="3" outlineLevel="1">
      <c r="A3" s="231"/>
      <c r="B3" s="232"/>
      <c r="C3" s="232" t="s">
        <v>2914</v>
      </c>
      <c r="D3" s="232" t="s">
        <v>2013</v>
      </c>
      <c r="E3" s="233" t="s">
        <v>2915</v>
      </c>
      <c r="F3" s="234">
        <v>2568.0</v>
      </c>
      <c r="G3" s="231"/>
      <c r="H3" s="231"/>
      <c r="I3" s="235"/>
      <c r="J3" s="236"/>
      <c r="K3" s="236"/>
      <c r="L3" s="227">
        <v>500.0</v>
      </c>
      <c r="M3" s="228">
        <v>51.0</v>
      </c>
      <c r="N3" s="229">
        <v>25500.0</v>
      </c>
      <c r="O3" s="230">
        <v>255.0</v>
      </c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</row>
    <row r="4" outlineLevel="1">
      <c r="A4" s="238" t="s">
        <v>2916</v>
      </c>
      <c r="B4" s="220"/>
      <c r="C4" s="220"/>
      <c r="D4" s="220"/>
      <c r="E4" s="220"/>
      <c r="F4" s="221"/>
      <c r="G4" s="239"/>
      <c r="H4" s="225"/>
      <c r="I4" s="223"/>
      <c r="J4" s="223"/>
      <c r="K4" s="223"/>
      <c r="L4" s="230">
        <v>600.0</v>
      </c>
      <c r="M4" s="228">
        <v>5.0</v>
      </c>
      <c r="N4" s="230">
        <v>3000.0</v>
      </c>
      <c r="O4" s="230">
        <v>30.0</v>
      </c>
    </row>
    <row r="5" outlineLevel="1">
      <c r="A5" s="222" t="s">
        <v>2917</v>
      </c>
      <c r="B5" s="221"/>
      <c r="C5" s="240" t="s">
        <v>2918</v>
      </c>
      <c r="D5" s="225"/>
      <c r="E5" s="226"/>
      <c r="F5" s="225"/>
      <c r="G5" s="225"/>
      <c r="H5" s="225"/>
      <c r="L5" s="228" t="s">
        <v>2919</v>
      </c>
      <c r="M5" s="228">
        <v>13.0</v>
      </c>
      <c r="N5" s="230">
        <v>33200.0</v>
      </c>
      <c r="O5" s="230">
        <v>332.0</v>
      </c>
    </row>
    <row r="6" outlineLevel="1">
      <c r="A6" s="225"/>
      <c r="B6" s="225"/>
      <c r="C6" s="225"/>
      <c r="D6" s="225"/>
      <c r="E6" s="226"/>
      <c r="F6" s="225"/>
      <c r="G6" s="225"/>
      <c r="H6" s="225"/>
      <c r="I6" s="223"/>
      <c r="J6" s="223"/>
      <c r="K6" s="223"/>
      <c r="L6" s="241" t="s">
        <v>2171</v>
      </c>
      <c r="M6" s="241">
        <v>221.0</v>
      </c>
      <c r="N6" s="242">
        <v>122500.0</v>
      </c>
      <c r="O6" s="242">
        <v>1225.0</v>
      </c>
    </row>
    <row r="7">
      <c r="A7" s="243" t="s">
        <v>2920</v>
      </c>
      <c r="B7" s="244" t="s">
        <v>2921</v>
      </c>
      <c r="C7" s="244" t="s">
        <v>2922</v>
      </c>
      <c r="D7" s="244" t="s">
        <v>2923</v>
      </c>
      <c r="E7" s="245" t="s">
        <v>2924</v>
      </c>
      <c r="F7" s="244" t="s">
        <v>2925</v>
      </c>
      <c r="G7" s="244" t="s">
        <v>2925</v>
      </c>
      <c r="H7" s="244" t="s">
        <v>2926</v>
      </c>
      <c r="I7" s="223"/>
      <c r="J7" s="246"/>
      <c r="K7" s="223"/>
    </row>
    <row r="8">
      <c r="A8" s="243"/>
      <c r="B8" s="244"/>
      <c r="C8" s="244"/>
      <c r="D8" s="243" t="s">
        <v>2927</v>
      </c>
      <c r="E8" s="245" t="s">
        <v>2928</v>
      </c>
      <c r="F8" s="244" t="s">
        <v>2929</v>
      </c>
      <c r="G8" s="244" t="s">
        <v>2930</v>
      </c>
      <c r="H8" s="244"/>
      <c r="I8" s="223"/>
      <c r="J8" s="223"/>
      <c r="K8" s="223"/>
    </row>
    <row r="9">
      <c r="A9" s="247">
        <f t="shared" ref="A9:A192" si="1">ROW()-8</f>
        <v>1</v>
      </c>
      <c r="B9" s="248" t="str">
        <f>'ข้อมูลดิบ'!C406</f>
        <v>เพรชรัตน์</v>
      </c>
      <c r="C9" s="249">
        <f>'ข้อมูลดิบ'!H406</f>
        <v>61637</v>
      </c>
      <c r="D9" s="250">
        <f>'ข้อมูลดิบ'!N406 - 'ข้อมูลดิบ'!H406</f>
        <v>1</v>
      </c>
      <c r="E9" s="251">
        <f>IFERROR(VLOOKUP('ข้อมูลดิบ'!I406,'ฐานข้อมูลห้องพัก'!A:D, 3, FALSE), 0)</f>
        <v>400</v>
      </c>
      <c r="F9" s="252">
        <f t="shared" ref="F9:F192" si="2"> E9 * D9</f>
        <v>400</v>
      </c>
      <c r="G9" s="252">
        <f t="shared" ref="G9:G192" si="3">F9 * 1%</f>
        <v>4</v>
      </c>
      <c r="H9" s="225" t="str">
        <f t="shared" ref="H9:H15" si="4">""</f>
        <v/>
      </c>
      <c r="I9" s="253"/>
      <c r="J9" s="81"/>
      <c r="K9" s="254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247">
        <f t="shared" si="1"/>
        <v>2</v>
      </c>
      <c r="B10" s="248" t="str">
        <f>'ข้อมูลดิบ'!C407</f>
        <v>อดิศร</v>
      </c>
      <c r="C10" s="249">
        <f>'ข้อมูลดิบ'!H407</f>
        <v>25112</v>
      </c>
      <c r="D10" s="250">
        <f>'ข้อมูลดิบ'!N407 - 'ข้อมูลดิบ'!H407</f>
        <v>1</v>
      </c>
      <c r="E10" s="251">
        <f>IFERROR(VLOOKUP('ข้อมูลดิบ'!I407,'ฐานข้อมูลห้องพัก'!A:D, 3, FALSE), 0)</f>
        <v>600</v>
      </c>
      <c r="F10" s="252">
        <f t="shared" si="2"/>
        <v>600</v>
      </c>
      <c r="G10" s="252">
        <f t="shared" si="3"/>
        <v>6</v>
      </c>
      <c r="H10" s="225" t="str">
        <f t="shared" si="4"/>
        <v/>
      </c>
      <c r="I10" s="253"/>
      <c r="K10" s="254"/>
    </row>
    <row r="11">
      <c r="A11" s="247">
        <f t="shared" si="1"/>
        <v>3</v>
      </c>
      <c r="B11" s="248" t="str">
        <f>'ข้อมูลดิบ'!C408</f>
        <v>อลิสา</v>
      </c>
      <c r="C11" s="249">
        <f>'ข้อมูลดิบ'!H408</f>
        <v>25112</v>
      </c>
      <c r="D11" s="250">
        <f>'ข้อมูลดิบ'!N408 - 'ข้อมูลดิบ'!H408</f>
        <v>1</v>
      </c>
      <c r="E11" s="251">
        <f>IFERROR(VLOOKUP('ข้อมูลดิบ'!I408,'ฐานข้อมูลห้องพัก'!A:D, 3, FALSE), 0)</f>
        <v>400</v>
      </c>
      <c r="F11" s="252">
        <f t="shared" si="2"/>
        <v>400</v>
      </c>
      <c r="G11" s="252">
        <f t="shared" si="3"/>
        <v>4</v>
      </c>
      <c r="H11" s="225" t="str">
        <f t="shared" si="4"/>
        <v/>
      </c>
      <c r="I11" s="253"/>
      <c r="K11" s="254"/>
    </row>
    <row r="12">
      <c r="A12" s="247">
        <f t="shared" si="1"/>
        <v>4</v>
      </c>
      <c r="B12" s="248" t="str">
        <f>'ข้อมูลดิบ'!C409</f>
        <v>คูณจูน</v>
      </c>
      <c r="C12" s="249">
        <f>'ข้อมูลดิบ'!H409</f>
        <v>25112</v>
      </c>
      <c r="D12" s="250">
        <f>'ข้อมูลดิบ'!N409 - 'ข้อมูลดิบ'!H409</f>
        <v>1</v>
      </c>
      <c r="E12" s="251">
        <f>IFERROR(VLOOKUP('ข้อมูลดิบ'!I409,'ฐานข้อมูลห้องพัก'!A:D, 3, FALSE), 0)</f>
        <v>400</v>
      </c>
      <c r="F12" s="252">
        <f t="shared" si="2"/>
        <v>400</v>
      </c>
      <c r="G12" s="252">
        <f t="shared" si="3"/>
        <v>4</v>
      </c>
      <c r="H12" s="225" t="str">
        <f t="shared" si="4"/>
        <v/>
      </c>
      <c r="I12" s="253"/>
      <c r="K12" s="254"/>
    </row>
    <row r="13">
      <c r="A13" s="247">
        <f t="shared" si="1"/>
        <v>5</v>
      </c>
      <c r="B13" s="248" t="str">
        <f>'ข้อมูลดิบ'!C410</f>
        <v>สัญญา</v>
      </c>
      <c r="C13" s="249">
        <f>'ข้อมูลดิบ'!H410</f>
        <v>25112</v>
      </c>
      <c r="D13" s="250">
        <f>'ข้อมูลดิบ'!N410 - 'ข้อมูลดิบ'!H410</f>
        <v>1</v>
      </c>
      <c r="E13" s="251">
        <f>IFERROR(VLOOKUP('ข้อมูลดิบ'!I410,'ฐานข้อมูลห้องพัก'!A:D, 3, FALSE), 0)</f>
        <v>400</v>
      </c>
      <c r="F13" s="252">
        <f t="shared" si="2"/>
        <v>400</v>
      </c>
      <c r="G13" s="252">
        <f t="shared" si="3"/>
        <v>4</v>
      </c>
      <c r="H13" s="225" t="str">
        <f t="shared" si="4"/>
        <v/>
      </c>
      <c r="I13" s="253"/>
      <c r="K13" s="254"/>
    </row>
    <row r="14">
      <c r="A14" s="247">
        <f t="shared" si="1"/>
        <v>6</v>
      </c>
      <c r="B14" s="248" t="str">
        <f>'ข้อมูลดิบ'!C411</f>
        <v>แพรวนภา</v>
      </c>
      <c r="C14" s="249">
        <f>'ข้อมูลดิบ'!H411</f>
        <v>25112</v>
      </c>
      <c r="D14" s="250">
        <f>'ข้อมูลดิบ'!N411 - 'ข้อมูลดิบ'!H411</f>
        <v>1</v>
      </c>
      <c r="E14" s="251">
        <f>IFERROR(VLOOKUP('ข้อมูลดิบ'!I411,'ฐานข้อมูลห้องพัก'!A:D, 3, FALSE), 0)</f>
        <v>500</v>
      </c>
      <c r="F14" s="252">
        <f t="shared" si="2"/>
        <v>500</v>
      </c>
      <c r="G14" s="252">
        <f t="shared" si="3"/>
        <v>5</v>
      </c>
      <c r="H14" s="225" t="str">
        <f t="shared" si="4"/>
        <v/>
      </c>
      <c r="I14" s="253"/>
      <c r="K14" s="254"/>
    </row>
    <row r="15">
      <c r="A15" s="247">
        <f t="shared" si="1"/>
        <v>7</v>
      </c>
      <c r="B15" s="248" t="str">
        <f>'ข้อมูลดิบ'!C412</f>
        <v>อาหารไทย</v>
      </c>
      <c r="C15" s="249">
        <f>'ข้อมูลดิบ'!H412</f>
        <v>25112</v>
      </c>
      <c r="D15" s="250">
        <f>'ข้อมูลดิบ'!N412 - 'ข้อมูลดิบ'!H412</f>
        <v>1</v>
      </c>
      <c r="E15" s="251">
        <f>IFERROR(VLOOKUP('ข้อมูลดิบ'!I412,'ฐานข้อมูลห้องพัก'!A:D, 3, FALSE), 0)</f>
        <v>400</v>
      </c>
      <c r="F15" s="252">
        <f t="shared" si="2"/>
        <v>400</v>
      </c>
      <c r="G15" s="252">
        <f t="shared" si="3"/>
        <v>4</v>
      </c>
      <c r="H15" s="225" t="str">
        <f t="shared" si="4"/>
        <v/>
      </c>
      <c r="I15" s="253"/>
      <c r="K15" s="254"/>
    </row>
    <row r="16">
      <c r="A16" s="247">
        <f t="shared" si="1"/>
        <v>8</v>
      </c>
      <c r="B16" s="248" t="str">
        <f>'ข้อมูลดิบ'!C413</f>
        <v>ปุณญวิช</v>
      </c>
      <c r="C16" s="249">
        <f>'ข้อมูลดิบ'!H413</f>
        <v>25113</v>
      </c>
      <c r="D16" s="250">
        <f>'ข้อมูลดิบ'!N413 - 'ข้อมูลดิบ'!H413</f>
        <v>1</v>
      </c>
      <c r="E16" s="251">
        <f>IFERROR(VLOOKUP('ข้อมูลดิบ'!I413,'ฐานข้อมูลห้องพัก'!A:D, 3, FALSE), 0)</f>
        <v>400</v>
      </c>
      <c r="F16" s="252">
        <f t="shared" si="2"/>
        <v>400</v>
      </c>
      <c r="G16" s="252">
        <f t="shared" si="3"/>
        <v>4</v>
      </c>
      <c r="H16" s="225"/>
      <c r="I16" s="253"/>
      <c r="K16" s="254"/>
    </row>
    <row r="17">
      <c r="A17" s="247">
        <f t="shared" si="1"/>
        <v>9</v>
      </c>
      <c r="B17" s="248" t="str">
        <f>'ข้อมูลดิบ'!C414</f>
        <v>จีรัชญาดา</v>
      </c>
      <c r="C17" s="249">
        <f>'ข้อมูลดิบ'!H414</f>
        <v>25113</v>
      </c>
      <c r="D17" s="250">
        <f>'ข้อมูลดิบ'!N414 - 'ข้อมูลดิบ'!H414</f>
        <v>1</v>
      </c>
      <c r="E17" s="251">
        <f>IFERROR(VLOOKUP('ข้อมูลดิบ'!I414,'ฐานข้อมูลห้องพัก'!A:D, 3, FALSE), 0)</f>
        <v>600</v>
      </c>
      <c r="F17" s="252">
        <f t="shared" si="2"/>
        <v>600</v>
      </c>
      <c r="G17" s="252">
        <f t="shared" si="3"/>
        <v>6</v>
      </c>
      <c r="H17" s="225" t="str">
        <f t="shared" ref="H17:H192" si="5">""</f>
        <v/>
      </c>
      <c r="I17" s="253"/>
      <c r="K17" s="254"/>
    </row>
    <row r="18">
      <c r="A18" s="247">
        <f t="shared" si="1"/>
        <v>10</v>
      </c>
      <c r="B18" s="248" t="str">
        <f>'ข้อมูลดิบ'!C415</f>
        <v>โทนี่</v>
      </c>
      <c r="C18" s="249">
        <f>'ข้อมูลดิบ'!H415</f>
        <v>25113</v>
      </c>
      <c r="D18" s="250">
        <f>'ข้อมูลดิบ'!N415 - 'ข้อมูลดิบ'!H415</f>
        <v>1</v>
      </c>
      <c r="E18" s="251">
        <f>IFERROR(VLOOKUP('ข้อมูลดิบ'!I415,'ฐานข้อมูลห้องพัก'!A:D, 3, FALSE), 0)</f>
        <v>400</v>
      </c>
      <c r="F18" s="252">
        <f t="shared" si="2"/>
        <v>400</v>
      </c>
      <c r="G18" s="252">
        <f t="shared" si="3"/>
        <v>4</v>
      </c>
      <c r="H18" s="225" t="str">
        <f t="shared" si="5"/>
        <v/>
      </c>
      <c r="I18" s="253"/>
      <c r="K18" s="254"/>
    </row>
    <row r="19">
      <c r="A19" s="247">
        <f t="shared" si="1"/>
        <v>11</v>
      </c>
      <c r="B19" s="248" t="str">
        <f>'ข้อมูลดิบ'!C416</f>
        <v>สุรชัย</v>
      </c>
      <c r="C19" s="249">
        <f>'ข้อมูลดิบ'!H416</f>
        <v>25113</v>
      </c>
      <c r="D19" s="250">
        <f>'ข้อมูลดิบ'!N416 - 'ข้อมูลดิบ'!H416</f>
        <v>1</v>
      </c>
      <c r="E19" s="251">
        <f>IFERROR(VLOOKUP('ข้อมูลดิบ'!I416,'ฐานข้อมูลห้องพัก'!A:D, 3, FALSE), 0)</f>
        <v>400</v>
      </c>
      <c r="F19" s="252">
        <f t="shared" si="2"/>
        <v>400</v>
      </c>
      <c r="G19" s="252">
        <f t="shared" si="3"/>
        <v>4</v>
      </c>
      <c r="H19" s="225" t="str">
        <f t="shared" si="5"/>
        <v/>
      </c>
      <c r="I19" s="254"/>
      <c r="J19" s="254"/>
      <c r="K19" s="254"/>
    </row>
    <row r="20">
      <c r="A20" s="247">
        <f t="shared" si="1"/>
        <v>12</v>
      </c>
      <c r="B20" s="248" t="str">
        <f>'ข้อมูลดิบ'!C417</f>
        <v>นที แก้วกมลรัตน์</v>
      </c>
      <c r="C20" s="249">
        <f>'ข้อมูลดิบ'!H417</f>
        <v>25113</v>
      </c>
      <c r="D20" s="250">
        <f>'ข้อมูลดิบ'!N417 - 'ข้อมูลดิบ'!H417</f>
        <v>1</v>
      </c>
      <c r="E20" s="251">
        <f>IFERROR(VLOOKUP('ข้อมูลดิบ'!I417,'ฐานข้อมูลห้องพัก'!A:D, 3, FALSE), 0)</f>
        <v>400</v>
      </c>
      <c r="F20" s="252">
        <f t="shared" si="2"/>
        <v>400</v>
      </c>
      <c r="G20" s="252">
        <f t="shared" si="3"/>
        <v>4</v>
      </c>
      <c r="H20" s="225" t="str">
        <f t="shared" si="5"/>
        <v/>
      </c>
      <c r="I20" s="253"/>
      <c r="K20" s="254"/>
    </row>
    <row r="21">
      <c r="A21" s="247">
        <f t="shared" si="1"/>
        <v>13</v>
      </c>
      <c r="B21" s="248" t="str">
        <f>'ข้อมูลดิบ'!C418</f>
        <v>มถุวดี</v>
      </c>
      <c r="C21" s="249">
        <f>'ข้อมูลดิบ'!H418</f>
        <v>25113</v>
      </c>
      <c r="D21" s="250">
        <f>'ข้อมูลดิบ'!N418 - 'ข้อมูลดิบ'!H418</f>
        <v>1</v>
      </c>
      <c r="E21" s="251">
        <f>IFERROR(VLOOKUP('ข้อมูลดิบ'!I418,'ฐานข้อมูลห้องพัก'!A:D, 3, FALSE), 0)</f>
        <v>500</v>
      </c>
      <c r="F21" s="252">
        <f t="shared" si="2"/>
        <v>500</v>
      </c>
      <c r="G21" s="252">
        <f t="shared" si="3"/>
        <v>5</v>
      </c>
      <c r="H21" s="225" t="str">
        <f t="shared" si="5"/>
        <v/>
      </c>
      <c r="I21" s="253"/>
      <c r="K21" s="254"/>
    </row>
    <row r="22">
      <c r="A22" s="247">
        <f t="shared" si="1"/>
        <v>14</v>
      </c>
      <c r="B22" s="248" t="str">
        <f>'ข้อมูลดิบ'!C419</f>
        <v>ณชิตา</v>
      </c>
      <c r="C22" s="249">
        <f>'ข้อมูลดิบ'!H419</f>
        <v>25114</v>
      </c>
      <c r="D22" s="250">
        <f>'ข้อมูลดิบ'!N419 - 'ข้อมูลดิบ'!H419</f>
        <v>1</v>
      </c>
      <c r="E22" s="251">
        <f>IFERROR(VLOOKUP('ข้อมูลดิบ'!I419,'ฐานข้อมูลห้องพัก'!A:D, 3, FALSE), 0)</f>
        <v>400</v>
      </c>
      <c r="F22" s="252">
        <f t="shared" si="2"/>
        <v>400</v>
      </c>
      <c r="G22" s="252">
        <f t="shared" si="3"/>
        <v>4</v>
      </c>
      <c r="H22" s="225" t="str">
        <f t="shared" si="5"/>
        <v/>
      </c>
      <c r="I22" s="253"/>
      <c r="K22" s="254"/>
    </row>
    <row r="23">
      <c r="A23" s="247">
        <f t="shared" si="1"/>
        <v>15</v>
      </c>
      <c r="B23" s="248" t="str">
        <f>'ข้อมูลดิบ'!C420</f>
        <v>วุฒิกร</v>
      </c>
      <c r="C23" s="249">
        <f>'ข้อมูลดิบ'!H420</f>
        <v>25114</v>
      </c>
      <c r="D23" s="250">
        <f>'ข้อมูลดิบ'!N420 - 'ข้อมูลดิบ'!H420</f>
        <v>1</v>
      </c>
      <c r="E23" s="251">
        <f>IFERROR(VLOOKUP('ข้อมูลดิบ'!I420,'ฐานข้อมูลห้องพัก'!A:D, 3, FALSE), 0)</f>
        <v>400</v>
      </c>
      <c r="F23" s="252">
        <f t="shared" si="2"/>
        <v>400</v>
      </c>
      <c r="G23" s="252">
        <f t="shared" si="3"/>
        <v>4</v>
      </c>
      <c r="H23" s="225" t="str">
        <f t="shared" si="5"/>
        <v/>
      </c>
      <c r="I23" s="253"/>
      <c r="K23" s="254"/>
    </row>
    <row r="24">
      <c r="A24" s="247">
        <f t="shared" si="1"/>
        <v>16</v>
      </c>
      <c r="B24" s="248" t="str">
        <f>'ข้อมูลดิบ'!C421</f>
        <v>ธัชพันธุ์ สุวะ</v>
      </c>
      <c r="C24" s="249">
        <f>'ข้อมูลดิบ'!H421</f>
        <v>25114</v>
      </c>
      <c r="D24" s="250">
        <f>'ข้อมูลดิบ'!N421 - 'ข้อมูลดิบ'!H421</f>
        <v>1</v>
      </c>
      <c r="E24" s="251">
        <f>IFERROR(VLOOKUP('ข้อมูลดิบ'!I421,'ฐานข้อมูลห้องพัก'!A:D, 3, FALSE), 0)</f>
        <v>600</v>
      </c>
      <c r="F24" s="252">
        <f t="shared" si="2"/>
        <v>600</v>
      </c>
      <c r="G24" s="252">
        <f t="shared" si="3"/>
        <v>6</v>
      </c>
      <c r="H24" s="225" t="str">
        <f t="shared" si="5"/>
        <v/>
      </c>
      <c r="I24" s="253"/>
      <c r="K24" s="254"/>
    </row>
    <row r="25">
      <c r="A25" s="247">
        <f t="shared" si="1"/>
        <v>17</v>
      </c>
      <c r="B25" s="248" t="str">
        <f>'ข้อมูลดิบ'!C422</f>
        <v>ดุริยะ</v>
      </c>
      <c r="C25" s="249">
        <f>'ข้อมูลดิบ'!H422</f>
        <v>25114</v>
      </c>
      <c r="D25" s="250">
        <f>'ข้อมูลดิบ'!N422 - 'ข้อมูลดิบ'!H422</f>
        <v>1</v>
      </c>
      <c r="E25" s="251">
        <f>IFERROR(VLOOKUP('ข้อมูลดิบ'!I422,'ฐานข้อมูลห้องพัก'!A:D, 3, FALSE), 0)</f>
        <v>400</v>
      </c>
      <c r="F25" s="252">
        <f t="shared" si="2"/>
        <v>400</v>
      </c>
      <c r="G25" s="252">
        <f t="shared" si="3"/>
        <v>4</v>
      </c>
      <c r="H25" s="225" t="str">
        <f t="shared" si="5"/>
        <v/>
      </c>
      <c r="I25" s="253"/>
      <c r="K25" s="254"/>
    </row>
    <row r="26">
      <c r="A26" s="247">
        <f t="shared" si="1"/>
        <v>18</v>
      </c>
      <c r="B26" s="248" t="str">
        <f>'ข้อมูลดิบ'!C423</f>
        <v>เอกรินทร์</v>
      </c>
      <c r="C26" s="249">
        <f>'ข้อมูลดิบ'!H423</f>
        <v>25114</v>
      </c>
      <c r="D26" s="250">
        <f>'ข้อมูลดิบ'!N423 - 'ข้อมูลดิบ'!H423</f>
        <v>1</v>
      </c>
      <c r="E26" s="251">
        <f>IFERROR(VLOOKUP('ข้อมูลดิบ'!I423,'ฐานข้อมูลห้องพัก'!A:D, 3, FALSE), 0)</f>
        <v>400</v>
      </c>
      <c r="F26" s="252">
        <f t="shared" si="2"/>
        <v>400</v>
      </c>
      <c r="G26" s="252">
        <f t="shared" si="3"/>
        <v>4</v>
      </c>
      <c r="H26" s="225" t="str">
        <f t="shared" si="5"/>
        <v/>
      </c>
      <c r="I26" s="253"/>
      <c r="K26" s="254"/>
    </row>
    <row r="27">
      <c r="A27" s="247">
        <f t="shared" si="1"/>
        <v>19</v>
      </c>
      <c r="B27" s="248" t="str">
        <f>'ข้อมูลดิบ'!C424</f>
        <v>วาสนา</v>
      </c>
      <c r="C27" s="249">
        <f>'ข้อมูลดิบ'!H424</f>
        <v>25115</v>
      </c>
      <c r="D27" s="250">
        <f>'ข้อมูลดิบ'!N424 - 'ข้อมูลดิบ'!H424</f>
        <v>1</v>
      </c>
      <c r="E27" s="251">
        <f>IFERROR(VLOOKUP('ข้อมูลดิบ'!I424,'ฐานข้อมูลห้องพัก'!A:D, 3, FALSE), 0)</f>
        <v>400</v>
      </c>
      <c r="F27" s="252">
        <f t="shared" si="2"/>
        <v>400</v>
      </c>
      <c r="G27" s="252">
        <f t="shared" si="3"/>
        <v>4</v>
      </c>
      <c r="H27" s="225" t="str">
        <f t="shared" si="5"/>
        <v/>
      </c>
      <c r="I27" s="253"/>
      <c r="K27" s="254"/>
    </row>
    <row r="28">
      <c r="A28" s="247">
        <f t="shared" si="1"/>
        <v>20</v>
      </c>
      <c r="B28" s="248" t="str">
        <f>'ข้อมูลดิบ'!C425</f>
        <v>บริษัท เอ็มจี เมดิคอล กรุ๊ป จำกัด</v>
      </c>
      <c r="C28" s="249">
        <f>'ข้อมูลดิบ'!H425</f>
        <v>25115</v>
      </c>
      <c r="D28" s="250">
        <f>'ข้อมูลดิบ'!N425 - 'ข้อมูลดิบ'!H425</f>
        <v>1</v>
      </c>
      <c r="E28" s="251">
        <f>IFERROR(VLOOKUP('ข้อมูลดิบ'!I425,'ฐานข้อมูลห้องพัก'!A:D, 3, FALSE), 0)</f>
        <v>400</v>
      </c>
      <c r="F28" s="252">
        <f t="shared" si="2"/>
        <v>400</v>
      </c>
      <c r="G28" s="252">
        <f t="shared" si="3"/>
        <v>4</v>
      </c>
      <c r="H28" s="225" t="str">
        <f t="shared" si="5"/>
        <v/>
      </c>
      <c r="I28" s="253"/>
      <c r="K28" s="254"/>
    </row>
    <row r="29">
      <c r="A29" s="247">
        <f t="shared" si="1"/>
        <v>21</v>
      </c>
      <c r="B29" s="248" t="str">
        <f>'ข้อมูลดิบ'!C426</f>
        <v>สำเริง</v>
      </c>
      <c r="C29" s="249">
        <f>'ข้อมูลดิบ'!H426</f>
        <v>25115</v>
      </c>
      <c r="D29" s="250">
        <f>'ข้อมูลดิบ'!N426 - 'ข้อมูลดิบ'!H426</f>
        <v>1</v>
      </c>
      <c r="E29" s="251">
        <f>IFERROR(VLOOKUP('ข้อมูลดิบ'!I426,'ฐานข้อมูลห้องพัก'!A:D, 3, FALSE), 0)</f>
        <v>500</v>
      </c>
      <c r="F29" s="252">
        <f t="shared" si="2"/>
        <v>500</v>
      </c>
      <c r="G29" s="252">
        <f t="shared" si="3"/>
        <v>5</v>
      </c>
      <c r="H29" s="225" t="str">
        <f t="shared" si="5"/>
        <v/>
      </c>
      <c r="I29" s="253"/>
      <c r="K29" s="254"/>
    </row>
    <row r="30">
      <c r="A30" s="247">
        <f t="shared" si="1"/>
        <v>22</v>
      </c>
      <c r="B30" s="248" t="str">
        <f>'ข้อมูลดิบ'!C427</f>
        <v>ปรีชญา</v>
      </c>
      <c r="C30" s="249">
        <f>'ข้อมูลดิบ'!H427</f>
        <v>25115</v>
      </c>
      <c r="D30" s="250">
        <f>'ข้อมูลดิบ'!N427 - 'ข้อมูลดิบ'!H427</f>
        <v>1</v>
      </c>
      <c r="E30" s="251">
        <f>IFERROR(VLOOKUP('ข้อมูลดิบ'!I427,'ฐานข้อมูลห้องพัก'!A:D, 3, FALSE), 0)</f>
        <v>400</v>
      </c>
      <c r="F30" s="252">
        <f t="shared" si="2"/>
        <v>400</v>
      </c>
      <c r="G30" s="252">
        <f t="shared" si="3"/>
        <v>4</v>
      </c>
      <c r="H30" s="225" t="str">
        <f t="shared" si="5"/>
        <v/>
      </c>
      <c r="I30" s="253"/>
      <c r="K30" s="254"/>
    </row>
    <row r="31">
      <c r="A31" s="247">
        <f t="shared" si="1"/>
        <v>23</v>
      </c>
      <c r="B31" s="248" t="str">
        <f>'ข้อมูลดิบ'!C428</f>
        <v>สถาพร</v>
      </c>
      <c r="C31" s="249">
        <f>'ข้อมูลดิบ'!H428</f>
        <v>25115</v>
      </c>
      <c r="D31" s="250">
        <f>'ข้อมูลดิบ'!N428 - 'ข้อมูลดิบ'!H428</f>
        <v>1</v>
      </c>
      <c r="E31" s="251">
        <f>IFERROR(VLOOKUP('ข้อมูลดิบ'!I428,'ฐานข้อมูลห้องพัก'!A:D, 3, FALSE), 0)</f>
        <v>400</v>
      </c>
      <c r="F31" s="252">
        <f t="shared" si="2"/>
        <v>400</v>
      </c>
      <c r="G31" s="252">
        <f t="shared" si="3"/>
        <v>4</v>
      </c>
      <c r="H31" s="225" t="str">
        <f t="shared" si="5"/>
        <v/>
      </c>
      <c r="I31" s="253"/>
      <c r="K31" s="254"/>
    </row>
    <row r="32">
      <c r="A32" s="247">
        <f t="shared" si="1"/>
        <v>24</v>
      </c>
      <c r="B32" s="248" t="str">
        <f>'ข้อมูลดิบ'!C429</f>
        <v>สิทธิโชค เดชเสน</v>
      </c>
      <c r="C32" s="249">
        <f>'ข้อมูลดิบ'!H429</f>
        <v>25116</v>
      </c>
      <c r="D32" s="250">
        <f>'ข้อมูลดิบ'!N429 - 'ข้อมูลดิบ'!H429</f>
        <v>1</v>
      </c>
      <c r="E32" s="251">
        <f>IFERROR(VLOOKUP('ข้อมูลดิบ'!I429,'ฐานข้อมูลห้องพัก'!A:D, 3, FALSE), 0)</f>
        <v>400</v>
      </c>
      <c r="F32" s="252">
        <f t="shared" si="2"/>
        <v>400</v>
      </c>
      <c r="G32" s="252">
        <f t="shared" si="3"/>
        <v>4</v>
      </c>
      <c r="H32" s="225" t="str">
        <f t="shared" si="5"/>
        <v/>
      </c>
      <c r="I32" s="253"/>
      <c r="K32" s="254"/>
    </row>
    <row r="33">
      <c r="A33" s="247">
        <f t="shared" si="1"/>
        <v>25</v>
      </c>
      <c r="B33" s="248" t="str">
        <f>'ข้อมูลดิบ'!C430</f>
        <v>กษิรา ศรีเชียงขาว</v>
      </c>
      <c r="C33" s="249">
        <f>'ข้อมูลดิบ'!H430</f>
        <v>25116</v>
      </c>
      <c r="D33" s="250">
        <f>'ข้อมูลดิบ'!N430 - 'ข้อมูลดิบ'!H430</f>
        <v>1</v>
      </c>
      <c r="E33" s="251">
        <f>IFERROR(VLOOKUP('ข้อมูลดิบ'!I430,'ฐานข้อมูลห้องพัก'!A:D, 3, FALSE), 0)</f>
        <v>400</v>
      </c>
      <c r="F33" s="252">
        <f t="shared" si="2"/>
        <v>400</v>
      </c>
      <c r="G33" s="252">
        <f t="shared" si="3"/>
        <v>4</v>
      </c>
      <c r="H33" s="225" t="str">
        <f t="shared" si="5"/>
        <v/>
      </c>
      <c r="I33" s="253"/>
      <c r="K33" s="254"/>
    </row>
    <row r="34">
      <c r="A34" s="247">
        <f t="shared" si="1"/>
        <v>26</v>
      </c>
      <c r="B34" s="248" t="str">
        <f>'ข้อมูลดิบ'!C431</f>
        <v>เมฆ บริบูรณ์</v>
      </c>
      <c r="C34" s="249">
        <f>'ข้อมูลดิบ'!H431</f>
        <v>25116</v>
      </c>
      <c r="D34" s="250">
        <f>'ข้อมูลดิบ'!N431 - 'ข้อมูลดิบ'!H431</f>
        <v>1</v>
      </c>
      <c r="E34" s="251">
        <f>IFERROR(VLOOKUP('ข้อมูลดิบ'!I431,'ฐานข้อมูลห้องพัก'!A:D, 3, FALSE), 0)</f>
        <v>500</v>
      </c>
      <c r="F34" s="252">
        <f t="shared" si="2"/>
        <v>500</v>
      </c>
      <c r="G34" s="252">
        <f t="shared" si="3"/>
        <v>5</v>
      </c>
      <c r="H34" s="225" t="str">
        <f t="shared" si="5"/>
        <v/>
      </c>
      <c r="I34" s="253"/>
      <c r="K34" s="254"/>
    </row>
    <row r="35">
      <c r="A35" s="247">
        <f t="shared" si="1"/>
        <v>27</v>
      </c>
      <c r="B35" s="248" t="str">
        <f>'ข้อมูลดิบ'!C432</f>
        <v>วงษ์กรต ศรีสุพรรณ</v>
      </c>
      <c r="C35" s="249">
        <f>'ข้อมูลดิบ'!H432</f>
        <v>25116</v>
      </c>
      <c r="D35" s="250">
        <f>'ข้อมูลดิบ'!N432 - 'ข้อมูลดิบ'!H432</f>
        <v>1</v>
      </c>
      <c r="E35" s="251">
        <f>IFERROR(VLOOKUP('ข้อมูลดิบ'!I432,'ฐานข้อมูลห้องพัก'!A:D, 3, FALSE), 0)</f>
        <v>500</v>
      </c>
      <c r="F35" s="252">
        <f t="shared" si="2"/>
        <v>500</v>
      </c>
      <c r="G35" s="252">
        <f t="shared" si="3"/>
        <v>5</v>
      </c>
      <c r="H35" s="225" t="str">
        <f t="shared" si="5"/>
        <v/>
      </c>
      <c r="I35" s="254"/>
      <c r="J35" s="254"/>
      <c r="K35" s="254"/>
    </row>
    <row r="36">
      <c r="A36" s="247">
        <f t="shared" si="1"/>
        <v>28</v>
      </c>
      <c r="B36" s="248" t="str">
        <f>'ข้อมูลดิบ'!C433</f>
        <v>วรรณิศา วัฒนกุล</v>
      </c>
      <c r="C36" s="249">
        <f>'ข้อมูลดิบ'!H433</f>
        <v>25116</v>
      </c>
      <c r="D36" s="250">
        <f>'ข้อมูลดิบ'!N433 - 'ข้อมูลดิบ'!H433</f>
        <v>1</v>
      </c>
      <c r="E36" s="251">
        <f>IFERROR(VLOOKUP('ข้อมูลดิบ'!I433,'ฐานข้อมูลห้องพัก'!A:D, 3, FALSE), 0)</f>
        <v>400</v>
      </c>
      <c r="F36" s="252">
        <f t="shared" si="2"/>
        <v>400</v>
      </c>
      <c r="G36" s="252">
        <f t="shared" si="3"/>
        <v>4</v>
      </c>
      <c r="H36" s="225" t="str">
        <f t="shared" si="5"/>
        <v/>
      </c>
      <c r="I36" s="254"/>
      <c r="J36" s="254"/>
      <c r="K36" s="254"/>
    </row>
    <row r="37">
      <c r="A37" s="247">
        <f t="shared" si="1"/>
        <v>29</v>
      </c>
      <c r="B37" s="248" t="str">
        <f>'ข้อมูลดิบ'!C434</f>
        <v>สุริยา คำแสน</v>
      </c>
      <c r="C37" s="249">
        <f>'ข้อมูลดิบ'!H434</f>
        <v>25117</v>
      </c>
      <c r="D37" s="250">
        <f>'ข้อมูลดิบ'!N434 - 'ข้อมูลดิบ'!H434</f>
        <v>1</v>
      </c>
      <c r="E37" s="251">
        <f>IFERROR(VLOOKUP('ข้อมูลดิบ'!I434,'ฐานข้อมูลห้องพัก'!A:D, 3, FALSE), 0)</f>
        <v>400</v>
      </c>
      <c r="F37" s="252">
        <f t="shared" si="2"/>
        <v>400</v>
      </c>
      <c r="G37" s="252">
        <f t="shared" si="3"/>
        <v>4</v>
      </c>
      <c r="H37" s="225" t="str">
        <f t="shared" si="5"/>
        <v/>
      </c>
      <c r="I37" s="255"/>
      <c r="J37" s="255"/>
      <c r="K37" s="255"/>
    </row>
    <row r="38">
      <c r="A38" s="247">
        <f t="shared" si="1"/>
        <v>30</v>
      </c>
      <c r="B38" s="248" t="str">
        <f>'ข้อมูลดิบ'!C435</f>
        <v>กิตติศักดิ์ พงษ์ไพบูลย์</v>
      </c>
      <c r="C38" s="249">
        <f>'ข้อมูลดิบ'!H435</f>
        <v>25117</v>
      </c>
      <c r="D38" s="250">
        <f>'ข้อมูลดิบ'!N435 - 'ข้อมูลดิบ'!H435</f>
        <v>1</v>
      </c>
      <c r="E38" s="251">
        <f>IFERROR(VLOOKUP('ข้อมูลดิบ'!I435,'ฐานข้อมูลห้องพัก'!A:D, 3, FALSE), 0)</f>
        <v>400</v>
      </c>
      <c r="F38" s="252">
        <f t="shared" si="2"/>
        <v>400</v>
      </c>
      <c r="G38" s="252">
        <f t="shared" si="3"/>
        <v>4</v>
      </c>
      <c r="H38" s="225" t="str">
        <f t="shared" si="5"/>
        <v/>
      </c>
      <c r="I38" s="255"/>
      <c r="J38" s="255"/>
      <c r="K38" s="255"/>
    </row>
    <row r="39">
      <c r="A39" s="247">
        <f t="shared" si="1"/>
        <v>31</v>
      </c>
      <c r="B39" s="248" t="str">
        <f>'ข้อมูลดิบ'!C436</f>
        <v>กิตติศักดิ์ แสงทอง</v>
      </c>
      <c r="C39" s="249">
        <f>'ข้อมูลดิบ'!H436</f>
        <v>25117</v>
      </c>
      <c r="D39" s="250">
        <f>'ข้อมูลดิบ'!N436 - 'ข้อมูลดิบ'!H436</f>
        <v>1</v>
      </c>
      <c r="E39" s="251">
        <f>IFERROR(VLOOKUP('ข้อมูลดิบ'!I436,'ฐานข้อมูลห้องพัก'!A:D, 3, FALSE), 0)</f>
        <v>400</v>
      </c>
      <c r="F39" s="252">
        <f t="shared" si="2"/>
        <v>400</v>
      </c>
      <c r="G39" s="252">
        <f t="shared" si="3"/>
        <v>4</v>
      </c>
      <c r="H39" s="225" t="str">
        <f t="shared" si="5"/>
        <v/>
      </c>
      <c r="J39" s="254"/>
      <c r="K39" s="254"/>
    </row>
    <row r="40">
      <c r="A40" s="247">
        <f t="shared" si="1"/>
        <v>32</v>
      </c>
      <c r="B40" s="248" t="str">
        <f>'ข้อมูลดิบ'!C437</f>
        <v>ณัฐพล สายชล</v>
      </c>
      <c r="C40" s="249">
        <f>'ข้อมูลดิบ'!H437</f>
        <v>25117</v>
      </c>
      <c r="D40" s="250">
        <f>'ข้อมูลดิบ'!N437 - 'ข้อมูลดิบ'!H437</f>
        <v>1</v>
      </c>
      <c r="E40" s="251">
        <f>IFERROR(VLOOKUP('ข้อมูลดิบ'!I437,'ฐานข้อมูลห้องพัก'!A:D, 3, FALSE), 0)</f>
        <v>400</v>
      </c>
      <c r="F40" s="252">
        <f t="shared" si="2"/>
        <v>400</v>
      </c>
      <c r="G40" s="252">
        <f t="shared" si="3"/>
        <v>4</v>
      </c>
      <c r="H40" s="225" t="str">
        <f t="shared" si="5"/>
        <v/>
      </c>
      <c r="I40" s="254"/>
      <c r="J40" s="254"/>
      <c r="K40" s="254"/>
    </row>
    <row r="41">
      <c r="A41" s="247">
        <f t="shared" si="1"/>
        <v>33</v>
      </c>
      <c r="B41" s="248" t="str">
        <f>'ข้อมูลดิบ'!C438</f>
        <v>อธิวัฒน์ โพธิ์ชัย</v>
      </c>
      <c r="C41" s="249">
        <f>'ข้อมูลดิบ'!H438</f>
        <v>25117</v>
      </c>
      <c r="D41" s="250">
        <f>'ข้อมูลดิบ'!N438 - 'ข้อมูลดิบ'!H438</f>
        <v>1</v>
      </c>
      <c r="E41" s="251">
        <f>IFERROR(VLOOKUP('ข้อมูลดิบ'!I438,'ฐานข้อมูลห้องพัก'!A:D, 3, FALSE), 0)</f>
        <v>400</v>
      </c>
      <c r="F41" s="252">
        <f t="shared" si="2"/>
        <v>400</v>
      </c>
      <c r="G41" s="252">
        <f t="shared" si="3"/>
        <v>4</v>
      </c>
      <c r="H41" s="225" t="str">
        <f t="shared" si="5"/>
        <v/>
      </c>
      <c r="I41" s="254"/>
      <c r="J41" s="254"/>
      <c r="K41" s="254"/>
    </row>
    <row r="42">
      <c r="A42" s="247">
        <f t="shared" si="1"/>
        <v>34</v>
      </c>
      <c r="B42" s="248" t="str">
        <f>'ข้อมูลดิบ'!C439</f>
        <v>อธิวัฒน์ คำแสน</v>
      </c>
      <c r="C42" s="249">
        <f>'ข้อมูลดิบ'!H439</f>
        <v>25118</v>
      </c>
      <c r="D42" s="250">
        <f>'ข้อมูลดิบ'!N439 - 'ข้อมูลดิบ'!H439</f>
        <v>1</v>
      </c>
      <c r="E42" s="251">
        <f>IFERROR(VLOOKUP('ข้อมูลดิบ'!I439,'ฐานข้อมูลห้องพัก'!A:D, 3, FALSE), 0)</f>
        <v>400</v>
      </c>
      <c r="F42" s="252">
        <f t="shared" si="2"/>
        <v>400</v>
      </c>
      <c r="G42" s="252">
        <f t="shared" si="3"/>
        <v>4</v>
      </c>
      <c r="H42" s="225" t="str">
        <f t="shared" si="5"/>
        <v/>
      </c>
      <c r="I42" s="254"/>
      <c r="J42" s="254"/>
      <c r="K42" s="254"/>
    </row>
    <row r="43">
      <c r="A43" s="247">
        <f t="shared" si="1"/>
        <v>35</v>
      </c>
      <c r="B43" s="248" t="str">
        <f>'ข้อมูลดิบ'!C440</f>
        <v>วรรณิศา เรืองศรี</v>
      </c>
      <c r="C43" s="249">
        <f>'ข้อมูลดิบ'!H440</f>
        <v>25118</v>
      </c>
      <c r="D43" s="250">
        <f>'ข้อมูลดิบ'!N440 - 'ข้อมูลดิบ'!H440</f>
        <v>1</v>
      </c>
      <c r="E43" s="251">
        <f>IFERROR(VLOOKUP('ข้อมูลดิบ'!I440,'ฐานข้อมูลห้องพัก'!A:D, 3, FALSE), 0)</f>
        <v>600</v>
      </c>
      <c r="F43" s="252">
        <f t="shared" si="2"/>
        <v>600</v>
      </c>
      <c r="G43" s="252">
        <f t="shared" si="3"/>
        <v>6</v>
      </c>
      <c r="H43" s="225" t="str">
        <f t="shared" si="5"/>
        <v/>
      </c>
      <c r="I43" s="253"/>
      <c r="K43" s="254"/>
    </row>
    <row r="44">
      <c r="A44" s="247">
        <f t="shared" si="1"/>
        <v>36</v>
      </c>
      <c r="B44" s="248" t="str">
        <f>'ข้อมูลดิบ'!C441</f>
        <v>ธัญชนก สายชล</v>
      </c>
      <c r="C44" s="249">
        <f>'ข้อมูลดิบ'!H441</f>
        <v>25118</v>
      </c>
      <c r="D44" s="250">
        <f>'ข้อมูลดิบ'!N441 - 'ข้อมูลดิบ'!H441</f>
        <v>1</v>
      </c>
      <c r="E44" s="251">
        <f>IFERROR(VLOOKUP('ข้อมูลดิบ'!I441,'ฐานข้อมูลห้องพัก'!A:D, 3, FALSE), 0)</f>
        <v>500</v>
      </c>
      <c r="F44" s="252">
        <f t="shared" si="2"/>
        <v>500</v>
      </c>
      <c r="G44" s="252">
        <f t="shared" si="3"/>
        <v>5</v>
      </c>
      <c r="H44" s="225" t="str">
        <f t="shared" si="5"/>
        <v/>
      </c>
      <c r="I44" s="253"/>
      <c r="K44" s="254"/>
    </row>
    <row r="45">
      <c r="A45" s="247">
        <f t="shared" si="1"/>
        <v>37</v>
      </c>
      <c r="B45" s="248" t="str">
        <f>'ข้อมูลดิบ'!C442</f>
        <v>มนัสนันท์ ทองสิงห์</v>
      </c>
      <c r="C45" s="249">
        <f>'ข้อมูลดิบ'!H442</f>
        <v>25118</v>
      </c>
      <c r="D45" s="250">
        <f>'ข้อมูลดิบ'!N442 - 'ข้อมูลดิบ'!H442</f>
        <v>1</v>
      </c>
      <c r="E45" s="251">
        <f>IFERROR(VLOOKUP('ข้อมูลดิบ'!I442,'ฐานข้อมูลห้องพัก'!A:D, 3, FALSE), 0)</f>
        <v>400</v>
      </c>
      <c r="F45" s="252">
        <f t="shared" si="2"/>
        <v>400</v>
      </c>
      <c r="G45" s="252">
        <f t="shared" si="3"/>
        <v>4</v>
      </c>
      <c r="H45" s="225" t="str">
        <f t="shared" si="5"/>
        <v/>
      </c>
      <c r="I45" s="253"/>
      <c r="K45" s="254"/>
    </row>
    <row r="46">
      <c r="A46" s="247">
        <f t="shared" si="1"/>
        <v>38</v>
      </c>
      <c r="B46" s="248" t="str">
        <f>'ข้อมูลดิบ'!C443</f>
        <v>รัตนา ศรีมหา</v>
      </c>
      <c r="C46" s="249">
        <f>'ข้อมูลดิบ'!H443</f>
        <v>25118</v>
      </c>
      <c r="D46" s="250">
        <f>'ข้อมูลดิบ'!N443 - 'ข้อมูลดิบ'!H443</f>
        <v>1</v>
      </c>
      <c r="E46" s="251">
        <f>IFERROR(VLOOKUP('ข้อมูลดิบ'!I443,'ฐานข้อมูลห้องพัก'!A:D, 3, FALSE), 0)</f>
        <v>600</v>
      </c>
      <c r="F46" s="252">
        <f t="shared" si="2"/>
        <v>600</v>
      </c>
      <c r="G46" s="252">
        <f t="shared" si="3"/>
        <v>6</v>
      </c>
      <c r="H46" s="225" t="str">
        <f t="shared" si="5"/>
        <v/>
      </c>
      <c r="I46" s="253"/>
      <c r="K46" s="254"/>
    </row>
    <row r="47">
      <c r="A47" s="247">
        <f t="shared" si="1"/>
        <v>39</v>
      </c>
      <c r="B47" s="248" t="str">
        <f>'ข้อมูลดิบ'!C444</f>
        <v>รัตนา มีสุข</v>
      </c>
      <c r="C47" s="249">
        <f>'ข้อมูลดิบ'!H444</f>
        <v>25119</v>
      </c>
      <c r="D47" s="250">
        <f>'ข้อมูลดิบ'!N444 - 'ข้อมูลดิบ'!H444</f>
        <v>1</v>
      </c>
      <c r="E47" s="251">
        <f>IFERROR(VLOOKUP('ข้อมูลดิบ'!I444,'ฐานข้อมูลห้องพัก'!A:D, 3, FALSE), 0)</f>
        <v>400</v>
      </c>
      <c r="F47" s="252">
        <f t="shared" si="2"/>
        <v>400</v>
      </c>
      <c r="G47" s="252">
        <f t="shared" si="3"/>
        <v>4</v>
      </c>
      <c r="H47" s="225" t="str">
        <f t="shared" si="5"/>
        <v/>
      </c>
      <c r="I47" s="253"/>
      <c r="K47" s="254"/>
    </row>
    <row r="48">
      <c r="A48" s="247">
        <f t="shared" si="1"/>
        <v>40</v>
      </c>
      <c r="B48" s="248" t="str">
        <f>'ข้อมูลดิบ'!C445</f>
        <v>อาทิตยา ใจดี</v>
      </c>
      <c r="C48" s="249">
        <f>'ข้อมูลดิบ'!H445</f>
        <v>25119</v>
      </c>
      <c r="D48" s="250">
        <f>'ข้อมูลดิบ'!N445 - 'ข้อมูลดิบ'!H445</f>
        <v>1</v>
      </c>
      <c r="E48" s="251">
        <f>IFERROR(VLOOKUP('ข้อมูลดิบ'!I445,'ฐานข้อมูลห้องพัก'!A:D, 3, FALSE), 0)</f>
        <v>400</v>
      </c>
      <c r="F48" s="252">
        <f t="shared" si="2"/>
        <v>400</v>
      </c>
      <c r="G48" s="252">
        <f t="shared" si="3"/>
        <v>4</v>
      </c>
      <c r="H48" s="225" t="str">
        <f t="shared" si="5"/>
        <v/>
      </c>
      <c r="I48" s="253"/>
      <c r="K48" s="254"/>
    </row>
    <row r="49">
      <c r="A49" s="247">
        <f t="shared" si="1"/>
        <v>41</v>
      </c>
      <c r="B49" s="248" t="str">
        <f>'ข้อมูลดิบ'!C446</f>
        <v>จักรพงษ์ กล้าหาญ</v>
      </c>
      <c r="C49" s="249">
        <f>'ข้อมูลดิบ'!H446</f>
        <v>25119</v>
      </c>
      <c r="D49" s="250">
        <f>'ข้อมูลดิบ'!N446 - 'ข้อมูลดิบ'!H446</f>
        <v>1</v>
      </c>
      <c r="E49" s="251">
        <f>IFERROR(VLOOKUP('ข้อมูลดิบ'!I446,'ฐานข้อมูลห้องพัก'!A:D, 3, FALSE), 0)</f>
        <v>400</v>
      </c>
      <c r="F49" s="252">
        <f t="shared" si="2"/>
        <v>400</v>
      </c>
      <c r="G49" s="252">
        <f t="shared" si="3"/>
        <v>4</v>
      </c>
      <c r="H49" s="225" t="str">
        <f t="shared" si="5"/>
        <v/>
      </c>
      <c r="I49" s="253"/>
      <c r="K49" s="254"/>
    </row>
    <row r="50">
      <c r="A50" s="247">
        <f t="shared" si="1"/>
        <v>42</v>
      </c>
      <c r="B50" s="248" t="str">
        <f>'ข้อมูลดิบ'!C447</f>
        <v>สิทธิโชค อินทรวงศ์</v>
      </c>
      <c r="C50" s="249">
        <f>'ข้อมูลดิบ'!H447</f>
        <v>25119</v>
      </c>
      <c r="D50" s="250">
        <f>'ข้อมูลดิบ'!N447 - 'ข้อมูลดิบ'!H447</f>
        <v>1</v>
      </c>
      <c r="E50" s="251">
        <f>IFERROR(VLOOKUP('ข้อมูลดิบ'!I447,'ฐานข้อมูลห้องพัก'!A:D, 3, FALSE), 0)</f>
        <v>400</v>
      </c>
      <c r="F50" s="252">
        <f t="shared" si="2"/>
        <v>400</v>
      </c>
      <c r="G50" s="252">
        <f t="shared" si="3"/>
        <v>4</v>
      </c>
      <c r="H50" s="225" t="str">
        <f t="shared" si="5"/>
        <v/>
      </c>
      <c r="I50" s="253"/>
      <c r="K50" s="254"/>
    </row>
    <row r="51">
      <c r="A51" s="247">
        <f t="shared" si="1"/>
        <v>43</v>
      </c>
      <c r="B51" s="248" t="str">
        <f>'ข้อมูลดิบ'!C448</f>
        <v>ภูวดล ศรีมหา</v>
      </c>
      <c r="C51" s="249">
        <f>'ข้อมูลดิบ'!H448</f>
        <v>25119</v>
      </c>
      <c r="D51" s="250">
        <f>'ข้อมูลดิบ'!N448 - 'ข้อมูลดิบ'!H448</f>
        <v>1</v>
      </c>
      <c r="E51" s="251">
        <f>IFERROR(VLOOKUP('ข้อมูลดิบ'!I448,'ฐานข้อมูลห้องพัก'!A:D, 3, FALSE), 0)</f>
        <v>400</v>
      </c>
      <c r="F51" s="252">
        <f t="shared" si="2"/>
        <v>400</v>
      </c>
      <c r="G51" s="252">
        <f t="shared" si="3"/>
        <v>4</v>
      </c>
      <c r="H51" s="225" t="str">
        <f t="shared" si="5"/>
        <v/>
      </c>
      <c r="I51" s="253"/>
      <c r="K51" s="254"/>
    </row>
    <row r="52">
      <c r="A52" s="247">
        <f t="shared" si="1"/>
        <v>44</v>
      </c>
      <c r="B52" s="248" t="str">
        <f>'ข้อมูลดิบ'!C449</f>
        <v>ณัฐพล คำแสน</v>
      </c>
      <c r="C52" s="249">
        <f>'ข้อมูลดิบ'!H449</f>
        <v>25120</v>
      </c>
      <c r="D52" s="250">
        <f>'ข้อมูลดิบ'!N449 - 'ข้อมูลดิบ'!H449</f>
        <v>1</v>
      </c>
      <c r="E52" s="251">
        <f>IFERROR(VLOOKUP('ข้อมูลดิบ'!I449,'ฐานข้อมูลห้องพัก'!A:D, 3, FALSE), 0)</f>
        <v>500</v>
      </c>
      <c r="F52" s="252">
        <f t="shared" si="2"/>
        <v>500</v>
      </c>
      <c r="G52" s="252">
        <f t="shared" si="3"/>
        <v>5</v>
      </c>
      <c r="H52" s="225" t="str">
        <f t="shared" si="5"/>
        <v/>
      </c>
      <c r="I52" s="253"/>
      <c r="K52" s="254"/>
    </row>
    <row r="53">
      <c r="A53" s="247">
        <f t="shared" si="1"/>
        <v>45</v>
      </c>
      <c r="B53" s="248" t="str">
        <f>'ข้อมูลดิบ'!C450</f>
        <v>สุริยา รุ่งเรือง</v>
      </c>
      <c r="C53" s="249">
        <f>'ข้อมูลดิบ'!H450</f>
        <v>25120</v>
      </c>
      <c r="D53" s="250">
        <f>'ข้อมูลดิบ'!N450 - 'ข้อมูลดิบ'!H450</f>
        <v>1</v>
      </c>
      <c r="E53" s="251">
        <f>IFERROR(VLOOKUP('ข้อมูลดิบ'!I450,'ฐานข้อมูลห้องพัก'!A:D, 3, FALSE), 0)</f>
        <v>400</v>
      </c>
      <c r="F53" s="252">
        <f t="shared" si="2"/>
        <v>400</v>
      </c>
      <c r="G53" s="252">
        <f t="shared" si="3"/>
        <v>4</v>
      </c>
      <c r="H53" s="225" t="str">
        <f t="shared" si="5"/>
        <v/>
      </c>
      <c r="I53" s="253"/>
      <c r="K53" s="254"/>
    </row>
    <row r="54">
      <c r="A54" s="247">
        <f t="shared" si="1"/>
        <v>46</v>
      </c>
      <c r="B54" s="248" t="str">
        <f>'ข้อมูลดิบ'!C451</f>
        <v>วรรณิศา พงษ์ไพบูลย์</v>
      </c>
      <c r="C54" s="249">
        <f>'ข้อมูลดิบ'!H451</f>
        <v>25120</v>
      </c>
      <c r="D54" s="250">
        <f>'ข้อมูลดิบ'!N451 - 'ข้อมูลดิบ'!H451</f>
        <v>1</v>
      </c>
      <c r="E54" s="251">
        <f>IFERROR(VLOOKUP('ข้อมูลดิบ'!I451,'ฐานข้อมูลห้องพัก'!A:D, 3, FALSE), 0)</f>
        <v>500</v>
      </c>
      <c r="F54" s="252">
        <f t="shared" si="2"/>
        <v>500</v>
      </c>
      <c r="G54" s="252">
        <f t="shared" si="3"/>
        <v>5</v>
      </c>
      <c r="H54" s="225" t="str">
        <f t="shared" si="5"/>
        <v/>
      </c>
      <c r="I54" s="253"/>
      <c r="K54" s="254"/>
    </row>
    <row r="55">
      <c r="A55" s="247">
        <f t="shared" si="1"/>
        <v>47</v>
      </c>
      <c r="B55" s="248" t="str">
        <f>'ข้อมูลดิบ'!C452</f>
        <v>สุริยา ศรีมหา</v>
      </c>
      <c r="C55" s="249">
        <f>'ข้อมูลดิบ'!H452</f>
        <v>25120</v>
      </c>
      <c r="D55" s="250">
        <f>'ข้อมูลดิบ'!N452 - 'ข้อมูลดิบ'!H452</f>
        <v>1</v>
      </c>
      <c r="E55" s="251">
        <f>IFERROR(VLOOKUP('ข้อมูลดิบ'!I452,'ฐานข้อมูลห้องพัก'!A:D, 3, FALSE), 0)</f>
        <v>400</v>
      </c>
      <c r="F55" s="252">
        <f t="shared" si="2"/>
        <v>400</v>
      </c>
      <c r="G55" s="252">
        <f t="shared" si="3"/>
        <v>4</v>
      </c>
      <c r="H55" s="225" t="str">
        <f t="shared" si="5"/>
        <v/>
      </c>
      <c r="I55" s="253"/>
      <c r="K55" s="254"/>
    </row>
    <row r="56">
      <c r="A56" s="247">
        <f t="shared" si="1"/>
        <v>48</v>
      </c>
      <c r="B56" s="248" t="str">
        <f>'ข้อมูลดิบ'!C453</f>
        <v>ชยพล สุขสม</v>
      </c>
      <c r="C56" s="249">
        <f>'ข้อมูลดิบ'!H453</f>
        <v>25120</v>
      </c>
      <c r="D56" s="250">
        <f>'ข้อมูลดิบ'!N453 - 'ข้อมูลดิบ'!H453</f>
        <v>1</v>
      </c>
      <c r="E56" s="251">
        <f>IFERROR(VLOOKUP('ข้อมูลดิบ'!I453,'ฐานข้อมูลห้องพัก'!A:D, 3, FALSE), 0)</f>
        <v>400</v>
      </c>
      <c r="F56" s="252">
        <f t="shared" si="2"/>
        <v>400</v>
      </c>
      <c r="G56" s="252">
        <f t="shared" si="3"/>
        <v>4</v>
      </c>
      <c r="H56" s="225" t="str">
        <f t="shared" si="5"/>
        <v/>
      </c>
      <c r="I56" s="253"/>
      <c r="K56" s="254"/>
    </row>
    <row r="57">
      <c r="A57" s="247">
        <f t="shared" si="1"/>
        <v>49</v>
      </c>
      <c r="B57" s="248" t="str">
        <f>'ข้อมูลดิบ'!C454</f>
        <v>อาทิตยา พงษ์ไพบูลย์</v>
      </c>
      <c r="C57" s="249">
        <f>'ข้อมูลดิบ'!H454</f>
        <v>25121</v>
      </c>
      <c r="D57" s="250">
        <f>'ข้อมูลดิบ'!N454 - 'ข้อมูลดิบ'!H454</f>
        <v>1</v>
      </c>
      <c r="E57" s="251">
        <f>IFERROR(VLOOKUP('ข้อมูลดิบ'!I454,'ฐานข้อมูลห้องพัก'!A:D, 3, FALSE), 0)</f>
        <v>400</v>
      </c>
      <c r="F57" s="252">
        <f t="shared" si="2"/>
        <v>400</v>
      </c>
      <c r="G57" s="252">
        <f t="shared" si="3"/>
        <v>4</v>
      </c>
      <c r="H57" s="225" t="str">
        <f t="shared" si="5"/>
        <v/>
      </c>
      <c r="I57" s="253"/>
      <c r="K57" s="254"/>
    </row>
    <row r="58">
      <c r="A58" s="247">
        <f t="shared" si="1"/>
        <v>50</v>
      </c>
      <c r="B58" s="248" t="str">
        <f>'ข้อมูลดิบ'!C455</f>
        <v>ภูวดล พงษ์ไพบูลย์</v>
      </c>
      <c r="C58" s="249">
        <f>'ข้อมูลดิบ'!H455</f>
        <v>25121</v>
      </c>
      <c r="D58" s="250">
        <f>'ข้อมูลดิบ'!N455 - 'ข้อมูลดิบ'!H455</f>
        <v>1</v>
      </c>
      <c r="E58" s="251">
        <f>IFERROR(VLOOKUP('ข้อมูลดิบ'!I455,'ฐานข้อมูลห้องพัก'!A:D, 3, FALSE), 0)</f>
        <v>400</v>
      </c>
      <c r="F58" s="252">
        <f t="shared" si="2"/>
        <v>400</v>
      </c>
      <c r="G58" s="252">
        <f t="shared" si="3"/>
        <v>4</v>
      </c>
      <c r="H58" s="225" t="str">
        <f t="shared" si="5"/>
        <v/>
      </c>
      <c r="I58" s="254"/>
      <c r="J58" s="254"/>
      <c r="K58" s="254"/>
    </row>
    <row r="59">
      <c r="A59" s="247">
        <f t="shared" si="1"/>
        <v>51</v>
      </c>
      <c r="B59" s="248" t="str">
        <f>'ข้อมูลดิบ'!C456</f>
        <v>ภูวดล มีสุข</v>
      </c>
      <c r="C59" s="249">
        <f>'ข้อมูลดิบ'!H456</f>
        <v>25121</v>
      </c>
      <c r="D59" s="250">
        <f>'ข้อมูลดิบ'!N456 - 'ข้อมูลดิบ'!H456</f>
        <v>1</v>
      </c>
      <c r="E59" s="251">
        <f>IFERROR(VLOOKUP('ข้อมูลดิบ'!I456,'ฐานข้อมูลห้องพัก'!A:D, 3, FALSE), 0)</f>
        <v>400</v>
      </c>
      <c r="F59" s="252">
        <f t="shared" si="2"/>
        <v>400</v>
      </c>
      <c r="G59" s="252">
        <f t="shared" si="3"/>
        <v>4</v>
      </c>
      <c r="H59" s="225" t="str">
        <f t="shared" si="5"/>
        <v/>
      </c>
      <c r="I59" s="254"/>
      <c r="J59" s="254"/>
      <c r="K59" s="254"/>
    </row>
    <row r="60">
      <c r="A60" s="247">
        <f t="shared" si="1"/>
        <v>52</v>
      </c>
      <c r="B60" s="248" t="str">
        <f>'ข้อมูลดิบ'!C457</f>
        <v>รัตนา คำแสน</v>
      </c>
      <c r="C60" s="249">
        <f>'ข้อมูลดิบ'!H457</f>
        <v>25121</v>
      </c>
      <c r="D60" s="250">
        <f>'ข้อมูลดิบ'!N457 - 'ข้อมูลดิบ'!H457</f>
        <v>1</v>
      </c>
      <c r="E60" s="251">
        <f>IFERROR(VLOOKUP('ข้อมูลดิบ'!I457,'ฐานข้อมูลห้องพัก'!A:D, 3, FALSE), 0)</f>
        <v>400</v>
      </c>
      <c r="F60" s="252">
        <f t="shared" si="2"/>
        <v>400</v>
      </c>
      <c r="G60" s="252">
        <f t="shared" si="3"/>
        <v>4</v>
      </c>
      <c r="H60" s="225" t="str">
        <f t="shared" si="5"/>
        <v/>
      </c>
      <c r="I60" s="255"/>
      <c r="J60" s="255"/>
      <c r="K60" s="255"/>
    </row>
    <row r="61">
      <c r="A61" s="247">
        <f t="shared" si="1"/>
        <v>53</v>
      </c>
      <c r="B61" s="248" t="str">
        <f>'ข้อมูลดิบ'!C458</f>
        <v>ประเสริฐ โพธิ์ชัย</v>
      </c>
      <c r="C61" s="249">
        <f>'ข้อมูลดิบ'!H458</f>
        <v>25121</v>
      </c>
      <c r="D61" s="250">
        <f>'ข้อมูลดิบ'!N458 - 'ข้อมูลดิบ'!H458</f>
        <v>1</v>
      </c>
      <c r="E61" s="251">
        <f>IFERROR(VLOOKUP('ข้อมูลดิบ'!I458,'ฐานข้อมูลห้องพัก'!A:D, 3, FALSE), 0)</f>
        <v>400</v>
      </c>
      <c r="F61" s="252">
        <f t="shared" si="2"/>
        <v>400</v>
      </c>
      <c r="G61" s="252">
        <f t="shared" si="3"/>
        <v>4</v>
      </c>
      <c r="H61" s="225" t="str">
        <f t="shared" si="5"/>
        <v/>
      </c>
      <c r="I61" s="255"/>
      <c r="J61" s="255"/>
      <c r="K61" s="255"/>
    </row>
    <row r="62">
      <c r="A62" s="247">
        <f t="shared" si="1"/>
        <v>54</v>
      </c>
      <c r="B62" s="248" t="str">
        <f>'ข้อมูลดิบ'!C459</f>
        <v>ชยพล วัฒนกุล</v>
      </c>
      <c r="C62" s="249">
        <f>'ข้อมูลดิบ'!H459</f>
        <v>25122</v>
      </c>
      <c r="D62" s="250">
        <f>'ข้อมูลดิบ'!N459 - 'ข้อมูลดิบ'!H459</f>
        <v>1</v>
      </c>
      <c r="E62" s="251">
        <f>IFERROR(VLOOKUP('ข้อมูลดิบ'!I459,'ฐานข้อมูลห้องพัก'!A:D, 3, FALSE), 0)</f>
        <v>400</v>
      </c>
      <c r="F62" s="252">
        <f t="shared" si="2"/>
        <v>400</v>
      </c>
      <c r="G62" s="252">
        <f t="shared" si="3"/>
        <v>4</v>
      </c>
      <c r="H62" s="225" t="str">
        <f t="shared" si="5"/>
        <v/>
      </c>
      <c r="I62" s="254"/>
      <c r="J62" s="254"/>
      <c r="K62" s="254"/>
    </row>
    <row r="63">
      <c r="A63" s="247">
        <f t="shared" si="1"/>
        <v>55</v>
      </c>
      <c r="B63" s="248" t="str">
        <f>'ข้อมูลดิบ'!C460</f>
        <v>ภูวดล ใจดี</v>
      </c>
      <c r="C63" s="249">
        <f>'ข้อมูลดิบ'!H460</f>
        <v>25122</v>
      </c>
      <c r="D63" s="250">
        <f>'ข้อมูลดิบ'!N460 - 'ข้อมูลดิบ'!H460</f>
        <v>1</v>
      </c>
      <c r="E63" s="251">
        <f>IFERROR(VLOOKUP('ข้อมูลดิบ'!I460,'ฐานข้อมูลห้องพัก'!A:D, 3, FALSE), 0)</f>
        <v>400</v>
      </c>
      <c r="F63" s="252">
        <f t="shared" si="2"/>
        <v>400</v>
      </c>
      <c r="G63" s="252">
        <f t="shared" si="3"/>
        <v>4</v>
      </c>
      <c r="H63" s="225" t="str">
        <f t="shared" si="5"/>
        <v/>
      </c>
      <c r="I63" s="254"/>
      <c r="J63" s="254"/>
      <c r="K63" s="254"/>
    </row>
    <row r="64">
      <c r="A64" s="247">
        <f t="shared" si="1"/>
        <v>56</v>
      </c>
      <c r="B64" s="248" t="str">
        <f>'ข้อมูลดิบ'!C461</f>
        <v>ประเสริฐ แสงทอง</v>
      </c>
      <c r="C64" s="249">
        <f>'ข้อมูลดิบ'!H461</f>
        <v>25122</v>
      </c>
      <c r="D64" s="250">
        <f>'ข้อมูลดิบ'!N461 - 'ข้อมูลดิบ'!H461</f>
        <v>1</v>
      </c>
      <c r="E64" s="251">
        <f>IFERROR(VLOOKUP('ข้อมูลดิบ'!I461,'ฐานข้อมูลห้องพัก'!A:D, 3, FALSE), 0)</f>
        <v>400</v>
      </c>
      <c r="F64" s="252">
        <f t="shared" si="2"/>
        <v>400</v>
      </c>
      <c r="G64" s="252">
        <f t="shared" si="3"/>
        <v>4</v>
      </c>
      <c r="H64" s="225" t="str">
        <f t="shared" si="5"/>
        <v/>
      </c>
      <c r="I64" s="254"/>
      <c r="J64" s="254"/>
      <c r="K64" s="254"/>
    </row>
    <row r="65">
      <c r="A65" s="247">
        <f t="shared" si="1"/>
        <v>57</v>
      </c>
      <c r="B65" s="248" t="str">
        <f>'ข้อมูลดิบ'!C462</f>
        <v>ภูวดล วัฒนกุล</v>
      </c>
      <c r="C65" s="249">
        <f>'ข้อมูลดิบ'!H462</f>
        <v>25122</v>
      </c>
      <c r="D65" s="250">
        <f>'ข้อมูลดิบ'!N462 - 'ข้อมูลดิบ'!H462</f>
        <v>1</v>
      </c>
      <c r="E65" s="251">
        <f>IFERROR(VLOOKUP('ข้อมูลดิบ'!I462,'ฐานข้อมูลห้องพัก'!A:D, 3, FALSE), 0)</f>
        <v>500</v>
      </c>
      <c r="F65" s="252">
        <f t="shared" si="2"/>
        <v>500</v>
      </c>
      <c r="G65" s="252">
        <f t="shared" si="3"/>
        <v>5</v>
      </c>
      <c r="H65" s="225" t="str">
        <f t="shared" si="5"/>
        <v/>
      </c>
      <c r="I65" s="254"/>
      <c r="J65" s="254"/>
      <c r="K65" s="254"/>
    </row>
    <row r="66">
      <c r="A66" s="247">
        <f t="shared" si="1"/>
        <v>58</v>
      </c>
      <c r="B66" s="248" t="str">
        <f>'ข้อมูลดิบ'!C463</f>
        <v>ธัญชนก กล้าหาญ</v>
      </c>
      <c r="C66" s="249">
        <f>'ข้อมูลดิบ'!H463</f>
        <v>25122</v>
      </c>
      <c r="D66" s="250">
        <f>'ข้อมูลดิบ'!N463 - 'ข้อมูลดิบ'!H463</f>
        <v>1</v>
      </c>
      <c r="E66" s="251">
        <f>IFERROR(VLOOKUP('ข้อมูลดิบ'!I463,'ฐานข้อมูลห้องพัก'!A:D, 3, FALSE), 0)</f>
        <v>400</v>
      </c>
      <c r="F66" s="252">
        <f t="shared" si="2"/>
        <v>400</v>
      </c>
      <c r="G66" s="252">
        <f t="shared" si="3"/>
        <v>4</v>
      </c>
      <c r="H66" s="225" t="str">
        <f t="shared" si="5"/>
        <v/>
      </c>
      <c r="I66" s="253"/>
      <c r="K66" s="254"/>
    </row>
    <row r="67">
      <c r="A67" s="247">
        <f t="shared" si="1"/>
        <v>59</v>
      </c>
      <c r="B67" s="248" t="str">
        <f>'ข้อมูลดิบ'!C464</f>
        <v>อธิวัฒน์ วัฒนกุล</v>
      </c>
      <c r="C67" s="249">
        <f>'ข้อมูลดิบ'!H464</f>
        <v>25123</v>
      </c>
      <c r="D67" s="250">
        <f>'ข้อมูลดิบ'!N464 - 'ข้อมูลดิบ'!H464</f>
        <v>1</v>
      </c>
      <c r="E67" s="251">
        <f>IFERROR(VLOOKUP('ข้อมูลดิบ'!I464,'ฐานข้อมูลห้องพัก'!A:D, 3, FALSE), 0)</f>
        <v>400</v>
      </c>
      <c r="F67" s="252">
        <f t="shared" si="2"/>
        <v>400</v>
      </c>
      <c r="G67" s="252">
        <f t="shared" si="3"/>
        <v>4</v>
      </c>
      <c r="H67" s="225" t="str">
        <f t="shared" si="5"/>
        <v/>
      </c>
      <c r="I67" s="253"/>
      <c r="K67" s="254"/>
    </row>
    <row r="68">
      <c r="A68" s="247">
        <f t="shared" si="1"/>
        <v>60</v>
      </c>
      <c r="B68" s="248" t="str">
        <f>'ข้อมูลดิบ'!C465</f>
        <v>กัลยารัตน์ ใจดี</v>
      </c>
      <c r="C68" s="249">
        <f>'ข้อมูลดิบ'!H465</f>
        <v>25123</v>
      </c>
      <c r="D68" s="250">
        <f>'ข้อมูลดิบ'!N465 - 'ข้อมูลดิบ'!H465</f>
        <v>1</v>
      </c>
      <c r="E68" s="251">
        <f>IFERROR(VLOOKUP('ข้อมูลดิบ'!I465,'ฐานข้อมูลห้องพัก'!A:D, 3, FALSE), 0)</f>
        <v>500</v>
      </c>
      <c r="F68" s="252">
        <f t="shared" si="2"/>
        <v>500</v>
      </c>
      <c r="G68" s="252">
        <f t="shared" si="3"/>
        <v>5</v>
      </c>
      <c r="H68" s="225" t="str">
        <f t="shared" si="5"/>
        <v/>
      </c>
      <c r="I68" s="253"/>
      <c r="K68" s="254"/>
    </row>
    <row r="69">
      <c r="A69" s="247">
        <f t="shared" si="1"/>
        <v>61</v>
      </c>
      <c r="B69" s="248" t="str">
        <f>'ข้อมูลดิบ'!C466</f>
        <v>ณัฐพล รุ่งเรือง</v>
      </c>
      <c r="C69" s="249">
        <f>'ข้อมูลดิบ'!H466</f>
        <v>25123</v>
      </c>
      <c r="D69" s="250">
        <f>'ข้อมูลดิบ'!N466 - 'ข้อมูลดิบ'!H466</f>
        <v>1</v>
      </c>
      <c r="E69" s="251">
        <f>IFERROR(VLOOKUP('ข้อมูลดิบ'!I466,'ฐานข้อมูลห้องพัก'!A:D, 3, FALSE), 0)</f>
        <v>400</v>
      </c>
      <c r="F69" s="252">
        <f t="shared" si="2"/>
        <v>400</v>
      </c>
      <c r="G69" s="252">
        <f t="shared" si="3"/>
        <v>4</v>
      </c>
      <c r="H69" s="225" t="str">
        <f t="shared" si="5"/>
        <v/>
      </c>
      <c r="I69" s="253"/>
      <c r="K69" s="254"/>
    </row>
    <row r="70">
      <c r="A70" s="247">
        <f t="shared" si="1"/>
        <v>62</v>
      </c>
      <c r="B70" s="248" t="str">
        <f>'ข้อมูลดิบ'!C467</f>
        <v>อารยา สุขสม</v>
      </c>
      <c r="C70" s="249">
        <f>'ข้อมูลดิบ'!H467</f>
        <v>25123</v>
      </c>
      <c r="D70" s="250">
        <f>'ข้อมูลดิบ'!N467 - 'ข้อมูลดิบ'!H467</f>
        <v>1</v>
      </c>
      <c r="E70" s="251">
        <f>IFERROR(VLOOKUP('ข้อมูลดิบ'!I467,'ฐานข้อมูลห้องพัก'!A:D, 3, FALSE), 0)</f>
        <v>400</v>
      </c>
      <c r="F70" s="252">
        <f t="shared" si="2"/>
        <v>400</v>
      </c>
      <c r="G70" s="252">
        <f t="shared" si="3"/>
        <v>4</v>
      </c>
      <c r="H70" s="225" t="str">
        <f t="shared" si="5"/>
        <v/>
      </c>
      <c r="I70" s="253"/>
      <c r="K70" s="254"/>
    </row>
    <row r="71">
      <c r="A71" s="247">
        <f t="shared" si="1"/>
        <v>63</v>
      </c>
      <c r="B71" s="248" t="str">
        <f>'ข้อมูลดิบ'!C468</f>
        <v>รัตนา อินทรวงศ์</v>
      </c>
      <c r="C71" s="249">
        <f>'ข้อมูลดิบ'!H468</f>
        <v>25123</v>
      </c>
      <c r="D71" s="250">
        <f>'ข้อมูลดิบ'!N468 - 'ข้อมูลดิบ'!H468</f>
        <v>1</v>
      </c>
      <c r="E71" s="251">
        <f>IFERROR(VLOOKUP('ข้อมูลดิบ'!I468,'ฐานข้อมูลห้องพัก'!A:D, 3, FALSE), 0)</f>
        <v>400</v>
      </c>
      <c r="F71" s="252">
        <f t="shared" si="2"/>
        <v>400</v>
      </c>
      <c r="G71" s="252">
        <f t="shared" si="3"/>
        <v>4</v>
      </c>
      <c r="H71" s="225" t="str">
        <f t="shared" si="5"/>
        <v/>
      </c>
      <c r="I71" s="253"/>
      <c r="K71" s="254"/>
    </row>
    <row r="72">
      <c r="A72" s="247">
        <f t="shared" si="1"/>
        <v>64</v>
      </c>
      <c r="B72" s="248" t="str">
        <f>'ข้อมูลดิบ'!C469</f>
        <v>นิภาพร กล้าหาญ</v>
      </c>
      <c r="C72" s="249">
        <f>'ข้อมูลดิบ'!H469</f>
        <v>25124</v>
      </c>
      <c r="D72" s="250">
        <f>'ข้อมูลดิบ'!N469 - 'ข้อมูลดิบ'!H469</f>
        <v>1</v>
      </c>
      <c r="E72" s="251">
        <f>IFERROR(VLOOKUP('ข้อมูลดิบ'!I469,'ฐานข้อมูลห้องพัก'!A:D, 3, FALSE), 0)</f>
        <v>400</v>
      </c>
      <c r="F72" s="252">
        <f t="shared" si="2"/>
        <v>400</v>
      </c>
      <c r="G72" s="252">
        <f t="shared" si="3"/>
        <v>4</v>
      </c>
      <c r="H72" s="225" t="str">
        <f t="shared" si="5"/>
        <v/>
      </c>
      <c r="I72" s="253"/>
      <c r="K72" s="254"/>
    </row>
    <row r="73">
      <c r="A73" s="247">
        <f t="shared" si="1"/>
        <v>65</v>
      </c>
      <c r="B73" s="248" t="str">
        <f>'ข้อมูลดิบ'!C470</f>
        <v>ประเสริฐ เรืองศรี</v>
      </c>
      <c r="C73" s="249">
        <f>'ข้อมูลดิบ'!H470</f>
        <v>25124</v>
      </c>
      <c r="D73" s="250">
        <f>'ข้อมูลดิบ'!N470 - 'ข้อมูลดิบ'!H470</f>
        <v>1</v>
      </c>
      <c r="E73" s="251">
        <f>IFERROR(VLOOKUP('ข้อมูลดิบ'!I470,'ฐานข้อมูลห้องพัก'!A:D, 3, FALSE), 0)</f>
        <v>400</v>
      </c>
      <c r="F73" s="252">
        <f t="shared" si="2"/>
        <v>400</v>
      </c>
      <c r="G73" s="252">
        <f t="shared" si="3"/>
        <v>4</v>
      </c>
      <c r="H73" s="225" t="str">
        <f t="shared" si="5"/>
        <v/>
      </c>
      <c r="I73" s="253"/>
      <c r="K73" s="254"/>
    </row>
    <row r="74">
      <c r="A74" s="247">
        <f t="shared" si="1"/>
        <v>66</v>
      </c>
      <c r="B74" s="248" t="str">
        <f>'ข้อมูลดิบ'!C471</f>
        <v>ภูวดล ศรีจันทร์</v>
      </c>
      <c r="C74" s="249">
        <f>'ข้อมูลดิบ'!H471</f>
        <v>25124</v>
      </c>
      <c r="D74" s="250">
        <f>'ข้อมูลดิบ'!N471 - 'ข้อมูลดิบ'!H471</f>
        <v>1</v>
      </c>
      <c r="E74" s="251">
        <f>IFERROR(VLOOKUP('ข้อมูลดิบ'!I471,'ฐานข้อมูลห้องพัก'!A:D, 3, FALSE), 0)</f>
        <v>400</v>
      </c>
      <c r="F74" s="252">
        <f t="shared" si="2"/>
        <v>400</v>
      </c>
      <c r="G74" s="252">
        <f t="shared" si="3"/>
        <v>4</v>
      </c>
      <c r="H74" s="225" t="str">
        <f t="shared" si="5"/>
        <v/>
      </c>
      <c r="I74" s="253"/>
      <c r="K74" s="254"/>
    </row>
    <row r="75">
      <c r="A75" s="247">
        <f t="shared" si="1"/>
        <v>67</v>
      </c>
      <c r="B75" s="248" t="str">
        <f>'ข้อมูลดิบ'!C472</f>
        <v>ภูวดล เรืองศรี</v>
      </c>
      <c r="C75" s="249">
        <f>'ข้อมูลดิบ'!H472</f>
        <v>25124</v>
      </c>
      <c r="D75" s="250">
        <f>'ข้อมูลดิบ'!N472 - 'ข้อมูลดิบ'!H472</f>
        <v>1</v>
      </c>
      <c r="E75" s="251">
        <f>IFERROR(VLOOKUP('ข้อมูลดิบ'!I472,'ฐานข้อมูลห้องพัก'!A:D, 3, FALSE), 0)</f>
        <v>500</v>
      </c>
      <c r="F75" s="252">
        <f t="shared" si="2"/>
        <v>500</v>
      </c>
      <c r="G75" s="252">
        <f t="shared" si="3"/>
        <v>5</v>
      </c>
      <c r="H75" s="225" t="str">
        <f t="shared" si="5"/>
        <v/>
      </c>
      <c r="I75" s="253"/>
      <c r="K75" s="254"/>
    </row>
    <row r="76">
      <c r="A76" s="247">
        <f t="shared" si="1"/>
        <v>68</v>
      </c>
      <c r="B76" s="248" t="str">
        <f>'ข้อมูลดิบ'!C473</f>
        <v>ยุพา แก้วใส</v>
      </c>
      <c r="C76" s="249">
        <f>'ข้อมูลดิบ'!H473</f>
        <v>25124</v>
      </c>
      <c r="D76" s="250">
        <f>'ข้อมูลดิบ'!N473 - 'ข้อมูลดิบ'!H473</f>
        <v>1</v>
      </c>
      <c r="E76" s="251">
        <f>IFERROR(VLOOKUP('ข้อมูลดิบ'!I473,'ฐานข้อมูลห้องพัก'!A:D, 3, FALSE), 0)</f>
        <v>400</v>
      </c>
      <c r="F76" s="252">
        <f t="shared" si="2"/>
        <v>400</v>
      </c>
      <c r="G76" s="252">
        <f t="shared" si="3"/>
        <v>4</v>
      </c>
      <c r="H76" s="225" t="str">
        <f t="shared" si="5"/>
        <v/>
      </c>
      <c r="I76" s="253"/>
      <c r="K76" s="254"/>
    </row>
    <row r="77">
      <c r="A77" s="247">
        <f t="shared" si="1"/>
        <v>69</v>
      </c>
      <c r="B77" s="248" t="str">
        <f>'ข้อมูลดิบ'!C474</f>
        <v>ชัยวัฒน์ แสงทอง</v>
      </c>
      <c r="C77" s="249">
        <f>'ข้อมูลดิบ'!H474</f>
        <v>25125</v>
      </c>
      <c r="D77" s="250">
        <f>'ข้อมูลดิบ'!N474 - 'ข้อมูลดิบ'!H474</f>
        <v>1</v>
      </c>
      <c r="E77" s="251">
        <f>IFERROR(VLOOKUP('ข้อมูลดิบ'!I474,'ฐานข้อมูลห้องพัก'!A:D, 3, FALSE), 0)</f>
        <v>400</v>
      </c>
      <c r="F77" s="252">
        <f t="shared" si="2"/>
        <v>400</v>
      </c>
      <c r="G77" s="252">
        <f t="shared" si="3"/>
        <v>4</v>
      </c>
      <c r="H77" s="225" t="str">
        <f t="shared" si="5"/>
        <v/>
      </c>
      <c r="I77" s="253"/>
      <c r="K77" s="254"/>
    </row>
    <row r="78">
      <c r="A78" s="247">
        <f t="shared" si="1"/>
        <v>70</v>
      </c>
      <c r="B78" s="248" t="str">
        <f>'ข้อมูลดิบ'!C475</f>
        <v>สุริยา พานทอง</v>
      </c>
      <c r="C78" s="249">
        <f>'ข้อมูลดิบ'!H475</f>
        <v>25125</v>
      </c>
      <c r="D78" s="250">
        <f>'ข้อมูลดิบ'!N475 - 'ข้อมูลดิบ'!H475</f>
        <v>1</v>
      </c>
      <c r="E78" s="251">
        <f>IFERROR(VLOOKUP('ข้อมูลดิบ'!I475,'ฐานข้อมูลห้องพัก'!A:D, 3, FALSE), 0)</f>
        <v>400</v>
      </c>
      <c r="F78" s="252">
        <f t="shared" si="2"/>
        <v>400</v>
      </c>
      <c r="G78" s="252">
        <f t="shared" si="3"/>
        <v>4</v>
      </c>
      <c r="H78" s="225" t="str">
        <f t="shared" si="5"/>
        <v/>
      </c>
      <c r="I78" s="253"/>
      <c r="K78" s="254"/>
    </row>
    <row r="79">
      <c r="A79" s="247">
        <f t="shared" si="1"/>
        <v>71</v>
      </c>
      <c r="B79" s="248" t="str">
        <f>'ข้อมูลดิบ'!C476</f>
        <v>สุริยา ใจดี</v>
      </c>
      <c r="C79" s="249">
        <f>'ข้อมูลดิบ'!H476</f>
        <v>25125</v>
      </c>
      <c r="D79" s="250">
        <f>'ข้อมูลดิบ'!N476 - 'ข้อมูลดิบ'!H476</f>
        <v>1</v>
      </c>
      <c r="E79" s="251">
        <f>IFERROR(VLOOKUP('ข้อมูลดิบ'!I476,'ฐานข้อมูลห้องพัก'!A:D, 3, FALSE), 0)</f>
        <v>400</v>
      </c>
      <c r="F79" s="252">
        <f t="shared" si="2"/>
        <v>400</v>
      </c>
      <c r="G79" s="252">
        <f t="shared" si="3"/>
        <v>4</v>
      </c>
      <c r="H79" s="225" t="str">
        <f t="shared" si="5"/>
        <v/>
      </c>
      <c r="I79" s="253"/>
      <c r="K79" s="254"/>
    </row>
    <row r="80">
      <c r="A80" s="247">
        <f t="shared" si="1"/>
        <v>72</v>
      </c>
      <c r="B80" s="248" t="str">
        <f>'ข้อมูลดิบ'!C477</f>
        <v>อาทิตยา รัตนพร</v>
      </c>
      <c r="C80" s="249">
        <f>'ข้อมูลดิบ'!H477</f>
        <v>25125</v>
      </c>
      <c r="D80" s="250">
        <f>'ข้อมูลดิบ'!N477 - 'ข้อมูลดิบ'!H477</f>
        <v>1</v>
      </c>
      <c r="E80" s="251">
        <f>IFERROR(VLOOKUP('ข้อมูลดิบ'!I477,'ฐานข้อมูลห้องพัก'!A:D, 3, FALSE), 0)</f>
        <v>500</v>
      </c>
      <c r="F80" s="252">
        <f t="shared" si="2"/>
        <v>500</v>
      </c>
      <c r="G80" s="252">
        <f t="shared" si="3"/>
        <v>5</v>
      </c>
      <c r="H80" s="225" t="str">
        <f t="shared" si="5"/>
        <v/>
      </c>
      <c r="I80" s="253"/>
      <c r="K80" s="254"/>
    </row>
    <row r="81">
      <c r="A81" s="247">
        <f t="shared" si="1"/>
        <v>73</v>
      </c>
      <c r="B81" s="248" t="str">
        <f>'ข้อมูลดิบ'!C478</f>
        <v>กัลยารัตน์ ศรีจันทร์</v>
      </c>
      <c r="C81" s="249">
        <f>'ข้อมูลดิบ'!H478</f>
        <v>25125</v>
      </c>
      <c r="D81" s="250">
        <f>'ข้อมูลดิบ'!N478 - 'ข้อมูลดิบ'!H478</f>
        <v>1</v>
      </c>
      <c r="E81" s="251">
        <f>IFERROR(VLOOKUP('ข้อมูลดิบ'!I478,'ฐานข้อมูลห้องพัก'!A:D, 3, FALSE), 0)</f>
        <v>400</v>
      </c>
      <c r="F81" s="252">
        <f t="shared" si="2"/>
        <v>400</v>
      </c>
      <c r="G81" s="252">
        <f t="shared" si="3"/>
        <v>4</v>
      </c>
      <c r="H81" s="225" t="str">
        <f t="shared" si="5"/>
        <v/>
      </c>
      <c r="I81" s="254"/>
      <c r="J81" s="254"/>
      <c r="K81" s="254"/>
    </row>
    <row r="82">
      <c r="A82" s="247">
        <f t="shared" si="1"/>
        <v>74</v>
      </c>
      <c r="B82" s="248" t="str">
        <f>'ข้อมูลดิบ'!C479</f>
        <v>มนัสนันท์ พานทอง</v>
      </c>
      <c r="C82" s="249">
        <f>'ข้อมูลดิบ'!H479</f>
        <v>25126</v>
      </c>
      <c r="D82" s="250">
        <f>'ข้อมูลดิบ'!N479 - 'ข้อมูลดิบ'!H479</f>
        <v>1</v>
      </c>
      <c r="E82" s="251">
        <f>IFERROR(VLOOKUP('ข้อมูลดิบ'!I479,'ฐานข้อมูลห้องพัก'!A:D, 3, FALSE), 0)</f>
        <v>400</v>
      </c>
      <c r="F82" s="252">
        <f t="shared" si="2"/>
        <v>400</v>
      </c>
      <c r="G82" s="252">
        <f t="shared" si="3"/>
        <v>4</v>
      </c>
      <c r="H82" s="225" t="str">
        <f t="shared" si="5"/>
        <v/>
      </c>
      <c r="I82" s="254"/>
      <c r="J82" s="254"/>
      <c r="K82" s="254"/>
    </row>
    <row r="83">
      <c r="A83" s="247">
        <f t="shared" si="1"/>
        <v>75</v>
      </c>
      <c r="B83" s="248" t="str">
        <f>'ข้อมูลดิบ'!C480</f>
        <v>สิทธิโชค ศรีจันทร์</v>
      </c>
      <c r="C83" s="249">
        <f>'ข้อมูลดิบ'!H480</f>
        <v>25126</v>
      </c>
      <c r="D83" s="250">
        <f>'ข้อมูลดิบ'!N480 - 'ข้อมูลดิบ'!H480</f>
        <v>1</v>
      </c>
      <c r="E83" s="251">
        <f>IFERROR(VLOOKUP('ข้อมูลดิบ'!I480,'ฐานข้อมูลห้องพัก'!A:D, 3, FALSE), 0)</f>
        <v>400</v>
      </c>
      <c r="F83" s="252">
        <f t="shared" si="2"/>
        <v>400</v>
      </c>
      <c r="G83" s="252">
        <f t="shared" si="3"/>
        <v>4</v>
      </c>
      <c r="H83" s="225" t="str">
        <f t="shared" si="5"/>
        <v/>
      </c>
      <c r="I83" s="255"/>
      <c r="J83" s="255"/>
      <c r="K83" s="255"/>
    </row>
    <row r="84">
      <c r="A84" s="247">
        <f t="shared" si="1"/>
        <v>76</v>
      </c>
      <c r="B84" s="248" t="str">
        <f>'ข้อมูลดิบ'!C481</f>
        <v>อาทิตยา เรืองศรี</v>
      </c>
      <c r="C84" s="249">
        <f>'ข้อมูลดิบ'!H481</f>
        <v>25126</v>
      </c>
      <c r="D84" s="250">
        <f>'ข้อมูลดิบ'!N481 - 'ข้อมูลดิบ'!H481</f>
        <v>1</v>
      </c>
      <c r="E84" s="251">
        <f>IFERROR(VLOOKUP('ข้อมูลดิบ'!I481,'ฐานข้อมูลห้องพัก'!A:D, 3, FALSE), 0)</f>
        <v>400</v>
      </c>
      <c r="F84" s="252">
        <f t="shared" si="2"/>
        <v>400</v>
      </c>
      <c r="G84" s="252">
        <f t="shared" si="3"/>
        <v>4</v>
      </c>
      <c r="H84" s="225" t="str">
        <f t="shared" si="5"/>
        <v/>
      </c>
      <c r="I84" s="255"/>
      <c r="J84" s="255"/>
      <c r="K84" s="255"/>
    </row>
    <row r="85">
      <c r="A85" s="247">
        <f t="shared" si="1"/>
        <v>77</v>
      </c>
      <c r="B85" s="248" t="str">
        <f>'ข้อมูลดิบ'!C482</f>
        <v>ชยพล ศรีจันทร์</v>
      </c>
      <c r="C85" s="249">
        <f>'ข้อมูลดิบ'!H482</f>
        <v>25126</v>
      </c>
      <c r="D85" s="250">
        <f>'ข้อมูลดิบ'!N482 - 'ข้อมูลดิบ'!H482</f>
        <v>1</v>
      </c>
      <c r="E85" s="251">
        <f>IFERROR(VLOOKUP('ข้อมูลดิบ'!I482,'ฐานข้อมูลห้องพัก'!A:D, 3, FALSE), 0)</f>
        <v>400</v>
      </c>
      <c r="F85" s="252">
        <f t="shared" si="2"/>
        <v>400</v>
      </c>
      <c r="G85" s="252">
        <f t="shared" si="3"/>
        <v>4</v>
      </c>
      <c r="H85" s="225" t="str">
        <f t="shared" si="5"/>
        <v/>
      </c>
      <c r="I85" s="254"/>
      <c r="J85" s="254"/>
      <c r="K85" s="254"/>
    </row>
    <row r="86">
      <c r="A86" s="247">
        <f t="shared" si="1"/>
        <v>78</v>
      </c>
      <c r="B86" s="248" t="str">
        <f>'ข้อมูลดิบ'!C483</f>
        <v>อธิวัฒน์ แก้วใส</v>
      </c>
      <c r="C86" s="249">
        <f>'ข้อมูลดิบ'!H483</f>
        <v>25126</v>
      </c>
      <c r="D86" s="250">
        <f>'ข้อมูลดิบ'!N483 - 'ข้อมูลดิบ'!H483</f>
        <v>1</v>
      </c>
      <c r="E86" s="251">
        <f>IFERROR(VLOOKUP('ข้อมูลดิบ'!I483,'ฐานข้อมูลห้องพัก'!A:D, 3, FALSE), 0)</f>
        <v>400</v>
      </c>
      <c r="F86" s="252">
        <f t="shared" si="2"/>
        <v>400</v>
      </c>
      <c r="G86" s="252">
        <f t="shared" si="3"/>
        <v>4</v>
      </c>
      <c r="H86" s="225" t="str">
        <f t="shared" si="5"/>
        <v/>
      </c>
      <c r="I86" s="254"/>
      <c r="J86" s="254"/>
      <c r="K86" s="254"/>
    </row>
    <row r="87">
      <c r="A87" s="247">
        <f t="shared" si="1"/>
        <v>79</v>
      </c>
      <c r="B87" s="248" t="str">
        <f>'ข้อมูลดิบ'!C484</f>
        <v>นิภาพร ใจดี</v>
      </c>
      <c r="C87" s="249">
        <f>'ข้อมูลดิบ'!H484</f>
        <v>25127</v>
      </c>
      <c r="D87" s="250">
        <f>'ข้อมูลดิบ'!N484 - 'ข้อมูลดิบ'!H484</f>
        <v>1</v>
      </c>
      <c r="E87" s="251">
        <f>IFERROR(VLOOKUP('ข้อมูลดิบ'!I484,'ฐานข้อมูลห้องพัก'!A:D, 3, FALSE), 0)</f>
        <v>600</v>
      </c>
      <c r="F87" s="252">
        <f t="shared" si="2"/>
        <v>600</v>
      </c>
      <c r="G87" s="252">
        <f t="shared" si="3"/>
        <v>6</v>
      </c>
      <c r="H87" s="225" t="str">
        <f t="shared" si="5"/>
        <v/>
      </c>
      <c r="I87" s="254"/>
      <c r="J87" s="254"/>
      <c r="K87" s="254"/>
    </row>
    <row r="88">
      <c r="A88" s="247">
        <f t="shared" si="1"/>
        <v>80</v>
      </c>
      <c r="B88" s="248" t="str">
        <f>'ข้อมูลดิบ'!C485</f>
        <v>จักรพงษ์ โพธิ์ชัย</v>
      </c>
      <c r="C88" s="249">
        <f>'ข้อมูลดิบ'!H485</f>
        <v>25127</v>
      </c>
      <c r="D88" s="250">
        <f>'ข้อมูลดิบ'!N485 - 'ข้อมูลดิบ'!H485</f>
        <v>1</v>
      </c>
      <c r="E88" s="251">
        <f>IFERROR(VLOOKUP('ข้อมูลดิบ'!I485,'ฐานข้อมูลห้องพัก'!A:D, 3, FALSE), 0)</f>
        <v>500</v>
      </c>
      <c r="F88" s="252">
        <f t="shared" si="2"/>
        <v>500</v>
      </c>
      <c r="G88" s="252">
        <f t="shared" si="3"/>
        <v>5</v>
      </c>
      <c r="H88" s="225" t="str">
        <f t="shared" si="5"/>
        <v/>
      </c>
      <c r="I88" s="254"/>
      <c r="J88" s="254"/>
      <c r="K88" s="254"/>
    </row>
    <row r="89">
      <c r="A89" s="247">
        <f t="shared" si="1"/>
        <v>81</v>
      </c>
      <c r="B89" s="248" t="str">
        <f>'ข้อมูลดิบ'!C486</f>
        <v>สิทธิโชค มีสุข</v>
      </c>
      <c r="C89" s="249">
        <f>'ข้อมูลดิบ'!H486</f>
        <v>25127</v>
      </c>
      <c r="D89" s="250">
        <f>'ข้อมูลดิบ'!N486 - 'ข้อมูลดิบ'!H486</f>
        <v>1</v>
      </c>
      <c r="E89" s="251">
        <f>IFERROR(VLOOKUP('ข้อมูลดิบ'!I486,'ฐานข้อมูลห้องพัก'!A:D, 3, FALSE), 0)</f>
        <v>500</v>
      </c>
      <c r="F89" s="252">
        <f t="shared" si="2"/>
        <v>500</v>
      </c>
      <c r="G89" s="252">
        <f t="shared" si="3"/>
        <v>5</v>
      </c>
      <c r="H89" s="225" t="str">
        <f t="shared" si="5"/>
        <v/>
      </c>
      <c r="I89" s="253"/>
      <c r="K89" s="254"/>
    </row>
    <row r="90">
      <c r="A90" s="247">
        <f t="shared" si="1"/>
        <v>82</v>
      </c>
      <c r="B90" s="248" t="str">
        <f>'ข้อมูลดิบ'!C487</f>
        <v>รัตนา บุญทวี</v>
      </c>
      <c r="C90" s="249">
        <f>'ข้อมูลดิบ'!H487</f>
        <v>25127</v>
      </c>
      <c r="D90" s="250">
        <f>'ข้อมูลดิบ'!N487 - 'ข้อมูลดิบ'!H487</f>
        <v>1</v>
      </c>
      <c r="E90" s="251">
        <f>IFERROR(VLOOKUP('ข้อมูลดิบ'!I487,'ฐานข้อมูลห้องพัก'!A:D, 3, FALSE), 0)</f>
        <v>400</v>
      </c>
      <c r="F90" s="252">
        <f t="shared" si="2"/>
        <v>400</v>
      </c>
      <c r="G90" s="252">
        <f t="shared" si="3"/>
        <v>4</v>
      </c>
      <c r="H90" s="225" t="str">
        <f t="shared" si="5"/>
        <v/>
      </c>
      <c r="I90" s="253"/>
      <c r="K90" s="254"/>
    </row>
    <row r="91">
      <c r="A91" s="247">
        <f t="shared" si="1"/>
        <v>83</v>
      </c>
      <c r="B91" s="248" t="str">
        <f>'ข้อมูลดิบ'!C488</f>
        <v>ณัฐพล แก้วใส</v>
      </c>
      <c r="C91" s="249">
        <f>'ข้อมูลดิบ'!H488</f>
        <v>25127</v>
      </c>
      <c r="D91" s="250">
        <f>'ข้อมูลดิบ'!N488 - 'ข้อมูลดิบ'!H488</f>
        <v>1</v>
      </c>
      <c r="E91" s="251">
        <f>IFERROR(VLOOKUP('ข้อมูลดิบ'!I488,'ฐานข้อมูลห้องพัก'!A:D, 3, FALSE), 0)</f>
        <v>400</v>
      </c>
      <c r="F91" s="252">
        <f t="shared" si="2"/>
        <v>400</v>
      </c>
      <c r="G91" s="252">
        <f t="shared" si="3"/>
        <v>4</v>
      </c>
      <c r="H91" s="225" t="str">
        <f t="shared" si="5"/>
        <v/>
      </c>
      <c r="I91" s="253"/>
      <c r="K91" s="254"/>
    </row>
    <row r="92">
      <c r="A92" s="247">
        <f t="shared" si="1"/>
        <v>84</v>
      </c>
      <c r="B92" s="248" t="str">
        <f>'ข้อมูลดิบ'!C489</f>
        <v>อธิวัฒน์ ศรีจันทร์</v>
      </c>
      <c r="C92" s="249">
        <f>'ข้อมูลดิบ'!H489</f>
        <v>25128</v>
      </c>
      <c r="D92" s="250">
        <f>'ข้อมูลดิบ'!N489 - 'ข้อมูลดิบ'!H489</f>
        <v>1</v>
      </c>
      <c r="E92" s="251">
        <f>IFERROR(VLOOKUP('ข้อมูลดิบ'!I489,'ฐานข้อมูลห้องพัก'!A:D, 3, FALSE), 0)</f>
        <v>400</v>
      </c>
      <c r="F92" s="252">
        <f t="shared" si="2"/>
        <v>400</v>
      </c>
      <c r="G92" s="252">
        <f t="shared" si="3"/>
        <v>4</v>
      </c>
      <c r="H92" s="225" t="str">
        <f t="shared" si="5"/>
        <v/>
      </c>
      <c r="I92" s="253"/>
      <c r="K92" s="254"/>
    </row>
    <row r="93">
      <c r="A93" s="247">
        <f t="shared" si="1"/>
        <v>85</v>
      </c>
      <c r="B93" s="248" t="str">
        <f>'ข้อมูลดิบ'!C490</f>
        <v>กัลยารัตน์ อินทรวงศ์</v>
      </c>
      <c r="C93" s="249">
        <f>'ข้อมูลดิบ'!H490</f>
        <v>25128</v>
      </c>
      <c r="D93" s="250">
        <f>'ข้อมูลดิบ'!N490 - 'ข้อมูลดิบ'!H490</f>
        <v>1</v>
      </c>
      <c r="E93" s="251">
        <f>IFERROR(VLOOKUP('ข้อมูลดิบ'!I490,'ฐานข้อมูลห้องพัก'!A:D, 3, FALSE), 0)</f>
        <v>400</v>
      </c>
      <c r="F93" s="252">
        <f t="shared" si="2"/>
        <v>400</v>
      </c>
      <c r="G93" s="252">
        <f t="shared" si="3"/>
        <v>4</v>
      </c>
      <c r="H93" s="225" t="str">
        <f t="shared" si="5"/>
        <v/>
      </c>
      <c r="I93" s="253"/>
      <c r="K93" s="254"/>
    </row>
    <row r="94">
      <c r="A94" s="247">
        <f t="shared" si="1"/>
        <v>86</v>
      </c>
      <c r="B94" s="248" t="str">
        <f>'ข้อมูลดิบ'!C491</f>
        <v>กิตติศักดิ์ บุญทวี</v>
      </c>
      <c r="C94" s="249">
        <f>'ข้อมูลดิบ'!H491</f>
        <v>25128</v>
      </c>
      <c r="D94" s="250">
        <f>'ข้อมูลดิบ'!N491 - 'ข้อมูลดิบ'!H491</f>
        <v>1</v>
      </c>
      <c r="E94" s="251">
        <f>IFERROR(VLOOKUP('ข้อมูลดิบ'!I491,'ฐานข้อมูลห้องพัก'!A:D, 3, FALSE), 0)</f>
        <v>400</v>
      </c>
      <c r="F94" s="252">
        <f t="shared" si="2"/>
        <v>400</v>
      </c>
      <c r="G94" s="252">
        <f t="shared" si="3"/>
        <v>4</v>
      </c>
      <c r="H94" s="225" t="str">
        <f t="shared" si="5"/>
        <v/>
      </c>
      <c r="I94" s="253"/>
      <c r="K94" s="254"/>
    </row>
    <row r="95">
      <c r="A95" s="247">
        <f t="shared" si="1"/>
        <v>87</v>
      </c>
      <c r="B95" s="248" t="str">
        <f>'ข้อมูลดิบ'!C492</f>
        <v>วรรณิศา พานทอง</v>
      </c>
      <c r="C95" s="249">
        <f>'ข้อมูลดิบ'!H492</f>
        <v>25128</v>
      </c>
      <c r="D95" s="250">
        <f>'ข้อมูลดิบ'!N492 - 'ข้อมูลดิบ'!H492</f>
        <v>1</v>
      </c>
      <c r="E95" s="251">
        <f>IFERROR(VLOOKUP('ข้อมูลดิบ'!I492,'ฐานข้อมูลห้องพัก'!A:D, 3, FALSE), 0)</f>
        <v>400</v>
      </c>
      <c r="F95" s="252">
        <f t="shared" si="2"/>
        <v>400</v>
      </c>
      <c r="G95" s="252">
        <f t="shared" si="3"/>
        <v>4</v>
      </c>
      <c r="H95" s="225" t="str">
        <f t="shared" si="5"/>
        <v/>
      </c>
      <c r="I95" s="253"/>
      <c r="K95" s="254"/>
    </row>
    <row r="96">
      <c r="A96" s="247">
        <f t="shared" si="1"/>
        <v>88</v>
      </c>
      <c r="B96" s="248" t="str">
        <f>'ข้อมูลดิบ'!C493</f>
        <v>อาทิตยา สุขสม</v>
      </c>
      <c r="C96" s="249">
        <f>'ข้อมูลดิบ'!H493</f>
        <v>25128</v>
      </c>
      <c r="D96" s="250">
        <f>'ข้อมูลดิบ'!N493 - 'ข้อมูลดิบ'!H493</f>
        <v>1</v>
      </c>
      <c r="E96" s="251">
        <f>IFERROR(VLOOKUP('ข้อมูลดิบ'!I493,'ฐานข้อมูลห้องพัก'!A:D, 3, FALSE), 0)</f>
        <v>400</v>
      </c>
      <c r="F96" s="252">
        <f t="shared" si="2"/>
        <v>400</v>
      </c>
      <c r="G96" s="252">
        <f t="shared" si="3"/>
        <v>4</v>
      </c>
      <c r="H96" s="225" t="str">
        <f t="shared" si="5"/>
        <v/>
      </c>
      <c r="I96" s="253"/>
      <c r="K96" s="254"/>
    </row>
    <row r="97">
      <c r="A97" s="247">
        <f t="shared" si="1"/>
        <v>89</v>
      </c>
      <c r="B97" s="248" t="str">
        <f>'ข้อมูลดิบ'!C494</f>
        <v>จักรพงษ์ ทองสิงห์</v>
      </c>
      <c r="C97" s="249">
        <f>'ข้อมูลดิบ'!H494</f>
        <v>25129</v>
      </c>
      <c r="D97" s="250">
        <f>'ข้อมูลดิบ'!N494 - 'ข้อมูลดิบ'!H494</f>
        <v>1</v>
      </c>
      <c r="E97" s="251">
        <f>IFERROR(VLOOKUP('ข้อมูลดิบ'!I494,'ฐานข้อมูลห้องพัก'!A:D, 3, FALSE), 0)</f>
        <v>400</v>
      </c>
      <c r="F97" s="252">
        <f t="shared" si="2"/>
        <v>400</v>
      </c>
      <c r="G97" s="252">
        <f t="shared" si="3"/>
        <v>4</v>
      </c>
      <c r="H97" s="225" t="str">
        <f t="shared" si="5"/>
        <v/>
      </c>
      <c r="I97" s="253"/>
      <c r="K97" s="254"/>
    </row>
    <row r="98">
      <c r="A98" s="247">
        <f t="shared" si="1"/>
        <v>90</v>
      </c>
      <c r="B98" s="248" t="str">
        <f>'ข้อมูลดิบ'!C495</f>
        <v>ณัฐพล กล้าหาญ</v>
      </c>
      <c r="C98" s="249">
        <f>'ข้อมูลดิบ'!H495</f>
        <v>25129</v>
      </c>
      <c r="D98" s="250">
        <f>'ข้อมูลดิบ'!N495 - 'ข้อมูลดิบ'!H495</f>
        <v>1</v>
      </c>
      <c r="E98" s="251">
        <f>IFERROR(VLOOKUP('ข้อมูลดิบ'!I495,'ฐานข้อมูลห้องพัก'!A:D, 3, FALSE), 0)</f>
        <v>600</v>
      </c>
      <c r="F98" s="252">
        <f t="shared" si="2"/>
        <v>600</v>
      </c>
      <c r="G98" s="252">
        <f t="shared" si="3"/>
        <v>6</v>
      </c>
      <c r="H98" s="225" t="str">
        <f t="shared" si="5"/>
        <v/>
      </c>
      <c r="I98" s="253"/>
      <c r="K98" s="254"/>
    </row>
    <row r="99">
      <c r="A99" s="247">
        <f t="shared" si="1"/>
        <v>91</v>
      </c>
      <c r="B99" s="248" t="str">
        <f>'ข้อมูลดิบ'!C496</f>
        <v>จักรพงษ์ ศรีมหา</v>
      </c>
      <c r="C99" s="249">
        <f>'ข้อมูลดิบ'!H496</f>
        <v>25129</v>
      </c>
      <c r="D99" s="250">
        <f>'ข้อมูลดิบ'!N496 - 'ข้อมูลดิบ'!H496</f>
        <v>1</v>
      </c>
      <c r="E99" s="251">
        <f>IFERROR(VLOOKUP('ข้อมูลดิบ'!I496,'ฐานข้อมูลห้องพัก'!A:D, 3, FALSE), 0)</f>
        <v>500</v>
      </c>
      <c r="F99" s="252">
        <f t="shared" si="2"/>
        <v>500</v>
      </c>
      <c r="G99" s="252">
        <f t="shared" si="3"/>
        <v>5</v>
      </c>
      <c r="H99" s="225" t="str">
        <f t="shared" si="5"/>
        <v/>
      </c>
      <c r="I99" s="253"/>
      <c r="K99" s="254"/>
    </row>
    <row r="100">
      <c r="A100" s="247">
        <f t="shared" si="1"/>
        <v>92</v>
      </c>
      <c r="B100" s="248" t="str">
        <f>'ข้อมูลดิบ'!C497</f>
        <v>พัชรี สายชล</v>
      </c>
      <c r="C100" s="249">
        <f>'ข้อมูลดิบ'!H497</f>
        <v>25129</v>
      </c>
      <c r="D100" s="250">
        <f>'ข้อมูลดิบ'!N497 - 'ข้อมูลดิบ'!H497</f>
        <v>1</v>
      </c>
      <c r="E100" s="251">
        <f>IFERROR(VLOOKUP('ข้อมูลดิบ'!I497,'ฐานข้อมูลห้องพัก'!A:D, 3, FALSE), 0)</f>
        <v>500</v>
      </c>
      <c r="F100" s="252">
        <f t="shared" si="2"/>
        <v>500</v>
      </c>
      <c r="G100" s="252">
        <f t="shared" si="3"/>
        <v>5</v>
      </c>
      <c r="H100" s="225" t="str">
        <f t="shared" si="5"/>
        <v/>
      </c>
      <c r="I100" s="253"/>
      <c r="K100" s="254"/>
    </row>
    <row r="101">
      <c r="A101" s="247">
        <f t="shared" si="1"/>
        <v>93</v>
      </c>
      <c r="B101" s="248" t="str">
        <f>'ข้อมูลดิบ'!C498</f>
        <v>สุริยา พงษ์ไพบูลย์</v>
      </c>
      <c r="C101" s="249">
        <f>'ข้อมูลดิบ'!H498</f>
        <v>25129</v>
      </c>
      <c r="D101" s="250">
        <f>'ข้อมูลดิบ'!N498 - 'ข้อมูลดิบ'!H498</f>
        <v>1</v>
      </c>
      <c r="E101" s="251">
        <f>IFERROR(VLOOKUP('ข้อมูลดิบ'!I498,'ฐานข้อมูลห้องพัก'!A:D, 3, FALSE), 0)</f>
        <v>400</v>
      </c>
      <c r="F101" s="252">
        <f t="shared" si="2"/>
        <v>400</v>
      </c>
      <c r="G101" s="252">
        <f t="shared" si="3"/>
        <v>4</v>
      </c>
      <c r="H101" s="225" t="str">
        <f t="shared" si="5"/>
        <v/>
      </c>
      <c r="I101" s="253"/>
      <c r="K101" s="254"/>
    </row>
    <row r="102">
      <c r="A102" s="247">
        <f t="shared" si="1"/>
        <v>94</v>
      </c>
      <c r="B102" s="248" t="str">
        <f>'ข้อมูลดิบ'!C499</f>
        <v>สุริยา กล้าหาญ</v>
      </c>
      <c r="C102" s="249">
        <f>'ข้อมูลดิบ'!H499</f>
        <v>25130</v>
      </c>
      <c r="D102" s="250">
        <f>'ข้อมูลดิบ'!N499 - 'ข้อมูลดิบ'!H499</f>
        <v>1</v>
      </c>
      <c r="E102" s="251">
        <f>IFERROR(VLOOKUP('ข้อมูลดิบ'!I499,'ฐานข้อมูลห้องพัก'!A:D, 3, FALSE), 0)</f>
        <v>400</v>
      </c>
      <c r="F102" s="252">
        <f t="shared" si="2"/>
        <v>400</v>
      </c>
      <c r="G102" s="252">
        <f t="shared" si="3"/>
        <v>4</v>
      </c>
      <c r="H102" s="225" t="str">
        <f t="shared" si="5"/>
        <v/>
      </c>
      <c r="I102" s="253"/>
      <c r="K102" s="254"/>
    </row>
    <row r="103">
      <c r="A103" s="247">
        <f t="shared" si="1"/>
        <v>95</v>
      </c>
      <c r="B103" s="248" t="str">
        <f>'ข้อมูลดิบ'!C500</f>
        <v>ชยพล บุญทวี</v>
      </c>
      <c r="C103" s="249">
        <f>'ข้อมูลดิบ'!H500</f>
        <v>25130</v>
      </c>
      <c r="D103" s="250">
        <f>'ข้อมูลดิบ'!N500 - 'ข้อมูลดิบ'!H500</f>
        <v>1</v>
      </c>
      <c r="E103" s="251">
        <f>IFERROR(VLOOKUP('ข้อมูลดิบ'!I500,'ฐานข้อมูลห้องพัก'!A:D, 3, FALSE), 0)</f>
        <v>400</v>
      </c>
      <c r="F103" s="252">
        <f t="shared" si="2"/>
        <v>400</v>
      </c>
      <c r="G103" s="252">
        <f t="shared" si="3"/>
        <v>4</v>
      </c>
      <c r="H103" s="225" t="str">
        <f t="shared" si="5"/>
        <v/>
      </c>
      <c r="I103" s="253"/>
      <c r="K103" s="254"/>
    </row>
    <row r="104">
      <c r="A104" s="247">
        <f t="shared" si="1"/>
        <v>96</v>
      </c>
      <c r="B104" s="248" t="str">
        <f>'ข้อมูลดิบ'!C501</f>
        <v>กัลยารัตน์ มีสุข</v>
      </c>
      <c r="C104" s="249">
        <f>'ข้อมูลดิบ'!H501</f>
        <v>25130</v>
      </c>
      <c r="D104" s="250">
        <f>'ข้อมูลดิบ'!N501 - 'ข้อมูลดิบ'!H501</f>
        <v>1</v>
      </c>
      <c r="E104" s="251">
        <f>IFERROR(VLOOKUP('ข้อมูลดิบ'!I501,'ฐานข้อมูลห้องพัก'!A:D, 3, FALSE), 0)</f>
        <v>400</v>
      </c>
      <c r="F104" s="252">
        <f t="shared" si="2"/>
        <v>400</v>
      </c>
      <c r="G104" s="252">
        <f t="shared" si="3"/>
        <v>4</v>
      </c>
      <c r="H104" s="225" t="str">
        <f t="shared" si="5"/>
        <v/>
      </c>
      <c r="I104" s="254"/>
      <c r="J104" s="254"/>
      <c r="K104" s="254"/>
    </row>
    <row r="105">
      <c r="A105" s="247">
        <f t="shared" si="1"/>
        <v>97</v>
      </c>
      <c r="B105" s="248" t="str">
        <f>'ข้อมูลดิบ'!C502</f>
        <v>พัชรี ทองสิงห์</v>
      </c>
      <c r="C105" s="249">
        <f>'ข้อมูลดิบ'!H502</f>
        <v>25130</v>
      </c>
      <c r="D105" s="250">
        <f>'ข้อมูลดิบ'!N502 - 'ข้อมูลดิบ'!H502</f>
        <v>1</v>
      </c>
      <c r="E105" s="251">
        <f>IFERROR(VLOOKUP('ข้อมูลดิบ'!I502,'ฐานข้อมูลห้องพัก'!A:D, 3, FALSE), 0)</f>
        <v>400</v>
      </c>
      <c r="F105" s="252">
        <f t="shared" si="2"/>
        <v>400</v>
      </c>
      <c r="G105" s="252">
        <f t="shared" si="3"/>
        <v>4</v>
      </c>
      <c r="H105" s="225" t="str">
        <f t="shared" si="5"/>
        <v/>
      </c>
      <c r="I105" s="254"/>
      <c r="J105" s="254"/>
      <c r="K105" s="254"/>
    </row>
    <row r="106">
      <c r="A106" s="247">
        <f t="shared" si="1"/>
        <v>98</v>
      </c>
      <c r="B106" s="248" t="str">
        <f>'ข้อมูลดิบ'!C503</f>
        <v>ณัฐพล พานทอง</v>
      </c>
      <c r="C106" s="249">
        <f>'ข้อมูลดิบ'!H503</f>
        <v>25130</v>
      </c>
      <c r="D106" s="250">
        <f>'ข้อมูลดิบ'!N503 - 'ข้อมูลดิบ'!H503</f>
        <v>1</v>
      </c>
      <c r="E106" s="251">
        <f>IFERROR(VLOOKUP('ข้อมูลดิบ'!I503,'ฐานข้อมูลห้องพัก'!A:D, 3, FALSE), 0)</f>
        <v>400</v>
      </c>
      <c r="F106" s="252">
        <f t="shared" si="2"/>
        <v>400</v>
      </c>
      <c r="G106" s="252">
        <f t="shared" si="3"/>
        <v>4</v>
      </c>
      <c r="H106" s="225" t="str">
        <f t="shared" si="5"/>
        <v/>
      </c>
      <c r="I106" s="255"/>
      <c r="J106" s="255"/>
      <c r="K106" s="255"/>
    </row>
    <row r="107">
      <c r="A107" s="247">
        <f t="shared" si="1"/>
        <v>99</v>
      </c>
      <c r="B107" s="248" t="str">
        <f>'ข้อมูลดิบ'!C504</f>
        <v>ธัญชนก ทองสิงห์</v>
      </c>
      <c r="C107" s="249">
        <f>'ข้อมูลดิบ'!H504</f>
        <v>25131</v>
      </c>
      <c r="D107" s="250">
        <f>'ข้อมูลดิบ'!N504 - 'ข้อมูลดิบ'!H504</f>
        <v>1</v>
      </c>
      <c r="E107" s="251">
        <f>IFERROR(VLOOKUP('ข้อมูลดิบ'!I504,'ฐานข้อมูลห้องพัก'!A:D, 3, FALSE), 0)</f>
        <v>400</v>
      </c>
      <c r="F107" s="252">
        <f t="shared" si="2"/>
        <v>400</v>
      </c>
      <c r="G107" s="252">
        <f t="shared" si="3"/>
        <v>4</v>
      </c>
      <c r="H107" s="225" t="str">
        <f t="shared" si="5"/>
        <v/>
      </c>
      <c r="I107" s="255"/>
      <c r="J107" s="255"/>
      <c r="K107" s="255"/>
    </row>
    <row r="108">
      <c r="A108" s="247">
        <f t="shared" si="1"/>
        <v>100</v>
      </c>
      <c r="B108" s="248" t="str">
        <f>'ข้อมูลดิบ'!C505</f>
        <v>อธิวัฒน์ ศรีมหา</v>
      </c>
      <c r="C108" s="249">
        <f>'ข้อมูลดิบ'!H505</f>
        <v>25131</v>
      </c>
      <c r="D108" s="250">
        <f>'ข้อมูลดิบ'!N505 - 'ข้อมูลดิบ'!H505</f>
        <v>1</v>
      </c>
      <c r="E108" s="251">
        <f>IFERROR(VLOOKUP('ข้อมูลดิบ'!I505,'ฐานข้อมูลห้องพัก'!A:D, 3, FALSE), 0)</f>
        <v>500</v>
      </c>
      <c r="F108" s="252">
        <f t="shared" si="2"/>
        <v>500</v>
      </c>
      <c r="G108" s="252">
        <f t="shared" si="3"/>
        <v>5</v>
      </c>
      <c r="H108" s="225" t="str">
        <f t="shared" si="5"/>
        <v/>
      </c>
      <c r="I108" s="254"/>
      <c r="J108" s="254"/>
      <c r="K108" s="254"/>
    </row>
    <row r="109">
      <c r="A109" s="247">
        <f t="shared" si="1"/>
        <v>101</v>
      </c>
      <c r="B109" s="248" t="str">
        <f>'ข้อมูลดิบ'!C506</f>
        <v>ชัยวัฒน์ พานทอง</v>
      </c>
      <c r="C109" s="249">
        <f>'ข้อมูลดิบ'!H506</f>
        <v>25131</v>
      </c>
      <c r="D109" s="250">
        <f>'ข้อมูลดิบ'!N506 - 'ข้อมูลดิบ'!H506</f>
        <v>1</v>
      </c>
      <c r="E109" s="251">
        <f>IFERROR(VLOOKUP('ข้อมูลดิบ'!I506,'ฐานข้อมูลห้องพัก'!A:D, 3, FALSE), 0)</f>
        <v>400</v>
      </c>
      <c r="F109" s="252">
        <f t="shared" si="2"/>
        <v>400</v>
      </c>
      <c r="G109" s="252">
        <f t="shared" si="3"/>
        <v>4</v>
      </c>
      <c r="H109" s="225" t="str">
        <f t="shared" si="5"/>
        <v/>
      </c>
      <c r="I109" s="254"/>
      <c r="J109" s="254"/>
      <c r="K109" s="254"/>
    </row>
    <row r="110">
      <c r="A110" s="247">
        <f t="shared" si="1"/>
        <v>102</v>
      </c>
      <c r="B110" s="248" t="str">
        <f>'ข้อมูลดิบ'!C507</f>
        <v>อาทิตยา คำแสน</v>
      </c>
      <c r="C110" s="249">
        <f>'ข้อมูลดิบ'!H507</f>
        <v>25131</v>
      </c>
      <c r="D110" s="250">
        <f>'ข้อมูลดิบ'!N507 - 'ข้อมูลดิบ'!H507</f>
        <v>1</v>
      </c>
      <c r="E110" s="251">
        <f>IFERROR(VLOOKUP('ข้อมูลดิบ'!I507,'ฐานข้อมูลห้องพัก'!A:D, 3, FALSE), 0)</f>
        <v>600</v>
      </c>
      <c r="F110" s="252">
        <f t="shared" si="2"/>
        <v>600</v>
      </c>
      <c r="G110" s="252">
        <f t="shared" si="3"/>
        <v>6</v>
      </c>
      <c r="H110" s="225" t="str">
        <f t="shared" si="5"/>
        <v/>
      </c>
      <c r="I110" s="254"/>
      <c r="J110" s="254"/>
      <c r="K110" s="254"/>
    </row>
    <row r="111">
      <c r="A111" s="247">
        <f t="shared" si="1"/>
        <v>103</v>
      </c>
      <c r="B111" s="248" t="str">
        <f>'ข้อมูลดิบ'!C508</f>
        <v>ธัญชนก สุขสม</v>
      </c>
      <c r="C111" s="249">
        <f>'ข้อมูลดิบ'!H508</f>
        <v>25131</v>
      </c>
      <c r="D111" s="250">
        <f>'ข้อมูลดิบ'!N508 - 'ข้อมูลดิบ'!H508</f>
        <v>1</v>
      </c>
      <c r="E111" s="251">
        <f>IFERROR(VLOOKUP('ข้อมูลดิบ'!I508,'ฐานข้อมูลห้องพัก'!A:D, 3, FALSE), 0)</f>
        <v>400</v>
      </c>
      <c r="F111" s="252">
        <f t="shared" si="2"/>
        <v>400</v>
      </c>
      <c r="G111" s="252">
        <f t="shared" si="3"/>
        <v>4</v>
      </c>
      <c r="H111" s="225" t="str">
        <f t="shared" si="5"/>
        <v/>
      </c>
      <c r="I111" s="254"/>
      <c r="J111" s="254"/>
      <c r="K111" s="254"/>
    </row>
    <row r="112">
      <c r="A112" s="247">
        <f t="shared" si="1"/>
        <v>104</v>
      </c>
      <c r="B112" s="248" t="str">
        <f>'ข้อมูลดิบ'!C509</f>
        <v>กิตติศักดิ์ สุขสม</v>
      </c>
      <c r="C112" s="249">
        <f>'ข้อมูลดิบ'!H509</f>
        <v>25132</v>
      </c>
      <c r="D112" s="250">
        <f>'ข้อมูลดิบ'!N509 - 'ข้อมูลดิบ'!H509</f>
        <v>1</v>
      </c>
      <c r="E112" s="251">
        <f>IFERROR(VLOOKUP('ข้อมูลดิบ'!I509,'ฐานข้อมูลห้องพัก'!A:D, 3, FALSE), 0)</f>
        <v>400</v>
      </c>
      <c r="F112" s="252">
        <f t="shared" si="2"/>
        <v>400</v>
      </c>
      <c r="G112" s="252">
        <f t="shared" si="3"/>
        <v>4</v>
      </c>
      <c r="H112" s="225" t="str">
        <f t="shared" si="5"/>
        <v/>
      </c>
      <c r="I112" s="253"/>
      <c r="K112" s="254"/>
    </row>
    <row r="113">
      <c r="A113" s="247">
        <f t="shared" si="1"/>
        <v>105</v>
      </c>
      <c r="B113" s="248" t="str">
        <f>'ข้อมูลดิบ'!C510</f>
        <v>พัชรี โพธิ์ชัย</v>
      </c>
      <c r="C113" s="249">
        <f>'ข้อมูลดิบ'!H510</f>
        <v>25132</v>
      </c>
      <c r="D113" s="250">
        <f>'ข้อมูลดิบ'!N510 - 'ข้อมูลดิบ'!H510</f>
        <v>1</v>
      </c>
      <c r="E113" s="251">
        <f>IFERROR(VLOOKUP('ข้อมูลดิบ'!I510,'ฐานข้อมูลห้องพัก'!A:D, 3, FALSE), 0)</f>
        <v>400</v>
      </c>
      <c r="F113" s="252">
        <f t="shared" si="2"/>
        <v>400</v>
      </c>
      <c r="G113" s="252">
        <f t="shared" si="3"/>
        <v>4</v>
      </c>
      <c r="H113" s="225" t="str">
        <f t="shared" si="5"/>
        <v/>
      </c>
      <c r="I113" s="253"/>
      <c r="K113" s="254"/>
    </row>
    <row r="114">
      <c r="A114" s="247">
        <f t="shared" si="1"/>
        <v>106</v>
      </c>
      <c r="B114" s="248" t="str">
        <f>'ข้อมูลดิบ'!C511</f>
        <v>อาทิตยา กล้าหาญ</v>
      </c>
      <c r="C114" s="249">
        <f>'ข้อมูลดิบ'!H511</f>
        <v>25132</v>
      </c>
      <c r="D114" s="250">
        <f>'ข้อมูลดิบ'!N511 - 'ข้อมูลดิบ'!H511</f>
        <v>1</v>
      </c>
      <c r="E114" s="251">
        <f>IFERROR(VLOOKUP('ข้อมูลดิบ'!I511,'ฐานข้อมูลห้องพัก'!A:D, 3, FALSE), 0)</f>
        <v>400</v>
      </c>
      <c r="F114" s="252">
        <f t="shared" si="2"/>
        <v>400</v>
      </c>
      <c r="G114" s="252">
        <f t="shared" si="3"/>
        <v>4</v>
      </c>
      <c r="H114" s="225" t="str">
        <f t="shared" si="5"/>
        <v/>
      </c>
      <c r="I114" s="253"/>
      <c r="K114" s="254"/>
    </row>
    <row r="115">
      <c r="A115" s="247">
        <f t="shared" si="1"/>
        <v>107</v>
      </c>
      <c r="B115" s="248" t="str">
        <f>'ข้อมูลดิบ'!C512</f>
        <v>ยุพา มีสุข</v>
      </c>
      <c r="C115" s="249">
        <f>'ข้อมูลดิบ'!H512</f>
        <v>25132</v>
      </c>
      <c r="D115" s="250">
        <f>'ข้อมูลดิบ'!N512 - 'ข้อมูลดิบ'!H512</f>
        <v>1</v>
      </c>
      <c r="E115" s="251">
        <f>IFERROR(VLOOKUP('ข้อมูลดิบ'!I512,'ฐานข้อมูลห้องพัก'!A:D, 3, FALSE), 0)</f>
        <v>400</v>
      </c>
      <c r="F115" s="252">
        <f t="shared" si="2"/>
        <v>400</v>
      </c>
      <c r="G115" s="252">
        <f t="shared" si="3"/>
        <v>4</v>
      </c>
      <c r="H115" s="225" t="str">
        <f t="shared" si="5"/>
        <v/>
      </c>
      <c r="I115" s="253"/>
      <c r="K115" s="254"/>
    </row>
    <row r="116">
      <c r="A116" s="247">
        <f t="shared" si="1"/>
        <v>108</v>
      </c>
      <c r="B116" s="248" t="str">
        <f>'ข้อมูลดิบ'!C513</f>
        <v>พัชรี รุ่งเรือง</v>
      </c>
      <c r="C116" s="249">
        <f>'ข้อมูลดิบ'!H513</f>
        <v>25132</v>
      </c>
      <c r="D116" s="250">
        <f>'ข้อมูลดิบ'!N513 - 'ข้อมูลดิบ'!H513</f>
        <v>1</v>
      </c>
      <c r="E116" s="251">
        <f>IFERROR(VLOOKUP('ข้อมูลดิบ'!I513,'ฐานข้อมูลห้องพัก'!A:D, 3, FALSE), 0)</f>
        <v>400</v>
      </c>
      <c r="F116" s="252">
        <f t="shared" si="2"/>
        <v>400</v>
      </c>
      <c r="G116" s="252">
        <f t="shared" si="3"/>
        <v>4</v>
      </c>
      <c r="H116" s="225" t="str">
        <f t="shared" si="5"/>
        <v/>
      </c>
      <c r="I116" s="253"/>
      <c r="K116" s="254"/>
    </row>
    <row r="117">
      <c r="A117" s="247">
        <f t="shared" si="1"/>
        <v>109</v>
      </c>
      <c r="B117" s="248" t="str">
        <f>'ข้อมูลดิบ'!C514</f>
        <v>ประเสริฐ กล้าหาญ</v>
      </c>
      <c r="C117" s="249">
        <f>'ข้อมูลดิบ'!H514</f>
        <v>25133</v>
      </c>
      <c r="D117" s="250">
        <f>'ข้อมูลดิบ'!N514 - 'ข้อมูลดิบ'!H514</f>
        <v>1</v>
      </c>
      <c r="E117" s="251">
        <f>IFERROR(VLOOKUP('ข้อมูลดิบ'!I514,'ฐานข้อมูลห้องพัก'!A:D, 3, FALSE), 0)</f>
        <v>600</v>
      </c>
      <c r="F117" s="252">
        <f t="shared" si="2"/>
        <v>600</v>
      </c>
      <c r="G117" s="252">
        <f t="shared" si="3"/>
        <v>6</v>
      </c>
      <c r="H117" s="225" t="str">
        <f t="shared" si="5"/>
        <v/>
      </c>
      <c r="I117" s="253"/>
      <c r="K117" s="254"/>
    </row>
    <row r="118">
      <c r="A118" s="247">
        <f t="shared" si="1"/>
        <v>110</v>
      </c>
      <c r="B118" s="248" t="str">
        <f>'ข้อมูลดิบ'!C515</f>
        <v>อธิวัฒน์ มีสุข</v>
      </c>
      <c r="C118" s="249">
        <f>'ข้อมูลดิบ'!H515</f>
        <v>25133</v>
      </c>
      <c r="D118" s="250">
        <f>'ข้อมูลดิบ'!N515 - 'ข้อมูลดิบ'!H515</f>
        <v>1</v>
      </c>
      <c r="E118" s="251">
        <f>IFERROR(VLOOKUP('ข้อมูลดิบ'!I515,'ฐานข้อมูลห้องพัก'!A:D, 3, FALSE), 0)</f>
        <v>400</v>
      </c>
      <c r="F118" s="252">
        <f t="shared" si="2"/>
        <v>400</v>
      </c>
      <c r="G118" s="252">
        <f t="shared" si="3"/>
        <v>4</v>
      </c>
      <c r="H118" s="225" t="str">
        <f t="shared" si="5"/>
        <v/>
      </c>
      <c r="I118" s="253"/>
      <c r="K118" s="254"/>
    </row>
    <row r="119">
      <c r="A119" s="247">
        <f t="shared" si="1"/>
        <v>111</v>
      </c>
      <c r="B119" s="248" t="str">
        <f>'ข้อมูลดิบ'!C516</f>
        <v>พัชรี พานทอง</v>
      </c>
      <c r="C119" s="249">
        <f>'ข้อมูลดิบ'!H516</f>
        <v>25133</v>
      </c>
      <c r="D119" s="250">
        <f>'ข้อมูลดิบ'!N516 - 'ข้อมูลดิบ'!H516</f>
        <v>1</v>
      </c>
      <c r="E119" s="251">
        <f>IFERROR(VLOOKUP('ข้อมูลดิบ'!I516,'ฐานข้อมูลห้องพัก'!A:D, 3, FALSE), 0)</f>
        <v>400</v>
      </c>
      <c r="F119" s="252">
        <f t="shared" si="2"/>
        <v>400</v>
      </c>
      <c r="G119" s="252">
        <f t="shared" si="3"/>
        <v>4</v>
      </c>
      <c r="H119" s="225" t="str">
        <f t="shared" si="5"/>
        <v/>
      </c>
      <c r="I119" s="253"/>
      <c r="K119" s="254"/>
    </row>
    <row r="120">
      <c r="A120" s="247">
        <f t="shared" si="1"/>
        <v>112</v>
      </c>
      <c r="B120" s="248" t="str">
        <f>'ข้อมูลดิบ'!C517</f>
        <v>พัชรี มีสุข</v>
      </c>
      <c r="C120" s="249">
        <f>'ข้อมูลดิบ'!H517</f>
        <v>25133</v>
      </c>
      <c r="D120" s="250">
        <f>'ข้อมูลดิบ'!N517 - 'ข้อมูลดิบ'!H517</f>
        <v>1</v>
      </c>
      <c r="E120" s="251">
        <f>IFERROR(VLOOKUP('ข้อมูลดิบ'!I517,'ฐานข้อมูลห้องพัก'!A:D, 3, FALSE), 0)</f>
        <v>400</v>
      </c>
      <c r="F120" s="252">
        <f t="shared" si="2"/>
        <v>400</v>
      </c>
      <c r="G120" s="252">
        <f t="shared" si="3"/>
        <v>4</v>
      </c>
      <c r="H120" s="225" t="str">
        <f t="shared" si="5"/>
        <v/>
      </c>
      <c r="I120" s="253"/>
      <c r="K120" s="254"/>
    </row>
    <row r="121">
      <c r="A121" s="247">
        <f t="shared" si="1"/>
        <v>113</v>
      </c>
      <c r="B121" s="248" t="str">
        <f>'ข้อมูลดิบ'!C518</f>
        <v>อารยา แก้วใส</v>
      </c>
      <c r="C121" s="249">
        <f>'ข้อมูลดิบ'!H518</f>
        <v>25133</v>
      </c>
      <c r="D121" s="250">
        <f>'ข้อมูลดิบ'!N518 - 'ข้อมูลดิบ'!H518</f>
        <v>1</v>
      </c>
      <c r="E121" s="251">
        <f>IFERROR(VLOOKUP('ข้อมูลดิบ'!I518,'ฐานข้อมูลห้องพัก'!A:D, 3, FALSE), 0)</f>
        <v>500</v>
      </c>
      <c r="F121" s="252">
        <f t="shared" si="2"/>
        <v>500</v>
      </c>
      <c r="G121" s="252">
        <f t="shared" si="3"/>
        <v>5</v>
      </c>
      <c r="H121" s="225" t="str">
        <f t="shared" si="5"/>
        <v/>
      </c>
      <c r="I121" s="253"/>
      <c r="K121" s="254"/>
    </row>
    <row r="122">
      <c r="A122" s="247">
        <f t="shared" si="1"/>
        <v>114</v>
      </c>
      <c r="B122" s="248" t="str">
        <f>'ข้อมูลดิบ'!C519</f>
        <v>สิทธิโชค บุญทวี</v>
      </c>
      <c r="C122" s="249">
        <f>'ข้อมูลดิบ'!H519</f>
        <v>25134</v>
      </c>
      <c r="D122" s="250">
        <f>'ข้อมูลดิบ'!N519 - 'ข้อมูลดิบ'!H519</f>
        <v>1</v>
      </c>
      <c r="E122" s="251">
        <f>IFERROR(VLOOKUP('ข้อมูลดิบ'!I519,'ฐานข้อมูลห้องพัก'!A:D, 3, FALSE), 0)</f>
        <v>400</v>
      </c>
      <c r="F122" s="252">
        <f t="shared" si="2"/>
        <v>400</v>
      </c>
      <c r="G122" s="252">
        <f t="shared" si="3"/>
        <v>4</v>
      </c>
      <c r="H122" s="225" t="str">
        <f t="shared" si="5"/>
        <v/>
      </c>
      <c r="I122" s="253"/>
      <c r="K122" s="254"/>
    </row>
    <row r="123">
      <c r="A123" s="247">
        <f t="shared" si="1"/>
        <v>115</v>
      </c>
      <c r="B123" s="248" t="str">
        <f>'ข้อมูลดิบ'!C520</f>
        <v>สุริยา วัฒนกุล</v>
      </c>
      <c r="C123" s="249">
        <f>'ข้อมูลดิบ'!H520</f>
        <v>25134</v>
      </c>
      <c r="D123" s="250">
        <f>'ข้อมูลดิบ'!N520 - 'ข้อมูลดิบ'!H520</f>
        <v>1</v>
      </c>
      <c r="E123" s="251">
        <f>IFERROR(VLOOKUP('ข้อมูลดิบ'!I520,'ฐานข้อมูลห้องพัก'!A:D, 3, FALSE), 0)</f>
        <v>500</v>
      </c>
      <c r="F123" s="252">
        <f t="shared" si="2"/>
        <v>500</v>
      </c>
      <c r="G123" s="252">
        <f t="shared" si="3"/>
        <v>5</v>
      </c>
      <c r="H123" s="225" t="str">
        <f t="shared" si="5"/>
        <v/>
      </c>
      <c r="I123" s="253"/>
      <c r="K123" s="254"/>
    </row>
    <row r="124">
      <c r="A124" s="247">
        <f t="shared" si="1"/>
        <v>116</v>
      </c>
      <c r="B124" s="248" t="str">
        <f>'ข้อมูลดิบ'!C521</f>
        <v>ธัญชนก วัฒนกุล</v>
      </c>
      <c r="C124" s="249">
        <f>'ข้อมูลดิบ'!H521</f>
        <v>25134</v>
      </c>
      <c r="D124" s="250">
        <f>'ข้อมูลดิบ'!N521 - 'ข้อมูลดิบ'!H521</f>
        <v>1</v>
      </c>
      <c r="E124" s="251">
        <f>IFERROR(VLOOKUP('ข้อมูลดิบ'!I521,'ฐานข้อมูลห้องพัก'!A:D, 3, FALSE), 0)</f>
        <v>500</v>
      </c>
      <c r="F124" s="252">
        <f t="shared" si="2"/>
        <v>500</v>
      </c>
      <c r="G124" s="252">
        <f t="shared" si="3"/>
        <v>5</v>
      </c>
      <c r="H124" s="225" t="str">
        <f t="shared" si="5"/>
        <v/>
      </c>
      <c r="I124" s="253"/>
      <c r="K124" s="254"/>
    </row>
    <row r="125">
      <c r="A125" s="247">
        <f t="shared" si="1"/>
        <v>117</v>
      </c>
      <c r="B125" s="248" t="str">
        <f>'ข้อมูลดิบ'!C522</f>
        <v>รัตนา ทองสิงห์</v>
      </c>
      <c r="C125" s="249">
        <f>'ข้อมูลดิบ'!H522</f>
        <v>25134</v>
      </c>
      <c r="D125" s="250">
        <f>'ข้อมูลดิบ'!N522 - 'ข้อมูลดิบ'!H522</f>
        <v>1</v>
      </c>
      <c r="E125" s="251">
        <f>IFERROR(VLOOKUP('ข้อมูลดิบ'!I522,'ฐานข้อมูลห้องพัก'!A:D, 3, FALSE), 0)</f>
        <v>400</v>
      </c>
      <c r="F125" s="252">
        <f t="shared" si="2"/>
        <v>400</v>
      </c>
      <c r="G125" s="252">
        <f t="shared" si="3"/>
        <v>4</v>
      </c>
      <c r="H125" s="225" t="str">
        <f t="shared" si="5"/>
        <v/>
      </c>
      <c r="I125" s="253"/>
      <c r="K125" s="254"/>
    </row>
    <row r="126">
      <c r="A126" s="247">
        <f t="shared" si="1"/>
        <v>118</v>
      </c>
      <c r="B126" s="248" t="str">
        <f>'ข้อมูลดิบ'!C523</f>
        <v>ธัญชนก แก้วใส</v>
      </c>
      <c r="C126" s="249">
        <f>'ข้อมูลดิบ'!H523</f>
        <v>25134</v>
      </c>
      <c r="D126" s="250">
        <f>'ข้อมูลดิบ'!N523 - 'ข้อมูลดิบ'!H523</f>
        <v>1</v>
      </c>
      <c r="E126" s="251">
        <f>IFERROR(VLOOKUP('ข้อมูลดิบ'!I523,'ฐานข้อมูลห้องพัก'!A:D, 3, FALSE), 0)</f>
        <v>400</v>
      </c>
      <c r="F126" s="252">
        <f t="shared" si="2"/>
        <v>400</v>
      </c>
      <c r="G126" s="252">
        <f t="shared" si="3"/>
        <v>4</v>
      </c>
      <c r="H126" s="225" t="str">
        <f t="shared" si="5"/>
        <v/>
      </c>
      <c r="I126" s="253"/>
      <c r="K126" s="254"/>
    </row>
    <row r="127">
      <c r="A127" s="247">
        <f t="shared" si="1"/>
        <v>119</v>
      </c>
      <c r="B127" s="248" t="str">
        <f>'ข้อมูลดิบ'!C524</f>
        <v>กัลยารัตน์ รุ่งเรือง</v>
      </c>
      <c r="C127" s="249">
        <f>'ข้อมูลดิบ'!H524</f>
        <v>25135</v>
      </c>
      <c r="D127" s="250">
        <f>'ข้อมูลดิบ'!N524 - 'ข้อมูลดิบ'!H524</f>
        <v>1</v>
      </c>
      <c r="E127" s="251">
        <f>IFERROR(VLOOKUP('ข้อมูลดิบ'!I524,'ฐานข้อมูลห้องพัก'!A:D, 3, FALSE), 0)</f>
        <v>400</v>
      </c>
      <c r="F127" s="252">
        <f t="shared" si="2"/>
        <v>400</v>
      </c>
      <c r="G127" s="252">
        <f t="shared" si="3"/>
        <v>4</v>
      </c>
      <c r="H127" s="225" t="str">
        <f t="shared" si="5"/>
        <v/>
      </c>
      <c r="I127" s="254"/>
      <c r="J127" s="254"/>
      <c r="K127" s="254"/>
    </row>
    <row r="128">
      <c r="A128" s="247">
        <f t="shared" si="1"/>
        <v>120</v>
      </c>
      <c r="B128" s="248" t="str">
        <f>'ข้อมูลดิบ'!C525</f>
        <v>พัชรี บุญทวี</v>
      </c>
      <c r="C128" s="249">
        <f>'ข้อมูลดิบ'!H525</f>
        <v>25135</v>
      </c>
      <c r="D128" s="250">
        <f>'ข้อมูลดิบ'!N525 - 'ข้อมูลดิบ'!H525</f>
        <v>1</v>
      </c>
      <c r="E128" s="251">
        <f>IFERROR(VLOOKUP('ข้อมูลดิบ'!I525,'ฐานข้อมูลห้องพัก'!A:D, 3, FALSE), 0)</f>
        <v>400</v>
      </c>
      <c r="F128" s="252">
        <f t="shared" si="2"/>
        <v>400</v>
      </c>
      <c r="G128" s="252">
        <f t="shared" si="3"/>
        <v>4</v>
      </c>
      <c r="H128" s="225" t="str">
        <f t="shared" si="5"/>
        <v/>
      </c>
      <c r="I128" s="254"/>
      <c r="J128" s="254"/>
      <c r="K128" s="254"/>
    </row>
    <row r="129">
      <c r="A129" s="247">
        <f t="shared" si="1"/>
        <v>121</v>
      </c>
      <c r="B129" s="248" t="str">
        <f>'ข้อมูลดิบ'!C526</f>
        <v>รัตนา กล้าหาญ</v>
      </c>
      <c r="C129" s="249">
        <f>'ข้อมูลดิบ'!H526</f>
        <v>25135</v>
      </c>
      <c r="D129" s="250">
        <f>'ข้อมูลดิบ'!N526 - 'ข้อมูลดิบ'!H526</f>
        <v>1</v>
      </c>
      <c r="E129" s="251">
        <f>IFERROR(VLOOKUP('ข้อมูลดิบ'!I526,'ฐานข้อมูลห้องพัก'!A:D, 3, FALSE), 0)</f>
        <v>500</v>
      </c>
      <c r="F129" s="252">
        <f t="shared" si="2"/>
        <v>500</v>
      </c>
      <c r="G129" s="252">
        <f t="shared" si="3"/>
        <v>5</v>
      </c>
      <c r="H129" s="225" t="str">
        <f t="shared" si="5"/>
        <v/>
      </c>
      <c r="I129" s="255"/>
      <c r="J129" s="255"/>
      <c r="K129" s="255"/>
    </row>
    <row r="130">
      <c r="A130" s="247">
        <f t="shared" si="1"/>
        <v>122</v>
      </c>
      <c r="B130" s="248" t="str">
        <f>'ข้อมูลดิบ'!C527</f>
        <v>จักรพงษ์ แก้วใส</v>
      </c>
      <c r="C130" s="249">
        <f>'ข้อมูลดิบ'!H527</f>
        <v>25135</v>
      </c>
      <c r="D130" s="250">
        <f>'ข้อมูลดิบ'!N527 - 'ข้อมูลดิบ'!H527</f>
        <v>1</v>
      </c>
      <c r="E130" s="251">
        <f>IFERROR(VLOOKUP('ข้อมูลดิบ'!I527,'ฐานข้อมูลห้องพัก'!A:D, 3, FALSE), 0)</f>
        <v>400</v>
      </c>
      <c r="F130" s="252">
        <f t="shared" si="2"/>
        <v>400</v>
      </c>
      <c r="G130" s="252">
        <f t="shared" si="3"/>
        <v>4</v>
      </c>
      <c r="H130" s="225" t="str">
        <f t="shared" si="5"/>
        <v/>
      </c>
      <c r="I130" s="255"/>
      <c r="J130" s="255"/>
      <c r="K130" s="255"/>
    </row>
    <row r="131">
      <c r="A131" s="247">
        <f t="shared" si="1"/>
        <v>123</v>
      </c>
      <c r="B131" s="248" t="str">
        <f>'ข้อมูลดิบ'!C528</f>
        <v>อธิวัฒน์ สุขสม</v>
      </c>
      <c r="C131" s="249">
        <f>'ข้อมูลดิบ'!H528</f>
        <v>25135</v>
      </c>
      <c r="D131" s="250">
        <f>'ข้อมูลดิบ'!N528 - 'ข้อมูลดิบ'!H528</f>
        <v>1</v>
      </c>
      <c r="E131" s="251">
        <f>IFERROR(VLOOKUP('ข้อมูลดิบ'!I528,'ฐานข้อมูลห้องพัก'!A:D, 3, FALSE), 0)</f>
        <v>400</v>
      </c>
      <c r="F131" s="252">
        <f t="shared" si="2"/>
        <v>400</v>
      </c>
      <c r="G131" s="252">
        <f t="shared" si="3"/>
        <v>4</v>
      </c>
      <c r="H131" s="225" t="str">
        <f t="shared" si="5"/>
        <v/>
      </c>
      <c r="I131" s="254"/>
      <c r="J131" s="254"/>
      <c r="K131" s="254"/>
    </row>
    <row r="132">
      <c r="A132" s="247">
        <f t="shared" si="1"/>
        <v>124</v>
      </c>
      <c r="B132" s="248" t="str">
        <f>'ข้อมูลดิบ'!C529</f>
        <v>สิทธิโชค แสงทอง</v>
      </c>
      <c r="C132" s="249">
        <f>'ข้อมูลดิบ'!H529</f>
        <v>25136</v>
      </c>
      <c r="D132" s="250">
        <f>'ข้อมูลดิบ'!N529 - 'ข้อมูลดิบ'!H529</f>
        <v>1</v>
      </c>
      <c r="E132" s="251">
        <f>IFERROR(VLOOKUP('ข้อมูลดิบ'!I529,'ฐานข้อมูลห้องพัก'!A:D, 3, FALSE), 0)</f>
        <v>400</v>
      </c>
      <c r="F132" s="252">
        <f t="shared" si="2"/>
        <v>400</v>
      </c>
      <c r="G132" s="252">
        <f t="shared" si="3"/>
        <v>4</v>
      </c>
      <c r="H132" s="225" t="str">
        <f t="shared" si="5"/>
        <v/>
      </c>
      <c r="I132" s="254"/>
      <c r="J132" s="254"/>
      <c r="K132" s="254"/>
    </row>
    <row r="133">
      <c r="A133" s="247">
        <f t="shared" si="1"/>
        <v>125</v>
      </c>
      <c r="B133" s="248" t="str">
        <f>'ข้อมูลดิบ'!C530</f>
        <v>วรรณิศา อินทรวงศ์</v>
      </c>
      <c r="C133" s="249">
        <f>'ข้อมูลดิบ'!H530</f>
        <v>25136</v>
      </c>
      <c r="D133" s="250">
        <f>'ข้อมูลดิบ'!N530 - 'ข้อมูลดิบ'!H530</f>
        <v>1</v>
      </c>
      <c r="E133" s="251">
        <f>IFERROR(VLOOKUP('ข้อมูลดิบ'!I530,'ฐานข้อมูลห้องพัก'!A:D, 3, FALSE), 0)</f>
        <v>400</v>
      </c>
      <c r="F133" s="252">
        <f t="shared" si="2"/>
        <v>400</v>
      </c>
      <c r="G133" s="252">
        <f t="shared" si="3"/>
        <v>4</v>
      </c>
      <c r="H133" s="225" t="str">
        <f t="shared" si="5"/>
        <v/>
      </c>
      <c r="I133" s="254"/>
      <c r="J133" s="254"/>
      <c r="K133" s="254"/>
    </row>
    <row r="134">
      <c r="A134" s="247">
        <f t="shared" si="1"/>
        <v>126</v>
      </c>
      <c r="B134" s="248" t="str">
        <f>'ข้อมูลดิบ'!C531</f>
        <v>กัลยารัตน์ วัฒนกุล</v>
      </c>
      <c r="C134" s="249">
        <f>'ข้อมูลดิบ'!H531</f>
        <v>25136</v>
      </c>
      <c r="D134" s="250">
        <f>'ข้อมูลดิบ'!N531 - 'ข้อมูลดิบ'!H531</f>
        <v>1</v>
      </c>
      <c r="E134" s="251">
        <f>IFERROR(VLOOKUP('ข้อมูลดิบ'!I531,'ฐานข้อมูลห้องพัก'!A:D, 3, FALSE), 0)</f>
        <v>500</v>
      </c>
      <c r="F134" s="252">
        <f t="shared" si="2"/>
        <v>500</v>
      </c>
      <c r="G134" s="252">
        <f t="shared" si="3"/>
        <v>5</v>
      </c>
      <c r="H134" s="225" t="str">
        <f t="shared" si="5"/>
        <v/>
      </c>
      <c r="I134" s="254"/>
      <c r="J134" s="254"/>
      <c r="K134" s="254"/>
    </row>
    <row r="135">
      <c r="A135" s="247">
        <f t="shared" si="1"/>
        <v>127</v>
      </c>
      <c r="B135" s="248" t="str">
        <f>'ข้อมูลดิบ'!C532</f>
        <v>รัตนา เรืองศรี</v>
      </c>
      <c r="C135" s="249">
        <f>'ข้อมูลดิบ'!H532</f>
        <v>25136</v>
      </c>
      <c r="D135" s="250">
        <f>'ข้อมูลดิบ'!N532 - 'ข้อมูลดิบ'!H532</f>
        <v>1</v>
      </c>
      <c r="E135" s="251">
        <f>IFERROR(VLOOKUP('ข้อมูลดิบ'!I532,'ฐานข้อมูลห้องพัก'!A:D, 3, FALSE), 0)</f>
        <v>500</v>
      </c>
      <c r="F135" s="252">
        <f t="shared" si="2"/>
        <v>500</v>
      </c>
      <c r="G135" s="252">
        <f t="shared" si="3"/>
        <v>5</v>
      </c>
      <c r="H135" s="225" t="str">
        <f t="shared" si="5"/>
        <v/>
      </c>
      <c r="I135" s="253"/>
      <c r="K135" s="254"/>
    </row>
    <row r="136">
      <c r="A136" s="247">
        <f t="shared" si="1"/>
        <v>128</v>
      </c>
      <c r="B136" s="248" t="str">
        <f>'ข้อมูลดิบ'!C533</f>
        <v>ธัญชนก โพธิ์ชัย</v>
      </c>
      <c r="C136" s="249">
        <f>'ข้อมูลดิบ'!H533</f>
        <v>25136</v>
      </c>
      <c r="D136" s="250">
        <f>'ข้อมูลดิบ'!N533 - 'ข้อมูลดิบ'!H533</f>
        <v>1</v>
      </c>
      <c r="E136" s="251">
        <f>IFERROR(VLOOKUP('ข้อมูลดิบ'!I533,'ฐานข้อมูลห้องพัก'!A:D, 3, FALSE), 0)</f>
        <v>400</v>
      </c>
      <c r="F136" s="252">
        <f t="shared" si="2"/>
        <v>400</v>
      </c>
      <c r="G136" s="252">
        <f t="shared" si="3"/>
        <v>4</v>
      </c>
      <c r="H136" s="225" t="str">
        <f t="shared" si="5"/>
        <v/>
      </c>
      <c r="I136" s="253"/>
      <c r="K136" s="254"/>
    </row>
    <row r="137">
      <c r="A137" s="247">
        <f t="shared" si="1"/>
        <v>129</v>
      </c>
      <c r="B137" s="248" t="str">
        <f>'ข้อมูลดิบ'!C534</f>
        <v>อารยา อินทรวงศ์</v>
      </c>
      <c r="C137" s="249">
        <f>'ข้อมูลดิบ'!H534</f>
        <v>25137</v>
      </c>
      <c r="D137" s="250">
        <f>'ข้อมูลดิบ'!N534 - 'ข้อมูลดิบ'!H534</f>
        <v>1</v>
      </c>
      <c r="E137" s="251">
        <f>IFERROR(VLOOKUP('ข้อมูลดิบ'!I534,'ฐานข้อมูลห้องพัก'!A:D, 3, FALSE), 0)</f>
        <v>400</v>
      </c>
      <c r="F137" s="252">
        <f t="shared" si="2"/>
        <v>400</v>
      </c>
      <c r="G137" s="252">
        <f t="shared" si="3"/>
        <v>4</v>
      </c>
      <c r="H137" s="225" t="str">
        <f t="shared" si="5"/>
        <v/>
      </c>
      <c r="I137" s="253"/>
      <c r="K137" s="254"/>
    </row>
    <row r="138">
      <c r="A138" s="247">
        <f t="shared" si="1"/>
        <v>130</v>
      </c>
      <c r="B138" s="248" t="str">
        <f>'ข้อมูลดิบ'!C535</f>
        <v>สุริยา เรืองศรี</v>
      </c>
      <c r="C138" s="249">
        <f>'ข้อมูลดิบ'!H535</f>
        <v>25137</v>
      </c>
      <c r="D138" s="250">
        <f>'ข้อมูลดิบ'!N535 - 'ข้อมูลดิบ'!H535</f>
        <v>1</v>
      </c>
      <c r="E138" s="251">
        <f>IFERROR(VLOOKUP('ข้อมูลดิบ'!I535,'ฐานข้อมูลห้องพัก'!A:D, 3, FALSE), 0)</f>
        <v>400</v>
      </c>
      <c r="F138" s="252">
        <f t="shared" si="2"/>
        <v>400</v>
      </c>
      <c r="G138" s="252">
        <f t="shared" si="3"/>
        <v>4</v>
      </c>
      <c r="H138" s="225" t="str">
        <f t="shared" si="5"/>
        <v/>
      </c>
      <c r="I138" s="253"/>
      <c r="K138" s="254"/>
    </row>
    <row r="139">
      <c r="A139" s="247">
        <f t="shared" si="1"/>
        <v>131</v>
      </c>
      <c r="B139" s="248" t="str">
        <f>'ข้อมูลดิบ'!C536</f>
        <v>นิภาพร แสงทอง</v>
      </c>
      <c r="C139" s="249">
        <f>'ข้อมูลดิบ'!H536</f>
        <v>25137</v>
      </c>
      <c r="D139" s="250">
        <f>'ข้อมูลดิบ'!N536 - 'ข้อมูลดิบ'!H536</f>
        <v>1</v>
      </c>
      <c r="E139" s="251">
        <f>IFERROR(VLOOKUP('ข้อมูลดิบ'!I536,'ฐานข้อมูลห้องพัก'!A:D, 3, FALSE), 0)</f>
        <v>400</v>
      </c>
      <c r="F139" s="252">
        <f t="shared" si="2"/>
        <v>400</v>
      </c>
      <c r="G139" s="252">
        <f t="shared" si="3"/>
        <v>4</v>
      </c>
      <c r="H139" s="225" t="str">
        <f t="shared" si="5"/>
        <v/>
      </c>
      <c r="I139" s="253"/>
      <c r="K139" s="254"/>
    </row>
    <row r="140">
      <c r="A140" s="247">
        <f t="shared" si="1"/>
        <v>132</v>
      </c>
      <c r="B140" s="248" t="str">
        <f>'ข้อมูลดิบ'!C537</f>
        <v>ชยพล มีสุข</v>
      </c>
      <c r="C140" s="249">
        <f>'ข้อมูลดิบ'!H537</f>
        <v>25137</v>
      </c>
      <c r="D140" s="250">
        <f>'ข้อมูลดิบ'!N537 - 'ข้อมูลดิบ'!H537</f>
        <v>1</v>
      </c>
      <c r="E140" s="251">
        <f>IFERROR(VLOOKUP('ข้อมูลดิบ'!I537,'ฐานข้อมูลห้องพัก'!A:D, 3, FALSE), 0)</f>
        <v>400</v>
      </c>
      <c r="F140" s="252">
        <f t="shared" si="2"/>
        <v>400</v>
      </c>
      <c r="G140" s="252">
        <f t="shared" si="3"/>
        <v>4</v>
      </c>
      <c r="H140" s="225" t="str">
        <f t="shared" si="5"/>
        <v/>
      </c>
      <c r="I140" s="253"/>
      <c r="K140" s="254"/>
    </row>
    <row r="141">
      <c r="A141" s="247">
        <f t="shared" si="1"/>
        <v>133</v>
      </c>
      <c r="B141" s="248" t="str">
        <f>'ข้อมูลดิบ'!C538</f>
        <v>วรรณิศา มีสุข</v>
      </c>
      <c r="C141" s="249">
        <f>'ข้อมูลดิบ'!H538</f>
        <v>25137</v>
      </c>
      <c r="D141" s="250">
        <f>'ข้อมูลดิบ'!N538 - 'ข้อมูลดิบ'!H538</f>
        <v>1</v>
      </c>
      <c r="E141" s="251">
        <f>IFERROR(VLOOKUP('ข้อมูลดิบ'!I538,'ฐานข้อมูลห้องพัก'!A:D, 3, FALSE), 0)</f>
        <v>400</v>
      </c>
      <c r="F141" s="252">
        <f t="shared" si="2"/>
        <v>400</v>
      </c>
      <c r="G141" s="252">
        <f t="shared" si="3"/>
        <v>4</v>
      </c>
      <c r="H141" s="225" t="str">
        <f t="shared" si="5"/>
        <v/>
      </c>
      <c r="I141" s="253"/>
      <c r="K141" s="254"/>
    </row>
    <row r="142">
      <c r="A142" s="247">
        <f t="shared" si="1"/>
        <v>134</v>
      </c>
      <c r="B142" s="248" t="str">
        <f>'ข้อมูลดิบ'!C539</f>
        <v>กิตติศักดิ์ คำแสน</v>
      </c>
      <c r="C142" s="249">
        <f>'ข้อมูลดิบ'!H539</f>
        <v>25138</v>
      </c>
      <c r="D142" s="250">
        <f>'ข้อมูลดิบ'!N539 - 'ข้อมูลดิบ'!H539</f>
        <v>1</v>
      </c>
      <c r="E142" s="251">
        <f>IFERROR(VLOOKUP('ข้อมูลดิบ'!I539,'ฐานข้อมูลห้องพัก'!A:D, 3, FALSE), 0)</f>
        <v>400</v>
      </c>
      <c r="F142" s="252">
        <f t="shared" si="2"/>
        <v>400</v>
      </c>
      <c r="G142" s="252">
        <f t="shared" si="3"/>
        <v>4</v>
      </c>
      <c r="H142" s="225" t="str">
        <f t="shared" si="5"/>
        <v/>
      </c>
      <c r="I142" s="253"/>
      <c r="J142" s="254"/>
      <c r="K142" s="254"/>
    </row>
    <row r="143">
      <c r="A143" s="247">
        <f t="shared" si="1"/>
        <v>135</v>
      </c>
      <c r="B143" s="248" t="str">
        <f>'ข้อมูลดิบ'!C540</f>
        <v>ชยพล คำแสน</v>
      </c>
      <c r="C143" s="249">
        <f>'ข้อมูลดิบ'!H540</f>
        <v>25138</v>
      </c>
      <c r="D143" s="250">
        <f>'ข้อมูลดิบ'!N540 - 'ข้อมูลดิบ'!H540</f>
        <v>1</v>
      </c>
      <c r="E143" s="251">
        <f>IFERROR(VLOOKUP('ข้อมูลดิบ'!I540,'ฐานข้อมูลห้องพัก'!A:D, 3, FALSE), 0)</f>
        <v>600</v>
      </c>
      <c r="F143" s="252">
        <f t="shared" si="2"/>
        <v>600</v>
      </c>
      <c r="G143" s="252">
        <f t="shared" si="3"/>
        <v>6</v>
      </c>
      <c r="H143" s="225" t="str">
        <f t="shared" si="5"/>
        <v/>
      </c>
      <c r="I143" s="253"/>
      <c r="J143" s="254"/>
      <c r="K143" s="254"/>
    </row>
    <row r="144">
      <c r="A144" s="247">
        <f t="shared" si="1"/>
        <v>136</v>
      </c>
      <c r="B144" s="248" t="str">
        <f>'ข้อมูลดิบ'!C541</f>
        <v>มนัสนันท์ คำแสน</v>
      </c>
      <c r="C144" s="249">
        <f>'ข้อมูลดิบ'!H541</f>
        <v>25138</v>
      </c>
      <c r="D144" s="250">
        <f>'ข้อมูลดิบ'!N541 - 'ข้อมูลดิบ'!H541</f>
        <v>1</v>
      </c>
      <c r="E144" s="251">
        <f>IFERROR(VLOOKUP('ข้อมูลดิบ'!I541,'ฐานข้อมูลห้องพัก'!A:D, 3, FALSE), 0)</f>
        <v>500</v>
      </c>
      <c r="F144" s="252">
        <f t="shared" si="2"/>
        <v>500</v>
      </c>
      <c r="G144" s="252">
        <f t="shared" si="3"/>
        <v>5</v>
      </c>
      <c r="H144" s="225" t="str">
        <f t="shared" si="5"/>
        <v/>
      </c>
      <c r="I144" s="253"/>
      <c r="J144" s="254"/>
      <c r="K144" s="254"/>
    </row>
    <row r="145">
      <c r="A145" s="247">
        <f t="shared" si="1"/>
        <v>137</v>
      </c>
      <c r="B145" s="248" t="str">
        <f>'ข้อมูลดิบ'!C542</f>
        <v>ยุพา รัตนพร</v>
      </c>
      <c r="C145" s="249">
        <f>'ข้อมูลดิบ'!H542</f>
        <v>25138</v>
      </c>
      <c r="D145" s="250">
        <f>'ข้อมูลดิบ'!N542 - 'ข้อมูลดิบ'!H542</f>
        <v>1</v>
      </c>
      <c r="E145" s="251">
        <f>IFERROR(VLOOKUP('ข้อมูลดิบ'!I542,'ฐานข้อมูลห้องพัก'!A:D, 3, FALSE), 0)</f>
        <v>400</v>
      </c>
      <c r="F145" s="252">
        <f t="shared" si="2"/>
        <v>400</v>
      </c>
      <c r="G145" s="252">
        <f t="shared" si="3"/>
        <v>4</v>
      </c>
      <c r="H145" s="225" t="str">
        <f t="shared" si="5"/>
        <v/>
      </c>
      <c r="I145" s="253"/>
      <c r="J145" s="254"/>
      <c r="K145" s="254"/>
    </row>
    <row r="146">
      <c r="A146" s="247">
        <f t="shared" si="1"/>
        <v>138</v>
      </c>
      <c r="B146" s="248" t="str">
        <f>'ข้อมูลดิบ'!C543</f>
        <v>นิภาพร คำแสน</v>
      </c>
      <c r="C146" s="249">
        <f>'ข้อมูลดิบ'!H543</f>
        <v>25138</v>
      </c>
      <c r="D146" s="250">
        <f>'ข้อมูลดิบ'!N543 - 'ข้อมูลดิบ'!H543</f>
        <v>1</v>
      </c>
      <c r="E146" s="251">
        <f>IFERROR(VLOOKUP('ข้อมูลดิบ'!I543,'ฐานข้อมูลห้องพัก'!A:D, 3, FALSE), 0)</f>
        <v>600</v>
      </c>
      <c r="F146" s="252">
        <f t="shared" si="2"/>
        <v>600</v>
      </c>
      <c r="G146" s="252">
        <f t="shared" si="3"/>
        <v>6</v>
      </c>
      <c r="H146" s="225" t="str">
        <f t="shared" si="5"/>
        <v/>
      </c>
      <c r="I146" s="253"/>
      <c r="J146" s="254"/>
      <c r="K146" s="254"/>
    </row>
    <row r="147">
      <c r="A147" s="247">
        <f t="shared" si="1"/>
        <v>139</v>
      </c>
      <c r="B147" s="248" t="str">
        <f>'ข้อมูลดิบ'!C544</f>
        <v>ยุพา วัฒนกุล</v>
      </c>
      <c r="C147" s="249">
        <f>'ข้อมูลดิบ'!H544</f>
        <v>25139</v>
      </c>
      <c r="D147" s="250">
        <f>'ข้อมูลดิบ'!N544 - 'ข้อมูลดิบ'!H544</f>
        <v>1</v>
      </c>
      <c r="E147" s="251">
        <f>IFERROR(VLOOKUP('ข้อมูลดิบ'!I544,'ฐานข้อมูลห้องพัก'!A:D, 3, FALSE), 0)</f>
        <v>400</v>
      </c>
      <c r="F147" s="252">
        <f t="shared" si="2"/>
        <v>400</v>
      </c>
      <c r="G147" s="252">
        <f t="shared" si="3"/>
        <v>4</v>
      </c>
      <c r="H147" s="225" t="str">
        <f t="shared" si="5"/>
        <v/>
      </c>
      <c r="I147" s="253"/>
      <c r="J147" s="254"/>
      <c r="K147" s="254"/>
    </row>
    <row r="148">
      <c r="A148" s="247">
        <f t="shared" si="1"/>
        <v>140</v>
      </c>
      <c r="B148" s="248" t="str">
        <f>'ข้อมูลดิบ'!C545</f>
        <v>วรรณิศา สุขสม</v>
      </c>
      <c r="C148" s="249">
        <f>'ข้อมูลดิบ'!H545</f>
        <v>25139</v>
      </c>
      <c r="D148" s="250">
        <f>'ข้อมูลดิบ'!N545 - 'ข้อมูลดิบ'!H545</f>
        <v>1</v>
      </c>
      <c r="E148" s="251">
        <f>IFERROR(VLOOKUP('ข้อมูลดิบ'!I545,'ฐานข้อมูลห้องพัก'!A:D, 3, FALSE), 0)</f>
        <v>400</v>
      </c>
      <c r="F148" s="252">
        <f t="shared" si="2"/>
        <v>400</v>
      </c>
      <c r="G148" s="252">
        <f t="shared" si="3"/>
        <v>4</v>
      </c>
      <c r="H148" s="225" t="str">
        <f t="shared" si="5"/>
        <v/>
      </c>
      <c r="I148" s="253"/>
      <c r="J148" s="254"/>
      <c r="K148" s="254"/>
    </row>
    <row r="149">
      <c r="A149" s="247">
        <f t="shared" si="1"/>
        <v>141</v>
      </c>
      <c r="B149" s="248" t="str">
        <f>'ข้อมูลดิบ'!C546</f>
        <v>สุริยา ศรีจันทร์</v>
      </c>
      <c r="C149" s="249">
        <f>'ข้อมูลดิบ'!H546</f>
        <v>25139</v>
      </c>
      <c r="D149" s="250">
        <f>'ข้อมูลดิบ'!N546 - 'ข้อมูลดิบ'!H546</f>
        <v>1</v>
      </c>
      <c r="E149" s="251">
        <f>IFERROR(VLOOKUP('ข้อมูลดิบ'!I546,'ฐานข้อมูลห้องพัก'!A:D, 3, FALSE), 0)</f>
        <v>400</v>
      </c>
      <c r="F149" s="252">
        <f t="shared" si="2"/>
        <v>400</v>
      </c>
      <c r="G149" s="252">
        <f t="shared" si="3"/>
        <v>4</v>
      </c>
      <c r="H149" s="225" t="str">
        <f t="shared" si="5"/>
        <v/>
      </c>
      <c r="I149" s="253"/>
      <c r="J149" s="254"/>
      <c r="K149" s="254"/>
    </row>
    <row r="150">
      <c r="A150" s="247">
        <f t="shared" si="1"/>
        <v>142</v>
      </c>
      <c r="B150" s="248" t="str">
        <f>'ข้อมูลดิบ'!C547</f>
        <v>ชยพล ใจดี</v>
      </c>
      <c r="C150" s="249">
        <f>'ข้อมูลดิบ'!H547</f>
        <v>25139</v>
      </c>
      <c r="D150" s="250">
        <f>'ข้อมูลดิบ'!N547 - 'ข้อมูลดิบ'!H547</f>
        <v>1</v>
      </c>
      <c r="E150" s="251">
        <f>IFERROR(VLOOKUP('ข้อมูลดิบ'!I547,'ฐานข้อมูลห้องพัก'!A:D, 3, FALSE), 0)</f>
        <v>400</v>
      </c>
      <c r="F150" s="252">
        <f t="shared" si="2"/>
        <v>400</v>
      </c>
      <c r="G150" s="252">
        <f t="shared" si="3"/>
        <v>4</v>
      </c>
      <c r="H150" s="225" t="str">
        <f t="shared" si="5"/>
        <v/>
      </c>
      <c r="I150" s="254"/>
      <c r="J150" s="254"/>
      <c r="K150" s="254"/>
    </row>
    <row r="151">
      <c r="A151" s="247">
        <f t="shared" si="1"/>
        <v>143</v>
      </c>
      <c r="B151" s="248" t="str">
        <f>'ข้อมูลดิบ'!C548</f>
        <v>ชยพล สายชล</v>
      </c>
      <c r="C151" s="249">
        <f>'ข้อมูลดิบ'!H548</f>
        <v>25139</v>
      </c>
      <c r="D151" s="250">
        <f>'ข้อมูลดิบ'!N548 - 'ข้อมูลดิบ'!H548</f>
        <v>1</v>
      </c>
      <c r="E151" s="251">
        <f>IFERROR(VLOOKUP('ข้อมูลดิบ'!I548,'ฐานข้อมูลห้องพัก'!A:D, 3, FALSE), 0)</f>
        <v>400</v>
      </c>
      <c r="F151" s="252">
        <f t="shared" si="2"/>
        <v>400</v>
      </c>
      <c r="G151" s="252">
        <f t="shared" si="3"/>
        <v>4</v>
      </c>
      <c r="H151" s="225" t="str">
        <f t="shared" si="5"/>
        <v/>
      </c>
      <c r="I151" s="254"/>
      <c r="J151" s="254"/>
      <c r="K151" s="254"/>
    </row>
    <row r="152">
      <c r="A152" s="247">
        <f t="shared" si="1"/>
        <v>144</v>
      </c>
      <c r="B152" s="248" t="str">
        <f>'ข้อมูลดิบ'!C549</f>
        <v>สุริยา มีสุข</v>
      </c>
      <c r="C152" s="249">
        <f>'ข้อมูลดิบ'!H549</f>
        <v>25140</v>
      </c>
      <c r="D152" s="250">
        <f>'ข้อมูลดิบ'!N549 - 'ข้อมูลดิบ'!H549</f>
        <v>1</v>
      </c>
      <c r="E152" s="251">
        <f>IFERROR(VLOOKUP('ข้อมูลดิบ'!I549,'ฐานข้อมูลห้องพัก'!A:D, 3, FALSE), 0)</f>
        <v>400</v>
      </c>
      <c r="F152" s="252">
        <f t="shared" si="2"/>
        <v>400</v>
      </c>
      <c r="G152" s="252">
        <f t="shared" si="3"/>
        <v>4</v>
      </c>
      <c r="H152" s="225" t="str">
        <f t="shared" si="5"/>
        <v/>
      </c>
      <c r="I152" s="255"/>
      <c r="J152" s="255"/>
      <c r="K152" s="255"/>
    </row>
    <row r="153">
      <c r="A153" s="247">
        <f t="shared" si="1"/>
        <v>145</v>
      </c>
      <c r="B153" s="248" t="str">
        <f>'ข้อมูลดิบ'!C550</f>
        <v>สิทธิโชค รัตนพร</v>
      </c>
      <c r="C153" s="249">
        <f>'ข้อมูลดิบ'!H550</f>
        <v>25140</v>
      </c>
      <c r="D153" s="250">
        <f>'ข้อมูลดิบ'!N550 - 'ข้อมูลดิบ'!H550</f>
        <v>1</v>
      </c>
      <c r="E153" s="251">
        <f>IFERROR(VLOOKUP('ข้อมูลดิบ'!I550,'ฐานข้อมูลห้องพัก'!A:D, 3, FALSE), 0)</f>
        <v>400</v>
      </c>
      <c r="F153" s="252">
        <f t="shared" si="2"/>
        <v>400</v>
      </c>
      <c r="G153" s="252">
        <f t="shared" si="3"/>
        <v>4</v>
      </c>
      <c r="H153" s="225" t="str">
        <f t="shared" si="5"/>
        <v/>
      </c>
      <c r="I153" s="255"/>
      <c r="J153" s="255"/>
      <c r="K153" s="255"/>
    </row>
    <row r="154">
      <c r="A154" s="247">
        <f t="shared" si="1"/>
        <v>146</v>
      </c>
      <c r="B154" s="248" t="str">
        <f>'ข้อมูลดิบ'!C551</f>
        <v>กิตติศักดิ์ กล้าหาญ</v>
      </c>
      <c r="C154" s="249">
        <f>'ข้อมูลดิบ'!H551</f>
        <v>25140</v>
      </c>
      <c r="D154" s="250">
        <f>'ข้อมูลดิบ'!N551 - 'ข้อมูลดิบ'!H551</f>
        <v>1</v>
      </c>
      <c r="E154" s="251">
        <f>IFERROR(VLOOKUP('ข้อมูลดิบ'!I551,'ฐานข้อมูลห้องพัก'!A:D, 3, FALSE), 0)</f>
        <v>500</v>
      </c>
      <c r="F154" s="252">
        <f t="shared" si="2"/>
        <v>500</v>
      </c>
      <c r="G154" s="252">
        <f t="shared" si="3"/>
        <v>5</v>
      </c>
      <c r="H154" s="225" t="str">
        <f t="shared" si="5"/>
        <v/>
      </c>
      <c r="I154" s="254"/>
      <c r="J154" s="254"/>
      <c r="K154" s="254"/>
    </row>
    <row r="155">
      <c r="A155" s="247">
        <f t="shared" si="1"/>
        <v>147</v>
      </c>
      <c r="B155" s="248" t="str">
        <f>'ข้อมูลดิบ'!C552</f>
        <v>จักรพงษ์ ใจดี</v>
      </c>
      <c r="C155" s="249">
        <f>'ข้อมูลดิบ'!H552</f>
        <v>25140</v>
      </c>
      <c r="D155" s="250">
        <f>'ข้อมูลดิบ'!N552 - 'ข้อมูลดิบ'!H552</f>
        <v>1</v>
      </c>
      <c r="E155" s="251">
        <f>IFERROR(VLOOKUP('ข้อมูลดิบ'!I552,'ฐานข้อมูลห้องพัก'!A:D, 3, FALSE), 0)</f>
        <v>400</v>
      </c>
      <c r="F155" s="252">
        <f t="shared" si="2"/>
        <v>400</v>
      </c>
      <c r="G155" s="252">
        <f t="shared" si="3"/>
        <v>4</v>
      </c>
      <c r="H155" s="225" t="str">
        <f t="shared" si="5"/>
        <v/>
      </c>
      <c r="I155" s="254"/>
      <c r="J155" s="254"/>
      <c r="K155" s="254"/>
    </row>
    <row r="156">
      <c r="A156" s="247">
        <f t="shared" si="1"/>
        <v>148</v>
      </c>
      <c r="B156" s="248" t="str">
        <f>'ข้อมูลดิบ'!C553</f>
        <v>วรรณิศา บุญทวี</v>
      </c>
      <c r="C156" s="249">
        <f>'ข้อมูลดิบ'!H553</f>
        <v>25141</v>
      </c>
      <c r="D156" s="250">
        <f>'ข้อมูลดิบ'!N553 - 'ข้อมูลดิบ'!H553</f>
        <v>1</v>
      </c>
      <c r="E156" s="251">
        <f>IFERROR(VLOOKUP('ข้อมูลดิบ'!I553,'ฐานข้อมูลห้องพัก'!A:D, 3, FALSE), 0)</f>
        <v>400</v>
      </c>
      <c r="F156" s="252">
        <f t="shared" si="2"/>
        <v>400</v>
      </c>
      <c r="G156" s="252">
        <f t="shared" si="3"/>
        <v>4</v>
      </c>
      <c r="H156" s="225" t="str">
        <f t="shared" si="5"/>
        <v/>
      </c>
      <c r="I156" s="254"/>
      <c r="J156" s="254"/>
      <c r="K156" s="254"/>
    </row>
    <row r="157">
      <c r="A157" s="247">
        <f t="shared" si="1"/>
        <v>149</v>
      </c>
      <c r="B157" s="248" t="str">
        <f>'ข้อมูลดิบ'!C554</f>
        <v>ชยพล เรืองศรี</v>
      </c>
      <c r="C157" s="249">
        <f>'ข้อมูลดิบ'!H554</f>
        <v>25141</v>
      </c>
      <c r="D157" s="250">
        <f>'ข้อมูลดิบ'!N554 - 'ข้อมูลดิบ'!H554</f>
        <v>1</v>
      </c>
      <c r="E157" s="251">
        <f>IFERROR(VLOOKUP('ข้อมูลดิบ'!I554,'ฐานข้อมูลห้องพัก'!A:D, 3, FALSE), 0)</f>
        <v>500</v>
      </c>
      <c r="F157" s="252">
        <f t="shared" si="2"/>
        <v>500</v>
      </c>
      <c r="G157" s="252">
        <f t="shared" si="3"/>
        <v>5</v>
      </c>
      <c r="H157" s="225" t="str">
        <f t="shared" si="5"/>
        <v/>
      </c>
      <c r="I157" s="254"/>
      <c r="J157" s="254"/>
      <c r="K157" s="254"/>
    </row>
    <row r="158">
      <c r="A158" s="247">
        <f t="shared" si="1"/>
        <v>150</v>
      </c>
      <c r="B158" s="248" t="str">
        <f>'ข้อมูลดิบ'!C555</f>
        <v>วรรณิศา สายชล</v>
      </c>
      <c r="C158" s="249">
        <f>'ข้อมูลดิบ'!H555</f>
        <v>25141</v>
      </c>
      <c r="D158" s="250">
        <f>'ข้อมูลดิบ'!N555 - 'ข้อมูลดิบ'!H555</f>
        <v>1</v>
      </c>
      <c r="E158" s="251">
        <f>IFERROR(VLOOKUP('ข้อมูลดิบ'!I555,'ฐานข้อมูลห้องพัก'!A:D, 3, FALSE), 0)</f>
        <v>400</v>
      </c>
      <c r="F158" s="252">
        <f t="shared" si="2"/>
        <v>400</v>
      </c>
      <c r="G158" s="252">
        <f t="shared" si="3"/>
        <v>4</v>
      </c>
      <c r="H158" s="225" t="str">
        <f t="shared" si="5"/>
        <v/>
      </c>
      <c r="I158" s="253"/>
      <c r="J158" s="254"/>
      <c r="K158" s="254"/>
    </row>
    <row r="159">
      <c r="A159" s="247">
        <f t="shared" si="1"/>
        <v>151</v>
      </c>
      <c r="B159" s="248" t="str">
        <f>'ข้อมูลดิบ'!C556</f>
        <v>อธิวัฒน์ เรืองศรี</v>
      </c>
      <c r="C159" s="249">
        <f>'ข้อมูลดิบ'!H556</f>
        <v>25141</v>
      </c>
      <c r="D159" s="250">
        <f>'ข้อมูลดิบ'!N556 - 'ข้อมูลดิบ'!H556</f>
        <v>1</v>
      </c>
      <c r="E159" s="251">
        <f>IFERROR(VLOOKUP('ข้อมูลดิบ'!I556,'ฐานข้อมูลห้องพัก'!A:D, 3, FALSE), 0)</f>
        <v>500</v>
      </c>
      <c r="F159" s="252">
        <f t="shared" si="2"/>
        <v>500</v>
      </c>
      <c r="G159" s="252">
        <f t="shared" si="3"/>
        <v>5</v>
      </c>
      <c r="H159" s="225" t="str">
        <f t="shared" si="5"/>
        <v/>
      </c>
      <c r="I159" s="253"/>
      <c r="J159" s="254"/>
      <c r="K159" s="254"/>
    </row>
    <row r="160">
      <c r="A160" s="247">
        <f t="shared" si="1"/>
        <v>152</v>
      </c>
      <c r="B160" s="248" t="str">
        <f>'ข้อมูลดิบ'!C557</f>
        <v>มนัสนันท์ มีสุข</v>
      </c>
      <c r="C160" s="249">
        <f>'ข้อมูลดิบ'!H557</f>
        <v>25142</v>
      </c>
      <c r="D160" s="250">
        <f>'ข้อมูลดิบ'!N557 - 'ข้อมูลดิบ'!H557</f>
        <v>1</v>
      </c>
      <c r="E160" s="251">
        <f>IFERROR(VLOOKUP('ข้อมูลดิบ'!I557,'ฐานข้อมูลห้องพัก'!A:D, 3, FALSE), 0)</f>
        <v>400</v>
      </c>
      <c r="F160" s="252">
        <f t="shared" si="2"/>
        <v>400</v>
      </c>
      <c r="G160" s="252">
        <f t="shared" si="3"/>
        <v>4</v>
      </c>
      <c r="H160" s="225" t="str">
        <f t="shared" si="5"/>
        <v/>
      </c>
      <c r="I160" s="253"/>
      <c r="J160" s="254"/>
      <c r="K160" s="254"/>
    </row>
    <row r="161">
      <c r="A161" s="247">
        <f t="shared" si="1"/>
        <v>153</v>
      </c>
      <c r="B161" s="248" t="str">
        <f>'ข้อมูลดิบ'!C558</f>
        <v>ณัฐพล อินทรวงศ์</v>
      </c>
      <c r="C161" s="249">
        <f>'ข้อมูลดิบ'!H558</f>
        <v>25142</v>
      </c>
      <c r="D161" s="250">
        <f>'ข้อมูลดิบ'!N558 - 'ข้อมูลดิบ'!H558</f>
        <v>1</v>
      </c>
      <c r="E161" s="251">
        <f>IFERROR(VLOOKUP('ข้อมูลดิบ'!I558,'ฐานข้อมูลห้องพัก'!A:D, 3, FALSE), 0)</f>
        <v>400</v>
      </c>
      <c r="F161" s="252">
        <f t="shared" si="2"/>
        <v>400</v>
      </c>
      <c r="G161" s="252">
        <f t="shared" si="3"/>
        <v>4</v>
      </c>
      <c r="H161" s="225" t="str">
        <f t="shared" si="5"/>
        <v/>
      </c>
      <c r="I161" s="253"/>
      <c r="J161" s="254"/>
      <c r="K161" s="254"/>
    </row>
    <row r="162">
      <c r="A162" s="247">
        <f t="shared" si="1"/>
        <v>154</v>
      </c>
      <c r="B162" s="248" t="str">
        <f>'ข้อมูลดิบ'!C559</f>
        <v>ยุพา ทองสิงห์</v>
      </c>
      <c r="C162" s="249">
        <f>'ข้อมูลดิบ'!H559</f>
        <v>25142</v>
      </c>
      <c r="D162" s="250">
        <f>'ข้อมูลดิบ'!N559 - 'ข้อมูลดิบ'!H559</f>
        <v>1</v>
      </c>
      <c r="E162" s="251">
        <f>IFERROR(VLOOKUP('ข้อมูลดิบ'!I559,'ฐานข้อมูลห้องพัก'!A:D, 3, FALSE), 0)</f>
        <v>400</v>
      </c>
      <c r="F162" s="252">
        <f t="shared" si="2"/>
        <v>400</v>
      </c>
      <c r="G162" s="252">
        <f t="shared" si="3"/>
        <v>4</v>
      </c>
      <c r="H162" s="225" t="str">
        <f t="shared" si="5"/>
        <v/>
      </c>
      <c r="I162" s="253"/>
      <c r="J162" s="254"/>
      <c r="K162" s="254"/>
    </row>
    <row r="163">
      <c r="A163" s="247">
        <f t="shared" si="1"/>
        <v>155</v>
      </c>
      <c r="B163" s="248" t="str">
        <f>'ข้อมูลดิบ'!C560</f>
        <v>กิตติศักดิ์ พานทอง</v>
      </c>
      <c r="C163" s="249">
        <f>'ข้อมูลดิบ'!H560</f>
        <v>61638</v>
      </c>
      <c r="D163" s="250">
        <f>'ข้อมูลดิบ'!N560 - 'ข้อมูลดิบ'!H560</f>
        <v>1</v>
      </c>
      <c r="E163" s="251">
        <f>IFERROR(VLOOKUP('ข้อมูลดิบ'!I560,'ฐานข้อมูลห้องพัก'!A:D, 3, FALSE), 0)</f>
        <v>400</v>
      </c>
      <c r="F163" s="252">
        <f t="shared" si="2"/>
        <v>400</v>
      </c>
      <c r="G163" s="252">
        <f t="shared" si="3"/>
        <v>4</v>
      </c>
      <c r="H163" s="225" t="str">
        <f t="shared" si="5"/>
        <v/>
      </c>
      <c r="I163" s="253"/>
      <c r="J163" s="254"/>
      <c r="K163" s="254"/>
    </row>
    <row r="164">
      <c r="A164" s="247">
        <f t="shared" si="1"/>
        <v>156</v>
      </c>
      <c r="B164" s="248" t="str">
        <f>'ข้อมูลดิบ'!C561</f>
        <v>อารยา ศรีจันทร์</v>
      </c>
      <c r="C164" s="249">
        <f>'ข้อมูลดิบ'!H561</f>
        <v>61639</v>
      </c>
      <c r="D164" s="250">
        <f>'ข้อมูลดิบ'!N561 - 'ข้อมูลดิบ'!H561</f>
        <v>1</v>
      </c>
      <c r="E164" s="251">
        <f>IFERROR(VLOOKUP('ข้อมูลดิบ'!I561,'ฐานข้อมูลห้องพัก'!A:D, 3, FALSE), 0)</f>
        <v>500</v>
      </c>
      <c r="F164" s="252">
        <f t="shared" si="2"/>
        <v>500</v>
      </c>
      <c r="G164" s="252">
        <f t="shared" si="3"/>
        <v>5</v>
      </c>
      <c r="H164" s="225" t="str">
        <f t="shared" si="5"/>
        <v/>
      </c>
      <c r="I164" s="253"/>
      <c r="J164" s="254"/>
      <c r="K164" s="254"/>
    </row>
    <row r="165">
      <c r="A165" s="247">
        <f t="shared" si="1"/>
        <v>157</v>
      </c>
      <c r="B165" s="248" t="str">
        <f>'ข้อมูลดิบ'!C562</f>
        <v>สุริยา รัตนพร</v>
      </c>
      <c r="C165" s="249">
        <f>'ข้อมูลดิบ'!H562</f>
        <v>61640</v>
      </c>
      <c r="D165" s="250">
        <f>'ข้อมูลดิบ'!N562 - 'ข้อมูลดิบ'!H562</f>
        <v>1</v>
      </c>
      <c r="E165" s="251">
        <f>IFERROR(VLOOKUP('ข้อมูลดิบ'!I562,'ฐานข้อมูลห้องพัก'!A:D, 3, FALSE), 0)</f>
        <v>500</v>
      </c>
      <c r="F165" s="252">
        <f t="shared" si="2"/>
        <v>500</v>
      </c>
      <c r="G165" s="252">
        <f t="shared" si="3"/>
        <v>5</v>
      </c>
      <c r="H165" s="225" t="str">
        <f t="shared" si="5"/>
        <v/>
      </c>
      <c r="I165" s="253"/>
      <c r="J165" s="254"/>
      <c r="K165" s="254"/>
    </row>
    <row r="166">
      <c r="A166" s="247">
        <f t="shared" si="1"/>
        <v>158</v>
      </c>
      <c r="B166" s="248" t="str">
        <f>'ข้อมูลดิบ'!C563</f>
        <v>จักรพงษ์ สุขสม</v>
      </c>
      <c r="C166" s="249">
        <f>'ข้อมูลดิบ'!H563</f>
        <v>61641</v>
      </c>
      <c r="D166" s="250">
        <f>'ข้อมูลดิบ'!N563 - 'ข้อมูลดิบ'!H563</f>
        <v>1</v>
      </c>
      <c r="E166" s="251">
        <f>IFERROR(VLOOKUP('ข้อมูลดิบ'!I563,'ฐานข้อมูลห้องพัก'!A:D, 3, FALSE), 0)</f>
        <v>400</v>
      </c>
      <c r="F166" s="252">
        <f t="shared" si="2"/>
        <v>400</v>
      </c>
      <c r="G166" s="252">
        <f t="shared" si="3"/>
        <v>4</v>
      </c>
      <c r="H166" s="225" t="str">
        <f t="shared" si="5"/>
        <v/>
      </c>
      <c r="I166" s="253"/>
      <c r="J166" s="254"/>
      <c r="K166" s="254"/>
    </row>
    <row r="167">
      <c r="A167" s="247">
        <f t="shared" si="1"/>
        <v>159</v>
      </c>
      <c r="B167" s="248" t="str">
        <f>'ข้อมูลดิบ'!C564</f>
        <v>มนัสนันท์ แสงทอง</v>
      </c>
      <c r="C167" s="249">
        <f>'ข้อมูลดิบ'!H564</f>
        <v>61642</v>
      </c>
      <c r="D167" s="250">
        <f>'ข้อมูลดิบ'!N564 - 'ข้อมูลดิบ'!H564</f>
        <v>1</v>
      </c>
      <c r="E167" s="251">
        <f>IFERROR(VLOOKUP('ข้อมูลดิบ'!I564,'ฐานข้อมูลห้องพัก'!A:D, 3, FALSE), 0)</f>
        <v>400</v>
      </c>
      <c r="F167" s="252">
        <f t="shared" si="2"/>
        <v>400</v>
      </c>
      <c r="G167" s="252">
        <f t="shared" si="3"/>
        <v>4</v>
      </c>
      <c r="H167" s="225" t="str">
        <f t="shared" si="5"/>
        <v/>
      </c>
      <c r="I167" s="253"/>
      <c r="J167" s="254"/>
      <c r="K167" s="254"/>
    </row>
    <row r="168">
      <c r="A168" s="247">
        <f t="shared" si="1"/>
        <v>160</v>
      </c>
      <c r="B168" s="248" t="str">
        <f>'ข้อมูลดิบ'!C565</f>
        <v>อารยา มีสุข</v>
      </c>
      <c r="C168" s="249">
        <f>'ข้อมูลดิบ'!H565</f>
        <v>61643</v>
      </c>
      <c r="D168" s="250">
        <f>'ข้อมูลดิบ'!N565 - 'ข้อมูลดิบ'!H565</f>
        <v>1</v>
      </c>
      <c r="E168" s="251">
        <f>IFERROR(VLOOKUP('ข้อมูลดิบ'!I565,'ฐานข้อมูลห้องพัก'!A:D, 3, FALSE), 0)</f>
        <v>400</v>
      </c>
      <c r="F168" s="252">
        <f t="shared" si="2"/>
        <v>400</v>
      </c>
      <c r="G168" s="252">
        <f t="shared" si="3"/>
        <v>4</v>
      </c>
      <c r="H168" s="225" t="str">
        <f t="shared" si="5"/>
        <v/>
      </c>
      <c r="I168" s="253"/>
      <c r="J168" s="254"/>
      <c r="K168" s="254"/>
    </row>
    <row r="169">
      <c r="A169" s="247">
        <f t="shared" si="1"/>
        <v>161</v>
      </c>
      <c r="B169" s="248" t="str">
        <f>'ข้อมูลดิบ'!C566</f>
        <v>ชัยวัฒน์ กล้าหาญ</v>
      </c>
      <c r="C169" s="249">
        <f>'ข้อมูลดิบ'!H566</f>
        <v>61644</v>
      </c>
      <c r="D169" s="250">
        <f>'ข้อมูลดิบ'!N566 - 'ข้อมูลดิบ'!H566</f>
        <v>1</v>
      </c>
      <c r="E169" s="251">
        <f>IFERROR(VLOOKUP('ข้อมูลดิบ'!I566,'ฐานข้อมูลห้องพัก'!A:D, 3, FALSE), 0)</f>
        <v>400</v>
      </c>
      <c r="F169" s="252">
        <f t="shared" si="2"/>
        <v>400</v>
      </c>
      <c r="G169" s="252">
        <f t="shared" si="3"/>
        <v>4</v>
      </c>
      <c r="H169" s="225" t="str">
        <f t="shared" si="5"/>
        <v/>
      </c>
      <c r="I169" s="253"/>
      <c r="J169" s="254"/>
      <c r="K169" s="254"/>
    </row>
    <row r="170">
      <c r="A170" s="247">
        <f t="shared" si="1"/>
        <v>162</v>
      </c>
      <c r="B170" s="248" t="str">
        <f>'ข้อมูลดิบ'!C567</f>
        <v>กัลยารัตน์ คำแสน</v>
      </c>
      <c r="C170" s="249">
        <f>'ข้อมูลดิบ'!H567</f>
        <v>61645</v>
      </c>
      <c r="D170" s="250">
        <f>'ข้อมูลดิบ'!N567 - 'ข้อมูลดิบ'!H567</f>
        <v>1</v>
      </c>
      <c r="E170" s="251">
        <f>IFERROR(VLOOKUP('ข้อมูลดิบ'!I567,'ฐานข้อมูลห้องพัก'!A:D, 3, FALSE), 0)</f>
        <v>400</v>
      </c>
      <c r="F170" s="252">
        <f t="shared" si="2"/>
        <v>400</v>
      </c>
      <c r="G170" s="252">
        <f t="shared" si="3"/>
        <v>4</v>
      </c>
      <c r="H170" s="225" t="str">
        <f t="shared" si="5"/>
        <v/>
      </c>
      <c r="I170" s="253"/>
      <c r="J170" s="254"/>
      <c r="K170" s="254"/>
    </row>
    <row r="171">
      <c r="A171" s="247">
        <f t="shared" si="1"/>
        <v>163</v>
      </c>
      <c r="B171" s="248" t="str">
        <f>'ข้อมูลดิบ'!C568</f>
        <v>ประเสริฐ ศรีจันทร์</v>
      </c>
      <c r="C171" s="249">
        <f>'ข้อมูลดิบ'!H568</f>
        <v>61646</v>
      </c>
      <c r="D171" s="250">
        <f>'ข้อมูลดิบ'!N568 - 'ข้อมูลดิบ'!H568</f>
        <v>1</v>
      </c>
      <c r="E171" s="251">
        <f>IFERROR(VLOOKUP('ข้อมูลดิบ'!I568,'ฐานข้อมูลห้องพัก'!A:D, 3, FALSE), 0)</f>
        <v>400</v>
      </c>
      <c r="F171" s="252">
        <f t="shared" si="2"/>
        <v>400</v>
      </c>
      <c r="G171" s="252">
        <f t="shared" si="3"/>
        <v>4</v>
      </c>
      <c r="H171" s="225" t="str">
        <f t="shared" si="5"/>
        <v/>
      </c>
      <c r="I171" s="253"/>
      <c r="J171" s="254"/>
      <c r="K171" s="254"/>
    </row>
    <row r="172">
      <c r="A172" s="247">
        <f t="shared" si="1"/>
        <v>164</v>
      </c>
      <c r="B172" s="248" t="str">
        <f>'ข้อมูลดิบ'!C569</f>
        <v>กิตติศักดิ์ วัฒนกุล</v>
      </c>
      <c r="C172" s="249">
        <f>'ข้อมูลดิบ'!H569</f>
        <v>61647</v>
      </c>
      <c r="D172" s="250">
        <f>'ข้อมูลดิบ'!N569 - 'ข้อมูลดิบ'!H569</f>
        <v>1</v>
      </c>
      <c r="E172" s="251">
        <f>IFERROR(VLOOKUP('ข้อมูลดิบ'!I569,'ฐานข้อมูลห้องพัก'!A:D, 3, FALSE), 0)</f>
        <v>400</v>
      </c>
      <c r="F172" s="252">
        <f t="shared" si="2"/>
        <v>400</v>
      </c>
      <c r="G172" s="252">
        <f t="shared" si="3"/>
        <v>4</v>
      </c>
      <c r="H172" s="225" t="str">
        <f t="shared" si="5"/>
        <v/>
      </c>
      <c r="I172" s="253"/>
      <c r="J172" s="254"/>
      <c r="K172" s="254"/>
    </row>
    <row r="173">
      <c r="A173" s="247">
        <f t="shared" si="1"/>
        <v>165</v>
      </c>
      <c r="B173" s="248" t="str">
        <f>'ข้อมูลดิบ'!C570</f>
        <v>กัลยารัตน์ โพธิ์ชัย</v>
      </c>
      <c r="C173" s="249">
        <f>'ข้อมูลดิบ'!H570</f>
        <v>61648</v>
      </c>
      <c r="D173" s="250">
        <f>'ข้อมูลดิบ'!N570 - 'ข้อมูลดิบ'!H570</f>
        <v>1</v>
      </c>
      <c r="E173" s="251">
        <f>IFERROR(VLOOKUP('ข้อมูลดิบ'!I570,'ฐานข้อมูลห้องพัก'!A:D, 3, FALSE), 0)</f>
        <v>400</v>
      </c>
      <c r="F173" s="252">
        <f t="shared" si="2"/>
        <v>400</v>
      </c>
      <c r="G173" s="252">
        <f t="shared" si="3"/>
        <v>4</v>
      </c>
      <c r="H173" s="225" t="str">
        <f t="shared" si="5"/>
        <v/>
      </c>
      <c r="J173" s="254"/>
      <c r="K173" s="254"/>
    </row>
    <row r="174">
      <c r="A174" s="247">
        <f t="shared" si="1"/>
        <v>166</v>
      </c>
      <c r="B174" s="248" t="str">
        <f>'ข้อมูลดิบ'!C571</f>
        <v>อาทิตยา บุญทวี</v>
      </c>
      <c r="C174" s="249">
        <f>'ข้อมูลดิบ'!H571</f>
        <v>61649</v>
      </c>
      <c r="D174" s="250">
        <f>'ข้อมูลดิบ'!N571 - 'ข้อมูลดิบ'!H571</f>
        <v>1</v>
      </c>
      <c r="E174" s="251">
        <f>IFERROR(VLOOKUP('ข้อมูลดิบ'!I571,'ฐานข้อมูลห้องพัก'!A:D, 3, FALSE), 0)</f>
        <v>500</v>
      </c>
      <c r="F174" s="252">
        <f t="shared" si="2"/>
        <v>500</v>
      </c>
      <c r="G174" s="252">
        <f t="shared" si="3"/>
        <v>5</v>
      </c>
      <c r="H174" s="225" t="str">
        <f t="shared" si="5"/>
        <v/>
      </c>
      <c r="I174" s="254"/>
      <c r="J174" s="254"/>
      <c r="K174" s="254"/>
    </row>
    <row r="175">
      <c r="A175" s="247">
        <f t="shared" si="1"/>
        <v>167</v>
      </c>
      <c r="B175" s="248" t="str">
        <f>'ข้อมูลดิบ'!C572</f>
        <v>ยุพา พานทอง</v>
      </c>
      <c r="C175" s="249">
        <f>'ข้อมูลดิบ'!H572</f>
        <v>61650</v>
      </c>
      <c r="D175" s="250">
        <f>'ข้อมูลดิบ'!N572 - 'ข้อมูลดิบ'!H572</f>
        <v>1</v>
      </c>
      <c r="E175" s="251">
        <f>IFERROR(VLOOKUP('ข้อมูลดิบ'!I572,'ฐานข้อมูลห้องพัก'!A:D, 3, FALSE), 0)</f>
        <v>500</v>
      </c>
      <c r="F175" s="252">
        <f t="shared" si="2"/>
        <v>500</v>
      </c>
      <c r="G175" s="252">
        <f t="shared" si="3"/>
        <v>5</v>
      </c>
      <c r="H175" s="225" t="str">
        <f t="shared" si="5"/>
        <v/>
      </c>
      <c r="I175" s="255"/>
      <c r="J175" s="255"/>
      <c r="K175" s="255"/>
    </row>
    <row r="176">
      <c r="A176" s="247">
        <f t="shared" si="1"/>
        <v>168</v>
      </c>
      <c r="B176" s="248" t="str">
        <f>'ข้อมูลดิบ'!C573</f>
        <v>อธิวัฒน์ กล้าหาญ</v>
      </c>
      <c r="C176" s="249">
        <f>'ข้อมูลดิบ'!H573</f>
        <v>61651</v>
      </c>
      <c r="D176" s="250">
        <f>'ข้อมูลดิบ'!N573 - 'ข้อมูลดิบ'!H573</f>
        <v>1</v>
      </c>
      <c r="E176" s="251">
        <f>IFERROR(VLOOKUP('ข้อมูลดิบ'!I573,'ฐานข้อมูลห้องพัก'!A:D, 3, FALSE), 0)</f>
        <v>400</v>
      </c>
      <c r="F176" s="252">
        <f t="shared" si="2"/>
        <v>400</v>
      </c>
      <c r="G176" s="252">
        <f t="shared" si="3"/>
        <v>4</v>
      </c>
      <c r="H176" s="225" t="str">
        <f t="shared" si="5"/>
        <v/>
      </c>
      <c r="I176" s="255"/>
      <c r="J176" s="255"/>
      <c r="K176" s="255"/>
    </row>
    <row r="177">
      <c r="A177" s="247">
        <f t="shared" si="1"/>
        <v>169</v>
      </c>
      <c r="B177" s="248" t="str">
        <f>'ข้อมูลดิบ'!C574</f>
        <v>ธัญชนก บุญทวี</v>
      </c>
      <c r="C177" s="249">
        <f>'ข้อมูลดิบ'!H574</f>
        <v>61652</v>
      </c>
      <c r="D177" s="250">
        <f>'ข้อมูลดิบ'!N574 - 'ข้อมูลดิบ'!H574</f>
        <v>1</v>
      </c>
      <c r="E177" s="251">
        <f>IFERROR(VLOOKUP('ข้อมูลดิบ'!I574,'ฐานข้อมูลห้องพัก'!A:D, 3, FALSE), 0)</f>
        <v>400</v>
      </c>
      <c r="F177" s="252">
        <f t="shared" si="2"/>
        <v>400</v>
      </c>
      <c r="G177" s="252">
        <f t="shared" si="3"/>
        <v>4</v>
      </c>
      <c r="H177" s="225" t="str">
        <f t="shared" si="5"/>
        <v/>
      </c>
      <c r="I177" s="254"/>
      <c r="J177" s="254"/>
      <c r="K177" s="254"/>
    </row>
    <row r="178">
      <c r="A178" s="247">
        <f t="shared" si="1"/>
        <v>170</v>
      </c>
      <c r="B178" s="248" t="str">
        <f>'ข้อมูลดิบ'!C575</f>
        <v>ณัฐพล เรืองศรี</v>
      </c>
      <c r="C178" s="249">
        <f>'ข้อมูลดิบ'!H575</f>
        <v>61653</v>
      </c>
      <c r="D178" s="250">
        <f>'ข้อมูลดิบ'!N575 - 'ข้อมูลดิบ'!H575</f>
        <v>1</v>
      </c>
      <c r="E178" s="251">
        <f>IFERROR(VLOOKUP('ข้อมูลดิบ'!I575,'ฐานข้อมูลห้องพัก'!A:D, 3, FALSE), 0)</f>
        <v>400</v>
      </c>
      <c r="F178" s="252">
        <f t="shared" si="2"/>
        <v>400</v>
      </c>
      <c r="G178" s="252">
        <f t="shared" si="3"/>
        <v>4</v>
      </c>
      <c r="H178" s="225" t="str">
        <f t="shared" si="5"/>
        <v/>
      </c>
      <c r="I178" s="254"/>
      <c r="J178" s="254"/>
      <c r="K178" s="254"/>
    </row>
    <row r="179">
      <c r="A179" s="247">
        <f t="shared" si="1"/>
        <v>171</v>
      </c>
      <c r="B179" s="248" t="str">
        <f>'ข้อมูลดิบ'!C576</f>
        <v>ประเสริฐ รุ่งเรือง</v>
      </c>
      <c r="C179" s="249">
        <f>'ข้อมูลดิบ'!H576</f>
        <v>61654</v>
      </c>
      <c r="D179" s="250">
        <f>'ข้อมูลดิบ'!N576 - 'ข้อมูลดิบ'!H576</f>
        <v>1</v>
      </c>
      <c r="E179" s="251">
        <f>IFERROR(VLOOKUP('ข้อมูลดิบ'!I576,'ฐานข้อมูลห้องพัก'!A:D, 3, FALSE), 0)</f>
        <v>400</v>
      </c>
      <c r="F179" s="252">
        <f t="shared" si="2"/>
        <v>400</v>
      </c>
      <c r="G179" s="252">
        <f t="shared" si="3"/>
        <v>4</v>
      </c>
      <c r="H179" s="225" t="str">
        <f t="shared" si="5"/>
        <v/>
      </c>
      <c r="I179" s="254"/>
      <c r="J179" s="254"/>
      <c r="K179" s="254"/>
    </row>
    <row r="180">
      <c r="A180" s="247">
        <f t="shared" si="1"/>
        <v>172</v>
      </c>
      <c r="B180" s="248" t="str">
        <f>'ข้อมูลดิบ'!C577</f>
        <v>ภูวดล แก้วใส</v>
      </c>
      <c r="C180" s="249">
        <f>'ข้อมูลดิบ'!H577</f>
        <v>61655</v>
      </c>
      <c r="D180" s="250">
        <f>'ข้อมูลดิบ'!N577 - 'ข้อมูลดิบ'!H577</f>
        <v>1</v>
      </c>
      <c r="E180" s="251">
        <f>IFERROR(VLOOKUP('ข้อมูลดิบ'!I577,'ฐานข้อมูลห้องพัก'!A:D, 3, FALSE), 0)</f>
        <v>400</v>
      </c>
      <c r="F180" s="252">
        <f t="shared" si="2"/>
        <v>400</v>
      </c>
      <c r="G180" s="252">
        <f t="shared" si="3"/>
        <v>4</v>
      </c>
      <c r="H180" s="225" t="str">
        <f t="shared" si="5"/>
        <v/>
      </c>
      <c r="I180" s="254"/>
      <c r="J180" s="254"/>
      <c r="K180" s="254"/>
    </row>
    <row r="181">
      <c r="A181" s="247">
        <f t="shared" si="1"/>
        <v>173</v>
      </c>
      <c r="B181" s="248" t="str">
        <f>'ข้อมูลดิบ'!C578</f>
        <v>ภูวดล สายชล</v>
      </c>
      <c r="C181" s="249">
        <f>'ข้อมูลดิบ'!H578</f>
        <v>61656</v>
      </c>
      <c r="D181" s="250">
        <f>'ข้อมูลดิบ'!N578 - 'ข้อมูลดิบ'!H578</f>
        <v>1</v>
      </c>
      <c r="E181" s="251">
        <f>IFERROR(VLOOKUP('ข้อมูลดิบ'!I578,'ฐานข้อมูลห้องพัก'!A:D, 3, FALSE), 0)</f>
        <v>400</v>
      </c>
      <c r="F181" s="252">
        <f t="shared" si="2"/>
        <v>400</v>
      </c>
      <c r="G181" s="252">
        <f t="shared" si="3"/>
        <v>4</v>
      </c>
      <c r="H181" s="225" t="str">
        <f t="shared" si="5"/>
        <v/>
      </c>
      <c r="I181" s="253"/>
      <c r="J181" s="254"/>
      <c r="K181" s="254"/>
    </row>
    <row r="182">
      <c r="A182" s="247">
        <f t="shared" si="1"/>
        <v>174</v>
      </c>
      <c r="B182" s="248" t="str">
        <f>'ข้อมูลดิบ'!C579</f>
        <v>อธิวัฒน์ รุ่งเรือง</v>
      </c>
      <c r="C182" s="249">
        <f>'ข้อมูลดิบ'!H579</f>
        <v>61657</v>
      </c>
      <c r="D182" s="250">
        <f>'ข้อมูลดิบ'!N579 - 'ข้อมูลดิบ'!H579</f>
        <v>1</v>
      </c>
      <c r="E182" s="251">
        <f>IFERROR(VLOOKUP('ข้อมูลดิบ'!I579,'ฐานข้อมูลห้องพัก'!A:D, 3, FALSE), 0)</f>
        <v>400</v>
      </c>
      <c r="F182" s="252">
        <f t="shared" si="2"/>
        <v>400</v>
      </c>
      <c r="G182" s="252">
        <f t="shared" si="3"/>
        <v>4</v>
      </c>
      <c r="H182" s="225" t="str">
        <f t="shared" si="5"/>
        <v/>
      </c>
      <c r="I182" s="253"/>
      <c r="J182" s="254"/>
      <c r="K182" s="254"/>
    </row>
    <row r="183">
      <c r="A183" s="247">
        <f t="shared" si="1"/>
        <v>175</v>
      </c>
      <c r="B183" s="248" t="str">
        <f>'ข้อมูลดิบ'!C580</f>
        <v>ชัยวัฒน์ รุ่งเรือง</v>
      </c>
      <c r="C183" s="249">
        <f>'ข้อมูลดิบ'!H580</f>
        <v>61658</v>
      </c>
      <c r="D183" s="250">
        <f>'ข้อมูลดิบ'!N580 - 'ข้อมูลดิบ'!H580</f>
        <v>1</v>
      </c>
      <c r="E183" s="251">
        <f>IFERROR(VLOOKUP('ข้อมูลดิบ'!I580,'ฐานข้อมูลห้องพัก'!A:D, 3, FALSE), 0)</f>
        <v>400</v>
      </c>
      <c r="F183" s="252">
        <f t="shared" si="2"/>
        <v>400</v>
      </c>
      <c r="G183" s="252">
        <f t="shared" si="3"/>
        <v>4</v>
      </c>
      <c r="H183" s="225" t="str">
        <f t="shared" si="5"/>
        <v/>
      </c>
      <c r="I183" s="253"/>
      <c r="J183" s="254"/>
      <c r="K183" s="254"/>
    </row>
    <row r="184">
      <c r="A184" s="247">
        <f t="shared" si="1"/>
        <v>176</v>
      </c>
      <c r="B184" s="248" t="str">
        <f>'ข้อมูลดิบ'!C581</f>
        <v>อธิวัฒน์ ทองสิงห์</v>
      </c>
      <c r="C184" s="249">
        <f>'ข้อมูลดิบ'!H581</f>
        <v>61659</v>
      </c>
      <c r="D184" s="250">
        <f>'ข้อมูลดิบ'!N581 - 'ข้อมูลดิบ'!H581</f>
        <v>1</v>
      </c>
      <c r="E184" s="251">
        <f>IFERROR(VLOOKUP('ข้อมูลดิบ'!I581,'ฐานข้อมูลห้องพัก'!A:D, 3, FALSE), 0)</f>
        <v>500</v>
      </c>
      <c r="F184" s="252">
        <f t="shared" si="2"/>
        <v>500</v>
      </c>
      <c r="G184" s="252">
        <f t="shared" si="3"/>
        <v>5</v>
      </c>
      <c r="H184" s="225" t="str">
        <f t="shared" si="5"/>
        <v/>
      </c>
      <c r="I184" s="253"/>
      <c r="J184" s="254"/>
      <c r="K184" s="254"/>
    </row>
    <row r="185">
      <c r="A185" s="247">
        <f t="shared" si="1"/>
        <v>177</v>
      </c>
      <c r="B185" s="248" t="str">
        <f>'ข้อมูลดิบ'!C582</f>
        <v>กิตติศักดิ์ ทองสิงห์</v>
      </c>
      <c r="C185" s="249">
        <f>'ข้อมูลดิบ'!H582</f>
        <v>61660</v>
      </c>
      <c r="D185" s="250">
        <f>'ข้อมูลดิบ'!N582 - 'ข้อมูลดิบ'!H582</f>
        <v>1</v>
      </c>
      <c r="E185" s="251">
        <f>IFERROR(VLOOKUP('ข้อมูลดิบ'!I582,'ฐานข้อมูลห้องพัก'!A:D, 3, FALSE), 0)</f>
        <v>500</v>
      </c>
      <c r="F185" s="252">
        <f t="shared" si="2"/>
        <v>500</v>
      </c>
      <c r="G185" s="252">
        <f t="shared" si="3"/>
        <v>5</v>
      </c>
      <c r="H185" s="225" t="str">
        <f t="shared" si="5"/>
        <v/>
      </c>
      <c r="I185" s="253"/>
      <c r="J185" s="254"/>
      <c r="K185" s="254"/>
    </row>
    <row r="186">
      <c r="A186" s="247">
        <f t="shared" si="1"/>
        <v>178</v>
      </c>
      <c r="B186" s="248" t="str">
        <f>'ข้อมูลดิบ'!C583</f>
        <v>นิภาพร มีสุข</v>
      </c>
      <c r="C186" s="249">
        <f>'ข้อมูลดิบ'!H583</f>
        <v>61661</v>
      </c>
      <c r="D186" s="250">
        <f>'ข้อมูลดิบ'!N583 - 'ข้อมูลดิบ'!H583</f>
        <v>1</v>
      </c>
      <c r="E186" s="251">
        <f>IFERROR(VLOOKUP('ข้อมูลดิบ'!I583,'ฐานข้อมูลห้องพัก'!A:D, 3, FALSE), 0)</f>
        <v>400</v>
      </c>
      <c r="F186" s="252">
        <f t="shared" si="2"/>
        <v>400</v>
      </c>
      <c r="G186" s="252">
        <f t="shared" si="3"/>
        <v>4</v>
      </c>
      <c r="H186" s="225" t="str">
        <f t="shared" si="5"/>
        <v/>
      </c>
      <c r="I186" s="253"/>
      <c r="J186" s="254"/>
      <c r="K186" s="254"/>
    </row>
    <row r="187">
      <c r="A187" s="247">
        <f t="shared" si="1"/>
        <v>179</v>
      </c>
      <c r="B187" s="248" t="str">
        <f>'ข้อมูลดิบ'!C584</f>
        <v>จักรพงษ์ สายชล</v>
      </c>
      <c r="C187" s="249">
        <f>'ข้อมูลดิบ'!H584</f>
        <v>61662</v>
      </c>
      <c r="D187" s="250">
        <f>'ข้อมูลดิบ'!N584 - 'ข้อมูลดิบ'!H584</f>
        <v>1</v>
      </c>
      <c r="E187" s="251">
        <f>IFERROR(VLOOKUP('ข้อมูลดิบ'!I584,'ฐานข้อมูลห้องพัก'!A:D, 3, FALSE), 0)</f>
        <v>400</v>
      </c>
      <c r="F187" s="252">
        <f t="shared" si="2"/>
        <v>400</v>
      </c>
      <c r="G187" s="252">
        <f t="shared" si="3"/>
        <v>4</v>
      </c>
      <c r="H187" s="225" t="str">
        <f t="shared" si="5"/>
        <v/>
      </c>
      <c r="I187" s="253"/>
      <c r="J187" s="254"/>
      <c r="K187" s="254"/>
    </row>
    <row r="188">
      <c r="A188" s="247">
        <f t="shared" si="1"/>
        <v>180</v>
      </c>
      <c r="B188" s="248" t="str">
        <f>'ข้อมูลดิบ'!C585</f>
        <v>ภูวดล รัตนพร</v>
      </c>
      <c r="C188" s="249">
        <f>'ข้อมูลดิบ'!H585</f>
        <v>61663</v>
      </c>
      <c r="D188" s="250">
        <f>'ข้อมูลดิบ'!N585 - 'ข้อมูลดิบ'!H585</f>
        <v>1</v>
      </c>
      <c r="E188" s="251">
        <f>IFERROR(VLOOKUP('ข้อมูลดิบ'!I585,'ฐานข้อมูลห้องพัก'!A:D, 3, FALSE), 0)</f>
        <v>400</v>
      </c>
      <c r="F188" s="252">
        <f t="shared" si="2"/>
        <v>400</v>
      </c>
      <c r="G188" s="252">
        <f t="shared" si="3"/>
        <v>4</v>
      </c>
      <c r="H188" s="225" t="str">
        <f t="shared" si="5"/>
        <v/>
      </c>
      <c r="I188" s="253"/>
      <c r="J188" s="254"/>
      <c r="K188" s="254"/>
    </row>
    <row r="189">
      <c r="A189" s="247">
        <f t="shared" si="1"/>
        <v>181</v>
      </c>
      <c r="B189" s="248" t="str">
        <f>'ข้อมูลดิบ'!C586</f>
        <v>สิทธิโชค พานทอง</v>
      </c>
      <c r="C189" s="249">
        <f>'ข้อมูลดิบ'!H586</f>
        <v>61664</v>
      </c>
      <c r="D189" s="250">
        <f>'ข้อมูลดิบ'!N586 - 'ข้อมูลดิบ'!H586</f>
        <v>1</v>
      </c>
      <c r="E189" s="251">
        <f>IFERROR(VLOOKUP('ข้อมูลดิบ'!I586,'ฐานข้อมูลห้องพัก'!A:D, 3, FALSE), 0)</f>
        <v>400</v>
      </c>
      <c r="F189" s="252">
        <f t="shared" si="2"/>
        <v>400</v>
      </c>
      <c r="G189" s="252">
        <f t="shared" si="3"/>
        <v>4</v>
      </c>
      <c r="H189" s="225" t="str">
        <f t="shared" si="5"/>
        <v/>
      </c>
      <c r="I189" s="253"/>
      <c r="J189" s="254"/>
      <c r="K189" s="254"/>
    </row>
    <row r="190">
      <c r="A190" s="247">
        <f t="shared" si="1"/>
        <v>182</v>
      </c>
      <c r="B190" s="248" t="str">
        <f>'ข้อมูลดิบ'!C587</f>
        <v>ชยพล อินทรวงศ์</v>
      </c>
      <c r="C190" s="249">
        <f>'ข้อมูลดิบ'!H587</f>
        <v>61665</v>
      </c>
      <c r="D190" s="250">
        <f>'ข้อมูลดิบ'!N587 - 'ข้อมูลดิบ'!H587</f>
        <v>1</v>
      </c>
      <c r="E190" s="251">
        <f>IFERROR(VLOOKUP('ข้อมูลดิบ'!I587,'ฐานข้อมูลห้องพัก'!A:D, 3, FALSE), 0)</f>
        <v>400</v>
      </c>
      <c r="F190" s="252">
        <f t="shared" si="2"/>
        <v>400</v>
      </c>
      <c r="G190" s="252">
        <f t="shared" si="3"/>
        <v>4</v>
      </c>
      <c r="H190" s="225" t="str">
        <f t="shared" si="5"/>
        <v/>
      </c>
      <c r="I190" s="253"/>
      <c r="J190" s="254"/>
      <c r="K190" s="254"/>
    </row>
    <row r="191">
      <c r="A191" s="247">
        <f t="shared" si="1"/>
        <v>183</v>
      </c>
      <c r="B191" s="248" t="str">
        <f>'ข้อมูลดิบ'!C588</f>
        <v>มนัสนันท์ พงษ์ไพบูลย์</v>
      </c>
      <c r="C191" s="249">
        <f>'ข้อมูลดิบ'!H588</f>
        <v>61666</v>
      </c>
      <c r="D191" s="250">
        <f>'ข้อมูลดิบ'!N588 - 'ข้อมูลดิบ'!H588</f>
        <v>1</v>
      </c>
      <c r="E191" s="251">
        <f>IFERROR(VLOOKUP('ข้อมูลดิบ'!I588,'ฐานข้อมูลห้องพัก'!A:D, 3, FALSE), 0)</f>
        <v>400</v>
      </c>
      <c r="F191" s="252">
        <f t="shared" si="2"/>
        <v>400</v>
      </c>
      <c r="G191" s="252">
        <f t="shared" si="3"/>
        <v>4</v>
      </c>
      <c r="H191" s="225" t="str">
        <f t="shared" si="5"/>
        <v/>
      </c>
      <c r="I191" s="253"/>
      <c r="J191" s="254"/>
      <c r="K191" s="254"/>
    </row>
    <row r="192">
      <c r="A192" s="247">
        <f t="shared" si="1"/>
        <v>184</v>
      </c>
      <c r="B192" s="248" t="str">
        <f>'ข้อมูลดิบ'!C589</f>
        <v>รัตนา พงษ์ไพบูลย์</v>
      </c>
      <c r="C192" s="249">
        <f>'ข้อมูลดิบ'!H589</f>
        <v>61667</v>
      </c>
      <c r="D192" s="250">
        <f>'ข้อมูลดิบ'!N589 - 'ข้อมูลดิบ'!H589</f>
        <v>1</v>
      </c>
      <c r="E192" s="251">
        <f>IFERROR(VLOOKUP('ข้อมูลดิบ'!I589,'ฐานข้อมูลห้องพัก'!A:D, 3, FALSE), 0)</f>
        <v>400</v>
      </c>
      <c r="F192" s="252">
        <f t="shared" si="2"/>
        <v>400</v>
      </c>
      <c r="G192" s="252">
        <f t="shared" si="3"/>
        <v>4</v>
      </c>
      <c r="H192" s="225" t="str">
        <f t="shared" si="5"/>
        <v/>
      </c>
      <c r="I192" s="253"/>
      <c r="J192" s="254"/>
      <c r="K192" s="254"/>
    </row>
    <row r="193" ht="42.0" customHeight="1">
      <c r="A193" s="256" t="s">
        <v>2931</v>
      </c>
      <c r="B193" s="220"/>
      <c r="C193" s="221"/>
      <c r="D193" s="257">
        <f t="shared" ref="D193:G193" si="6">SUM(D8:D192)</f>
        <v>184</v>
      </c>
      <c r="E193" s="258">
        <f t="shared" si="6"/>
        <v>79100</v>
      </c>
      <c r="F193" s="259">
        <f t="shared" si="6"/>
        <v>79100</v>
      </c>
      <c r="G193" s="259">
        <f t="shared" si="6"/>
        <v>791</v>
      </c>
      <c r="H193" s="260"/>
      <c r="I193" s="261"/>
      <c r="J193" s="262"/>
      <c r="K193" s="262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</row>
    <row r="194">
      <c r="A194" s="247"/>
      <c r="B194" s="248"/>
      <c r="C194" s="249"/>
      <c r="D194" s="250"/>
      <c r="E194" s="251"/>
      <c r="F194" s="252"/>
      <c r="G194" s="252"/>
      <c r="H194" s="225"/>
      <c r="I194" s="253"/>
      <c r="J194" s="254"/>
      <c r="K194" s="254"/>
    </row>
    <row r="195">
      <c r="A195" s="247"/>
      <c r="B195" s="248"/>
      <c r="C195" s="249"/>
      <c r="D195" s="250"/>
      <c r="E195" s="251"/>
      <c r="F195" s="252"/>
      <c r="G195" s="252"/>
      <c r="H195" s="225"/>
      <c r="I195" s="253"/>
      <c r="J195" s="254"/>
      <c r="K195" s="254"/>
    </row>
    <row r="196">
      <c r="A196" s="247"/>
      <c r="B196" s="248"/>
      <c r="C196" s="249"/>
      <c r="D196" s="250"/>
      <c r="E196" s="251"/>
      <c r="F196" s="252"/>
      <c r="G196" s="252"/>
      <c r="H196" s="225"/>
      <c r="I196" s="253"/>
      <c r="J196" s="254"/>
      <c r="K196" s="254"/>
    </row>
    <row r="197">
      <c r="A197" s="247"/>
      <c r="B197" s="248"/>
      <c r="C197" s="249"/>
      <c r="D197" s="250"/>
      <c r="E197" s="251"/>
      <c r="F197" s="252"/>
      <c r="G197" s="252"/>
      <c r="H197" s="225"/>
      <c r="I197" s="253"/>
      <c r="J197" s="254"/>
      <c r="K197" s="254"/>
    </row>
    <row r="198">
      <c r="A198" s="247"/>
      <c r="B198" s="248"/>
      <c r="C198" s="249"/>
      <c r="D198" s="250"/>
      <c r="E198" s="251"/>
      <c r="F198" s="252"/>
      <c r="G198" s="252"/>
      <c r="H198" s="225"/>
      <c r="I198" s="253"/>
      <c r="J198" s="254"/>
      <c r="K198" s="254"/>
    </row>
    <row r="199">
      <c r="A199" s="247"/>
      <c r="B199" s="248"/>
      <c r="C199" s="249"/>
      <c r="D199" s="250"/>
      <c r="E199" s="251"/>
      <c r="F199" s="252"/>
      <c r="G199" s="252"/>
      <c r="H199" s="225"/>
      <c r="I199" s="253"/>
      <c r="J199" s="254"/>
      <c r="K199" s="254"/>
    </row>
  </sheetData>
  <autoFilter ref="$A$8:$H$193"/>
  <mergeCells count="5">
    <mergeCell ref="A1:F1"/>
    <mergeCell ref="G1:H1"/>
    <mergeCell ref="A4:F4"/>
    <mergeCell ref="A5:B5"/>
    <mergeCell ref="A193:C193"/>
  </mergeCells>
  <dataValidations>
    <dataValidation type="list" allowBlank="1" showDropDown="1" showErrorMessage="1" sqref="D3">
      <formula1>'⚙️ Config'!$O$2:$O$13</formula1>
    </dataValidation>
  </dataValidations>
  <printOptions gridLines="1" horizontalCentered="1" verticalCentered="1"/>
  <pageMargins bottom="0.75" footer="0.0" header="0.0" left="0.25" right="0.25" top="0.75"/>
  <pageSetup paperSize="9" scale="75" cellComments="atEnd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5.75"/>
    <col customWidth="1" min="3" max="3" width="36.88"/>
    <col customWidth="1" min="4" max="4" width="21.63"/>
    <col customWidth="1" min="5" max="5" width="16.38"/>
    <col customWidth="1" min="6" max="6" width="2.5"/>
    <col customWidth="1" min="7" max="7" width="3.88"/>
    <col customWidth="1" min="8" max="8" width="2.5"/>
    <col customWidth="1" min="9" max="9" width="14.38"/>
    <col customWidth="1" min="10" max="10" width="40.38"/>
    <col customWidth="1" min="11" max="11" width="21.63"/>
    <col customWidth="1" min="12" max="12" width="16.38"/>
    <col customWidth="1" min="13" max="13" width="2.5"/>
  </cols>
  <sheetData>
    <row r="1" ht="57.0" customHeight="1">
      <c r="A1" s="264"/>
      <c r="B1" s="265" t="str">
        <f>'⚙️ Config'!$H$7</f>
        <v/>
      </c>
      <c r="C1" s="266"/>
      <c r="D1" s="267"/>
      <c r="E1" s="268" t="s">
        <v>2932</v>
      </c>
      <c r="F1" s="269"/>
      <c r="G1" s="270"/>
      <c r="H1" s="269"/>
      <c r="I1" s="271"/>
      <c r="J1" s="266"/>
      <c r="K1" s="266"/>
      <c r="L1" s="268" t="str">
        <f>E1</f>
        <v>ใบเสร็จรับเงิน / ใบกำกับภาษี        
</v>
      </c>
      <c r="M1" s="271"/>
    </row>
    <row r="2">
      <c r="A2" s="272"/>
      <c r="B2" s="273" t="str">
        <f>'⚙️ Config'!$H$2</f>
        <v>บริษัท วิพัฒน์โฮเทล.ดีเวลอปเมนท์ จำกัด</v>
      </c>
      <c r="C2" s="274"/>
      <c r="D2" s="275"/>
      <c r="E2" s="276" t="s">
        <v>2933</v>
      </c>
      <c r="F2" s="272"/>
      <c r="G2" s="275"/>
      <c r="H2" s="272"/>
      <c r="I2" s="273" t="str">
        <f>B2</f>
        <v>บริษัท วิพัฒน์โฮเทล.ดีเวลอปเมนท์ จำกัด</v>
      </c>
      <c r="J2" s="274"/>
      <c r="K2" s="275"/>
      <c r="L2" s="276" t="s">
        <v>2934</v>
      </c>
      <c r="M2" s="271"/>
    </row>
    <row r="3" ht="18.75" customHeight="1">
      <c r="A3" s="277"/>
      <c r="B3" s="278"/>
      <c r="C3" s="274"/>
      <c r="D3" s="279" t="s">
        <v>2645</v>
      </c>
      <c r="E3" s="280" t="s">
        <v>1379</v>
      </c>
      <c r="F3" s="277"/>
      <c r="G3" s="275"/>
      <c r="H3" s="277"/>
      <c r="I3" s="278"/>
      <c r="J3" s="274"/>
      <c r="K3" s="279" t="s">
        <v>2645</v>
      </c>
      <c r="L3" s="281" t="str">
        <f t="shared" ref="L3:L5" si="1">E3</f>
        <v>VP01611</v>
      </c>
      <c r="M3" s="271"/>
    </row>
    <row r="4" ht="15.75" customHeight="1">
      <c r="A4" s="282"/>
      <c r="B4" s="283" t="s">
        <v>1968</v>
      </c>
      <c r="C4" s="274"/>
      <c r="D4" s="284" t="s">
        <v>2935</v>
      </c>
      <c r="E4" s="285">
        <f>IFERROR(VLOOKUP(E3,'ข้อมูลดิบ'!B:N,13,FALSE),"")</f>
        <v>25124</v>
      </c>
      <c r="F4" s="282"/>
      <c r="G4" s="275"/>
      <c r="H4" s="282"/>
      <c r="I4" s="286" t="str">
        <f t="shared" ref="I4:I6" si="2">B4</f>
        <v>426 หมู่ที่9 ตำบลบึงกาฬ อำเภอเมืองบึงกาฬ จังหวัดบึงกาฬ 38000</v>
      </c>
      <c r="J4" s="274"/>
      <c r="K4" s="279" t="s">
        <v>2935</v>
      </c>
      <c r="L4" s="287">
        <f t="shared" si="1"/>
        <v>25124</v>
      </c>
      <c r="M4" s="271"/>
    </row>
    <row r="5" ht="15.75" customHeight="1">
      <c r="A5" s="282"/>
      <c r="B5" s="288" t="s">
        <v>1977</v>
      </c>
      <c r="C5" s="274"/>
      <c r="D5" s="284" t="s">
        <v>2936</v>
      </c>
      <c r="E5" s="285" t="str">
        <f>IFERROR(VLOOKUP(E3,'ข้อมูลดิบ'!B:N,6,FALSE),"")</f>
        <v>เงินโอน QR</v>
      </c>
      <c r="F5" s="282"/>
      <c r="G5" s="282"/>
      <c r="H5" s="282"/>
      <c r="I5" s="286" t="str">
        <f t="shared" si="2"/>
        <v>โทร 080-6254859,042-492641</v>
      </c>
      <c r="J5" s="274"/>
      <c r="K5" s="279" t="s">
        <v>2936</v>
      </c>
      <c r="L5" s="289" t="str">
        <f t="shared" si="1"/>
        <v>เงินโอน QR</v>
      </c>
      <c r="M5" s="271"/>
    </row>
    <row r="6" ht="15.75" customHeight="1">
      <c r="A6" s="282"/>
      <c r="B6" s="282" t="s">
        <v>1985</v>
      </c>
      <c r="C6" s="274"/>
      <c r="D6" s="274"/>
      <c r="E6" s="290"/>
      <c r="F6" s="282"/>
      <c r="G6" s="282"/>
      <c r="H6" s="282"/>
      <c r="I6" s="286" t="str">
        <f t="shared" si="2"/>
        <v>เลขประจำตัวผู้เสียภาษีอากร  0-3855-59000-07-5</v>
      </c>
      <c r="J6" s="274"/>
      <c r="K6" s="274"/>
      <c r="L6" s="290"/>
      <c r="M6" s="271"/>
    </row>
    <row r="7" ht="15.75" customHeight="1">
      <c r="A7" s="282"/>
      <c r="B7" s="286"/>
      <c r="C7" s="266"/>
      <c r="D7" s="266"/>
      <c r="E7" s="266"/>
      <c r="F7" s="282"/>
      <c r="G7" s="282"/>
      <c r="H7" s="282"/>
      <c r="I7" s="286"/>
      <c r="J7" s="266"/>
      <c r="K7" s="266"/>
      <c r="L7" s="266"/>
      <c r="M7" s="271"/>
    </row>
    <row r="8" ht="15.75" customHeight="1">
      <c r="A8" s="291"/>
      <c r="B8" s="292" t="s">
        <v>2937</v>
      </c>
      <c r="C8" s="266"/>
      <c r="D8" s="266"/>
      <c r="E8" s="266"/>
      <c r="F8" s="291"/>
      <c r="G8" s="291"/>
      <c r="H8" s="291"/>
      <c r="I8" s="292" t="s">
        <v>2937</v>
      </c>
      <c r="J8" s="266"/>
      <c r="K8" s="266"/>
      <c r="L8" s="266"/>
      <c r="M8" s="271"/>
    </row>
    <row r="9" ht="15.75" customHeight="1">
      <c r="A9" s="293"/>
      <c r="B9" s="294" t="str">
        <f>IFERROR(VLOOKUP(E3, 'ข้อมูลดิบ'!B:F, 2, FALSE), "")</f>
        <v>อารยา สุขสม</v>
      </c>
      <c r="C9" s="266"/>
      <c r="D9" s="266"/>
      <c r="E9" s="275"/>
      <c r="F9" s="295"/>
      <c r="G9" s="293"/>
      <c r="H9" s="293"/>
      <c r="I9" s="266" t="str">
        <f t="shared" ref="I9:I12" si="3">B9</f>
        <v>อารยา สุขสม</v>
      </c>
      <c r="J9" s="266"/>
      <c r="K9" s="266"/>
      <c r="L9" s="266"/>
      <c r="M9" s="271"/>
    </row>
    <row r="10" ht="15.75" customHeight="1">
      <c r="A10" s="293"/>
      <c r="B10" s="296" t="str">
        <f>IFERROR(VLOOKUP(E3, 'ข้อมูลดิบ'!B:F, 3, FALSE), "")</f>
        <v>12/7 ต.วิศิษฐ์ อ.เมือง จ.บึงกาฬ</v>
      </c>
      <c r="C10" s="266"/>
      <c r="D10" s="266"/>
      <c r="E10" s="266"/>
      <c r="F10" s="293"/>
      <c r="G10" s="293"/>
      <c r="H10" s="293"/>
      <c r="I10" s="266" t="str">
        <f t="shared" si="3"/>
        <v>12/7 ต.วิศิษฐ์ อ.เมือง จ.บึงกาฬ</v>
      </c>
      <c r="J10" s="266"/>
      <c r="K10" s="266"/>
      <c r="L10" s="266"/>
      <c r="M10" s="271"/>
    </row>
    <row r="11" ht="15.75" customHeight="1">
      <c r="A11" s="293"/>
      <c r="B11" s="297" t="str">
        <f>IFERROR(VLOOKUP(E3, 'ข้อมูลดิบ'!B:F, 5, FALSE), "")</f>
        <v/>
      </c>
      <c r="D11" s="266"/>
      <c r="E11" s="266"/>
      <c r="F11" s="293"/>
      <c r="G11" s="293"/>
      <c r="H11" s="293"/>
      <c r="I11" s="266" t="str">
        <f t="shared" si="3"/>
        <v/>
      </c>
      <c r="K11" s="266"/>
      <c r="L11" s="266"/>
      <c r="M11" s="271"/>
    </row>
    <row r="12" ht="15.75" customHeight="1">
      <c r="A12" s="293"/>
      <c r="B12" s="298" t="str">
        <f>IFERROR(VLOOKUP(E3, 'ข้อมูลดิบ'!B:F, 4, FALSE), "")</f>
        <v/>
      </c>
      <c r="C12" s="298"/>
      <c r="D12" s="266"/>
      <c r="E12" s="266"/>
      <c r="F12" s="293"/>
      <c r="G12" s="293"/>
      <c r="H12" s="293"/>
      <c r="I12" s="266" t="str">
        <f t="shared" si="3"/>
        <v/>
      </c>
      <c r="J12" s="266"/>
      <c r="K12" s="266"/>
      <c r="L12" s="266"/>
      <c r="M12" s="271"/>
    </row>
    <row r="13" ht="24.75" customHeight="1">
      <c r="A13" s="299"/>
      <c r="B13" s="300" t="s">
        <v>1953</v>
      </c>
      <c r="C13" s="301" t="s">
        <v>2166</v>
      </c>
      <c r="D13" s="301" t="s">
        <v>2938</v>
      </c>
      <c r="E13" s="302" t="s">
        <v>2939</v>
      </c>
      <c r="F13" s="299"/>
      <c r="G13" s="299"/>
      <c r="H13" s="299"/>
      <c r="I13" s="300" t="s">
        <v>1953</v>
      </c>
      <c r="J13" s="301" t="s">
        <v>2166</v>
      </c>
      <c r="K13" s="301" t="s">
        <v>2938</v>
      </c>
      <c r="L13" s="302" t="s">
        <v>2939</v>
      </c>
      <c r="M13" s="271"/>
    </row>
    <row r="14" ht="27.0" customHeight="1">
      <c r="A14" s="303"/>
      <c r="B14" s="304">
        <f>IF(C14&lt;&gt;"",1,"")</f>
        <v>1</v>
      </c>
      <c r="C14" s="305" t="str">
        <f t="array" ref="C14">IFERROR(LET(row_num,MATCH(TRIM(E3),TRIM('ข้อมูลดิบ'!B:B),0),room_num,INDEX('ข้อมูลดิบ'!I:I,row_num),check_in,INDEX('ข้อมูลดิบ'!H:H,row_num),check_out,INDEX('ข้อมูลดิบ'!N:N,row_num),room_type,VLOOKUP(TRIM(room_num),'ฐานข้อมูลห้องพัก'!A:B,2,FALSE),"ค่าห้องพัก " &amp; room_type &amp; " " &amp; room_num &amp; " (" &amp; TEXT(check_in,"dd/mm/yy") &amp; " - " &amp; TEXT(check_out,"dd/mm/yy") &amp; ")"),"")</f>
        <v>ค่าห้องพัก Standard B102 (12/10/68 - 13/10/68)</v>
      </c>
      <c r="D14" s="306" t="str">
        <f t="array" ref="D14">IFERROR(LET(row_num,MATCH(TRIM(E3),TRIM('ข้อมูลดิบ'!B:B),0),check_in,INDEX('ข้อมูลดิบ'!H:H,row_num),check_out,INDEX('ข้อมูลดิบ'!N:N,row_num),num_of_nights,check_out-check_in,num_of_nights &amp; " คืน"),"")</f>
        <v>1 คืน</v>
      </c>
      <c r="E14" s="307">
        <f t="array" ref="E14">IFERROR(LET(row_num,MATCH(TRIM(E3),TRIM('ข้อมูลดิบ'!B:B),0),room_num,INDEX('ข้อมูลดิบ'!I:I,row_num),check_in,INDEX('ข้อมูลดิบ'!H:H,row_num),check_out,INDEX('ข้อมูลดิบ'!N:N,row_num),price_per_night,VLOOKUP(TRIM(room_num),'ฐานข้อมูลห้องพัก'!A:C,3,FALSE),num_of_nights,check_out-check_in,price_per_night*num_of_nights),"")</f>
        <v>400</v>
      </c>
      <c r="F14" s="303"/>
      <c r="G14" s="303"/>
      <c r="H14" s="303"/>
      <c r="I14" s="304">
        <f t="shared" ref="I14:L14" si="4">B14</f>
        <v>1</v>
      </c>
      <c r="J14" s="308" t="str">
        <f t="shared" si="4"/>
        <v>ค่าห้องพัก Standard B102 (12/10/68 - 13/10/68)</v>
      </c>
      <c r="K14" s="304" t="str">
        <f t="shared" si="4"/>
        <v>1 คืน</v>
      </c>
      <c r="L14" s="309">
        <f t="shared" si="4"/>
        <v>400</v>
      </c>
      <c r="M14" s="310"/>
    </row>
    <row r="15" ht="19.5" customHeight="1">
      <c r="A15" s="303"/>
      <c r="B15" s="304"/>
      <c r="C15" s="304"/>
      <c r="D15" s="304"/>
      <c r="E15" s="311"/>
      <c r="F15" s="303"/>
      <c r="G15" s="303"/>
      <c r="H15" s="303"/>
      <c r="I15" s="304" t="str">
        <f>IF(J15&lt;&gt;"",2,"")</f>
        <v/>
      </c>
      <c r="J15" s="304"/>
      <c r="K15" s="304"/>
      <c r="L15" s="311"/>
      <c r="M15" s="271"/>
    </row>
    <row r="16" ht="19.5" customHeight="1">
      <c r="A16" s="303"/>
      <c r="B16" s="304"/>
      <c r="C16" s="304"/>
      <c r="D16" s="304"/>
      <c r="E16" s="311"/>
      <c r="F16" s="303"/>
      <c r="G16" s="303"/>
      <c r="H16" s="303"/>
      <c r="I16" s="304" t="str">
        <f>IF(J16&lt;&gt;"",3,"")</f>
        <v/>
      </c>
      <c r="J16" s="304"/>
      <c r="K16" s="304"/>
      <c r="L16" s="311"/>
      <c r="M16" s="271"/>
    </row>
    <row r="17" ht="19.5" customHeight="1">
      <c r="A17" s="303"/>
      <c r="B17" s="304"/>
      <c r="C17" s="304"/>
      <c r="D17" s="304"/>
      <c r="E17" s="311"/>
      <c r="F17" s="303"/>
      <c r="G17" s="303"/>
      <c r="H17" s="303"/>
      <c r="I17" s="304" t="str">
        <f>IF(J17&lt;&gt;"",4,"")</f>
        <v/>
      </c>
      <c r="J17" s="304"/>
      <c r="K17" s="304"/>
      <c r="L17" s="311"/>
      <c r="M17" s="271"/>
    </row>
    <row r="18" ht="19.5" customHeight="1">
      <c r="A18" s="303"/>
      <c r="B18" s="304"/>
      <c r="C18" s="304"/>
      <c r="D18" s="304"/>
      <c r="E18" s="311"/>
      <c r="F18" s="303"/>
      <c r="G18" s="303"/>
      <c r="H18" s="303"/>
      <c r="I18" s="304" t="str">
        <f>IF(J18&lt;&gt;"",5,"")</f>
        <v/>
      </c>
      <c r="J18" s="304"/>
      <c r="K18" s="304"/>
      <c r="L18" s="311"/>
      <c r="M18" s="271"/>
    </row>
    <row r="19" ht="19.5" customHeight="1">
      <c r="A19" s="303"/>
      <c r="B19" s="304"/>
      <c r="C19" s="304"/>
      <c r="D19" s="304"/>
      <c r="E19" s="311"/>
      <c r="F19" s="303"/>
      <c r="G19" s="303"/>
      <c r="H19" s="303"/>
      <c r="I19" s="304" t="str">
        <f>IF(J19&lt;&gt;"",6,"")</f>
        <v/>
      </c>
      <c r="J19" s="304"/>
      <c r="K19" s="304"/>
      <c r="L19" s="311"/>
      <c r="M19" s="271"/>
    </row>
    <row r="20" ht="19.5" customHeight="1">
      <c r="A20" s="303"/>
      <c r="B20" s="304"/>
      <c r="C20" s="304"/>
      <c r="D20" s="304"/>
      <c r="E20" s="311"/>
      <c r="F20" s="303"/>
      <c r="G20" s="303"/>
      <c r="H20" s="303"/>
      <c r="I20" s="304" t="str">
        <f>IF(J20&lt;&gt;"",7,"")</f>
        <v/>
      </c>
      <c r="J20" s="304"/>
      <c r="K20" s="304"/>
      <c r="L20" s="311"/>
      <c r="M20" s="271"/>
    </row>
    <row r="21" ht="19.5" customHeight="1">
      <c r="A21" s="303"/>
      <c r="B21" s="304"/>
      <c r="C21" s="304"/>
      <c r="D21" s="304"/>
      <c r="E21" s="311"/>
      <c r="F21" s="303"/>
      <c r="G21" s="303"/>
      <c r="H21" s="303"/>
      <c r="I21" s="304" t="str">
        <f>IF(J21&lt;&gt;"",8,"")</f>
        <v/>
      </c>
      <c r="J21" s="304"/>
      <c r="K21" s="304"/>
      <c r="L21" s="311"/>
      <c r="M21" s="271"/>
    </row>
    <row r="22" ht="19.5" customHeight="1">
      <c r="A22" s="303"/>
      <c r="B22" s="304"/>
      <c r="C22" s="304"/>
      <c r="D22" s="304"/>
      <c r="E22" s="311"/>
      <c r="F22" s="303"/>
      <c r="G22" s="303"/>
      <c r="H22" s="303"/>
      <c r="I22" s="304" t="str">
        <f>IF(J22&lt;&gt;"",9,"")</f>
        <v/>
      </c>
      <c r="J22" s="304"/>
      <c r="K22" s="304"/>
      <c r="L22" s="311"/>
      <c r="M22" s="271"/>
    </row>
    <row r="23" ht="19.5" customHeight="1">
      <c r="A23" s="303"/>
      <c r="B23" s="304"/>
      <c r="C23" s="304"/>
      <c r="D23" s="304"/>
      <c r="E23" s="311"/>
      <c r="F23" s="303"/>
      <c r="G23" s="303"/>
      <c r="H23" s="303"/>
      <c r="I23" s="304" t="str">
        <f>IF(J23&lt;&gt;"",10,"")</f>
        <v/>
      </c>
      <c r="J23" s="304"/>
      <c r="K23" s="304"/>
      <c r="L23" s="311"/>
      <c r="M23" s="271"/>
    </row>
    <row r="24" ht="19.5" customHeight="1">
      <c r="A24" s="303"/>
      <c r="B24" s="304"/>
      <c r="C24" s="304"/>
      <c r="D24" s="304"/>
      <c r="E24" s="311"/>
      <c r="F24" s="303"/>
      <c r="G24" s="303"/>
      <c r="H24" s="303"/>
      <c r="I24" s="304" t="str">
        <f>IF(J24&lt;&gt;"",11,"")</f>
        <v/>
      </c>
      <c r="J24" s="304"/>
      <c r="K24" s="304"/>
      <c r="L24" s="311"/>
      <c r="M24" s="271"/>
    </row>
    <row r="25" ht="15.75" customHeight="1">
      <c r="A25" s="312"/>
      <c r="B25" s="313"/>
      <c r="C25" s="313"/>
      <c r="D25" s="313"/>
      <c r="E25" s="313"/>
      <c r="F25" s="312"/>
      <c r="G25" s="312"/>
      <c r="H25" s="312"/>
      <c r="I25" s="313"/>
      <c r="J25" s="313"/>
      <c r="K25" s="313"/>
      <c r="L25" s="313"/>
      <c r="M25" s="271"/>
    </row>
    <row r="26" ht="15.75" customHeight="1">
      <c r="A26" s="312"/>
      <c r="B26" s="313"/>
      <c r="C26" s="304"/>
      <c r="D26" s="314" t="s">
        <v>2925</v>
      </c>
      <c r="E26" s="315">
        <f>SUM(E14:E25)</f>
        <v>400</v>
      </c>
      <c r="F26" s="312"/>
      <c r="G26" s="312"/>
      <c r="H26" s="312"/>
      <c r="I26" s="313"/>
      <c r="J26" s="304"/>
      <c r="K26" s="314" t="s">
        <v>2925</v>
      </c>
      <c r="L26" s="315">
        <f>SUM(L14:L25)</f>
        <v>400</v>
      </c>
      <c r="M26" s="271"/>
    </row>
    <row r="27" ht="25.5" customHeight="1">
      <c r="A27" s="293"/>
      <c r="B27" s="266"/>
      <c r="C27" s="266"/>
      <c r="D27" s="314" t="s">
        <v>2940</v>
      </c>
      <c r="E27" s="311">
        <f>E26-(E26/1.07)</f>
        <v>26.1682243</v>
      </c>
      <c r="F27" s="293"/>
      <c r="G27" s="293"/>
      <c r="H27" s="293"/>
      <c r="I27" s="266"/>
      <c r="J27" s="266"/>
      <c r="K27" s="314" t="s">
        <v>2940</v>
      </c>
      <c r="L27" s="311">
        <f>L26-(L26/1.07)</f>
        <v>26.1682243</v>
      </c>
      <c r="M27" s="271"/>
    </row>
    <row r="28" ht="15.75" customHeight="1">
      <c r="A28" s="293"/>
      <c r="B28" s="266"/>
      <c r="C28" s="266"/>
      <c r="D28" s="314" t="s">
        <v>2941</v>
      </c>
      <c r="E28" s="311">
        <f>E26-E27</f>
        <v>373.8317757</v>
      </c>
      <c r="F28" s="293"/>
      <c r="G28" s="293"/>
      <c r="H28" s="293"/>
      <c r="I28" s="266"/>
      <c r="J28" s="266"/>
      <c r="K28" s="314" t="s">
        <v>2941</v>
      </c>
      <c r="L28" s="311">
        <f>L26-L27</f>
        <v>373.8317757</v>
      </c>
      <c r="M28" s="271"/>
    </row>
    <row r="29" ht="21.0" customHeight="1">
      <c r="A29" s="293"/>
      <c r="B29" s="266"/>
      <c r="C29" s="316" t="str">
        <f>"("&amp;BAHTTEXT(E29)&amp;")"</f>
        <v>(สี่ร้อยบาทถ้วน)</v>
      </c>
      <c r="D29" s="314" t="s">
        <v>2942</v>
      </c>
      <c r="E29" s="311">
        <f>E27+E28</f>
        <v>400</v>
      </c>
      <c r="F29" s="293"/>
      <c r="G29" s="293"/>
      <c r="H29" s="293"/>
      <c r="I29" s="266"/>
      <c r="J29" s="317" t="str">
        <f>C29</f>
        <v>(สี่ร้อยบาทถ้วน)</v>
      </c>
      <c r="K29" s="314" t="s">
        <v>2942</v>
      </c>
      <c r="L29" s="311">
        <f>L27+L28</f>
        <v>400</v>
      </c>
      <c r="M29" s="271"/>
    </row>
    <row r="30" ht="15.75" customHeight="1">
      <c r="A30" s="293"/>
      <c r="B30" s="266"/>
      <c r="C30" s="266"/>
      <c r="D30" s="318"/>
      <c r="E30" s="266"/>
      <c r="F30" s="293"/>
      <c r="G30" s="293"/>
      <c r="H30" s="293"/>
      <c r="I30" s="266"/>
      <c r="J30" s="266"/>
      <c r="K30" s="318"/>
      <c r="L30" s="266"/>
      <c r="M30" s="271"/>
    </row>
    <row r="31" ht="15.75" customHeight="1">
      <c r="A31" s="293"/>
      <c r="B31" s="266"/>
      <c r="C31" s="266"/>
      <c r="D31" s="266"/>
      <c r="E31" s="266"/>
      <c r="F31" s="293"/>
      <c r="G31" s="293"/>
      <c r="H31" s="293"/>
      <c r="I31" s="266"/>
      <c r="J31" s="266"/>
      <c r="K31" s="266"/>
      <c r="L31" s="266"/>
      <c r="M31" s="271"/>
    </row>
    <row r="32" ht="15.75" customHeight="1">
      <c r="A32" s="293"/>
      <c r="B32" s="266"/>
      <c r="C32" s="266"/>
      <c r="D32" s="266"/>
      <c r="E32" s="266"/>
      <c r="F32" s="293"/>
      <c r="G32" s="293"/>
      <c r="H32" s="293"/>
      <c r="I32" s="266"/>
      <c r="J32" s="266"/>
      <c r="K32" s="266"/>
      <c r="L32" s="266"/>
      <c r="M32" s="271"/>
    </row>
    <row r="33" ht="15.75" customHeight="1">
      <c r="A33" s="293"/>
      <c r="B33" s="266"/>
      <c r="C33" s="266"/>
      <c r="D33" s="266"/>
      <c r="E33" s="266"/>
      <c r="F33" s="293"/>
      <c r="G33" s="293"/>
      <c r="H33" s="293"/>
      <c r="I33" s="266"/>
      <c r="J33" s="266"/>
      <c r="K33" s="266"/>
      <c r="L33" s="266"/>
      <c r="M33" s="271"/>
    </row>
    <row r="34" ht="15.75" customHeight="1">
      <c r="A34" s="293"/>
      <c r="B34" s="266"/>
      <c r="C34" s="266"/>
      <c r="D34" s="266"/>
      <c r="E34" s="266"/>
      <c r="F34" s="293"/>
      <c r="G34" s="293"/>
      <c r="H34" s="293"/>
      <c r="I34" s="266"/>
      <c r="J34" s="266"/>
      <c r="K34" s="270" t="str">
        <f>D35</f>
        <v/>
      </c>
      <c r="L34" s="266"/>
      <c r="M34" s="271"/>
    </row>
    <row r="35" ht="15.75" customHeight="1">
      <c r="A35" s="277"/>
      <c r="B35" s="275"/>
      <c r="C35" s="319"/>
      <c r="D35" s="266"/>
      <c r="E35" s="266"/>
      <c r="F35" s="277"/>
      <c r="G35" s="277"/>
      <c r="H35" s="277"/>
      <c r="I35" s="275"/>
      <c r="J35" s="266"/>
      <c r="K35" s="266"/>
      <c r="L35" s="266"/>
      <c r="M35" s="271"/>
    </row>
    <row r="36" ht="15.75" customHeight="1">
      <c r="A36" s="293"/>
      <c r="B36" s="266"/>
      <c r="C36" s="266"/>
      <c r="D36" s="266"/>
      <c r="E36" s="266"/>
      <c r="F36" s="293"/>
      <c r="G36" s="293"/>
      <c r="H36" s="293"/>
      <c r="I36" s="266"/>
      <c r="J36" s="266"/>
      <c r="K36" s="266"/>
      <c r="L36" s="266"/>
      <c r="M36" s="271"/>
    </row>
  </sheetData>
  <printOptions horizontalCentered="1" verticalCentered="1"/>
  <pageMargins bottom="0.19295236610275202" footer="0.0" header="0.0" left="0.16400951118733922" right="0.16400951118733922" top="0.19295236610275202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1.75"/>
    <col customWidth="1" min="3" max="3" width="11.38"/>
    <col customWidth="1" min="4" max="4" width="11.25"/>
    <col customWidth="1" min="5" max="5" width="10.75"/>
    <col customWidth="1" min="6" max="6" width="12.75"/>
    <col customWidth="1" min="7" max="7" width="14.0"/>
    <col customWidth="1" min="8" max="8" width="7.13"/>
    <col customWidth="1" min="9" max="10" width="8.0"/>
    <col customWidth="1" min="11" max="12" width="10.38"/>
    <col customWidth="1" min="13" max="13" width="10.25"/>
    <col customWidth="1" min="14" max="14" width="6.0"/>
    <col customWidth="1" min="15" max="15" width="19.63"/>
    <col customWidth="1" min="16" max="16" width="15.63"/>
    <col customWidth="1" min="17" max="17" width="24.13"/>
  </cols>
  <sheetData>
    <row r="1" ht="4.5" customHeight="1">
      <c r="A1" s="320">
        <v>6666666.0</v>
      </c>
      <c r="B1" s="321"/>
      <c r="C1" s="321"/>
      <c r="D1" s="321"/>
      <c r="E1" s="321"/>
      <c r="F1" s="321"/>
      <c r="G1" s="321"/>
      <c r="H1" s="321"/>
      <c r="I1" s="320"/>
      <c r="J1" s="320"/>
      <c r="K1" s="320"/>
      <c r="L1" s="320"/>
      <c r="M1" s="320"/>
      <c r="N1" s="320"/>
      <c r="O1" s="320"/>
      <c r="P1" s="320"/>
      <c r="Q1" s="320"/>
    </row>
    <row r="2" ht="31.5" customHeight="1">
      <c r="A2" s="320"/>
      <c r="B2" s="322" t="s">
        <v>2164</v>
      </c>
      <c r="C2" s="323"/>
      <c r="D2" s="323"/>
      <c r="E2" s="323"/>
      <c r="F2" s="323"/>
      <c r="G2" s="324"/>
      <c r="H2" s="325"/>
      <c r="I2" s="326" t="s">
        <v>2943</v>
      </c>
      <c r="J2" s="327"/>
      <c r="K2" s="328"/>
      <c r="L2" s="327"/>
      <c r="M2" s="327"/>
      <c r="N2" s="327"/>
      <c r="O2" s="327"/>
      <c r="P2" s="327"/>
      <c r="Q2" s="327"/>
    </row>
    <row r="3" ht="30.0" customHeight="1">
      <c r="A3" s="320"/>
      <c r="B3" s="329" t="s">
        <v>2944</v>
      </c>
      <c r="C3" s="125"/>
      <c r="D3" s="125"/>
      <c r="E3" s="125"/>
      <c r="F3" s="125"/>
      <c r="G3" s="330"/>
      <c r="H3" s="325"/>
      <c r="I3" s="331"/>
      <c r="J3" s="332"/>
      <c r="K3" s="333" t="s">
        <v>1954</v>
      </c>
      <c r="L3" s="333" t="s">
        <v>2179</v>
      </c>
      <c r="M3" s="333" t="s">
        <v>2178</v>
      </c>
      <c r="N3" s="333"/>
    </row>
    <row r="4" ht="27.0" customHeight="1">
      <c r="A4" s="320"/>
      <c r="B4" s="334" t="s">
        <v>2166</v>
      </c>
      <c r="C4" s="335" t="s">
        <v>2167</v>
      </c>
      <c r="D4" s="335" t="s">
        <v>2168</v>
      </c>
      <c r="E4" s="335" t="s">
        <v>2169</v>
      </c>
      <c r="F4" s="336" t="s">
        <v>2170</v>
      </c>
      <c r="G4" s="337" t="s">
        <v>2171</v>
      </c>
      <c r="H4" s="325"/>
      <c r="I4" s="320"/>
      <c r="J4" s="338" t="s">
        <v>2945</v>
      </c>
      <c r="K4" s="339" t="s">
        <v>2006</v>
      </c>
      <c r="L4" s="338">
        <v>130.0</v>
      </c>
      <c r="M4" s="338">
        <v>4672.0</v>
      </c>
      <c r="N4" s="333"/>
    </row>
    <row r="5" ht="27.0" customHeight="1">
      <c r="A5" s="320"/>
      <c r="B5" s="340" t="s">
        <v>2172</v>
      </c>
      <c r="C5" s="341" t="s">
        <v>15</v>
      </c>
      <c r="D5" s="342"/>
      <c r="E5" s="342"/>
      <c r="F5" s="343"/>
      <c r="G5" s="344">
        <f>3500+I6</f>
        <v>3500</v>
      </c>
      <c r="H5" s="325"/>
      <c r="I5" s="345"/>
      <c r="J5" s="346"/>
      <c r="K5" s="347" t="s">
        <v>2009</v>
      </c>
      <c r="L5" s="347">
        <v>136.0</v>
      </c>
      <c r="M5" s="347">
        <v>4822.0</v>
      </c>
      <c r="N5" s="333"/>
    </row>
    <row r="6" ht="27.0" customHeight="1">
      <c r="A6" s="320"/>
      <c r="B6" s="334" t="s">
        <v>2174</v>
      </c>
      <c r="C6" s="348">
        <v>179.0</v>
      </c>
      <c r="D6" s="348">
        <v>183.0</v>
      </c>
      <c r="E6" s="335">
        <f t="shared" ref="E6:E7" si="1">D6-C6</f>
        <v>4</v>
      </c>
      <c r="F6" s="335">
        <v>25.0</v>
      </c>
      <c r="G6" s="349">
        <f>F6*E6</f>
        <v>100</v>
      </c>
      <c r="H6" s="325"/>
      <c r="I6" s="350"/>
      <c r="J6" s="346"/>
      <c r="K6" s="347" t="s">
        <v>2012</v>
      </c>
      <c r="L6" s="346">
        <v>142.0</v>
      </c>
      <c r="M6" s="346">
        <v>4970.0</v>
      </c>
      <c r="N6" s="333"/>
    </row>
    <row r="7" ht="27.0" customHeight="1">
      <c r="A7" s="320"/>
      <c r="B7" s="334" t="s">
        <v>2173</v>
      </c>
      <c r="C7" s="348">
        <v>6099.0</v>
      </c>
      <c r="D7" s="348">
        <v>6214.0</v>
      </c>
      <c r="E7" s="335">
        <f t="shared" si="1"/>
        <v>115</v>
      </c>
      <c r="F7" s="335">
        <v>8.0</v>
      </c>
      <c r="G7" s="349">
        <f>E7*F7</f>
        <v>920</v>
      </c>
      <c r="H7" s="325"/>
      <c r="I7" s="320"/>
      <c r="J7" s="346"/>
      <c r="K7" s="347" t="s">
        <v>2014</v>
      </c>
      <c r="L7" s="346">
        <v>146.0</v>
      </c>
      <c r="M7" s="346">
        <v>5088.0</v>
      </c>
      <c r="N7" s="333"/>
    </row>
    <row r="8" ht="27.0" customHeight="1">
      <c r="A8" s="320"/>
      <c r="B8" s="351" t="s">
        <v>2171</v>
      </c>
      <c r="C8" s="125"/>
      <c r="D8" s="125"/>
      <c r="E8" s="125"/>
      <c r="F8" s="126"/>
      <c r="G8" s="352">
        <f>SUM(G5:G7)</f>
        <v>4520</v>
      </c>
      <c r="H8" s="325"/>
      <c r="I8" s="320"/>
      <c r="J8" s="353"/>
      <c r="K8" s="347" t="s">
        <v>2017</v>
      </c>
      <c r="L8" s="346">
        <v>149.0</v>
      </c>
      <c r="M8" s="346">
        <v>5166.0</v>
      </c>
      <c r="N8" s="333"/>
    </row>
    <row r="9" ht="27.0" customHeight="1">
      <c r="A9" s="320"/>
      <c r="B9" s="354" t="s">
        <v>2946</v>
      </c>
      <c r="C9" s="355"/>
      <c r="D9" s="355"/>
      <c r="E9" s="355"/>
      <c r="F9" s="355"/>
      <c r="G9" s="356"/>
      <c r="H9" s="325"/>
      <c r="I9" s="320"/>
      <c r="J9" s="321"/>
      <c r="K9" s="357">
        <v>2568.0</v>
      </c>
      <c r="L9" s="358"/>
      <c r="M9" s="358"/>
      <c r="N9" s="333"/>
    </row>
    <row r="10" ht="27.0" customHeight="1">
      <c r="A10" s="320"/>
      <c r="B10" s="359" t="s">
        <v>2947</v>
      </c>
      <c r="G10" s="360"/>
      <c r="H10" s="325"/>
      <c r="I10" s="320"/>
      <c r="J10" s="321"/>
      <c r="K10" s="347" t="s">
        <v>1962</v>
      </c>
      <c r="L10" s="361">
        <v>151.0</v>
      </c>
      <c r="M10" s="361">
        <v>5217.0</v>
      </c>
      <c r="N10" s="333"/>
      <c r="O10" s="361"/>
      <c r="P10" s="361"/>
      <c r="Q10" s="361"/>
    </row>
    <row r="11" ht="27.0" customHeight="1">
      <c r="A11" s="320"/>
      <c r="B11" s="359" t="s">
        <v>2948</v>
      </c>
      <c r="G11" s="360"/>
      <c r="H11" s="325"/>
      <c r="I11" s="320"/>
      <c r="J11" s="321"/>
      <c r="K11" s="347" t="s">
        <v>1971</v>
      </c>
      <c r="L11" s="361">
        <v>155.0</v>
      </c>
      <c r="M11" s="361">
        <v>5294.0</v>
      </c>
      <c r="N11" s="333"/>
      <c r="O11" s="361"/>
      <c r="P11" s="361"/>
      <c r="Q11" s="361"/>
    </row>
    <row r="12" ht="27.0" customHeight="1">
      <c r="A12" s="320"/>
      <c r="B12" s="362" t="s">
        <v>2949</v>
      </c>
      <c r="C12" s="342"/>
      <c r="D12" s="342"/>
      <c r="E12" s="342"/>
      <c r="F12" s="342"/>
      <c r="G12" s="343"/>
      <c r="H12" s="325"/>
      <c r="I12" s="320"/>
      <c r="J12" s="321"/>
      <c r="K12" s="347" t="s">
        <v>1980</v>
      </c>
      <c r="L12" s="361">
        <v>158.0</v>
      </c>
      <c r="M12" s="361">
        <v>5418.0</v>
      </c>
      <c r="N12" s="333"/>
      <c r="O12" s="361"/>
      <c r="P12" s="361"/>
      <c r="Q12" s="361"/>
    </row>
    <row r="13" ht="21.0" customHeight="1">
      <c r="A13" s="320"/>
      <c r="B13" s="363"/>
      <c r="C13" s="363"/>
      <c r="D13" s="363"/>
      <c r="E13" s="363"/>
      <c r="F13" s="363"/>
      <c r="G13" s="320"/>
      <c r="H13" s="325"/>
      <c r="I13" s="320"/>
      <c r="J13" s="320"/>
      <c r="K13" s="347" t="s">
        <v>1987</v>
      </c>
      <c r="L13" s="364">
        <v>164.0</v>
      </c>
      <c r="M13" s="364">
        <v>5580.0</v>
      </c>
      <c r="N13" s="333"/>
      <c r="O13" s="364"/>
      <c r="P13" s="364"/>
      <c r="Q13" s="364"/>
    </row>
    <row r="14" ht="27.0" customHeight="1">
      <c r="A14" s="320"/>
      <c r="B14" s="365" t="s">
        <v>2164</v>
      </c>
      <c r="C14" s="125"/>
      <c r="D14" s="125"/>
      <c r="E14" s="125"/>
      <c r="F14" s="125"/>
      <c r="G14" s="126"/>
      <c r="H14" s="325"/>
      <c r="I14" s="326" t="s">
        <v>2950</v>
      </c>
      <c r="J14" s="320"/>
      <c r="K14" s="347" t="s">
        <v>1995</v>
      </c>
      <c r="L14" s="346">
        <v>168.0</v>
      </c>
      <c r="M14" s="346">
        <v>5756.0</v>
      </c>
      <c r="N14" s="333"/>
      <c r="O14" s="346"/>
      <c r="P14" s="346"/>
      <c r="Q14" s="346"/>
    </row>
    <row r="15" ht="30.0" customHeight="1">
      <c r="A15" s="320"/>
      <c r="B15" s="366" t="str">
        <f>B3</f>
        <v>ชื่อ-สกุล นาย ณัฐภัทร  ไกรรัตน์   ห้อง A204  กันยายน  ประจำเดือน    2568</v>
      </c>
      <c r="C15" s="125"/>
      <c r="D15" s="125"/>
      <c r="E15" s="125"/>
      <c r="F15" s="125"/>
      <c r="G15" s="126"/>
      <c r="H15" s="325"/>
      <c r="I15" s="367"/>
      <c r="J15" s="320"/>
      <c r="K15" s="347" t="s">
        <v>2001</v>
      </c>
      <c r="L15" s="361">
        <v>172.0</v>
      </c>
      <c r="M15" s="361">
        <v>5889.0</v>
      </c>
      <c r="N15" s="364"/>
      <c r="O15" s="364"/>
      <c r="P15" s="364"/>
      <c r="Q15" s="364"/>
    </row>
    <row r="16" ht="27.0" customHeight="1">
      <c r="A16" s="320"/>
      <c r="B16" s="335" t="s">
        <v>2166</v>
      </c>
      <c r="C16" s="335" t="s">
        <v>2167</v>
      </c>
      <c r="D16" s="335" t="s">
        <v>2168</v>
      </c>
      <c r="E16" s="335" t="s">
        <v>2169</v>
      </c>
      <c r="F16" s="336" t="s">
        <v>2170</v>
      </c>
      <c r="G16" s="335" t="s">
        <v>2171</v>
      </c>
      <c r="H16" s="325"/>
      <c r="I16" s="320"/>
      <c r="J16" s="320"/>
      <c r="K16" s="347" t="s">
        <v>2004</v>
      </c>
      <c r="L16" s="364">
        <v>176.0</v>
      </c>
      <c r="M16" s="364">
        <v>5990.0</v>
      </c>
      <c r="N16" s="364"/>
      <c r="O16" s="364"/>
      <c r="P16" s="364"/>
      <c r="Q16" s="364"/>
    </row>
    <row r="17" ht="27.0" customHeight="1">
      <c r="A17" s="320"/>
      <c r="B17" s="336" t="str">
        <f t="shared" ref="B17:C17" si="2">B5</f>
        <v>ค่าห้องพัก</v>
      </c>
      <c r="C17" s="341" t="str">
        <f t="shared" si="2"/>
        <v>-</v>
      </c>
      <c r="D17" s="342"/>
      <c r="E17" s="342"/>
      <c r="F17" s="343"/>
      <c r="G17" s="368">
        <f>G5</f>
        <v>3500</v>
      </c>
      <c r="H17" s="325"/>
      <c r="I17" s="345"/>
      <c r="J17" s="320"/>
      <c r="K17" s="347" t="s">
        <v>2006</v>
      </c>
      <c r="L17" s="364">
        <v>179.0</v>
      </c>
      <c r="M17" s="364">
        <v>6099.0</v>
      </c>
      <c r="N17" s="364"/>
      <c r="O17" s="364"/>
      <c r="P17" s="364"/>
      <c r="Q17" s="364"/>
    </row>
    <row r="18" ht="27.0" customHeight="1">
      <c r="A18" s="320"/>
      <c r="B18" s="335" t="s">
        <v>2174</v>
      </c>
      <c r="C18" s="335">
        <f t="shared" ref="C18:D18" si="3">C6</f>
        <v>179</v>
      </c>
      <c r="D18" s="335">
        <f t="shared" si="3"/>
        <v>183</v>
      </c>
      <c r="E18" s="335">
        <f t="shared" ref="E18:E19" si="5">D18-C18</f>
        <v>4</v>
      </c>
      <c r="F18" s="335">
        <v>25.0</v>
      </c>
      <c r="G18" s="335">
        <f t="shared" ref="G18:G19" si="6">F18*E18</f>
        <v>100</v>
      </c>
      <c r="H18" s="325"/>
      <c r="I18" s="350"/>
      <c r="J18" s="320"/>
      <c r="K18" s="347" t="s">
        <v>2009</v>
      </c>
      <c r="L18" s="46">
        <v>183.0</v>
      </c>
      <c r="M18" s="46">
        <v>6214.0</v>
      </c>
      <c r="N18" s="364"/>
      <c r="O18" s="364"/>
      <c r="P18" s="364"/>
      <c r="Q18" s="364"/>
    </row>
    <row r="19" ht="27.0" customHeight="1">
      <c r="A19" s="320"/>
      <c r="B19" s="335" t="s">
        <v>2173</v>
      </c>
      <c r="C19" s="335">
        <f t="shared" ref="C19:D19" si="4">C7</f>
        <v>6099</v>
      </c>
      <c r="D19" s="335">
        <f t="shared" si="4"/>
        <v>6214</v>
      </c>
      <c r="E19" s="335">
        <f t="shared" si="5"/>
        <v>115</v>
      </c>
      <c r="F19" s="335">
        <v>8.0</v>
      </c>
      <c r="G19" s="335">
        <f t="shared" si="6"/>
        <v>920</v>
      </c>
      <c r="H19" s="325"/>
      <c r="I19" s="320"/>
      <c r="J19" s="320"/>
      <c r="K19" s="347" t="s">
        <v>2012</v>
      </c>
      <c r="L19" s="364"/>
      <c r="M19" s="364"/>
      <c r="N19" s="364"/>
      <c r="O19" s="364"/>
      <c r="P19" s="364"/>
      <c r="Q19" s="364"/>
    </row>
    <row r="20" ht="27.0" customHeight="1">
      <c r="A20" s="320"/>
      <c r="B20" s="369" t="s">
        <v>2171</v>
      </c>
      <c r="C20" s="125"/>
      <c r="D20" s="125"/>
      <c r="E20" s="125"/>
      <c r="F20" s="126"/>
      <c r="G20" s="370">
        <f>SUM(G17:G19)</f>
        <v>4520</v>
      </c>
      <c r="H20" s="325"/>
      <c r="I20" s="320"/>
      <c r="J20" s="320"/>
      <c r="K20" s="347" t="s">
        <v>2014</v>
      </c>
      <c r="L20" s="364"/>
      <c r="M20" s="364"/>
      <c r="N20" s="364"/>
      <c r="O20" s="364"/>
      <c r="P20" s="364"/>
      <c r="Q20" s="364"/>
    </row>
    <row r="21" ht="27.0" customHeight="1">
      <c r="A21" s="320"/>
      <c r="B21" s="354" t="s">
        <v>2946</v>
      </c>
      <c r="C21" s="355"/>
      <c r="D21" s="355"/>
      <c r="E21" s="355"/>
      <c r="F21" s="355"/>
      <c r="G21" s="356"/>
      <c r="H21" s="325"/>
      <c r="I21" s="320"/>
      <c r="J21" s="320"/>
      <c r="K21" s="347" t="s">
        <v>2017</v>
      </c>
      <c r="L21" s="364"/>
      <c r="M21" s="364"/>
      <c r="N21" s="364"/>
      <c r="O21" s="364"/>
      <c r="P21" s="364"/>
      <c r="Q21" s="364"/>
    </row>
    <row r="22" ht="27.0" customHeight="1">
      <c r="A22" s="320"/>
      <c r="B22" s="359" t="s">
        <v>2947</v>
      </c>
      <c r="G22" s="360"/>
      <c r="H22" s="325"/>
      <c r="I22" s="320"/>
      <c r="J22" s="320"/>
      <c r="K22" s="320"/>
      <c r="L22" s="320"/>
      <c r="M22" s="320"/>
      <c r="N22" s="320"/>
      <c r="O22" s="320"/>
      <c r="P22" s="320"/>
      <c r="Q22" s="320"/>
    </row>
    <row r="23" ht="27.0" customHeight="1">
      <c r="A23" s="320"/>
      <c r="B23" s="359" t="s">
        <v>2948</v>
      </c>
      <c r="G23" s="360"/>
      <c r="H23" s="325"/>
      <c r="I23" s="320"/>
      <c r="J23" s="320"/>
      <c r="K23" s="320"/>
      <c r="L23" s="320"/>
      <c r="M23" s="320"/>
      <c r="N23" s="320"/>
      <c r="O23" s="320"/>
      <c r="P23" s="320"/>
      <c r="Q23" s="320"/>
    </row>
    <row r="24" ht="27.0" customHeight="1">
      <c r="A24" s="320"/>
      <c r="B24" s="362" t="s">
        <v>2949</v>
      </c>
      <c r="C24" s="342"/>
      <c r="D24" s="342"/>
      <c r="E24" s="342"/>
      <c r="F24" s="342"/>
      <c r="G24" s="343"/>
      <c r="H24" s="325"/>
      <c r="I24" s="320"/>
      <c r="J24" s="320"/>
      <c r="K24" s="320"/>
      <c r="L24" s="320"/>
      <c r="M24" s="320"/>
      <c r="N24" s="320"/>
      <c r="O24" s="320"/>
      <c r="P24" s="320"/>
      <c r="Q24" s="320"/>
    </row>
    <row r="25" ht="10.5" customHeight="1">
      <c r="A25" s="320"/>
      <c r="B25" s="320"/>
      <c r="C25" s="320"/>
      <c r="D25" s="320"/>
      <c r="E25" s="320"/>
      <c r="F25" s="320"/>
      <c r="G25" s="320"/>
      <c r="H25" s="325"/>
      <c r="I25" s="320"/>
      <c r="J25" s="320"/>
      <c r="K25" s="320"/>
      <c r="L25" s="320"/>
      <c r="M25" s="320"/>
      <c r="N25" s="320"/>
      <c r="O25" s="320"/>
      <c r="P25" s="320"/>
      <c r="Q25" s="32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G2"/>
    <mergeCell ref="B3:G3"/>
    <mergeCell ref="C5:F5"/>
    <mergeCell ref="B8:F8"/>
    <mergeCell ref="B9:G9"/>
    <mergeCell ref="B10:G10"/>
    <mergeCell ref="B11:G11"/>
    <mergeCell ref="B23:G23"/>
    <mergeCell ref="B24:G24"/>
    <mergeCell ref="B12:G12"/>
    <mergeCell ref="B14:G14"/>
    <mergeCell ref="B15:G15"/>
    <mergeCell ref="C17:F17"/>
    <mergeCell ref="B20:F20"/>
    <mergeCell ref="B21:G21"/>
    <mergeCell ref="B22:G22"/>
  </mergeCells>
  <printOptions verticalCentered="1"/>
  <pageMargins bottom="1.0" footer="0.0" header="0.0" left="1.0" right="1.0" top="1.0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1" t="s">
        <v>2645</v>
      </c>
    </row>
    <row r="2">
      <c r="A2" s="280" t="s">
        <v>1284</v>
      </c>
    </row>
    <row r="3">
      <c r="A3" s="280" t="s">
        <v>1324</v>
      </c>
    </row>
    <row r="4">
      <c r="A4" s="280" t="s">
        <v>1327</v>
      </c>
    </row>
    <row r="5">
      <c r="A5" s="280" t="s">
        <v>1395</v>
      </c>
    </row>
    <row r="6">
      <c r="A6" s="280" t="s">
        <v>1457</v>
      </c>
    </row>
    <row r="7">
      <c r="A7" s="280" t="s">
        <v>1506</v>
      </c>
    </row>
    <row r="8">
      <c r="A8" s="280" t="s">
        <v>1592</v>
      </c>
    </row>
    <row r="9">
      <c r="A9" s="280" t="s">
        <v>1392</v>
      </c>
    </row>
    <row r="10">
      <c r="A10" s="280" t="s">
        <v>1692</v>
      </c>
    </row>
    <row r="11">
      <c r="A11" s="280"/>
    </row>
    <row r="12">
      <c r="A12" s="280"/>
    </row>
    <row r="13">
      <c r="A13" s="280"/>
    </row>
    <row r="14">
      <c r="A14" s="28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11.75"/>
    <col customWidth="1" min="3" max="3" width="11.38"/>
    <col customWidth="1" min="4" max="4" width="11.25"/>
    <col customWidth="1" min="5" max="5" width="10.75"/>
    <col customWidth="1" min="6" max="6" width="12.75"/>
    <col customWidth="1" min="7" max="7" width="14.0"/>
    <col customWidth="1" min="8" max="8" width="6.5"/>
    <col customWidth="1" min="9" max="9" width="9.0"/>
    <col customWidth="1" min="10" max="10" width="7.0"/>
    <col customWidth="1" min="11" max="11" width="12.38"/>
    <col customWidth="1" min="12" max="12" width="10.63"/>
    <col customWidth="1" min="13" max="13" width="10.88"/>
  </cols>
  <sheetData>
    <row r="1" ht="4.5" customHeight="1">
      <c r="A1" s="320">
        <v>6666666.0</v>
      </c>
      <c r="B1" s="372"/>
      <c r="C1" s="372"/>
      <c r="D1" s="372"/>
      <c r="E1" s="372"/>
      <c r="F1" s="372"/>
      <c r="G1" s="372"/>
      <c r="H1" s="321"/>
      <c r="I1" s="320"/>
      <c r="J1" s="320"/>
      <c r="K1" s="364"/>
      <c r="L1" s="320"/>
      <c r="M1" s="320"/>
    </row>
    <row r="2" ht="35.25" customHeight="1">
      <c r="A2" s="320"/>
      <c r="B2" s="365" t="s">
        <v>2164</v>
      </c>
      <c r="C2" s="125"/>
      <c r="D2" s="125"/>
      <c r="E2" s="125"/>
      <c r="F2" s="125"/>
      <c r="G2" s="126"/>
      <c r="H2" s="325"/>
      <c r="I2" s="326" t="s">
        <v>2943</v>
      </c>
      <c r="J2" s="327" t="s">
        <v>2935</v>
      </c>
      <c r="K2" s="328">
        <v>1.0</v>
      </c>
      <c r="L2" s="320"/>
      <c r="M2" s="320"/>
    </row>
    <row r="3" ht="30.0" customHeight="1">
      <c r="A3" s="320"/>
      <c r="B3" s="373" t="s">
        <v>2951</v>
      </c>
      <c r="C3" s="125"/>
      <c r="D3" s="125"/>
      <c r="E3" s="125"/>
      <c r="F3" s="125"/>
      <c r="G3" s="126"/>
      <c r="H3" s="325"/>
      <c r="I3" s="331"/>
      <c r="J3" s="332"/>
      <c r="K3" s="320"/>
      <c r="L3" s="320"/>
      <c r="M3" s="320"/>
    </row>
    <row r="4" ht="27.0" customHeight="1">
      <c r="A4" s="320"/>
      <c r="B4" s="335" t="s">
        <v>2166</v>
      </c>
      <c r="C4" s="335" t="s">
        <v>2167</v>
      </c>
      <c r="D4" s="335" t="s">
        <v>2168</v>
      </c>
      <c r="E4" s="335" t="s">
        <v>2169</v>
      </c>
      <c r="F4" s="336" t="s">
        <v>2170</v>
      </c>
      <c r="G4" s="335" t="s">
        <v>2171</v>
      </c>
      <c r="H4" s="325"/>
      <c r="I4" s="320"/>
      <c r="J4" s="332"/>
      <c r="K4" s="374" t="s">
        <v>1954</v>
      </c>
      <c r="L4" s="333" t="s">
        <v>2179</v>
      </c>
      <c r="M4" s="333" t="s">
        <v>2178</v>
      </c>
    </row>
    <row r="5" ht="27.0" customHeight="1">
      <c r="A5" s="320"/>
      <c r="B5" s="336" t="s">
        <v>2172</v>
      </c>
      <c r="C5" s="341" t="s">
        <v>15</v>
      </c>
      <c r="D5" s="342"/>
      <c r="E5" s="342"/>
      <c r="F5" s="343"/>
      <c r="G5" s="368">
        <f>3500+I6</f>
        <v>3500</v>
      </c>
      <c r="H5" s="325"/>
      <c r="I5" s="345"/>
      <c r="J5" s="375" t="s">
        <v>2945</v>
      </c>
      <c r="K5" s="376" t="s">
        <v>2006</v>
      </c>
      <c r="L5" s="338">
        <v>148.0</v>
      </c>
      <c r="M5" s="338">
        <v>7330.0</v>
      </c>
    </row>
    <row r="6" ht="27.0" customHeight="1">
      <c r="A6" s="320"/>
      <c r="B6" s="335" t="s">
        <v>2174</v>
      </c>
      <c r="C6" s="348">
        <v>201.0</v>
      </c>
      <c r="D6" s="348">
        <v>206.0</v>
      </c>
      <c r="E6" s="335">
        <f t="shared" ref="E6:E7" si="1">D6-C6</f>
        <v>5</v>
      </c>
      <c r="F6" s="335">
        <v>25.0</v>
      </c>
      <c r="G6" s="335">
        <f>F6*E6</f>
        <v>125</v>
      </c>
      <c r="H6" s="325"/>
      <c r="I6" s="350"/>
      <c r="J6" s="346"/>
      <c r="K6" s="361" t="s">
        <v>2009</v>
      </c>
      <c r="L6" s="347">
        <v>155.0</v>
      </c>
      <c r="M6" s="347">
        <v>7508.0</v>
      </c>
    </row>
    <row r="7" ht="27.0" customHeight="1">
      <c r="A7" s="320"/>
      <c r="B7" s="335" t="s">
        <v>2173</v>
      </c>
      <c r="C7" s="348">
        <v>8978.0</v>
      </c>
      <c r="D7" s="348">
        <v>9171.0</v>
      </c>
      <c r="E7" s="335">
        <f t="shared" si="1"/>
        <v>193</v>
      </c>
      <c r="F7" s="335">
        <v>8.0</v>
      </c>
      <c r="G7" s="335">
        <f>E7*F7</f>
        <v>1544</v>
      </c>
      <c r="H7" s="325"/>
      <c r="I7" s="320"/>
      <c r="J7" s="346"/>
      <c r="K7" s="361" t="s">
        <v>2012</v>
      </c>
      <c r="L7" s="346">
        <v>160.0</v>
      </c>
      <c r="M7" s="346">
        <v>7669.0</v>
      </c>
    </row>
    <row r="8" ht="27.0" customHeight="1">
      <c r="A8" s="320"/>
      <c r="B8" s="369" t="s">
        <v>2171</v>
      </c>
      <c r="C8" s="125"/>
      <c r="D8" s="125"/>
      <c r="E8" s="125"/>
      <c r="F8" s="126"/>
      <c r="G8" s="370">
        <f>SUM(G5:G7)</f>
        <v>5169</v>
      </c>
      <c r="H8" s="325"/>
      <c r="I8" s="320"/>
      <c r="J8" s="346"/>
      <c r="K8" s="361" t="s">
        <v>2014</v>
      </c>
      <c r="L8" s="346">
        <v>164.0</v>
      </c>
      <c r="M8" s="346">
        <v>7780.0</v>
      </c>
    </row>
    <row r="9" ht="27.0" customHeight="1">
      <c r="A9" s="320"/>
      <c r="B9" s="354" t="s">
        <v>2946</v>
      </c>
      <c r="C9" s="355"/>
      <c r="D9" s="355"/>
      <c r="E9" s="355"/>
      <c r="F9" s="355"/>
      <c r="G9" s="356"/>
      <c r="H9" s="325"/>
      <c r="I9" s="320"/>
      <c r="J9" s="321"/>
      <c r="K9" s="361" t="s">
        <v>2017</v>
      </c>
      <c r="L9" s="346">
        <v>169.0</v>
      </c>
      <c r="M9" s="346">
        <v>7857.0</v>
      </c>
    </row>
    <row r="10" ht="27.0" customHeight="1">
      <c r="A10" s="320"/>
      <c r="B10" s="359" t="s">
        <v>2947</v>
      </c>
      <c r="G10" s="360"/>
      <c r="H10" s="325"/>
      <c r="I10" s="320"/>
      <c r="J10" s="321"/>
      <c r="K10" s="377">
        <v>2568.0</v>
      </c>
      <c r="L10" s="378"/>
      <c r="M10" s="378"/>
    </row>
    <row r="11" ht="27.0" customHeight="1">
      <c r="A11" s="320"/>
      <c r="B11" s="359" t="s">
        <v>2948</v>
      </c>
      <c r="G11" s="360"/>
      <c r="H11" s="325"/>
      <c r="I11" s="320"/>
      <c r="J11" s="321"/>
      <c r="K11" s="361" t="s">
        <v>1962</v>
      </c>
      <c r="L11" s="320">
        <v>172.0</v>
      </c>
      <c r="M11" s="320">
        <v>7915.0</v>
      </c>
    </row>
    <row r="12" ht="27.0" customHeight="1">
      <c r="A12" s="320"/>
      <c r="B12" s="362" t="s">
        <v>2949</v>
      </c>
      <c r="C12" s="342"/>
      <c r="D12" s="342"/>
      <c r="E12" s="342"/>
      <c r="F12" s="342"/>
      <c r="G12" s="343"/>
      <c r="H12" s="325"/>
      <c r="I12" s="320"/>
      <c r="J12" s="321"/>
      <c r="K12" s="361" t="s">
        <v>1971</v>
      </c>
      <c r="L12" s="320">
        <v>176.0</v>
      </c>
      <c r="M12" s="320">
        <v>8004.0</v>
      </c>
    </row>
    <row r="13" ht="24.0" customHeight="1">
      <c r="A13" s="320"/>
      <c r="B13" s="379"/>
      <c r="C13" s="363"/>
      <c r="D13" s="363"/>
      <c r="E13" s="379"/>
      <c r="F13" s="379"/>
      <c r="G13" s="379"/>
      <c r="H13" s="325"/>
      <c r="I13" s="320"/>
      <c r="J13" s="320"/>
      <c r="K13" s="361" t="s">
        <v>1980</v>
      </c>
      <c r="L13" s="320">
        <v>180.0</v>
      </c>
      <c r="M13" s="320">
        <v>8131.0</v>
      </c>
    </row>
    <row r="14" ht="35.25" customHeight="1">
      <c r="A14" s="320"/>
      <c r="B14" s="365" t="s">
        <v>2164</v>
      </c>
      <c r="C14" s="125"/>
      <c r="D14" s="125"/>
      <c r="E14" s="125"/>
      <c r="F14" s="125"/>
      <c r="G14" s="126"/>
      <c r="H14" s="325"/>
      <c r="I14" s="326" t="s">
        <v>2950</v>
      </c>
      <c r="J14" s="320"/>
      <c r="K14" s="361" t="s">
        <v>1987</v>
      </c>
      <c r="L14" s="320">
        <v>184.0</v>
      </c>
      <c r="M14" s="320">
        <v>8261.0</v>
      </c>
    </row>
    <row r="15" ht="30.0" customHeight="1">
      <c r="A15" s="320"/>
      <c r="B15" s="366" t="str">
        <f>B3</f>
        <v>ชื่อ-สกุล  น.ส. จีรัญญา มหาคม   ห้อง A205    ประจำเดือน  กันยายน  2568</v>
      </c>
      <c r="C15" s="125"/>
      <c r="D15" s="125"/>
      <c r="E15" s="125"/>
      <c r="F15" s="125"/>
      <c r="G15" s="126"/>
      <c r="H15" s="325"/>
      <c r="I15" s="367"/>
      <c r="J15" s="320"/>
      <c r="K15" s="361" t="s">
        <v>1995</v>
      </c>
      <c r="L15" s="320">
        <v>188.0</v>
      </c>
      <c r="M15" s="320">
        <v>8451.0</v>
      </c>
    </row>
    <row r="16" ht="27.0" customHeight="1">
      <c r="A16" s="320"/>
      <c r="B16" s="335" t="s">
        <v>2166</v>
      </c>
      <c r="C16" s="335" t="s">
        <v>2167</v>
      </c>
      <c r="D16" s="335" t="s">
        <v>2168</v>
      </c>
      <c r="E16" s="335" t="s">
        <v>2169</v>
      </c>
      <c r="F16" s="336" t="s">
        <v>2170</v>
      </c>
      <c r="G16" s="335" t="s">
        <v>2171</v>
      </c>
      <c r="H16" s="325"/>
      <c r="I16" s="320"/>
      <c r="J16" s="320"/>
      <c r="K16" s="361" t="s">
        <v>2001</v>
      </c>
      <c r="L16" s="320">
        <v>192.0</v>
      </c>
      <c r="M16" s="320">
        <v>8632.0</v>
      </c>
    </row>
    <row r="17" ht="27.0" customHeight="1">
      <c r="A17" s="320"/>
      <c r="B17" s="336" t="str">
        <f t="shared" ref="B17:C17" si="2">B5</f>
        <v>ค่าห้องพัก</v>
      </c>
      <c r="C17" s="341" t="str">
        <f t="shared" si="2"/>
        <v>-</v>
      </c>
      <c r="D17" s="342"/>
      <c r="E17" s="342"/>
      <c r="F17" s="343"/>
      <c r="G17" s="368">
        <f>G5</f>
        <v>3500</v>
      </c>
      <c r="H17" s="325"/>
      <c r="I17" s="345"/>
      <c r="J17" s="320"/>
      <c r="K17" s="361" t="s">
        <v>2004</v>
      </c>
      <c r="L17" s="320">
        <v>196.0</v>
      </c>
      <c r="M17" s="320">
        <v>8801.0</v>
      </c>
    </row>
    <row r="18" ht="27.0" customHeight="1">
      <c r="A18" s="320"/>
      <c r="B18" s="335" t="s">
        <v>2174</v>
      </c>
      <c r="C18" s="335">
        <f t="shared" ref="C18:D18" si="3">C6</f>
        <v>201</v>
      </c>
      <c r="D18" s="335">
        <f t="shared" si="3"/>
        <v>206</v>
      </c>
      <c r="E18" s="335">
        <f t="shared" ref="E18:E19" si="5">D18-C18</f>
        <v>5</v>
      </c>
      <c r="F18" s="335">
        <v>25.0</v>
      </c>
      <c r="G18" s="335">
        <f t="shared" ref="G18:G19" si="6">F18*E18</f>
        <v>125</v>
      </c>
      <c r="H18" s="325"/>
      <c r="I18" s="350"/>
      <c r="J18" s="320"/>
      <c r="K18" s="361" t="s">
        <v>2006</v>
      </c>
      <c r="L18" s="320">
        <v>201.0</v>
      </c>
      <c r="M18" s="320">
        <v>8978.0</v>
      </c>
    </row>
    <row r="19" ht="27.0" customHeight="1">
      <c r="A19" s="320"/>
      <c r="B19" s="335" t="s">
        <v>2173</v>
      </c>
      <c r="C19" s="335">
        <f t="shared" ref="C19:D19" si="4">C7</f>
        <v>8978</v>
      </c>
      <c r="D19" s="335">
        <f t="shared" si="4"/>
        <v>9171</v>
      </c>
      <c r="E19" s="335">
        <f t="shared" si="5"/>
        <v>193</v>
      </c>
      <c r="F19" s="335">
        <v>8.0</v>
      </c>
      <c r="G19" s="335">
        <f t="shared" si="6"/>
        <v>1544</v>
      </c>
      <c r="H19" s="325"/>
      <c r="I19" s="320"/>
      <c r="J19" s="320"/>
      <c r="K19" s="361" t="s">
        <v>2009</v>
      </c>
      <c r="L19" s="380">
        <v>206.0</v>
      </c>
      <c r="M19" s="380">
        <v>9171.0</v>
      </c>
    </row>
    <row r="20" ht="27.0" customHeight="1">
      <c r="A20" s="320"/>
      <c r="B20" s="369" t="s">
        <v>2171</v>
      </c>
      <c r="C20" s="125"/>
      <c r="D20" s="125"/>
      <c r="E20" s="125"/>
      <c r="F20" s="126"/>
      <c r="G20" s="370">
        <f>SUM(G17:G19)</f>
        <v>5169</v>
      </c>
      <c r="H20" s="325"/>
      <c r="I20" s="320"/>
      <c r="J20" s="320"/>
      <c r="K20" s="361" t="s">
        <v>2012</v>
      </c>
      <c r="L20" s="320"/>
      <c r="M20" s="320"/>
    </row>
    <row r="21" ht="27.0" customHeight="1">
      <c r="A21" s="320"/>
      <c r="B21" s="354" t="s">
        <v>2946</v>
      </c>
      <c r="C21" s="355"/>
      <c r="D21" s="355"/>
      <c r="E21" s="355"/>
      <c r="F21" s="355"/>
      <c r="G21" s="356"/>
      <c r="H21" s="325"/>
      <c r="I21" s="320"/>
      <c r="J21" s="320"/>
      <c r="K21" s="361" t="s">
        <v>2014</v>
      </c>
      <c r="L21" s="320"/>
      <c r="M21" s="320"/>
    </row>
    <row r="22" ht="27.0" customHeight="1">
      <c r="A22" s="320"/>
      <c r="B22" s="359" t="s">
        <v>2947</v>
      </c>
      <c r="G22" s="360"/>
      <c r="H22" s="325"/>
      <c r="I22" s="320"/>
      <c r="J22" s="320"/>
      <c r="K22" s="361" t="s">
        <v>2017</v>
      </c>
      <c r="L22" s="320"/>
      <c r="M22" s="320"/>
    </row>
    <row r="23" ht="27.0" customHeight="1">
      <c r="A23" s="320"/>
      <c r="B23" s="359" t="s">
        <v>2948</v>
      </c>
      <c r="G23" s="360"/>
      <c r="H23" s="325"/>
      <c r="I23" s="320"/>
      <c r="J23" s="320"/>
      <c r="K23" s="364"/>
      <c r="L23" s="320"/>
      <c r="M23" s="320"/>
    </row>
    <row r="24" ht="27.0" customHeight="1">
      <c r="A24" s="320"/>
      <c r="B24" s="362" t="s">
        <v>2949</v>
      </c>
      <c r="C24" s="342"/>
      <c r="D24" s="342"/>
      <c r="E24" s="342"/>
      <c r="F24" s="342"/>
      <c r="G24" s="343"/>
      <c r="H24" s="325"/>
      <c r="I24" s="320"/>
      <c r="J24" s="320"/>
      <c r="K24" s="364"/>
      <c r="L24" s="320"/>
      <c r="M24" s="320"/>
    </row>
    <row r="25" ht="10.5" customHeight="1">
      <c r="A25" s="320"/>
      <c r="B25" s="320"/>
      <c r="C25" s="320"/>
      <c r="D25" s="320"/>
      <c r="E25" s="320"/>
      <c r="F25" s="320"/>
      <c r="G25" s="320"/>
      <c r="H25" s="320"/>
      <c r="I25" s="320"/>
      <c r="J25" s="320"/>
      <c r="K25" s="364"/>
      <c r="L25" s="320"/>
      <c r="M25" s="32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G2"/>
    <mergeCell ref="B3:G3"/>
    <mergeCell ref="C5:F5"/>
    <mergeCell ref="B8:F8"/>
    <mergeCell ref="B9:G9"/>
    <mergeCell ref="B10:G10"/>
    <mergeCell ref="K10:M10"/>
    <mergeCell ref="B22:G22"/>
    <mergeCell ref="B23:G23"/>
    <mergeCell ref="B24:G24"/>
    <mergeCell ref="B11:G11"/>
    <mergeCell ref="B12:G12"/>
    <mergeCell ref="B14:G14"/>
    <mergeCell ref="B15:G15"/>
    <mergeCell ref="C17:F17"/>
    <mergeCell ref="B20:F20"/>
    <mergeCell ref="B21:G21"/>
  </mergeCells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53.5"/>
  </cols>
  <sheetData>
    <row r="2">
      <c r="A2" s="381"/>
    </row>
    <row r="3">
      <c r="A3" s="381"/>
    </row>
    <row r="4">
      <c r="A4" s="381"/>
    </row>
    <row r="5">
      <c r="A5" s="381"/>
    </row>
    <row r="6">
      <c r="A6" s="381"/>
    </row>
    <row r="7">
      <c r="A7" s="381"/>
    </row>
    <row r="8">
      <c r="A8" s="381"/>
    </row>
    <row r="9">
      <c r="A9" s="381"/>
    </row>
    <row r="10">
      <c r="A10" s="381"/>
    </row>
    <row r="11">
      <c r="A11" s="381"/>
    </row>
    <row r="12">
      <c r="A12" s="381"/>
    </row>
    <row r="13">
      <c r="A13" s="381"/>
    </row>
    <row r="14">
      <c r="A14" s="381"/>
    </row>
    <row r="15">
      <c r="A15" s="381"/>
    </row>
    <row r="16">
      <c r="A16" s="381"/>
    </row>
    <row r="17">
      <c r="A17" s="381"/>
    </row>
    <row r="18">
      <c r="A18" s="381"/>
    </row>
    <row r="19">
      <c r="A19" s="381"/>
    </row>
    <row r="20">
      <c r="A20" s="381"/>
    </row>
    <row r="21">
      <c r="A21" s="381"/>
    </row>
    <row r="22">
      <c r="A22" s="381"/>
    </row>
    <row r="23">
      <c r="A23" s="381"/>
    </row>
    <row r="24">
      <c r="A24" s="381"/>
    </row>
    <row r="25">
      <c r="A25" s="381"/>
    </row>
    <row r="26">
      <c r="A26" s="381"/>
    </row>
    <row r="27">
      <c r="A27" s="381"/>
    </row>
    <row r="28">
      <c r="A28" s="381"/>
    </row>
    <row r="29">
      <c r="A29" s="381"/>
    </row>
    <row r="30">
      <c r="A30" s="381"/>
    </row>
    <row r="31">
      <c r="A31" s="381"/>
    </row>
    <row r="32">
      <c r="A32" s="381"/>
    </row>
    <row r="33">
      <c r="A33" s="381"/>
    </row>
    <row r="34">
      <c r="A34" s="381"/>
    </row>
    <row r="35">
      <c r="A35" s="381"/>
    </row>
    <row r="36">
      <c r="A36" s="381"/>
    </row>
    <row r="37">
      <c r="A37" s="381"/>
    </row>
    <row r="38">
      <c r="A38" s="381"/>
    </row>
    <row r="39">
      <c r="A39" s="381"/>
    </row>
    <row r="40">
      <c r="A40" s="381"/>
    </row>
    <row r="41">
      <c r="A41" s="381"/>
    </row>
    <row r="42">
      <c r="A42" s="381"/>
    </row>
    <row r="43">
      <c r="A43" s="381"/>
    </row>
    <row r="44">
      <c r="A44" s="381"/>
    </row>
    <row r="45">
      <c r="A45" s="381"/>
    </row>
    <row r="46">
      <c r="A46" s="381"/>
    </row>
    <row r="47">
      <c r="A47" s="381"/>
    </row>
    <row r="48">
      <c r="A48" s="381"/>
    </row>
    <row r="49">
      <c r="A49" s="381"/>
    </row>
    <row r="50">
      <c r="A50" s="381"/>
    </row>
    <row r="51">
      <c r="A51" s="381"/>
    </row>
    <row r="52">
      <c r="A52" s="381"/>
    </row>
    <row r="53">
      <c r="A53" s="381"/>
    </row>
    <row r="54">
      <c r="A54" s="381"/>
    </row>
    <row r="55">
      <c r="A55" s="381"/>
    </row>
    <row r="56">
      <c r="A56" s="381"/>
    </row>
    <row r="57">
      <c r="A57" s="381"/>
    </row>
    <row r="58">
      <c r="A58" s="381"/>
    </row>
    <row r="59">
      <c r="A59" s="381"/>
    </row>
    <row r="60">
      <c r="A60" s="381"/>
    </row>
    <row r="61">
      <c r="A61" s="381"/>
    </row>
    <row r="62">
      <c r="A62" s="381"/>
    </row>
    <row r="63">
      <c r="A63" s="381"/>
    </row>
    <row r="64">
      <c r="A64" s="381"/>
    </row>
    <row r="65">
      <c r="A65" s="381"/>
    </row>
    <row r="66">
      <c r="A66" s="381"/>
    </row>
    <row r="67">
      <c r="A67" s="381"/>
    </row>
    <row r="68">
      <c r="A68" s="381"/>
    </row>
    <row r="69">
      <c r="A69" s="381"/>
    </row>
    <row r="70">
      <c r="A70" s="381"/>
    </row>
    <row r="71">
      <c r="A71" s="381"/>
    </row>
    <row r="72">
      <c r="A72" s="381"/>
    </row>
    <row r="73">
      <c r="A73" s="381"/>
    </row>
    <row r="74">
      <c r="A74" s="381"/>
    </row>
    <row r="75">
      <c r="A75" s="381"/>
    </row>
    <row r="76">
      <c r="A76" s="381"/>
    </row>
    <row r="77">
      <c r="A77" s="381"/>
    </row>
    <row r="78">
      <c r="A78" s="381"/>
    </row>
    <row r="79">
      <c r="A79" s="381"/>
    </row>
    <row r="80">
      <c r="A80" s="381"/>
    </row>
    <row r="81">
      <c r="A81" s="381"/>
    </row>
    <row r="82">
      <c r="A82" s="381"/>
    </row>
    <row r="83">
      <c r="A83" s="381"/>
    </row>
    <row r="84">
      <c r="A84" s="381"/>
    </row>
    <row r="85">
      <c r="A85" s="381"/>
    </row>
    <row r="86">
      <c r="A86" s="381"/>
    </row>
    <row r="87">
      <c r="A87" s="381"/>
    </row>
    <row r="88">
      <c r="A88" s="381"/>
    </row>
    <row r="89">
      <c r="A89" s="381"/>
    </row>
    <row r="90">
      <c r="A90" s="381"/>
    </row>
    <row r="91">
      <c r="A91" s="381"/>
    </row>
    <row r="92">
      <c r="A92" s="382"/>
      <c r="B92" s="383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</row>
    <row r="93">
      <c r="A93" s="381"/>
    </row>
    <row r="94">
      <c r="A94" s="381"/>
    </row>
    <row r="95">
      <c r="A95" s="381"/>
    </row>
    <row r="96">
      <c r="A96" s="381"/>
    </row>
    <row r="97">
      <c r="A97" s="381"/>
    </row>
    <row r="98">
      <c r="A98" s="381"/>
    </row>
    <row r="99">
      <c r="A99" s="381"/>
    </row>
    <row r="100">
      <c r="A100" s="381"/>
    </row>
    <row r="101">
      <c r="A101" s="381"/>
    </row>
    <row r="102">
      <c r="A102" s="381"/>
    </row>
    <row r="103">
      <c r="A103" s="381"/>
    </row>
    <row r="104">
      <c r="A104" s="381"/>
    </row>
    <row r="105">
      <c r="A105" s="381"/>
    </row>
    <row r="106">
      <c r="A106" s="381"/>
    </row>
    <row r="107">
      <c r="A107" s="381"/>
    </row>
    <row r="108">
      <c r="A108" s="381"/>
    </row>
    <row r="109">
      <c r="A109" s="381"/>
    </row>
    <row r="110">
      <c r="A110" s="381"/>
    </row>
    <row r="111">
      <c r="A111" s="381"/>
    </row>
    <row r="112">
      <c r="A112" s="381"/>
    </row>
    <row r="113">
      <c r="A113" s="381"/>
    </row>
    <row r="114">
      <c r="A114" s="381"/>
    </row>
    <row r="115">
      <c r="A115" s="381"/>
    </row>
    <row r="116">
      <c r="A116" s="381"/>
    </row>
    <row r="117">
      <c r="A117" s="381"/>
    </row>
    <row r="118">
      <c r="A118" s="381"/>
    </row>
    <row r="119">
      <c r="A119" s="381"/>
    </row>
    <row r="120">
      <c r="A120" s="381"/>
    </row>
    <row r="121">
      <c r="A121" s="381"/>
    </row>
    <row r="122">
      <c r="A122" s="381"/>
    </row>
    <row r="123">
      <c r="A123" s="381"/>
    </row>
    <row r="124">
      <c r="A124" s="381"/>
    </row>
    <row r="125">
      <c r="A125" s="381"/>
    </row>
    <row r="126">
      <c r="A126" s="381"/>
    </row>
    <row r="127">
      <c r="A127" s="381"/>
    </row>
    <row r="128">
      <c r="A128" s="381"/>
    </row>
    <row r="129">
      <c r="A129" s="381"/>
    </row>
    <row r="130">
      <c r="A130" s="381"/>
    </row>
    <row r="131">
      <c r="A131" s="381"/>
    </row>
    <row r="132">
      <c r="A132" s="381"/>
    </row>
    <row r="133">
      <c r="A133" s="381"/>
    </row>
    <row r="134">
      <c r="A134" s="381"/>
    </row>
    <row r="135">
      <c r="A135" s="381"/>
    </row>
    <row r="136">
      <c r="A136" s="381"/>
    </row>
    <row r="137">
      <c r="A137" s="381"/>
    </row>
    <row r="138">
      <c r="A138" s="381"/>
    </row>
    <row r="139">
      <c r="A139" s="381"/>
    </row>
    <row r="140">
      <c r="A140" s="381"/>
    </row>
    <row r="141">
      <c r="A141" s="381"/>
    </row>
    <row r="142">
      <c r="A142" s="381"/>
    </row>
    <row r="143">
      <c r="A143" s="381"/>
    </row>
    <row r="144">
      <c r="A144" s="381"/>
    </row>
    <row r="145">
      <c r="A145" s="381"/>
    </row>
    <row r="146">
      <c r="A146" s="381"/>
    </row>
    <row r="147">
      <c r="A147" s="381"/>
    </row>
    <row r="148">
      <c r="A148" s="381"/>
    </row>
    <row r="149">
      <c r="A149" s="381"/>
    </row>
    <row r="150">
      <c r="A150" s="381"/>
    </row>
    <row r="151">
      <c r="A151" s="381"/>
    </row>
    <row r="152">
      <c r="A152" s="381"/>
    </row>
    <row r="153">
      <c r="A153" s="381"/>
    </row>
    <row r="154">
      <c r="A154" s="381"/>
    </row>
    <row r="155">
      <c r="A155" s="381"/>
    </row>
    <row r="156">
      <c r="A156" s="381"/>
    </row>
    <row r="157">
      <c r="A157" s="381"/>
    </row>
    <row r="158">
      <c r="A158" s="381"/>
    </row>
    <row r="159">
      <c r="A159" s="381"/>
    </row>
    <row r="160">
      <c r="A160" s="381"/>
    </row>
    <row r="161">
      <c r="A161" s="381"/>
    </row>
    <row r="162">
      <c r="A162" s="381"/>
    </row>
    <row r="163">
      <c r="A163" s="381"/>
    </row>
    <row r="164">
      <c r="A164" s="381"/>
    </row>
    <row r="165">
      <c r="A165" s="381"/>
    </row>
    <row r="166">
      <c r="A166" s="381"/>
    </row>
    <row r="167">
      <c r="A167" s="381"/>
    </row>
    <row r="168">
      <c r="A168" s="381"/>
    </row>
    <row r="169">
      <c r="A169" s="381"/>
    </row>
    <row r="170">
      <c r="A170" s="381"/>
    </row>
    <row r="171">
      <c r="A171" s="381"/>
    </row>
    <row r="172">
      <c r="A172" s="381"/>
    </row>
    <row r="173">
      <c r="A173" s="381"/>
    </row>
    <row r="174">
      <c r="A174" s="381"/>
    </row>
    <row r="175">
      <c r="A175" s="381"/>
    </row>
    <row r="176">
      <c r="A176" s="381"/>
    </row>
    <row r="177">
      <c r="A177" s="381"/>
    </row>
    <row r="178">
      <c r="A178" s="381"/>
    </row>
    <row r="179">
      <c r="A179" s="381"/>
    </row>
    <row r="180">
      <c r="A180" s="381"/>
    </row>
    <row r="181">
      <c r="A181" s="381"/>
    </row>
    <row r="182">
      <c r="A182" s="381"/>
    </row>
    <row r="183">
      <c r="A183" s="381"/>
    </row>
    <row r="184">
      <c r="A184" s="381"/>
    </row>
    <row r="185">
      <c r="A185" s="381"/>
    </row>
    <row r="186">
      <c r="A186" s="381"/>
    </row>
    <row r="187">
      <c r="A187" s="381"/>
    </row>
    <row r="188">
      <c r="A188" s="381"/>
    </row>
    <row r="189">
      <c r="A189" s="381"/>
    </row>
    <row r="190">
      <c r="A190" s="381"/>
    </row>
    <row r="191">
      <c r="A191" s="381"/>
    </row>
    <row r="192">
      <c r="A192" s="381"/>
    </row>
    <row r="193">
      <c r="A193" s="381"/>
    </row>
    <row r="194">
      <c r="A194" s="381"/>
    </row>
    <row r="195">
      <c r="A195" s="381"/>
    </row>
    <row r="196">
      <c r="A196" s="381"/>
    </row>
    <row r="197">
      <c r="A197" s="381"/>
    </row>
    <row r="198">
      <c r="A198" s="381"/>
    </row>
    <row r="199">
      <c r="A199" s="381"/>
    </row>
    <row r="200">
      <c r="A200" s="381"/>
    </row>
    <row r="201">
      <c r="A201" s="381"/>
    </row>
    <row r="202">
      <c r="A202" s="381"/>
    </row>
    <row r="203">
      <c r="A203" s="381"/>
    </row>
    <row r="204">
      <c r="A204" s="381"/>
    </row>
    <row r="205">
      <c r="A205" s="381"/>
    </row>
    <row r="206">
      <c r="A206" s="381"/>
    </row>
    <row r="207">
      <c r="A207" s="381"/>
    </row>
    <row r="208">
      <c r="A208" s="381"/>
    </row>
    <row r="209">
      <c r="A209" s="381"/>
    </row>
    <row r="210">
      <c r="A210" s="381"/>
    </row>
    <row r="211">
      <c r="A211" s="381"/>
    </row>
    <row r="212">
      <c r="A212" s="381"/>
    </row>
    <row r="213">
      <c r="A213" s="381"/>
    </row>
    <row r="214">
      <c r="A214" s="381"/>
    </row>
    <row r="215">
      <c r="A215" s="381"/>
    </row>
    <row r="216">
      <c r="A216" s="381"/>
    </row>
    <row r="217">
      <c r="A217" s="381"/>
    </row>
    <row r="218">
      <c r="A218" s="381"/>
    </row>
    <row r="219">
      <c r="A219" s="381"/>
    </row>
    <row r="220">
      <c r="A220" s="381"/>
    </row>
    <row r="221">
      <c r="A221" s="381"/>
    </row>
    <row r="222">
      <c r="A222" s="381"/>
    </row>
    <row r="223">
      <c r="A223" s="381"/>
    </row>
    <row r="224">
      <c r="A224" s="381"/>
    </row>
    <row r="225">
      <c r="A225" s="381"/>
    </row>
    <row r="226">
      <c r="A226" s="381"/>
    </row>
    <row r="227">
      <c r="A227" s="381"/>
    </row>
    <row r="228">
      <c r="A228" s="381"/>
    </row>
    <row r="229">
      <c r="A229" s="381"/>
    </row>
    <row r="230">
      <c r="A230" s="381"/>
    </row>
    <row r="231">
      <c r="A231" s="381"/>
    </row>
    <row r="232">
      <c r="A232" s="381"/>
    </row>
    <row r="233">
      <c r="A233" s="381"/>
    </row>
    <row r="234">
      <c r="A234" s="381"/>
    </row>
    <row r="235">
      <c r="A235" s="381"/>
    </row>
    <row r="236">
      <c r="A236" s="381"/>
    </row>
    <row r="237">
      <c r="A237" s="381"/>
    </row>
    <row r="238">
      <c r="A238" s="381"/>
    </row>
    <row r="239">
      <c r="A239" s="381"/>
    </row>
    <row r="240">
      <c r="A240" s="381"/>
    </row>
    <row r="241">
      <c r="A241" s="381"/>
    </row>
    <row r="242">
      <c r="A242" s="381"/>
    </row>
    <row r="243">
      <c r="A243" s="381"/>
    </row>
    <row r="244">
      <c r="A244" s="381"/>
    </row>
    <row r="245">
      <c r="A245" s="381"/>
    </row>
    <row r="246">
      <c r="A246" s="381"/>
    </row>
    <row r="247">
      <c r="A247" s="381"/>
    </row>
    <row r="248">
      <c r="A248" s="381"/>
    </row>
    <row r="249">
      <c r="A249" s="381"/>
    </row>
    <row r="250">
      <c r="A250" s="381"/>
    </row>
    <row r="251">
      <c r="A251" s="381"/>
    </row>
    <row r="252">
      <c r="A252" s="381"/>
    </row>
    <row r="253">
      <c r="A253" s="381"/>
    </row>
    <row r="254">
      <c r="A254" s="381"/>
    </row>
    <row r="255">
      <c r="A255" s="381"/>
    </row>
    <row r="256">
      <c r="A256" s="381"/>
    </row>
    <row r="257">
      <c r="A257" s="381"/>
    </row>
    <row r="258">
      <c r="A258" s="381"/>
    </row>
    <row r="259">
      <c r="A259" s="381"/>
    </row>
    <row r="260">
      <c r="A260" s="381"/>
    </row>
    <row r="261">
      <c r="A261" s="381"/>
    </row>
    <row r="262">
      <c r="A262" s="381"/>
    </row>
    <row r="263">
      <c r="A263" s="381"/>
    </row>
    <row r="264">
      <c r="A264" s="381"/>
    </row>
    <row r="265">
      <c r="A265" s="381"/>
    </row>
    <row r="266">
      <c r="A266" s="381"/>
    </row>
    <row r="267">
      <c r="A267" s="381"/>
    </row>
    <row r="268">
      <c r="A268" s="381"/>
    </row>
    <row r="269">
      <c r="A269" s="381"/>
    </row>
    <row r="270">
      <c r="A270" s="381"/>
    </row>
    <row r="271">
      <c r="A271" s="381"/>
    </row>
    <row r="272">
      <c r="A272" s="381"/>
    </row>
    <row r="273">
      <c r="A273" s="381"/>
    </row>
    <row r="274">
      <c r="A274" s="381"/>
    </row>
    <row r="275">
      <c r="A275" s="381"/>
    </row>
    <row r="276">
      <c r="A276" s="381"/>
    </row>
    <row r="277">
      <c r="A277" s="381"/>
    </row>
    <row r="278">
      <c r="A278" s="381"/>
    </row>
    <row r="279">
      <c r="A279" s="381"/>
    </row>
    <row r="280">
      <c r="A280" s="381"/>
    </row>
    <row r="281">
      <c r="A281" s="381"/>
    </row>
    <row r="282">
      <c r="A282" s="381"/>
    </row>
    <row r="283">
      <c r="A283" s="381"/>
    </row>
    <row r="284">
      <c r="A284" s="381"/>
    </row>
    <row r="285">
      <c r="A285" s="381"/>
    </row>
    <row r="286">
      <c r="A286" s="381"/>
    </row>
    <row r="287">
      <c r="A287" s="381"/>
    </row>
    <row r="288">
      <c r="A288" s="381"/>
    </row>
    <row r="289">
      <c r="A289" s="381"/>
    </row>
    <row r="290">
      <c r="A290" s="381"/>
    </row>
    <row r="291">
      <c r="A291" s="381"/>
    </row>
    <row r="292">
      <c r="A292" s="381"/>
    </row>
    <row r="293">
      <c r="A293" s="381"/>
    </row>
    <row r="294">
      <c r="A294" s="381"/>
    </row>
    <row r="295">
      <c r="A295" s="381"/>
    </row>
    <row r="296">
      <c r="A296" s="381"/>
    </row>
    <row r="297">
      <c r="A297" s="381"/>
    </row>
    <row r="298">
      <c r="A298" s="381"/>
    </row>
    <row r="299">
      <c r="A299" s="381"/>
    </row>
    <row r="300">
      <c r="A300" s="381"/>
    </row>
    <row r="301">
      <c r="A301" s="381"/>
    </row>
    <row r="302">
      <c r="A302" s="381"/>
    </row>
    <row r="303">
      <c r="A303" s="381"/>
    </row>
    <row r="304">
      <c r="A304" s="381"/>
    </row>
    <row r="305">
      <c r="A305" s="381"/>
    </row>
    <row r="306">
      <c r="A306" s="381"/>
    </row>
    <row r="307">
      <c r="A307" s="381"/>
    </row>
    <row r="308">
      <c r="A308" s="381"/>
    </row>
    <row r="309">
      <c r="A309" s="381"/>
    </row>
    <row r="310">
      <c r="A310" s="381"/>
    </row>
    <row r="311">
      <c r="A311" s="381"/>
    </row>
    <row r="312">
      <c r="A312" s="381"/>
    </row>
    <row r="313">
      <c r="A313" s="381"/>
    </row>
    <row r="314">
      <c r="A314" s="381"/>
    </row>
    <row r="315">
      <c r="A315" s="381"/>
    </row>
    <row r="316">
      <c r="A316" s="381"/>
    </row>
    <row r="317">
      <c r="A317" s="381"/>
    </row>
    <row r="318">
      <c r="A318" s="381"/>
    </row>
    <row r="319">
      <c r="A319" s="381"/>
    </row>
    <row r="320">
      <c r="A320" s="381"/>
    </row>
    <row r="321">
      <c r="A321" s="381"/>
    </row>
    <row r="322">
      <c r="A322" s="381"/>
    </row>
    <row r="323">
      <c r="A323" s="381"/>
    </row>
    <row r="324">
      <c r="A324" s="381"/>
    </row>
    <row r="325">
      <c r="A325" s="381"/>
    </row>
    <row r="326">
      <c r="A326" s="381"/>
    </row>
    <row r="327">
      <c r="A327" s="381"/>
    </row>
    <row r="328">
      <c r="A328" s="381"/>
    </row>
    <row r="329">
      <c r="A329" s="381"/>
    </row>
    <row r="330">
      <c r="A330" s="381"/>
    </row>
    <row r="331">
      <c r="A331" s="381"/>
    </row>
    <row r="332">
      <c r="A332" s="381"/>
    </row>
    <row r="333">
      <c r="A333" s="381"/>
    </row>
    <row r="334">
      <c r="A334" s="381"/>
    </row>
    <row r="335">
      <c r="A335" s="381"/>
    </row>
    <row r="336">
      <c r="A336" s="381"/>
    </row>
    <row r="337">
      <c r="A337" s="381"/>
    </row>
    <row r="338">
      <c r="A338" s="381"/>
    </row>
    <row r="339">
      <c r="A339" s="381"/>
    </row>
    <row r="340">
      <c r="A340" s="381"/>
    </row>
    <row r="341">
      <c r="A341" s="381"/>
    </row>
    <row r="342">
      <c r="A342" s="381"/>
    </row>
    <row r="343">
      <c r="A343" s="381"/>
    </row>
    <row r="344">
      <c r="A344" s="381"/>
    </row>
    <row r="345">
      <c r="A345" s="381"/>
    </row>
    <row r="346">
      <c r="A346" s="381"/>
    </row>
    <row r="347">
      <c r="A347" s="381"/>
    </row>
    <row r="348">
      <c r="A348" s="381"/>
    </row>
    <row r="349">
      <c r="A349" s="381"/>
    </row>
    <row r="350">
      <c r="A350" s="381"/>
    </row>
    <row r="351">
      <c r="A351" s="381"/>
    </row>
    <row r="352">
      <c r="A352" s="381"/>
    </row>
    <row r="353">
      <c r="A353" s="381"/>
    </row>
    <row r="354">
      <c r="A354" s="381"/>
    </row>
    <row r="355">
      <c r="A355" s="381"/>
    </row>
    <row r="356">
      <c r="A356" s="381"/>
    </row>
    <row r="357">
      <c r="A357" s="381"/>
    </row>
    <row r="358">
      <c r="A358" s="381"/>
    </row>
    <row r="359">
      <c r="A359" s="381"/>
    </row>
    <row r="360">
      <c r="A360" s="381"/>
    </row>
    <row r="361">
      <c r="A361" s="381"/>
    </row>
    <row r="362">
      <c r="A362" s="381"/>
    </row>
    <row r="363">
      <c r="A363" s="381"/>
    </row>
    <row r="364">
      <c r="A364" s="381"/>
    </row>
    <row r="365">
      <c r="A365" s="381"/>
    </row>
    <row r="366">
      <c r="A366" s="381"/>
    </row>
    <row r="367">
      <c r="A367" s="381"/>
    </row>
    <row r="368">
      <c r="A368" s="381"/>
    </row>
    <row r="369">
      <c r="A369" s="381"/>
    </row>
    <row r="370">
      <c r="A370" s="381"/>
    </row>
    <row r="371">
      <c r="A371" s="381"/>
    </row>
    <row r="372">
      <c r="A372" s="381"/>
    </row>
    <row r="373">
      <c r="A373" s="381"/>
    </row>
    <row r="374">
      <c r="A374" s="381"/>
    </row>
    <row r="375">
      <c r="A375" s="381"/>
    </row>
    <row r="376">
      <c r="A376" s="381"/>
    </row>
    <row r="377">
      <c r="A377" s="381"/>
    </row>
    <row r="378">
      <c r="A378" s="381"/>
    </row>
    <row r="379">
      <c r="A379" s="381"/>
    </row>
    <row r="380">
      <c r="A380" s="381"/>
    </row>
    <row r="381">
      <c r="A381" s="381"/>
    </row>
    <row r="382">
      <c r="A382" s="381"/>
    </row>
    <row r="383">
      <c r="A383" s="381"/>
    </row>
    <row r="384">
      <c r="A384" s="381"/>
    </row>
    <row r="385">
      <c r="A385" s="381"/>
    </row>
    <row r="386">
      <c r="A386" s="381"/>
    </row>
    <row r="387">
      <c r="A387" s="381"/>
    </row>
    <row r="388">
      <c r="A388" s="381"/>
    </row>
    <row r="389">
      <c r="A389" s="381"/>
    </row>
    <row r="390">
      <c r="A390" s="381"/>
    </row>
    <row r="391">
      <c r="A391" s="381"/>
    </row>
    <row r="392">
      <c r="A392" s="381"/>
    </row>
    <row r="393">
      <c r="A393" s="381"/>
    </row>
    <row r="394">
      <c r="A394" s="381"/>
    </row>
    <row r="395">
      <c r="A395" s="381"/>
    </row>
    <row r="396">
      <c r="A396" s="381"/>
    </row>
    <row r="397">
      <c r="A397" s="381"/>
    </row>
    <row r="398">
      <c r="A398" s="385"/>
      <c r="B398" s="386"/>
      <c r="C398" s="387"/>
      <c r="D398" s="387"/>
      <c r="E398" s="387"/>
      <c r="F398" s="387"/>
      <c r="G398" s="387"/>
      <c r="H398" s="387"/>
      <c r="I398" s="387"/>
      <c r="J398" s="387"/>
      <c r="K398" s="387"/>
      <c r="L398" s="387"/>
      <c r="M398" s="387"/>
      <c r="N398" s="387"/>
      <c r="O398" s="387"/>
      <c r="P398" s="387"/>
      <c r="Q398" s="387"/>
      <c r="R398" s="387"/>
      <c r="S398" s="387"/>
      <c r="T398" s="387"/>
      <c r="U398" s="387"/>
      <c r="V398" s="387"/>
      <c r="W398" s="387"/>
      <c r="X398" s="387"/>
      <c r="Y398" s="387"/>
      <c r="Z398" s="387"/>
    </row>
    <row r="399">
      <c r="A399" s="381"/>
    </row>
    <row r="400">
      <c r="A400" s="381"/>
    </row>
    <row r="401">
      <c r="A401" s="381"/>
    </row>
    <row r="402">
      <c r="A402" s="381"/>
    </row>
    <row r="403">
      <c r="A403" s="381"/>
    </row>
    <row r="404">
      <c r="A404" s="381"/>
    </row>
    <row r="405">
      <c r="A405" s="381"/>
    </row>
    <row r="406">
      <c r="A406" s="381"/>
    </row>
    <row r="407">
      <c r="A407" s="381"/>
    </row>
    <row r="408">
      <c r="A408" s="381"/>
    </row>
    <row r="409">
      <c r="A409" s="381"/>
    </row>
    <row r="410">
      <c r="A410" s="381"/>
    </row>
    <row r="411">
      <c r="A411" s="381"/>
    </row>
    <row r="412">
      <c r="A412" s="381"/>
    </row>
    <row r="413">
      <c r="A413" s="381"/>
    </row>
    <row r="414">
      <c r="A414" s="381"/>
    </row>
    <row r="415">
      <c r="A415" s="381"/>
    </row>
    <row r="416">
      <c r="A416" s="381"/>
    </row>
    <row r="417">
      <c r="A417" s="381"/>
    </row>
    <row r="418">
      <c r="A418" s="381"/>
    </row>
    <row r="419">
      <c r="A419" s="381"/>
    </row>
    <row r="420">
      <c r="A420" s="381"/>
    </row>
    <row r="421">
      <c r="A421" s="381"/>
    </row>
    <row r="422">
      <c r="A422" s="381"/>
    </row>
    <row r="423">
      <c r="A423" s="381"/>
    </row>
    <row r="424">
      <c r="A424" s="381"/>
    </row>
    <row r="425">
      <c r="A425" s="381"/>
    </row>
    <row r="426">
      <c r="A426" s="381"/>
    </row>
    <row r="427">
      <c r="A427" s="381"/>
    </row>
    <row r="428">
      <c r="A428" s="381"/>
    </row>
    <row r="429">
      <c r="A429" s="381"/>
    </row>
    <row r="430">
      <c r="A430" s="381"/>
    </row>
    <row r="431">
      <c r="A431" s="381"/>
    </row>
    <row r="432">
      <c r="A432" s="381"/>
    </row>
    <row r="433">
      <c r="A433" s="381"/>
    </row>
    <row r="434">
      <c r="A434" s="381"/>
    </row>
    <row r="435">
      <c r="A435" s="381"/>
    </row>
    <row r="436">
      <c r="A436" s="381"/>
    </row>
    <row r="437">
      <c r="A437" s="381"/>
    </row>
    <row r="438">
      <c r="A438" s="381"/>
    </row>
    <row r="439">
      <c r="A439" s="381"/>
    </row>
    <row r="440">
      <c r="A440" s="381"/>
    </row>
    <row r="441">
      <c r="A441" s="381"/>
    </row>
    <row r="442">
      <c r="A442" s="381"/>
    </row>
    <row r="443">
      <c r="A443" s="381"/>
    </row>
    <row r="444">
      <c r="A444" s="381"/>
    </row>
    <row r="445">
      <c r="A445" s="381"/>
    </row>
    <row r="446">
      <c r="A446" s="381"/>
    </row>
    <row r="447">
      <c r="A447" s="381"/>
    </row>
    <row r="448">
      <c r="A448" s="381"/>
    </row>
    <row r="449">
      <c r="A449" s="381"/>
    </row>
    <row r="450">
      <c r="A450" s="381"/>
    </row>
    <row r="451">
      <c r="A451" s="381"/>
    </row>
    <row r="452">
      <c r="A452" s="381"/>
    </row>
    <row r="453">
      <c r="A453" s="381"/>
    </row>
    <row r="454">
      <c r="A454" s="381"/>
    </row>
    <row r="455">
      <c r="A455" s="381"/>
    </row>
    <row r="456">
      <c r="A456" s="381"/>
    </row>
    <row r="457">
      <c r="A457" s="381"/>
    </row>
    <row r="458">
      <c r="A458" s="381"/>
    </row>
    <row r="459">
      <c r="A459" s="381"/>
    </row>
    <row r="460">
      <c r="A460" s="381"/>
    </row>
    <row r="461">
      <c r="A461" s="381"/>
    </row>
    <row r="462">
      <c r="A462" s="381"/>
    </row>
    <row r="463">
      <c r="A463" s="381"/>
    </row>
    <row r="464">
      <c r="A464" s="381"/>
    </row>
    <row r="465">
      <c r="A465" s="381"/>
    </row>
    <row r="466">
      <c r="A466" s="381"/>
    </row>
    <row r="467">
      <c r="A467" s="381"/>
    </row>
    <row r="468">
      <c r="A468" s="381"/>
    </row>
    <row r="469">
      <c r="A469" s="381"/>
    </row>
    <row r="470">
      <c r="A470" s="381"/>
    </row>
    <row r="471">
      <c r="A471" s="381"/>
    </row>
    <row r="472">
      <c r="A472" s="381"/>
    </row>
    <row r="473">
      <c r="A473" s="381"/>
    </row>
    <row r="474">
      <c r="A474" s="381"/>
    </row>
    <row r="475">
      <c r="A475" s="381"/>
    </row>
    <row r="476">
      <c r="A476" s="381"/>
    </row>
    <row r="477">
      <c r="A477" s="381"/>
    </row>
    <row r="478">
      <c r="A478" s="381"/>
    </row>
    <row r="479">
      <c r="A479" s="381"/>
    </row>
    <row r="480">
      <c r="A480" s="381"/>
    </row>
    <row r="481">
      <c r="A481" s="381"/>
    </row>
    <row r="482">
      <c r="A482" s="381"/>
    </row>
    <row r="483">
      <c r="A483" s="381"/>
    </row>
    <row r="484">
      <c r="A484" s="381"/>
    </row>
    <row r="485">
      <c r="A485" s="381"/>
    </row>
    <row r="486">
      <c r="A486" s="381"/>
    </row>
    <row r="487">
      <c r="A487" s="381"/>
    </row>
    <row r="488">
      <c r="A488" s="381"/>
    </row>
    <row r="489">
      <c r="A489" s="381"/>
    </row>
    <row r="490">
      <c r="A490" s="381"/>
    </row>
    <row r="491">
      <c r="A491" s="381"/>
    </row>
    <row r="492">
      <c r="A492" s="381"/>
    </row>
    <row r="493">
      <c r="A493" s="381"/>
    </row>
    <row r="494">
      <c r="A494" s="381"/>
    </row>
    <row r="495">
      <c r="A495" s="381"/>
    </row>
    <row r="496">
      <c r="A496" s="381"/>
    </row>
    <row r="497">
      <c r="A497" s="381"/>
    </row>
    <row r="498">
      <c r="A498" s="381"/>
    </row>
    <row r="499">
      <c r="A499" s="381"/>
    </row>
    <row r="500">
      <c r="A500" s="381"/>
    </row>
    <row r="501">
      <c r="A501" s="381"/>
    </row>
    <row r="502">
      <c r="A502" s="381"/>
    </row>
    <row r="503">
      <c r="A503" s="381"/>
    </row>
    <row r="504">
      <c r="A504" s="381"/>
    </row>
    <row r="505">
      <c r="A505" s="381"/>
    </row>
    <row r="506">
      <c r="A506" s="381"/>
    </row>
    <row r="507">
      <c r="A507" s="381"/>
    </row>
    <row r="508">
      <c r="A508" s="381"/>
    </row>
    <row r="509">
      <c r="A509" s="381"/>
    </row>
    <row r="510">
      <c r="A510" s="381"/>
    </row>
    <row r="511">
      <c r="A511" s="381"/>
    </row>
    <row r="512">
      <c r="A512" s="381"/>
    </row>
    <row r="513">
      <c r="A513" s="381"/>
    </row>
    <row r="514">
      <c r="A514" s="381"/>
    </row>
    <row r="515">
      <c r="A515" s="381"/>
    </row>
    <row r="516">
      <c r="A516" s="381"/>
    </row>
    <row r="517">
      <c r="A517" s="381"/>
    </row>
    <row r="518">
      <c r="A518" s="381"/>
    </row>
    <row r="519">
      <c r="A519" s="381"/>
    </row>
    <row r="520">
      <c r="A520" s="381"/>
    </row>
    <row r="521">
      <c r="A521" s="381"/>
    </row>
    <row r="522">
      <c r="A522" s="381"/>
    </row>
    <row r="523">
      <c r="A523" s="381"/>
    </row>
    <row r="524">
      <c r="A524" s="381"/>
    </row>
    <row r="525">
      <c r="A525" s="381"/>
    </row>
    <row r="526">
      <c r="A526" s="381"/>
    </row>
    <row r="527">
      <c r="A527" s="381"/>
    </row>
    <row r="528">
      <c r="A528" s="381"/>
    </row>
    <row r="529">
      <c r="A529" s="381"/>
    </row>
    <row r="530">
      <c r="A530" s="381"/>
    </row>
    <row r="531">
      <c r="A531" s="381"/>
    </row>
    <row r="532">
      <c r="A532" s="381"/>
    </row>
    <row r="533">
      <c r="A533" s="381"/>
    </row>
    <row r="534">
      <c r="A534" s="381"/>
    </row>
    <row r="535">
      <c r="A535" s="381"/>
    </row>
    <row r="536">
      <c r="A536" s="381"/>
    </row>
    <row r="537">
      <c r="A537" s="381"/>
    </row>
    <row r="538">
      <c r="A538" s="381"/>
    </row>
    <row r="539">
      <c r="A539" s="381"/>
    </row>
    <row r="540">
      <c r="A540" s="381"/>
    </row>
    <row r="541">
      <c r="A541" s="381"/>
    </row>
    <row r="542">
      <c r="A542" s="381"/>
    </row>
    <row r="543">
      <c r="A543" s="381"/>
    </row>
    <row r="544">
      <c r="A544" s="381"/>
    </row>
    <row r="545">
      <c r="A545" s="381"/>
    </row>
    <row r="546">
      <c r="A546" s="381"/>
    </row>
    <row r="547">
      <c r="A547" s="381"/>
    </row>
    <row r="548">
      <c r="A548" s="381"/>
    </row>
    <row r="549">
      <c r="A549" s="381"/>
    </row>
    <row r="550">
      <c r="A550" s="381"/>
    </row>
    <row r="551">
      <c r="A551" s="381"/>
    </row>
    <row r="552">
      <c r="A552" s="381"/>
    </row>
    <row r="553">
      <c r="A553" s="381"/>
    </row>
    <row r="554">
      <c r="A554" s="381"/>
    </row>
    <row r="555">
      <c r="A555" s="381"/>
    </row>
    <row r="556">
      <c r="A556" s="381"/>
    </row>
    <row r="557">
      <c r="A557" s="381"/>
    </row>
    <row r="558">
      <c r="A558" s="381"/>
    </row>
    <row r="559">
      <c r="A559" s="381"/>
    </row>
    <row r="560">
      <c r="A560" s="381"/>
    </row>
    <row r="561">
      <c r="A561" s="381"/>
    </row>
    <row r="562">
      <c r="A562" s="381"/>
    </row>
    <row r="563">
      <c r="A563" s="381"/>
    </row>
    <row r="564">
      <c r="A564" s="381"/>
    </row>
    <row r="565">
      <c r="A565" s="381"/>
    </row>
    <row r="566">
      <c r="A566" s="381"/>
    </row>
    <row r="567">
      <c r="A567" s="381"/>
    </row>
    <row r="568">
      <c r="A568" s="381"/>
    </row>
    <row r="569">
      <c r="A569" s="381"/>
    </row>
    <row r="570">
      <c r="A570" s="381"/>
    </row>
    <row r="571">
      <c r="A571" s="381"/>
    </row>
    <row r="572">
      <c r="A572" s="381"/>
    </row>
    <row r="573">
      <c r="A573" s="381"/>
    </row>
    <row r="574">
      <c r="A574" s="381"/>
    </row>
    <row r="575">
      <c r="A575" s="381"/>
    </row>
    <row r="576">
      <c r="A576" s="381"/>
    </row>
    <row r="577">
      <c r="A577" s="381"/>
    </row>
    <row r="578">
      <c r="A578" s="381"/>
    </row>
    <row r="579">
      <c r="A579" s="381"/>
    </row>
    <row r="580">
      <c r="A580" s="381"/>
    </row>
    <row r="581">
      <c r="A581" s="381"/>
    </row>
    <row r="582">
      <c r="A582" s="381"/>
    </row>
    <row r="583">
      <c r="A583" s="381"/>
    </row>
    <row r="584">
      <c r="A584" s="381"/>
    </row>
    <row r="585">
      <c r="A585" s="381"/>
    </row>
    <row r="586">
      <c r="A586" s="381"/>
    </row>
    <row r="587">
      <c r="A587" s="381"/>
    </row>
    <row r="588">
      <c r="A588" s="381"/>
    </row>
    <row r="589">
      <c r="A589" s="381"/>
    </row>
    <row r="590">
      <c r="A590" s="381"/>
    </row>
    <row r="591">
      <c r="A591" s="381"/>
    </row>
    <row r="592">
      <c r="A592" s="381"/>
    </row>
    <row r="593">
      <c r="A593" s="381"/>
    </row>
    <row r="594">
      <c r="A594" s="381"/>
    </row>
    <row r="595">
      <c r="A595" s="381"/>
    </row>
    <row r="596">
      <c r="A596" s="381"/>
    </row>
    <row r="597">
      <c r="A597" s="381"/>
    </row>
    <row r="598">
      <c r="A598" s="381"/>
    </row>
    <row r="599">
      <c r="A599" s="381"/>
    </row>
    <row r="600">
      <c r="A600" s="381"/>
    </row>
    <row r="601">
      <c r="A601" s="381"/>
    </row>
    <row r="602">
      <c r="A602" s="381"/>
    </row>
    <row r="603">
      <c r="A603" s="382"/>
      <c r="B603" s="383"/>
      <c r="C603" s="384"/>
      <c r="D603" s="384"/>
      <c r="E603" s="384"/>
      <c r="F603" s="384"/>
      <c r="G603" s="384"/>
      <c r="H603" s="384"/>
      <c r="I603" s="384"/>
      <c r="J603" s="384"/>
      <c r="K603" s="384"/>
      <c r="L603" s="384"/>
      <c r="M603" s="384"/>
      <c r="N603" s="384"/>
      <c r="O603" s="384"/>
      <c r="P603" s="384"/>
      <c r="Q603" s="384"/>
      <c r="R603" s="384"/>
      <c r="S603" s="384"/>
      <c r="T603" s="384"/>
      <c r="U603" s="384"/>
      <c r="V603" s="384"/>
      <c r="W603" s="384"/>
      <c r="X603" s="384"/>
      <c r="Y603" s="384"/>
      <c r="Z603" s="384"/>
    </row>
    <row r="604">
      <c r="A604" s="381"/>
    </row>
    <row r="605">
      <c r="A605" s="381"/>
    </row>
    <row r="606">
      <c r="A606" s="381"/>
    </row>
    <row r="607">
      <c r="A607" s="381"/>
    </row>
    <row r="608">
      <c r="A608" s="381"/>
    </row>
    <row r="609">
      <c r="A609" s="381"/>
    </row>
    <row r="610">
      <c r="A610" s="381"/>
    </row>
    <row r="611">
      <c r="A611" s="381"/>
    </row>
    <row r="612">
      <c r="A612" s="381"/>
    </row>
    <row r="613">
      <c r="A613" s="381"/>
    </row>
    <row r="614">
      <c r="A614" s="381"/>
    </row>
    <row r="615">
      <c r="A615" s="381"/>
    </row>
    <row r="616">
      <c r="A616" s="381"/>
    </row>
    <row r="617">
      <c r="A617" s="381"/>
    </row>
    <row r="618">
      <c r="A618" s="381"/>
    </row>
    <row r="619">
      <c r="A619" s="381"/>
    </row>
    <row r="620">
      <c r="A620" s="381"/>
    </row>
    <row r="621">
      <c r="A621" s="381"/>
    </row>
    <row r="622">
      <c r="A622" s="381"/>
    </row>
    <row r="623">
      <c r="A623" s="381"/>
    </row>
    <row r="624">
      <c r="A624" s="381"/>
    </row>
    <row r="625">
      <c r="A625" s="381"/>
    </row>
    <row r="626">
      <c r="A626" s="381"/>
    </row>
    <row r="627">
      <c r="A627" s="381"/>
    </row>
    <row r="628">
      <c r="A628" s="381"/>
    </row>
    <row r="629">
      <c r="A629" s="381"/>
    </row>
    <row r="630">
      <c r="A630" s="381"/>
    </row>
    <row r="631">
      <c r="A631" s="381"/>
    </row>
    <row r="632">
      <c r="A632" s="381"/>
    </row>
    <row r="633">
      <c r="A633" s="381"/>
    </row>
    <row r="634">
      <c r="A634" s="381"/>
    </row>
    <row r="635">
      <c r="A635" s="381"/>
    </row>
    <row r="636">
      <c r="A636" s="381"/>
    </row>
    <row r="637">
      <c r="A637" s="381"/>
    </row>
    <row r="638">
      <c r="A638" s="381"/>
    </row>
    <row r="639">
      <c r="A639" s="381"/>
    </row>
    <row r="640">
      <c r="A640" s="381"/>
    </row>
    <row r="641">
      <c r="A641" s="381"/>
    </row>
    <row r="642">
      <c r="A642" s="381"/>
    </row>
    <row r="643">
      <c r="A643" s="381"/>
    </row>
    <row r="644">
      <c r="A644" s="381"/>
    </row>
    <row r="645">
      <c r="A645" s="381"/>
    </row>
    <row r="646">
      <c r="A646" s="381"/>
    </row>
    <row r="647">
      <c r="A647" s="381"/>
    </row>
    <row r="648">
      <c r="A648" s="381"/>
    </row>
    <row r="649">
      <c r="A649" s="381"/>
    </row>
    <row r="650">
      <c r="A650" s="381"/>
    </row>
    <row r="651">
      <c r="A651" s="381"/>
    </row>
    <row r="652">
      <c r="A652" s="381"/>
    </row>
    <row r="653">
      <c r="A653" s="381"/>
    </row>
    <row r="654">
      <c r="A654" s="385"/>
      <c r="B654" s="386"/>
      <c r="C654" s="387"/>
      <c r="D654" s="387"/>
      <c r="E654" s="387"/>
      <c r="F654" s="387"/>
      <c r="G654" s="387"/>
      <c r="H654" s="387"/>
      <c r="I654" s="387"/>
      <c r="J654" s="387"/>
      <c r="K654" s="387"/>
      <c r="L654" s="387"/>
      <c r="M654" s="387"/>
      <c r="N654" s="387"/>
      <c r="O654" s="387"/>
      <c r="P654" s="387"/>
      <c r="Q654" s="387"/>
      <c r="R654" s="387"/>
      <c r="S654" s="387"/>
      <c r="T654" s="387"/>
      <c r="U654" s="387"/>
      <c r="V654" s="387"/>
      <c r="W654" s="387"/>
      <c r="X654" s="387"/>
      <c r="Y654" s="387"/>
      <c r="Z654" s="387"/>
    </row>
    <row r="655">
      <c r="A655" s="381"/>
    </row>
    <row r="656">
      <c r="A656" s="381"/>
    </row>
    <row r="657">
      <c r="A657" s="381"/>
    </row>
    <row r="658">
      <c r="A658" s="381"/>
    </row>
    <row r="659">
      <c r="A659" s="381"/>
    </row>
    <row r="660">
      <c r="A660" s="381"/>
    </row>
    <row r="661">
      <c r="A661" s="381"/>
    </row>
    <row r="662">
      <c r="A662" s="381"/>
    </row>
    <row r="663">
      <c r="A663" s="381"/>
    </row>
    <row r="664">
      <c r="A664" s="381"/>
    </row>
    <row r="665">
      <c r="A665" s="381"/>
    </row>
    <row r="666">
      <c r="A666" s="381"/>
    </row>
    <row r="667">
      <c r="A667" s="381"/>
    </row>
    <row r="668">
      <c r="A668" s="381"/>
    </row>
    <row r="669">
      <c r="A669" s="381"/>
    </row>
    <row r="670">
      <c r="A670" s="381"/>
    </row>
    <row r="671">
      <c r="A671" s="381"/>
    </row>
    <row r="672">
      <c r="A672" s="381"/>
    </row>
    <row r="673">
      <c r="A673" s="381"/>
    </row>
    <row r="674">
      <c r="A674" s="381"/>
    </row>
    <row r="675">
      <c r="A675" s="381"/>
    </row>
    <row r="676">
      <c r="A676" s="381"/>
    </row>
    <row r="677">
      <c r="A677" s="38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Col="1"/>
  <cols>
    <col customWidth="1" min="1" max="1" width="36.38" outlineLevel="1"/>
    <col customWidth="1" min="2" max="2" width="82.25" outlineLevel="1"/>
    <col customWidth="1" min="3" max="3" width="4.63"/>
    <col customWidth="1" min="4" max="4" width="12.5"/>
    <col customWidth="1" min="5" max="5" width="27.25"/>
    <col customWidth="1" min="6" max="6" width="29.25"/>
    <col customWidth="1" min="7" max="7" width="22.25"/>
    <col customWidth="1" min="8" max="8" width="14.5"/>
    <col customWidth="1" min="9" max="9" width="17.5"/>
    <col customWidth="1" min="10" max="10" width="13.75"/>
  </cols>
  <sheetData>
    <row r="1" ht="48.0" customHeight="1">
      <c r="A1" s="69" t="s">
        <v>1961</v>
      </c>
      <c r="B1" s="70" t="s">
        <v>1347</v>
      </c>
      <c r="C1" s="388"/>
      <c r="D1" s="388"/>
      <c r="E1" s="389" t="s">
        <v>2164</v>
      </c>
      <c r="F1" s="125"/>
      <c r="G1" s="125"/>
      <c r="H1" s="125"/>
      <c r="I1" s="125"/>
      <c r="J1" s="126"/>
      <c r="K1" s="388"/>
    </row>
    <row r="2" ht="36.0" customHeight="1">
      <c r="A2" s="69" t="s">
        <v>1969</v>
      </c>
      <c r="B2" s="70" t="s">
        <v>1970</v>
      </c>
      <c r="C2" s="388"/>
      <c r="D2" s="388"/>
      <c r="E2" s="390" t="s">
        <v>2165</v>
      </c>
      <c r="F2" s="391" t="str">
        <f t="array" ref="F2">INDEX(B:B, MATCH(H2, B:B, 0) + 1)</f>
        <v>น.ส.กมลวรรณ แสงลี</v>
      </c>
      <c r="G2" s="392"/>
      <c r="H2" s="393" t="s">
        <v>1347</v>
      </c>
      <c r="I2" s="394" t="s">
        <v>2022</v>
      </c>
      <c r="J2" s="395" t="s">
        <v>2012</v>
      </c>
      <c r="K2" s="388"/>
    </row>
    <row r="3" ht="36.0" customHeight="1">
      <c r="A3" s="69" t="s">
        <v>1978</v>
      </c>
      <c r="B3" s="70" t="s">
        <v>1979</v>
      </c>
      <c r="C3" s="388"/>
      <c r="D3" s="388"/>
      <c r="E3" s="396" t="s">
        <v>2166</v>
      </c>
      <c r="F3" s="141" t="s">
        <v>2167</v>
      </c>
      <c r="G3" s="141" t="s">
        <v>2168</v>
      </c>
      <c r="H3" s="141" t="s">
        <v>2169</v>
      </c>
      <c r="I3" s="141" t="s">
        <v>2170</v>
      </c>
      <c r="J3" s="142" t="s">
        <v>2171</v>
      </c>
      <c r="K3" s="388"/>
    </row>
    <row r="4" ht="36.0" customHeight="1">
      <c r="A4" s="69" t="s">
        <v>1986</v>
      </c>
      <c r="B4" s="76">
        <v>233922.0</v>
      </c>
      <c r="C4" s="388"/>
      <c r="D4" s="388"/>
      <c r="E4" s="396" t="s">
        <v>2172</v>
      </c>
      <c r="F4" s="397" t="s">
        <v>15</v>
      </c>
      <c r="G4" s="136"/>
      <c r="H4" s="136"/>
      <c r="I4" s="137"/>
      <c r="J4" s="398">
        <v>3500.0</v>
      </c>
      <c r="K4" s="388"/>
    </row>
    <row r="5" ht="36.0" customHeight="1">
      <c r="A5" s="69" t="s">
        <v>1992</v>
      </c>
      <c r="B5" s="70" t="s">
        <v>1993</v>
      </c>
      <c r="C5" s="388"/>
      <c r="D5" s="388"/>
      <c r="E5" s="396" t="s">
        <v>2173</v>
      </c>
      <c r="F5" s="141" t="str">
        <f t="array" ref="F5">INDEX('สำเนาของ ชีต1'!C:T, MATCH(H1, 'สำเนาของ ชีต1'!A:A, 0)+3, MATCH(J1, #REF!, 0)-3)</f>
        <v>#N/A</v>
      </c>
      <c r="G5" s="141">
        <f t="array" ref="G5">INDEX('สำเนาของ ชีต1'!B:T, MATCH(H2, 'สำเนาของ ชีต1'!A:A, 0)+2, MATCH(J2, INDEX('สำเนาของ ชีต1'!B:T, MATCH(H2,'สำเนาของ ชีต1'!A:A,0)+1,0), 0)-0)</f>
        <v>9826</v>
      </c>
      <c r="H5" s="141" t="str">
        <f t="shared" ref="H5:H6" si="1">G5-F5</f>
        <v>#N/A</v>
      </c>
      <c r="I5" s="141">
        <v>8.0</v>
      </c>
      <c r="J5" s="142" t="str">
        <f t="shared" ref="J5:J6" si="2">H5*I5</f>
        <v>#N/A</v>
      </c>
      <c r="K5" s="388"/>
    </row>
    <row r="6" ht="36.0" customHeight="1">
      <c r="A6" s="69" t="s">
        <v>1999</v>
      </c>
      <c r="B6" s="76"/>
      <c r="C6" s="388"/>
      <c r="E6" s="396" t="s">
        <v>2174</v>
      </c>
      <c r="F6" s="141" t="str">
        <f t="array" ref="F6">INDEX('สำเนาของ ชีต1'!C:T, MATCH(H2, 'สำเนาของ ชีต1'!A:A, 0)+3, MATCH(J2, #REF!, 0)-3)</f>
        <v>#REF!</v>
      </c>
      <c r="G6" s="141">
        <f t="array" ref="G6">INDEX('สำเนาของ ชีต1'!B:T, MATCH(H2, 'สำเนาของ ชีต1'!A:A, 0)+3, MATCH(J2, INDEX('สำเนาของ ชีต1'!B:T, MATCH(H2,'สำเนาของ ชีต1'!A:A,0)+1,0), 0)-0)</f>
        <v>302</v>
      </c>
      <c r="H6" s="141" t="str">
        <f t="shared" si="1"/>
        <v>#REF!</v>
      </c>
      <c r="I6" s="141">
        <v>25.0</v>
      </c>
      <c r="J6" s="142" t="str">
        <f t="shared" si="2"/>
        <v>#REF!</v>
      </c>
      <c r="K6" s="388"/>
    </row>
    <row r="7" ht="36.0" customHeight="1">
      <c r="A7" s="69"/>
      <c r="B7" s="76"/>
      <c r="C7" s="388"/>
      <c r="D7" s="388"/>
      <c r="E7" s="399" t="s">
        <v>2171</v>
      </c>
      <c r="F7" s="400"/>
      <c r="G7" s="400"/>
      <c r="H7" s="400"/>
      <c r="I7" s="401"/>
      <c r="J7" s="402" t="str">
        <f>SUM(J4:J6)</f>
        <v>#N/A</v>
      </c>
      <c r="K7" s="388"/>
    </row>
    <row r="8" ht="25.5" customHeight="1">
      <c r="A8" s="69" t="s">
        <v>1961</v>
      </c>
      <c r="B8" s="70" t="s">
        <v>1362</v>
      </c>
      <c r="C8" s="388"/>
      <c r="D8" s="388"/>
      <c r="E8" s="403" t="s">
        <v>2946</v>
      </c>
      <c r="F8" s="355"/>
      <c r="G8" s="355"/>
      <c r="H8" s="355"/>
      <c r="I8" s="355"/>
      <c r="J8" s="356"/>
      <c r="K8" s="388"/>
    </row>
    <row r="9" ht="27.0" customHeight="1">
      <c r="A9" s="69" t="s">
        <v>1969</v>
      </c>
      <c r="B9" s="70" t="s">
        <v>2008</v>
      </c>
      <c r="C9" s="388"/>
      <c r="D9" s="388"/>
      <c r="E9" s="157" t="s">
        <v>2947</v>
      </c>
      <c r="J9" s="360"/>
      <c r="K9" s="388"/>
    </row>
    <row r="10" ht="25.5" customHeight="1">
      <c r="A10" s="69" t="s">
        <v>1978</v>
      </c>
      <c r="B10" s="78" t="s">
        <v>2011</v>
      </c>
      <c r="C10" s="388"/>
      <c r="D10" s="388"/>
      <c r="E10" s="157" t="s">
        <v>2948</v>
      </c>
      <c r="J10" s="360"/>
      <c r="K10" s="388"/>
    </row>
    <row r="11" ht="27.0" customHeight="1">
      <c r="A11" s="69" t="s">
        <v>1986</v>
      </c>
      <c r="B11" s="79">
        <v>225795.0</v>
      </c>
      <c r="C11" s="388"/>
      <c r="D11" s="388"/>
      <c r="E11" s="158" t="s">
        <v>2949</v>
      </c>
      <c r="F11" s="342"/>
      <c r="G11" s="342"/>
      <c r="H11" s="342"/>
      <c r="I11" s="342"/>
      <c r="J11" s="343"/>
      <c r="K11" s="388"/>
    </row>
    <row r="12">
      <c r="A12" s="69" t="s">
        <v>1992</v>
      </c>
      <c r="B12" s="70" t="s">
        <v>2016</v>
      </c>
      <c r="C12" s="388"/>
      <c r="D12" s="388"/>
      <c r="E12" s="388"/>
      <c r="F12" s="388"/>
      <c r="G12" s="388"/>
      <c r="H12" s="388"/>
      <c r="I12" s="388"/>
      <c r="J12" s="388"/>
      <c r="K12" s="388"/>
    </row>
    <row r="13">
      <c r="A13" s="69" t="s">
        <v>1999</v>
      </c>
      <c r="B13" s="80"/>
      <c r="C13" s="388"/>
      <c r="D13" s="388"/>
      <c r="E13" s="388"/>
      <c r="F13" s="388"/>
      <c r="G13" s="388"/>
      <c r="H13" s="388"/>
      <c r="I13" s="388"/>
      <c r="J13" s="388"/>
      <c r="K13" s="388"/>
    </row>
    <row r="14" ht="13.5" customHeight="1">
      <c r="A14" s="69"/>
      <c r="B14" s="80"/>
      <c r="C14" s="388"/>
      <c r="D14" s="388"/>
      <c r="E14" s="388"/>
      <c r="F14" s="388"/>
      <c r="G14" s="388"/>
      <c r="H14" s="388"/>
      <c r="I14" s="388"/>
      <c r="J14" s="388"/>
      <c r="K14" s="388"/>
    </row>
    <row r="15">
      <c r="A15" s="69" t="s">
        <v>1961</v>
      </c>
      <c r="B15" s="70" t="s">
        <v>1343</v>
      </c>
      <c r="C15" s="388"/>
      <c r="D15" s="388"/>
      <c r="E15" s="388"/>
      <c r="F15" s="388"/>
      <c r="G15" s="388"/>
      <c r="H15" s="388"/>
      <c r="I15" s="388"/>
      <c r="J15" s="388"/>
      <c r="K15" s="388"/>
    </row>
    <row r="16">
      <c r="A16" s="69" t="s">
        <v>1969</v>
      </c>
      <c r="B16" s="70" t="s">
        <v>2019</v>
      </c>
      <c r="C16" s="388"/>
      <c r="D16" s="388"/>
      <c r="E16" s="388"/>
      <c r="F16" s="388"/>
      <c r="G16" s="388"/>
      <c r="H16" s="388"/>
      <c r="J16" s="388"/>
      <c r="K16" s="388"/>
    </row>
    <row r="17">
      <c r="A17" s="69" t="s">
        <v>1978</v>
      </c>
      <c r="B17" s="80"/>
      <c r="C17" s="388"/>
      <c r="D17" s="388"/>
      <c r="E17" s="388"/>
      <c r="F17" s="388"/>
      <c r="G17" s="388"/>
      <c r="H17" s="388"/>
      <c r="I17" s="388"/>
      <c r="J17" s="388"/>
      <c r="K17" s="388"/>
    </row>
    <row r="18">
      <c r="A18" s="69" t="s">
        <v>1986</v>
      </c>
      <c r="B18" s="80"/>
      <c r="C18" s="388"/>
      <c r="D18" s="388"/>
      <c r="E18" s="388"/>
      <c r="F18" s="388"/>
      <c r="G18" s="388"/>
      <c r="H18" s="388"/>
      <c r="I18" s="388"/>
      <c r="J18" s="388"/>
      <c r="K18" s="388"/>
    </row>
    <row r="19">
      <c r="A19" s="69" t="s">
        <v>1992</v>
      </c>
      <c r="B19" s="80"/>
      <c r="C19" s="388"/>
      <c r="D19" s="388"/>
      <c r="E19" s="388"/>
      <c r="F19" s="388"/>
      <c r="G19" s="388"/>
      <c r="H19" s="388"/>
      <c r="I19" s="388"/>
      <c r="J19" s="388"/>
      <c r="K19" s="388"/>
    </row>
    <row r="20">
      <c r="A20" s="69" t="s">
        <v>1999</v>
      </c>
      <c r="B20" s="80"/>
      <c r="C20" s="388"/>
      <c r="D20" s="388"/>
      <c r="E20" s="388"/>
      <c r="F20" s="388"/>
      <c r="G20" s="388"/>
      <c r="H20" s="388"/>
      <c r="I20" s="388"/>
      <c r="J20" s="388"/>
      <c r="K20" s="388"/>
    </row>
    <row r="21">
      <c r="A21" s="69"/>
      <c r="B21" s="80"/>
      <c r="C21" s="388"/>
      <c r="D21" s="388"/>
      <c r="E21" s="388"/>
      <c r="F21" s="388"/>
      <c r="G21" s="388"/>
      <c r="H21" s="388"/>
      <c r="I21" s="388"/>
      <c r="J21" s="388"/>
      <c r="K21" s="388"/>
    </row>
    <row r="22">
      <c r="A22" s="69" t="s">
        <v>1961</v>
      </c>
      <c r="B22" s="70" t="s">
        <v>1256</v>
      </c>
      <c r="C22" s="388"/>
      <c r="D22" s="388"/>
      <c r="E22" s="388"/>
      <c r="F22" s="388"/>
      <c r="G22" s="388"/>
      <c r="H22" s="388"/>
      <c r="I22" s="388"/>
      <c r="J22" s="388"/>
      <c r="K22" s="388"/>
    </row>
    <row r="23">
      <c r="A23" s="69" t="s">
        <v>1969</v>
      </c>
      <c r="B23" s="70" t="s">
        <v>2020</v>
      </c>
      <c r="C23" s="388"/>
      <c r="D23" s="388"/>
      <c r="E23" s="388"/>
      <c r="F23" s="388"/>
      <c r="G23" s="388"/>
      <c r="H23" s="388"/>
      <c r="I23" s="388"/>
      <c r="J23" s="388"/>
      <c r="K23" s="388"/>
    </row>
    <row r="24">
      <c r="A24" s="69" t="s">
        <v>1978</v>
      </c>
      <c r="B24" s="80"/>
      <c r="C24" s="388"/>
      <c r="D24" s="388"/>
      <c r="E24" s="388"/>
      <c r="F24" s="388"/>
      <c r="G24" s="388"/>
      <c r="H24" s="388"/>
      <c r="I24" s="388"/>
      <c r="J24" s="388"/>
      <c r="K24" s="388"/>
    </row>
    <row r="25">
      <c r="A25" s="69" t="s">
        <v>1986</v>
      </c>
      <c r="B25" s="81"/>
      <c r="C25" s="388"/>
      <c r="D25" s="388"/>
      <c r="E25" s="388"/>
      <c r="F25" s="388"/>
      <c r="G25" s="388"/>
      <c r="H25" s="388"/>
      <c r="I25" s="388"/>
      <c r="J25" s="388"/>
      <c r="K25" s="388"/>
    </row>
    <row r="26">
      <c r="A26" s="69" t="s">
        <v>1992</v>
      </c>
      <c r="B26" s="80"/>
      <c r="C26" s="388"/>
      <c r="D26" s="388"/>
      <c r="E26" s="388"/>
      <c r="F26" s="388"/>
      <c r="G26" s="388"/>
      <c r="H26" s="388"/>
      <c r="I26" s="388"/>
      <c r="J26" s="388"/>
      <c r="K26" s="388"/>
    </row>
    <row r="27">
      <c r="A27" s="69" t="s">
        <v>1999</v>
      </c>
      <c r="B27" s="80"/>
      <c r="C27" s="388"/>
      <c r="D27" s="388"/>
      <c r="E27" s="388"/>
      <c r="F27" s="388"/>
      <c r="G27" s="388"/>
      <c r="H27" s="388"/>
      <c r="I27" s="388"/>
      <c r="J27" s="388"/>
      <c r="K27" s="388"/>
    </row>
    <row r="28">
      <c r="A28" s="69" t="s">
        <v>1961</v>
      </c>
      <c r="B28" s="70" t="s">
        <v>1994</v>
      </c>
      <c r="C28" s="388"/>
      <c r="D28" s="388"/>
      <c r="E28" s="388"/>
      <c r="F28" s="388"/>
      <c r="G28" s="388"/>
      <c r="H28" s="388"/>
      <c r="I28" s="388"/>
      <c r="J28" s="388"/>
      <c r="K28" s="388"/>
    </row>
    <row r="29">
      <c r="A29" s="69" t="s">
        <v>1969</v>
      </c>
      <c r="B29" s="70" t="s">
        <v>2021</v>
      </c>
      <c r="C29" s="388"/>
      <c r="D29" s="388"/>
      <c r="E29" s="388"/>
      <c r="F29" s="388"/>
      <c r="G29" s="388"/>
      <c r="H29" s="388"/>
      <c r="I29" s="388"/>
      <c r="J29" s="388"/>
      <c r="K29" s="388"/>
    </row>
    <row r="30">
      <c r="A30" s="69" t="s">
        <v>1978</v>
      </c>
      <c r="B30" s="70" t="s">
        <v>15</v>
      </c>
      <c r="C30" s="388"/>
      <c r="D30" s="388"/>
      <c r="E30" s="388"/>
      <c r="F30" s="388"/>
      <c r="G30" s="388"/>
      <c r="H30" s="388"/>
      <c r="I30" s="388"/>
      <c r="J30" s="388"/>
      <c r="K30" s="388"/>
    </row>
    <row r="31">
      <c r="A31" s="69" t="s">
        <v>1986</v>
      </c>
      <c r="B31" s="70" t="s">
        <v>15</v>
      </c>
      <c r="C31" s="388"/>
      <c r="D31" s="388"/>
      <c r="E31" s="388"/>
      <c r="F31" s="388"/>
      <c r="G31" s="388"/>
      <c r="H31" s="388"/>
      <c r="I31" s="388"/>
      <c r="J31" s="388"/>
      <c r="K31" s="388"/>
    </row>
    <row r="32">
      <c r="A32" s="69" t="s">
        <v>1992</v>
      </c>
      <c r="B32" s="70" t="s">
        <v>15</v>
      </c>
      <c r="C32" s="388"/>
      <c r="D32" s="388"/>
      <c r="E32" s="388"/>
      <c r="F32" s="388"/>
      <c r="G32" s="388"/>
      <c r="H32" s="388"/>
      <c r="I32" s="388"/>
      <c r="J32" s="388"/>
      <c r="K32" s="388"/>
    </row>
    <row r="33">
      <c r="A33" s="69" t="s">
        <v>1999</v>
      </c>
      <c r="B33" s="80"/>
      <c r="C33" s="388"/>
      <c r="D33" s="388"/>
      <c r="E33" s="388"/>
      <c r="F33" s="388"/>
      <c r="G33" s="388"/>
      <c r="H33" s="388"/>
      <c r="I33" s="388"/>
      <c r="J33" s="388"/>
      <c r="K33" s="388"/>
    </row>
    <row r="34">
      <c r="A34" s="69" t="s">
        <v>1961</v>
      </c>
      <c r="B34" s="70" t="s">
        <v>1256</v>
      </c>
      <c r="C34" s="388"/>
      <c r="D34" s="388"/>
      <c r="E34" s="388"/>
      <c r="F34" s="388"/>
      <c r="G34" s="388"/>
      <c r="H34" s="388"/>
      <c r="I34" s="388"/>
      <c r="J34" s="388"/>
      <c r="K34" s="388"/>
    </row>
    <row r="35">
      <c r="A35" s="69" t="s">
        <v>1969</v>
      </c>
      <c r="B35" s="70" t="s">
        <v>2021</v>
      </c>
      <c r="C35" s="388"/>
      <c r="D35" s="388"/>
      <c r="E35" s="388"/>
      <c r="F35" s="388"/>
      <c r="G35" s="388"/>
      <c r="H35" s="388"/>
      <c r="I35" s="388"/>
      <c r="J35" s="388"/>
      <c r="K35" s="388"/>
    </row>
    <row r="36">
      <c r="A36" s="69" t="s">
        <v>1978</v>
      </c>
      <c r="B36" s="70" t="s">
        <v>15</v>
      </c>
      <c r="C36" s="388"/>
      <c r="D36" s="388"/>
      <c r="E36" s="388"/>
      <c r="F36" s="388"/>
      <c r="G36" s="388"/>
      <c r="H36" s="388"/>
      <c r="I36" s="388"/>
      <c r="J36" s="388"/>
      <c r="K36" s="388"/>
    </row>
    <row r="37">
      <c r="A37" s="69" t="s">
        <v>1986</v>
      </c>
      <c r="B37" s="83" t="s">
        <v>15</v>
      </c>
      <c r="C37" s="388"/>
      <c r="D37" s="388"/>
      <c r="E37" s="388"/>
      <c r="F37" s="388"/>
      <c r="G37" s="388"/>
      <c r="H37" s="388"/>
      <c r="I37" s="388"/>
      <c r="J37" s="388"/>
      <c r="K37" s="388"/>
    </row>
    <row r="38">
      <c r="A38" s="69" t="s">
        <v>1992</v>
      </c>
      <c r="B38" s="70" t="s">
        <v>15</v>
      </c>
      <c r="C38" s="388"/>
      <c r="D38" s="388"/>
      <c r="E38" s="388"/>
      <c r="F38" s="388"/>
      <c r="G38" s="388"/>
      <c r="H38" s="388"/>
      <c r="I38" s="388"/>
      <c r="J38" s="388"/>
      <c r="K38" s="388"/>
    </row>
    <row r="39">
      <c r="A39" s="69" t="s">
        <v>1999</v>
      </c>
      <c r="B39" s="70"/>
      <c r="C39" s="388"/>
      <c r="D39" s="388"/>
      <c r="E39" s="388"/>
      <c r="F39" s="388"/>
      <c r="G39" s="388"/>
      <c r="H39" s="388"/>
      <c r="I39" s="388"/>
      <c r="J39" s="388"/>
      <c r="K39" s="388"/>
    </row>
  </sheetData>
  <mergeCells count="8">
    <mergeCell ref="E1:J1"/>
    <mergeCell ref="F2:G2"/>
    <mergeCell ref="F4:I4"/>
    <mergeCell ref="E7:I7"/>
    <mergeCell ref="E8:J8"/>
    <mergeCell ref="E9:J9"/>
    <mergeCell ref="E10:J10"/>
    <mergeCell ref="E11:J11"/>
  </mergeCells>
  <dataValidations>
    <dataValidation type="list" allowBlank="1" showDropDown="1" showErrorMessage="1" sqref="H2">
      <formula1>"A204,A205,A206,A208"</formula1>
    </dataValidation>
    <dataValidation type="list" allowBlank="1" showDropDown="1" showErrorMessage="1" sqref="J2">
      <formula1>#REF!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1.88"/>
    <col customWidth="1" min="2" max="2" width="10.25"/>
    <col customWidth="1" min="3" max="3" width="9.88"/>
    <col customWidth="1" min="4" max="4" width="9.75"/>
    <col customWidth="1" min="5" max="5" width="6.5"/>
    <col customWidth="1" min="6" max="6" width="6.13"/>
    <col customWidth="1" min="7" max="8" width="9.25"/>
    <col customWidth="1" min="9" max="9" width="10.0"/>
  </cols>
  <sheetData>
    <row r="1">
      <c r="A1" s="404" t="s">
        <v>2952</v>
      </c>
      <c r="B1" s="405">
        <v>45749.0</v>
      </c>
      <c r="C1" s="406"/>
      <c r="D1" s="407"/>
      <c r="E1" s="407"/>
      <c r="F1" s="407"/>
      <c r="G1" s="406"/>
      <c r="H1" s="406"/>
      <c r="I1" s="406"/>
    </row>
    <row r="2">
      <c r="A2" s="404" t="s">
        <v>2953</v>
      </c>
      <c r="B2" s="408">
        <f>SUMIF(A6:A1004,B1,I6:I1004)</f>
        <v>2127.96875</v>
      </c>
      <c r="C2" s="409" t="s">
        <v>2954</v>
      </c>
      <c r="D2" s="410">
        <f>B2/B3</f>
        <v>531.9921875</v>
      </c>
      <c r="E2" s="407"/>
      <c r="F2" s="407"/>
      <c r="G2" s="406"/>
      <c r="H2" s="406"/>
      <c r="I2" s="406"/>
    </row>
    <row r="3">
      <c r="A3" s="404" t="s">
        <v>2955</v>
      </c>
      <c r="B3" s="411">
        <f>COUNTIF(A6:A1004,B1)</f>
        <v>4</v>
      </c>
      <c r="C3" s="409" t="s">
        <v>2956</v>
      </c>
      <c r="D3" s="407">
        <f>SUMIF(A6:A1004,B1,D6:D1004)</f>
        <v>25</v>
      </c>
      <c r="E3" s="407"/>
      <c r="F3" s="407"/>
      <c r="G3" s="406"/>
      <c r="H3" s="406"/>
      <c r="I3" s="406"/>
    </row>
    <row r="4">
      <c r="A4" s="405"/>
      <c r="B4" s="411"/>
      <c r="C4" s="406"/>
      <c r="D4" s="407"/>
      <c r="E4" s="407"/>
      <c r="F4" s="407"/>
      <c r="G4" s="406"/>
      <c r="H4" s="406"/>
      <c r="I4" s="406"/>
    </row>
    <row r="5">
      <c r="A5" s="412" t="s">
        <v>2957</v>
      </c>
      <c r="B5" s="412" t="s">
        <v>2958</v>
      </c>
      <c r="C5" s="413" t="s">
        <v>2959</v>
      </c>
      <c r="D5" s="412" t="s">
        <v>2960</v>
      </c>
      <c r="E5" s="412" t="s">
        <v>2961</v>
      </c>
      <c r="F5" s="412" t="s">
        <v>2962</v>
      </c>
      <c r="G5" s="413" t="s">
        <v>2963</v>
      </c>
      <c r="H5" s="413" t="s">
        <v>2964</v>
      </c>
      <c r="I5" s="413" t="s">
        <v>2965</v>
      </c>
    </row>
    <row r="6">
      <c r="A6" s="405">
        <v>45746.0</v>
      </c>
      <c r="B6" s="411" t="s">
        <v>2966</v>
      </c>
      <c r="C6" s="414">
        <v>425.0</v>
      </c>
      <c r="D6" s="411">
        <v>15.0</v>
      </c>
      <c r="E6" s="411">
        <v>1.0</v>
      </c>
      <c r="F6" s="411">
        <v>1.5</v>
      </c>
      <c r="G6" s="414">
        <v>100.0</v>
      </c>
      <c r="H6" s="414">
        <v>50.0</v>
      </c>
      <c r="I6" s="415">
        <f t="shared" ref="I6:I1004" si="1">IF(B6&lt;&gt;"",LET(hour_rate,C6/8,income_ot,hour_rate*E6*F6,deduce_late,(hour_rate/60)*D6,income_ot+C6-deduce_late+G6-H6),)</f>
        <v>541.40625</v>
      </c>
    </row>
    <row r="7">
      <c r="A7" s="405">
        <v>45746.0</v>
      </c>
      <c r="B7" s="411" t="s">
        <v>2967</v>
      </c>
      <c r="C7" s="414">
        <v>500.0</v>
      </c>
      <c r="D7" s="411">
        <v>0.0</v>
      </c>
      <c r="E7" s="411">
        <v>0.0</v>
      </c>
      <c r="F7" s="411">
        <v>0.0</v>
      </c>
      <c r="G7" s="414">
        <v>0.0</v>
      </c>
      <c r="H7" s="414">
        <v>0.0</v>
      </c>
      <c r="I7" s="415">
        <f t="shared" si="1"/>
        <v>500</v>
      </c>
    </row>
    <row r="8">
      <c r="A8" s="405">
        <v>45747.0</v>
      </c>
      <c r="B8" s="411" t="s">
        <v>2968</v>
      </c>
      <c r="C8" s="414">
        <v>465.0</v>
      </c>
      <c r="D8" s="411">
        <v>0.0</v>
      </c>
      <c r="E8" s="411">
        <v>0.0</v>
      </c>
      <c r="F8" s="411">
        <v>1.5</v>
      </c>
      <c r="G8" s="414">
        <v>0.0</v>
      </c>
      <c r="H8" s="414">
        <v>0.0</v>
      </c>
      <c r="I8" s="415">
        <f t="shared" si="1"/>
        <v>465</v>
      </c>
    </row>
    <row r="9">
      <c r="A9" s="405">
        <v>45747.0</v>
      </c>
      <c r="B9" s="411" t="s">
        <v>2966</v>
      </c>
      <c r="C9" s="414">
        <v>378.0</v>
      </c>
      <c r="D9" s="411">
        <v>10.0</v>
      </c>
      <c r="E9" s="411">
        <v>2.0</v>
      </c>
      <c r="F9" s="411">
        <v>1.5</v>
      </c>
      <c r="G9" s="414">
        <v>100.0</v>
      </c>
      <c r="H9" s="414">
        <v>0.0</v>
      </c>
      <c r="I9" s="415">
        <f t="shared" si="1"/>
        <v>611.875</v>
      </c>
    </row>
    <row r="10">
      <c r="A10" s="405">
        <v>45747.0</v>
      </c>
      <c r="B10" s="411" t="s">
        <v>2967</v>
      </c>
      <c r="C10" s="414">
        <v>390.0</v>
      </c>
      <c r="D10" s="411">
        <v>15.0</v>
      </c>
      <c r="E10" s="411">
        <v>1.0</v>
      </c>
      <c r="F10" s="411">
        <v>1.5</v>
      </c>
      <c r="G10" s="414">
        <v>0.0</v>
      </c>
      <c r="H10" s="414">
        <v>0.0</v>
      </c>
      <c r="I10" s="415">
        <f t="shared" si="1"/>
        <v>450.9375</v>
      </c>
    </row>
    <row r="11">
      <c r="A11" s="405">
        <v>45747.0</v>
      </c>
      <c r="B11" s="411" t="s">
        <v>2969</v>
      </c>
      <c r="C11" s="414">
        <v>685.0</v>
      </c>
      <c r="D11" s="411">
        <v>20.0</v>
      </c>
      <c r="E11" s="411">
        <v>0.0</v>
      </c>
      <c r="F11" s="411">
        <v>1.5</v>
      </c>
      <c r="G11" s="414">
        <v>250.0</v>
      </c>
      <c r="H11" s="414">
        <v>0.0</v>
      </c>
      <c r="I11" s="415">
        <f t="shared" si="1"/>
        <v>906.4583333</v>
      </c>
    </row>
    <row r="12">
      <c r="A12" s="405">
        <v>45748.0</v>
      </c>
      <c r="B12" s="411" t="s">
        <v>2968</v>
      </c>
      <c r="C12" s="414">
        <v>465.0</v>
      </c>
      <c r="D12" s="411">
        <v>10.0</v>
      </c>
      <c r="E12" s="411">
        <v>1.0</v>
      </c>
      <c r="F12" s="411">
        <v>1.5</v>
      </c>
      <c r="G12" s="414">
        <v>0.0</v>
      </c>
      <c r="H12" s="414">
        <v>42.0</v>
      </c>
      <c r="I12" s="415">
        <f t="shared" si="1"/>
        <v>500.5</v>
      </c>
    </row>
    <row r="13">
      <c r="A13" s="405">
        <v>45748.0</v>
      </c>
      <c r="B13" s="411" t="s">
        <v>2966</v>
      </c>
      <c r="C13" s="414">
        <v>378.0</v>
      </c>
      <c r="D13" s="411">
        <v>20.0</v>
      </c>
      <c r="E13" s="411">
        <v>0.0</v>
      </c>
      <c r="F13" s="411">
        <v>0.0</v>
      </c>
      <c r="G13" s="414">
        <v>0.0</v>
      </c>
      <c r="H13" s="414">
        <v>0.0</v>
      </c>
      <c r="I13" s="415">
        <f t="shared" si="1"/>
        <v>362.25</v>
      </c>
    </row>
    <row r="14">
      <c r="A14" s="405">
        <v>45748.0</v>
      </c>
      <c r="B14" s="411" t="s">
        <v>2967</v>
      </c>
      <c r="C14" s="414">
        <v>390.0</v>
      </c>
      <c r="D14" s="411">
        <v>0.0</v>
      </c>
      <c r="E14" s="411">
        <v>0.0</v>
      </c>
      <c r="F14" s="411">
        <v>0.0</v>
      </c>
      <c r="G14" s="414">
        <v>0.0</v>
      </c>
      <c r="H14" s="414">
        <v>0.0</v>
      </c>
      <c r="I14" s="415">
        <f t="shared" si="1"/>
        <v>390</v>
      </c>
    </row>
    <row r="15">
      <c r="A15" s="405">
        <v>45748.0</v>
      </c>
      <c r="B15" s="411" t="s">
        <v>2969</v>
      </c>
      <c r="C15" s="414">
        <v>685.0</v>
      </c>
      <c r="D15" s="411">
        <v>0.0</v>
      </c>
      <c r="E15" s="411">
        <v>0.0</v>
      </c>
      <c r="F15" s="411">
        <v>0.0</v>
      </c>
      <c r="G15" s="414">
        <v>0.0</v>
      </c>
      <c r="H15" s="414">
        <v>0.0</v>
      </c>
      <c r="I15" s="415">
        <f t="shared" si="1"/>
        <v>685</v>
      </c>
    </row>
    <row r="16">
      <c r="A16" s="405">
        <v>45749.0</v>
      </c>
      <c r="B16" s="411" t="s">
        <v>2968</v>
      </c>
      <c r="C16" s="414">
        <v>465.0</v>
      </c>
      <c r="D16" s="411">
        <v>15.0</v>
      </c>
      <c r="E16" s="411">
        <v>2.0</v>
      </c>
      <c r="F16" s="411">
        <v>1.5</v>
      </c>
      <c r="G16" s="414">
        <v>100.0</v>
      </c>
      <c r="H16" s="414">
        <v>42.0</v>
      </c>
      <c r="I16" s="415">
        <f t="shared" si="1"/>
        <v>682.84375</v>
      </c>
    </row>
    <row r="17">
      <c r="A17" s="405">
        <v>45749.0</v>
      </c>
      <c r="B17" s="411" t="s">
        <v>2966</v>
      </c>
      <c r="C17" s="414">
        <v>378.0</v>
      </c>
      <c r="D17" s="411">
        <v>10.0</v>
      </c>
      <c r="E17" s="411">
        <v>0.0</v>
      </c>
      <c r="F17" s="411">
        <v>0.0</v>
      </c>
      <c r="G17" s="414">
        <v>0.0</v>
      </c>
      <c r="H17" s="414">
        <v>0.0</v>
      </c>
      <c r="I17" s="415">
        <f t="shared" si="1"/>
        <v>370.125</v>
      </c>
    </row>
    <row r="18">
      <c r="A18" s="405">
        <v>45749.0</v>
      </c>
      <c r="B18" s="411" t="s">
        <v>2967</v>
      </c>
      <c r="C18" s="414">
        <v>390.0</v>
      </c>
      <c r="D18" s="411">
        <v>0.0</v>
      </c>
      <c r="E18" s="411">
        <v>0.0</v>
      </c>
      <c r="F18" s="411">
        <v>0.0</v>
      </c>
      <c r="G18" s="414">
        <v>0.0</v>
      </c>
      <c r="H18" s="414">
        <v>0.0</v>
      </c>
      <c r="I18" s="415">
        <f t="shared" si="1"/>
        <v>390</v>
      </c>
    </row>
    <row r="19">
      <c r="A19" s="405">
        <v>45749.0</v>
      </c>
      <c r="B19" s="411" t="s">
        <v>2969</v>
      </c>
      <c r="C19" s="414">
        <v>685.0</v>
      </c>
      <c r="D19" s="411">
        <v>0.0</v>
      </c>
      <c r="E19" s="411">
        <v>0.0</v>
      </c>
      <c r="F19" s="411">
        <v>0.0</v>
      </c>
      <c r="G19" s="414">
        <v>0.0</v>
      </c>
      <c r="H19" s="414">
        <v>0.0</v>
      </c>
      <c r="I19" s="415">
        <f t="shared" si="1"/>
        <v>685</v>
      </c>
    </row>
    <row r="20">
      <c r="A20" s="416"/>
      <c r="B20" s="407"/>
      <c r="C20" s="406"/>
      <c r="D20" s="407"/>
      <c r="E20" s="407"/>
      <c r="F20" s="407"/>
      <c r="G20" s="406"/>
      <c r="H20" s="406"/>
      <c r="I20" s="415" t="str">
        <f t="shared" si="1"/>
        <v/>
      </c>
    </row>
    <row r="21">
      <c r="A21" s="416"/>
      <c r="B21" s="407"/>
      <c r="C21" s="406"/>
      <c r="D21" s="407"/>
      <c r="E21" s="407"/>
      <c r="F21" s="407"/>
      <c r="G21" s="406"/>
      <c r="H21" s="406"/>
      <c r="I21" s="415" t="str">
        <f t="shared" si="1"/>
        <v/>
      </c>
    </row>
    <row r="22">
      <c r="A22" s="416"/>
      <c r="B22" s="407"/>
      <c r="C22" s="406"/>
      <c r="D22" s="407"/>
      <c r="E22" s="407"/>
      <c r="F22" s="407"/>
      <c r="G22" s="406"/>
      <c r="H22" s="406"/>
      <c r="I22" s="415" t="str">
        <f t="shared" si="1"/>
        <v/>
      </c>
    </row>
    <row r="23">
      <c r="A23" s="416"/>
      <c r="B23" s="407"/>
      <c r="C23" s="406"/>
      <c r="D23" s="407"/>
      <c r="E23" s="407"/>
      <c r="F23" s="407"/>
      <c r="G23" s="406"/>
      <c r="H23" s="406"/>
      <c r="I23" s="415" t="str">
        <f t="shared" si="1"/>
        <v/>
      </c>
    </row>
    <row r="24">
      <c r="A24" s="416"/>
      <c r="B24" s="407"/>
      <c r="C24" s="406"/>
      <c r="D24" s="407"/>
      <c r="E24" s="407"/>
      <c r="F24" s="407"/>
      <c r="G24" s="406"/>
      <c r="H24" s="406"/>
      <c r="I24" s="415" t="str">
        <f t="shared" si="1"/>
        <v/>
      </c>
    </row>
    <row r="25">
      <c r="A25" s="416"/>
      <c r="B25" s="407"/>
      <c r="C25" s="406"/>
      <c r="D25" s="407"/>
      <c r="E25" s="407"/>
      <c r="F25" s="407"/>
      <c r="G25" s="406"/>
      <c r="H25" s="406"/>
      <c r="I25" s="415" t="str">
        <f t="shared" si="1"/>
        <v/>
      </c>
    </row>
    <row r="26">
      <c r="A26" s="416"/>
      <c r="B26" s="407"/>
      <c r="C26" s="406"/>
      <c r="D26" s="407"/>
      <c r="E26" s="407"/>
      <c r="F26" s="407"/>
      <c r="G26" s="406"/>
      <c r="H26" s="406"/>
      <c r="I26" s="415" t="str">
        <f t="shared" si="1"/>
        <v/>
      </c>
    </row>
    <row r="27">
      <c r="A27" s="416"/>
      <c r="B27" s="407"/>
      <c r="C27" s="406"/>
      <c r="D27" s="407"/>
      <c r="E27" s="407"/>
      <c r="F27" s="407"/>
      <c r="G27" s="406"/>
      <c r="H27" s="406"/>
      <c r="I27" s="415" t="str">
        <f t="shared" si="1"/>
        <v/>
      </c>
    </row>
    <row r="28">
      <c r="A28" s="416"/>
      <c r="B28" s="407"/>
      <c r="C28" s="406"/>
      <c r="D28" s="407"/>
      <c r="E28" s="407"/>
      <c r="F28" s="407"/>
      <c r="G28" s="406"/>
      <c r="H28" s="406"/>
      <c r="I28" s="415" t="str">
        <f t="shared" si="1"/>
        <v/>
      </c>
    </row>
    <row r="29">
      <c r="A29" s="416"/>
      <c r="B29" s="407"/>
      <c r="C29" s="406"/>
      <c r="D29" s="407"/>
      <c r="E29" s="407"/>
      <c r="F29" s="407"/>
      <c r="G29" s="406"/>
      <c r="H29" s="406"/>
      <c r="I29" s="415" t="str">
        <f t="shared" si="1"/>
        <v/>
      </c>
    </row>
    <row r="30">
      <c r="A30" s="416"/>
      <c r="B30" s="407"/>
      <c r="C30" s="406"/>
      <c r="D30" s="407"/>
      <c r="E30" s="407"/>
      <c r="F30" s="407"/>
      <c r="G30" s="406"/>
      <c r="H30" s="406"/>
      <c r="I30" s="415" t="str">
        <f t="shared" si="1"/>
        <v/>
      </c>
    </row>
    <row r="31">
      <c r="A31" s="416"/>
      <c r="B31" s="407"/>
      <c r="C31" s="406"/>
      <c r="D31" s="407"/>
      <c r="E31" s="407"/>
      <c r="F31" s="407"/>
      <c r="G31" s="406"/>
      <c r="H31" s="406"/>
      <c r="I31" s="415" t="str">
        <f t="shared" si="1"/>
        <v/>
      </c>
    </row>
    <row r="32">
      <c r="A32" s="416"/>
      <c r="B32" s="407"/>
      <c r="C32" s="406"/>
      <c r="D32" s="407"/>
      <c r="E32" s="407"/>
      <c r="F32" s="407"/>
      <c r="G32" s="406"/>
      <c r="H32" s="406"/>
      <c r="I32" s="415" t="str">
        <f t="shared" si="1"/>
        <v/>
      </c>
    </row>
    <row r="33">
      <c r="A33" s="416"/>
      <c r="B33" s="407"/>
      <c r="C33" s="406"/>
      <c r="D33" s="407"/>
      <c r="E33" s="407"/>
      <c r="F33" s="407"/>
      <c r="G33" s="406"/>
      <c r="H33" s="406"/>
      <c r="I33" s="415" t="str">
        <f t="shared" si="1"/>
        <v/>
      </c>
    </row>
    <row r="34">
      <c r="A34" s="416"/>
      <c r="B34" s="407"/>
      <c r="C34" s="406"/>
      <c r="D34" s="407"/>
      <c r="E34" s="407"/>
      <c r="F34" s="407"/>
      <c r="G34" s="406"/>
      <c r="H34" s="406"/>
      <c r="I34" s="415" t="str">
        <f t="shared" si="1"/>
        <v/>
      </c>
    </row>
    <row r="35">
      <c r="A35" s="416"/>
      <c r="B35" s="407"/>
      <c r="C35" s="406"/>
      <c r="D35" s="407"/>
      <c r="E35" s="407"/>
      <c r="F35" s="407"/>
      <c r="G35" s="406"/>
      <c r="H35" s="406"/>
      <c r="I35" s="415" t="str">
        <f t="shared" si="1"/>
        <v/>
      </c>
    </row>
    <row r="36">
      <c r="A36" s="416"/>
      <c r="B36" s="407"/>
      <c r="C36" s="406"/>
      <c r="D36" s="407"/>
      <c r="E36" s="407"/>
      <c r="F36" s="407"/>
      <c r="G36" s="406"/>
      <c r="H36" s="406"/>
      <c r="I36" s="415" t="str">
        <f t="shared" si="1"/>
        <v/>
      </c>
    </row>
    <row r="37">
      <c r="A37" s="416"/>
      <c r="B37" s="407"/>
      <c r="C37" s="406"/>
      <c r="D37" s="407"/>
      <c r="E37" s="407"/>
      <c r="F37" s="407"/>
      <c r="G37" s="406"/>
      <c r="H37" s="406"/>
      <c r="I37" s="415" t="str">
        <f t="shared" si="1"/>
        <v/>
      </c>
    </row>
    <row r="38">
      <c r="A38" s="416"/>
      <c r="B38" s="407"/>
      <c r="C38" s="406"/>
      <c r="D38" s="407"/>
      <c r="E38" s="407"/>
      <c r="F38" s="407"/>
      <c r="G38" s="406"/>
      <c r="H38" s="406"/>
      <c r="I38" s="415" t="str">
        <f t="shared" si="1"/>
        <v/>
      </c>
    </row>
    <row r="39">
      <c r="A39" s="416"/>
      <c r="B39" s="407"/>
      <c r="C39" s="406"/>
      <c r="D39" s="407"/>
      <c r="E39" s="407"/>
      <c r="F39" s="407"/>
      <c r="G39" s="406"/>
      <c r="H39" s="406"/>
      <c r="I39" s="415" t="str">
        <f t="shared" si="1"/>
        <v/>
      </c>
    </row>
    <row r="40">
      <c r="A40" s="416"/>
      <c r="B40" s="407"/>
      <c r="C40" s="406"/>
      <c r="D40" s="407"/>
      <c r="E40" s="407"/>
      <c r="F40" s="407"/>
      <c r="G40" s="406"/>
      <c r="H40" s="406"/>
      <c r="I40" s="415" t="str">
        <f t="shared" si="1"/>
        <v/>
      </c>
    </row>
    <row r="41">
      <c r="A41" s="416"/>
      <c r="B41" s="407"/>
      <c r="C41" s="406"/>
      <c r="D41" s="407"/>
      <c r="E41" s="407"/>
      <c r="F41" s="407"/>
      <c r="G41" s="406"/>
      <c r="H41" s="406"/>
      <c r="I41" s="415" t="str">
        <f t="shared" si="1"/>
        <v/>
      </c>
    </row>
    <row r="42">
      <c r="A42" s="416"/>
      <c r="B42" s="407"/>
      <c r="C42" s="406"/>
      <c r="D42" s="407"/>
      <c r="E42" s="407"/>
      <c r="F42" s="407"/>
      <c r="G42" s="406"/>
      <c r="H42" s="406"/>
      <c r="I42" s="415" t="str">
        <f t="shared" si="1"/>
        <v/>
      </c>
    </row>
    <row r="43">
      <c r="A43" s="416"/>
      <c r="B43" s="407"/>
      <c r="C43" s="406"/>
      <c r="D43" s="407"/>
      <c r="E43" s="407"/>
      <c r="F43" s="407"/>
      <c r="G43" s="406"/>
      <c r="H43" s="406"/>
      <c r="I43" s="415" t="str">
        <f t="shared" si="1"/>
        <v/>
      </c>
    </row>
    <row r="44">
      <c r="A44" s="416"/>
      <c r="B44" s="407"/>
      <c r="C44" s="406"/>
      <c r="D44" s="407"/>
      <c r="E44" s="407"/>
      <c r="F44" s="407"/>
      <c r="G44" s="406"/>
      <c r="H44" s="406"/>
      <c r="I44" s="415" t="str">
        <f t="shared" si="1"/>
        <v/>
      </c>
    </row>
    <row r="45">
      <c r="A45" s="416"/>
      <c r="B45" s="407"/>
      <c r="C45" s="406"/>
      <c r="D45" s="407"/>
      <c r="E45" s="407"/>
      <c r="F45" s="407"/>
      <c r="G45" s="406"/>
      <c r="H45" s="406"/>
      <c r="I45" s="415" t="str">
        <f t="shared" si="1"/>
        <v/>
      </c>
    </row>
    <row r="46">
      <c r="A46" s="416"/>
      <c r="B46" s="407"/>
      <c r="C46" s="406"/>
      <c r="D46" s="407"/>
      <c r="E46" s="407"/>
      <c r="F46" s="407"/>
      <c r="G46" s="406"/>
      <c r="H46" s="406"/>
      <c r="I46" s="415" t="str">
        <f t="shared" si="1"/>
        <v/>
      </c>
    </row>
    <row r="47">
      <c r="A47" s="416"/>
      <c r="B47" s="407"/>
      <c r="C47" s="406"/>
      <c r="D47" s="407"/>
      <c r="E47" s="407"/>
      <c r="F47" s="407"/>
      <c r="G47" s="406"/>
      <c r="H47" s="406"/>
      <c r="I47" s="415" t="str">
        <f t="shared" si="1"/>
        <v/>
      </c>
    </row>
    <row r="48">
      <c r="A48" s="416"/>
      <c r="B48" s="407"/>
      <c r="C48" s="406"/>
      <c r="D48" s="407"/>
      <c r="E48" s="407"/>
      <c r="F48" s="407"/>
      <c r="G48" s="406"/>
      <c r="H48" s="406"/>
      <c r="I48" s="415" t="str">
        <f t="shared" si="1"/>
        <v/>
      </c>
    </row>
    <row r="49">
      <c r="A49" s="416"/>
      <c r="B49" s="407"/>
      <c r="C49" s="406"/>
      <c r="D49" s="407"/>
      <c r="E49" s="407"/>
      <c r="F49" s="407"/>
      <c r="G49" s="406"/>
      <c r="H49" s="406"/>
      <c r="I49" s="415" t="str">
        <f t="shared" si="1"/>
        <v/>
      </c>
    </row>
    <row r="50">
      <c r="A50" s="416"/>
      <c r="B50" s="407"/>
      <c r="C50" s="406"/>
      <c r="D50" s="407"/>
      <c r="E50" s="407"/>
      <c r="F50" s="407"/>
      <c r="G50" s="406"/>
      <c r="H50" s="406"/>
      <c r="I50" s="415" t="str">
        <f t="shared" si="1"/>
        <v/>
      </c>
    </row>
    <row r="51">
      <c r="A51" s="416"/>
      <c r="B51" s="407"/>
      <c r="C51" s="406"/>
      <c r="D51" s="407"/>
      <c r="E51" s="407"/>
      <c r="F51" s="407"/>
      <c r="G51" s="406"/>
      <c r="H51" s="406"/>
      <c r="I51" s="415" t="str">
        <f t="shared" si="1"/>
        <v/>
      </c>
    </row>
    <row r="52">
      <c r="A52" s="416"/>
      <c r="B52" s="407"/>
      <c r="C52" s="406"/>
      <c r="D52" s="407"/>
      <c r="E52" s="407"/>
      <c r="F52" s="407"/>
      <c r="G52" s="406"/>
      <c r="H52" s="406"/>
      <c r="I52" s="415" t="str">
        <f t="shared" si="1"/>
        <v/>
      </c>
    </row>
    <row r="53">
      <c r="A53" s="416"/>
      <c r="B53" s="407"/>
      <c r="C53" s="406"/>
      <c r="D53" s="407"/>
      <c r="E53" s="407"/>
      <c r="F53" s="407"/>
      <c r="G53" s="406"/>
      <c r="H53" s="406"/>
      <c r="I53" s="415" t="str">
        <f t="shared" si="1"/>
        <v/>
      </c>
    </row>
    <row r="54">
      <c r="A54" s="416"/>
      <c r="B54" s="407"/>
      <c r="C54" s="406"/>
      <c r="D54" s="407"/>
      <c r="E54" s="407"/>
      <c r="F54" s="407"/>
      <c r="G54" s="406"/>
      <c r="H54" s="406"/>
      <c r="I54" s="415" t="str">
        <f t="shared" si="1"/>
        <v/>
      </c>
    </row>
    <row r="55">
      <c r="A55" s="416"/>
      <c r="B55" s="407"/>
      <c r="C55" s="406"/>
      <c r="D55" s="407"/>
      <c r="E55" s="407"/>
      <c r="F55" s="407"/>
      <c r="G55" s="406"/>
      <c r="H55" s="406"/>
      <c r="I55" s="415" t="str">
        <f t="shared" si="1"/>
        <v/>
      </c>
    </row>
    <row r="56">
      <c r="A56" s="416"/>
      <c r="B56" s="407"/>
      <c r="C56" s="406"/>
      <c r="D56" s="407"/>
      <c r="E56" s="407"/>
      <c r="F56" s="407"/>
      <c r="G56" s="406"/>
      <c r="H56" s="406"/>
      <c r="I56" s="415" t="str">
        <f t="shared" si="1"/>
        <v/>
      </c>
    </row>
    <row r="57">
      <c r="A57" s="416"/>
      <c r="B57" s="407"/>
      <c r="C57" s="406"/>
      <c r="D57" s="407"/>
      <c r="E57" s="407"/>
      <c r="F57" s="407"/>
      <c r="G57" s="406"/>
      <c r="H57" s="406"/>
      <c r="I57" s="415" t="str">
        <f t="shared" si="1"/>
        <v/>
      </c>
    </row>
    <row r="58">
      <c r="A58" s="416"/>
      <c r="B58" s="407"/>
      <c r="C58" s="406"/>
      <c r="D58" s="407"/>
      <c r="E58" s="407"/>
      <c r="F58" s="407"/>
      <c r="G58" s="406"/>
      <c r="H58" s="406"/>
      <c r="I58" s="415" t="str">
        <f t="shared" si="1"/>
        <v/>
      </c>
    </row>
    <row r="59">
      <c r="A59" s="416"/>
      <c r="B59" s="407"/>
      <c r="C59" s="406"/>
      <c r="D59" s="407"/>
      <c r="E59" s="407"/>
      <c r="F59" s="407"/>
      <c r="G59" s="406"/>
      <c r="H59" s="406"/>
      <c r="I59" s="415" t="str">
        <f t="shared" si="1"/>
        <v/>
      </c>
    </row>
    <row r="60">
      <c r="A60" s="416"/>
      <c r="B60" s="407"/>
      <c r="C60" s="406"/>
      <c r="D60" s="407"/>
      <c r="E60" s="407"/>
      <c r="F60" s="407"/>
      <c r="G60" s="406"/>
      <c r="H60" s="406"/>
      <c r="I60" s="415" t="str">
        <f t="shared" si="1"/>
        <v/>
      </c>
    </row>
    <row r="61">
      <c r="A61" s="416"/>
      <c r="B61" s="407"/>
      <c r="C61" s="406"/>
      <c r="D61" s="407"/>
      <c r="E61" s="407"/>
      <c r="F61" s="407"/>
      <c r="G61" s="406"/>
      <c r="H61" s="406"/>
      <c r="I61" s="415" t="str">
        <f t="shared" si="1"/>
        <v/>
      </c>
    </row>
    <row r="62">
      <c r="A62" s="416"/>
      <c r="B62" s="407"/>
      <c r="C62" s="406"/>
      <c r="D62" s="407"/>
      <c r="E62" s="407"/>
      <c r="F62" s="407"/>
      <c r="G62" s="406"/>
      <c r="H62" s="406"/>
      <c r="I62" s="415" t="str">
        <f t="shared" si="1"/>
        <v/>
      </c>
    </row>
    <row r="63">
      <c r="A63" s="416"/>
      <c r="B63" s="407"/>
      <c r="C63" s="406"/>
      <c r="D63" s="407"/>
      <c r="E63" s="407"/>
      <c r="F63" s="407"/>
      <c r="G63" s="406"/>
      <c r="H63" s="406"/>
      <c r="I63" s="415" t="str">
        <f t="shared" si="1"/>
        <v/>
      </c>
    </row>
    <row r="64">
      <c r="A64" s="416"/>
      <c r="B64" s="407"/>
      <c r="C64" s="406"/>
      <c r="D64" s="407"/>
      <c r="E64" s="407"/>
      <c r="F64" s="407"/>
      <c r="G64" s="406"/>
      <c r="H64" s="406"/>
      <c r="I64" s="415" t="str">
        <f t="shared" si="1"/>
        <v/>
      </c>
    </row>
    <row r="65">
      <c r="A65" s="416"/>
      <c r="B65" s="407"/>
      <c r="C65" s="406"/>
      <c r="D65" s="407"/>
      <c r="E65" s="407"/>
      <c r="F65" s="407"/>
      <c r="G65" s="406"/>
      <c r="H65" s="406"/>
      <c r="I65" s="415" t="str">
        <f t="shared" si="1"/>
        <v/>
      </c>
    </row>
    <row r="66">
      <c r="A66" s="416"/>
      <c r="B66" s="407"/>
      <c r="C66" s="406"/>
      <c r="D66" s="407"/>
      <c r="E66" s="407"/>
      <c r="F66" s="407"/>
      <c r="G66" s="406"/>
      <c r="H66" s="406"/>
      <c r="I66" s="415" t="str">
        <f t="shared" si="1"/>
        <v/>
      </c>
    </row>
    <row r="67">
      <c r="A67" s="416"/>
      <c r="B67" s="407"/>
      <c r="C67" s="406"/>
      <c r="D67" s="407"/>
      <c r="E67" s="407"/>
      <c r="F67" s="407"/>
      <c r="G67" s="406"/>
      <c r="H67" s="406"/>
      <c r="I67" s="415" t="str">
        <f t="shared" si="1"/>
        <v/>
      </c>
    </row>
    <row r="68">
      <c r="A68" s="416"/>
      <c r="B68" s="407"/>
      <c r="C68" s="406"/>
      <c r="D68" s="407"/>
      <c r="E68" s="407"/>
      <c r="F68" s="407"/>
      <c r="G68" s="406"/>
      <c r="H68" s="406"/>
      <c r="I68" s="415" t="str">
        <f t="shared" si="1"/>
        <v/>
      </c>
    </row>
    <row r="69">
      <c r="A69" s="416"/>
      <c r="B69" s="407"/>
      <c r="C69" s="406"/>
      <c r="D69" s="407"/>
      <c r="E69" s="407"/>
      <c r="F69" s="407"/>
      <c r="G69" s="406"/>
      <c r="H69" s="406"/>
      <c r="I69" s="415" t="str">
        <f t="shared" si="1"/>
        <v/>
      </c>
    </row>
    <row r="70">
      <c r="A70" s="416"/>
      <c r="B70" s="407"/>
      <c r="C70" s="406"/>
      <c r="D70" s="407"/>
      <c r="E70" s="407"/>
      <c r="F70" s="407"/>
      <c r="G70" s="406"/>
      <c r="H70" s="406"/>
      <c r="I70" s="415" t="str">
        <f t="shared" si="1"/>
        <v/>
      </c>
    </row>
    <row r="71">
      <c r="A71" s="416"/>
      <c r="B71" s="407"/>
      <c r="C71" s="406"/>
      <c r="D71" s="407"/>
      <c r="E71" s="407"/>
      <c r="F71" s="407"/>
      <c r="G71" s="406"/>
      <c r="H71" s="406"/>
      <c r="I71" s="415" t="str">
        <f t="shared" si="1"/>
        <v/>
      </c>
    </row>
    <row r="72">
      <c r="A72" s="416"/>
      <c r="B72" s="407"/>
      <c r="C72" s="406"/>
      <c r="D72" s="407"/>
      <c r="E72" s="407"/>
      <c r="F72" s="407"/>
      <c r="G72" s="406"/>
      <c r="H72" s="406"/>
      <c r="I72" s="415" t="str">
        <f t="shared" si="1"/>
        <v/>
      </c>
    </row>
    <row r="73">
      <c r="A73" s="416"/>
      <c r="B73" s="407"/>
      <c r="C73" s="406"/>
      <c r="D73" s="407"/>
      <c r="E73" s="407"/>
      <c r="F73" s="407"/>
      <c r="G73" s="406"/>
      <c r="H73" s="406"/>
      <c r="I73" s="415" t="str">
        <f t="shared" si="1"/>
        <v/>
      </c>
    </row>
    <row r="74">
      <c r="A74" s="416"/>
      <c r="B74" s="407"/>
      <c r="C74" s="406"/>
      <c r="D74" s="407"/>
      <c r="E74" s="407"/>
      <c r="F74" s="407"/>
      <c r="G74" s="406"/>
      <c r="H74" s="406"/>
      <c r="I74" s="415" t="str">
        <f t="shared" si="1"/>
        <v/>
      </c>
    </row>
    <row r="75">
      <c r="A75" s="416"/>
      <c r="B75" s="407"/>
      <c r="C75" s="406"/>
      <c r="D75" s="407"/>
      <c r="E75" s="407"/>
      <c r="F75" s="407"/>
      <c r="G75" s="406"/>
      <c r="H75" s="406"/>
      <c r="I75" s="415" t="str">
        <f t="shared" si="1"/>
        <v/>
      </c>
    </row>
    <row r="76">
      <c r="A76" s="416"/>
      <c r="B76" s="407"/>
      <c r="C76" s="406"/>
      <c r="D76" s="407"/>
      <c r="E76" s="407"/>
      <c r="F76" s="407"/>
      <c r="G76" s="406"/>
      <c r="H76" s="406"/>
      <c r="I76" s="415" t="str">
        <f t="shared" si="1"/>
        <v/>
      </c>
    </row>
    <row r="77">
      <c r="A77" s="416"/>
      <c r="B77" s="407"/>
      <c r="C77" s="406"/>
      <c r="D77" s="407"/>
      <c r="E77" s="407"/>
      <c r="F77" s="407"/>
      <c r="G77" s="406"/>
      <c r="H77" s="406"/>
      <c r="I77" s="415" t="str">
        <f t="shared" si="1"/>
        <v/>
      </c>
    </row>
    <row r="78">
      <c r="A78" s="416"/>
      <c r="B78" s="407"/>
      <c r="C78" s="406"/>
      <c r="D78" s="407"/>
      <c r="E78" s="407"/>
      <c r="F78" s="407"/>
      <c r="G78" s="406"/>
      <c r="H78" s="406"/>
      <c r="I78" s="415" t="str">
        <f t="shared" si="1"/>
        <v/>
      </c>
    </row>
    <row r="79">
      <c r="A79" s="416"/>
      <c r="B79" s="407"/>
      <c r="C79" s="406"/>
      <c r="D79" s="407"/>
      <c r="E79" s="407"/>
      <c r="F79" s="407"/>
      <c r="G79" s="406"/>
      <c r="H79" s="406"/>
      <c r="I79" s="415" t="str">
        <f t="shared" si="1"/>
        <v/>
      </c>
    </row>
    <row r="80">
      <c r="A80" s="416"/>
      <c r="B80" s="407"/>
      <c r="C80" s="406"/>
      <c r="D80" s="407"/>
      <c r="E80" s="407"/>
      <c r="F80" s="407"/>
      <c r="G80" s="406"/>
      <c r="H80" s="406"/>
      <c r="I80" s="415" t="str">
        <f t="shared" si="1"/>
        <v/>
      </c>
    </row>
    <row r="81">
      <c r="A81" s="416"/>
      <c r="B81" s="407"/>
      <c r="C81" s="406"/>
      <c r="D81" s="407"/>
      <c r="E81" s="407"/>
      <c r="F81" s="407"/>
      <c r="G81" s="406"/>
      <c r="H81" s="406"/>
      <c r="I81" s="415" t="str">
        <f t="shared" si="1"/>
        <v/>
      </c>
    </row>
    <row r="82">
      <c r="A82" s="416"/>
      <c r="B82" s="407"/>
      <c r="C82" s="406"/>
      <c r="D82" s="407"/>
      <c r="E82" s="407"/>
      <c r="F82" s="407"/>
      <c r="G82" s="406"/>
      <c r="H82" s="406"/>
      <c r="I82" s="415" t="str">
        <f t="shared" si="1"/>
        <v/>
      </c>
    </row>
    <row r="83">
      <c r="A83" s="416"/>
      <c r="B83" s="407"/>
      <c r="C83" s="406"/>
      <c r="D83" s="407"/>
      <c r="E83" s="407"/>
      <c r="F83" s="407"/>
      <c r="G83" s="406"/>
      <c r="H83" s="406"/>
      <c r="I83" s="415" t="str">
        <f t="shared" si="1"/>
        <v/>
      </c>
    </row>
    <row r="84">
      <c r="A84" s="416"/>
      <c r="B84" s="407"/>
      <c r="C84" s="406"/>
      <c r="D84" s="407"/>
      <c r="E84" s="407"/>
      <c r="F84" s="407"/>
      <c r="G84" s="406"/>
      <c r="H84" s="406"/>
      <c r="I84" s="415" t="str">
        <f t="shared" si="1"/>
        <v/>
      </c>
    </row>
    <row r="85">
      <c r="A85" s="416"/>
      <c r="B85" s="407"/>
      <c r="C85" s="406"/>
      <c r="D85" s="407"/>
      <c r="E85" s="407"/>
      <c r="F85" s="407"/>
      <c r="G85" s="406"/>
      <c r="H85" s="406"/>
      <c r="I85" s="415" t="str">
        <f t="shared" si="1"/>
        <v/>
      </c>
    </row>
    <row r="86">
      <c r="A86" s="416"/>
      <c r="B86" s="407"/>
      <c r="C86" s="406"/>
      <c r="D86" s="407"/>
      <c r="E86" s="407"/>
      <c r="F86" s="407"/>
      <c r="G86" s="406"/>
      <c r="H86" s="406"/>
      <c r="I86" s="415" t="str">
        <f t="shared" si="1"/>
        <v/>
      </c>
    </row>
    <row r="87">
      <c r="A87" s="416"/>
      <c r="B87" s="407"/>
      <c r="C87" s="406"/>
      <c r="D87" s="407"/>
      <c r="E87" s="407"/>
      <c r="F87" s="407"/>
      <c r="G87" s="406"/>
      <c r="H87" s="406"/>
      <c r="I87" s="415" t="str">
        <f t="shared" si="1"/>
        <v/>
      </c>
    </row>
    <row r="88">
      <c r="A88" s="416"/>
      <c r="B88" s="407"/>
      <c r="C88" s="406"/>
      <c r="D88" s="407"/>
      <c r="E88" s="407"/>
      <c r="F88" s="407"/>
      <c r="G88" s="406"/>
      <c r="H88" s="406"/>
      <c r="I88" s="415" t="str">
        <f t="shared" si="1"/>
        <v/>
      </c>
    </row>
    <row r="89">
      <c r="A89" s="416"/>
      <c r="B89" s="407"/>
      <c r="C89" s="406"/>
      <c r="D89" s="407"/>
      <c r="E89" s="407"/>
      <c r="F89" s="407"/>
      <c r="G89" s="406"/>
      <c r="H89" s="406"/>
      <c r="I89" s="415" t="str">
        <f t="shared" si="1"/>
        <v/>
      </c>
    </row>
    <row r="90">
      <c r="A90" s="416"/>
      <c r="B90" s="407"/>
      <c r="C90" s="406"/>
      <c r="D90" s="407"/>
      <c r="E90" s="407"/>
      <c r="F90" s="407"/>
      <c r="G90" s="406"/>
      <c r="H90" s="406"/>
      <c r="I90" s="415" t="str">
        <f t="shared" si="1"/>
        <v/>
      </c>
    </row>
    <row r="91">
      <c r="A91" s="416"/>
      <c r="B91" s="407"/>
      <c r="C91" s="406"/>
      <c r="D91" s="407"/>
      <c r="E91" s="407"/>
      <c r="F91" s="407"/>
      <c r="G91" s="406"/>
      <c r="H91" s="406"/>
      <c r="I91" s="415" t="str">
        <f t="shared" si="1"/>
        <v/>
      </c>
    </row>
    <row r="92">
      <c r="A92" s="416"/>
      <c r="B92" s="407"/>
      <c r="C92" s="406"/>
      <c r="D92" s="407"/>
      <c r="E92" s="407"/>
      <c r="F92" s="407"/>
      <c r="G92" s="406"/>
      <c r="H92" s="406"/>
      <c r="I92" s="415" t="str">
        <f t="shared" si="1"/>
        <v/>
      </c>
    </row>
    <row r="93">
      <c r="A93" s="416"/>
      <c r="B93" s="407"/>
      <c r="C93" s="406"/>
      <c r="D93" s="407"/>
      <c r="E93" s="407"/>
      <c r="F93" s="407"/>
      <c r="G93" s="406"/>
      <c r="H93" s="406"/>
      <c r="I93" s="415" t="str">
        <f t="shared" si="1"/>
        <v/>
      </c>
    </row>
    <row r="94">
      <c r="A94" s="416"/>
      <c r="B94" s="407"/>
      <c r="C94" s="406"/>
      <c r="D94" s="407"/>
      <c r="E94" s="407"/>
      <c r="F94" s="407"/>
      <c r="G94" s="406"/>
      <c r="H94" s="406"/>
      <c r="I94" s="415" t="str">
        <f t="shared" si="1"/>
        <v/>
      </c>
    </row>
    <row r="95">
      <c r="A95" s="416"/>
      <c r="B95" s="407"/>
      <c r="C95" s="406"/>
      <c r="D95" s="407"/>
      <c r="E95" s="407"/>
      <c r="F95" s="407"/>
      <c r="G95" s="406"/>
      <c r="H95" s="406"/>
      <c r="I95" s="415" t="str">
        <f t="shared" si="1"/>
        <v/>
      </c>
    </row>
    <row r="96">
      <c r="A96" s="416"/>
      <c r="B96" s="407"/>
      <c r="C96" s="406"/>
      <c r="D96" s="407"/>
      <c r="E96" s="407"/>
      <c r="F96" s="407"/>
      <c r="G96" s="406"/>
      <c r="H96" s="406"/>
      <c r="I96" s="415" t="str">
        <f t="shared" si="1"/>
        <v/>
      </c>
    </row>
    <row r="97">
      <c r="A97" s="416"/>
      <c r="B97" s="407"/>
      <c r="C97" s="406"/>
      <c r="D97" s="407"/>
      <c r="E97" s="407"/>
      <c r="F97" s="407"/>
      <c r="G97" s="406"/>
      <c r="H97" s="406"/>
      <c r="I97" s="415" t="str">
        <f t="shared" si="1"/>
        <v/>
      </c>
    </row>
    <row r="98">
      <c r="A98" s="416"/>
      <c r="B98" s="407"/>
      <c r="C98" s="406"/>
      <c r="D98" s="407"/>
      <c r="E98" s="407"/>
      <c r="F98" s="407"/>
      <c r="G98" s="406"/>
      <c r="H98" s="406"/>
      <c r="I98" s="415" t="str">
        <f t="shared" si="1"/>
        <v/>
      </c>
    </row>
    <row r="99">
      <c r="A99" s="416"/>
      <c r="B99" s="407"/>
      <c r="C99" s="406"/>
      <c r="D99" s="407"/>
      <c r="E99" s="407"/>
      <c r="F99" s="407"/>
      <c r="G99" s="406"/>
      <c r="H99" s="406"/>
      <c r="I99" s="415" t="str">
        <f t="shared" si="1"/>
        <v/>
      </c>
    </row>
    <row r="100">
      <c r="A100" s="416"/>
      <c r="B100" s="407"/>
      <c r="C100" s="406"/>
      <c r="D100" s="407"/>
      <c r="E100" s="407"/>
      <c r="F100" s="407"/>
      <c r="G100" s="406"/>
      <c r="H100" s="406"/>
      <c r="I100" s="415" t="str">
        <f t="shared" si="1"/>
        <v/>
      </c>
    </row>
    <row r="101">
      <c r="A101" s="416"/>
      <c r="B101" s="407"/>
      <c r="C101" s="406"/>
      <c r="D101" s="407"/>
      <c r="E101" s="407"/>
      <c r="F101" s="407"/>
      <c r="G101" s="406"/>
      <c r="H101" s="406"/>
      <c r="I101" s="415" t="str">
        <f t="shared" si="1"/>
        <v/>
      </c>
    </row>
    <row r="102">
      <c r="A102" s="416"/>
      <c r="B102" s="407"/>
      <c r="C102" s="406"/>
      <c r="D102" s="407"/>
      <c r="E102" s="407"/>
      <c r="F102" s="407"/>
      <c r="G102" s="406"/>
      <c r="H102" s="406"/>
      <c r="I102" s="415" t="str">
        <f t="shared" si="1"/>
        <v/>
      </c>
    </row>
    <row r="103">
      <c r="A103" s="416"/>
      <c r="B103" s="407"/>
      <c r="C103" s="406"/>
      <c r="D103" s="407"/>
      <c r="E103" s="407"/>
      <c r="F103" s="407"/>
      <c r="G103" s="406"/>
      <c r="H103" s="406"/>
      <c r="I103" s="415" t="str">
        <f t="shared" si="1"/>
        <v/>
      </c>
    </row>
    <row r="104">
      <c r="A104" s="416"/>
      <c r="B104" s="407"/>
      <c r="C104" s="406"/>
      <c r="D104" s="407"/>
      <c r="E104" s="407"/>
      <c r="F104" s="407"/>
      <c r="G104" s="406"/>
      <c r="H104" s="406"/>
      <c r="I104" s="415" t="str">
        <f t="shared" si="1"/>
        <v/>
      </c>
    </row>
    <row r="105">
      <c r="A105" s="416"/>
      <c r="B105" s="407"/>
      <c r="C105" s="406"/>
      <c r="D105" s="407"/>
      <c r="E105" s="407"/>
      <c r="F105" s="407"/>
      <c r="G105" s="406"/>
      <c r="H105" s="406"/>
      <c r="I105" s="415" t="str">
        <f t="shared" si="1"/>
        <v/>
      </c>
    </row>
    <row r="106">
      <c r="A106" s="416"/>
      <c r="B106" s="407"/>
      <c r="C106" s="406"/>
      <c r="D106" s="407"/>
      <c r="E106" s="407"/>
      <c r="F106" s="407"/>
      <c r="G106" s="406"/>
      <c r="H106" s="406"/>
      <c r="I106" s="415" t="str">
        <f t="shared" si="1"/>
        <v/>
      </c>
    </row>
    <row r="107">
      <c r="A107" s="416"/>
      <c r="B107" s="407"/>
      <c r="C107" s="406"/>
      <c r="D107" s="407"/>
      <c r="E107" s="407"/>
      <c r="F107" s="407"/>
      <c r="G107" s="406"/>
      <c r="H107" s="406"/>
      <c r="I107" s="415" t="str">
        <f t="shared" si="1"/>
        <v/>
      </c>
    </row>
    <row r="108">
      <c r="A108" s="416"/>
      <c r="B108" s="407"/>
      <c r="C108" s="406"/>
      <c r="D108" s="407"/>
      <c r="E108" s="407"/>
      <c r="F108" s="407"/>
      <c r="G108" s="406"/>
      <c r="H108" s="406"/>
      <c r="I108" s="415" t="str">
        <f t="shared" si="1"/>
        <v/>
      </c>
    </row>
    <row r="109">
      <c r="A109" s="416"/>
      <c r="B109" s="407"/>
      <c r="C109" s="406"/>
      <c r="D109" s="407"/>
      <c r="E109" s="407"/>
      <c r="F109" s="407"/>
      <c r="G109" s="406"/>
      <c r="H109" s="406"/>
      <c r="I109" s="415" t="str">
        <f t="shared" si="1"/>
        <v/>
      </c>
    </row>
    <row r="110">
      <c r="A110" s="416"/>
      <c r="B110" s="407"/>
      <c r="C110" s="406"/>
      <c r="D110" s="407"/>
      <c r="E110" s="407"/>
      <c r="F110" s="407"/>
      <c r="G110" s="406"/>
      <c r="H110" s="406"/>
      <c r="I110" s="415" t="str">
        <f t="shared" si="1"/>
        <v/>
      </c>
    </row>
    <row r="111">
      <c r="A111" s="416"/>
      <c r="B111" s="407"/>
      <c r="C111" s="406"/>
      <c r="D111" s="407"/>
      <c r="E111" s="407"/>
      <c r="F111" s="407"/>
      <c r="G111" s="406"/>
      <c r="H111" s="406"/>
      <c r="I111" s="415" t="str">
        <f t="shared" si="1"/>
        <v/>
      </c>
    </row>
    <row r="112">
      <c r="A112" s="416"/>
      <c r="B112" s="407"/>
      <c r="C112" s="406"/>
      <c r="D112" s="407"/>
      <c r="E112" s="407"/>
      <c r="F112" s="407"/>
      <c r="G112" s="406"/>
      <c r="H112" s="406"/>
      <c r="I112" s="415" t="str">
        <f t="shared" si="1"/>
        <v/>
      </c>
    </row>
    <row r="113">
      <c r="A113" s="416"/>
      <c r="B113" s="407"/>
      <c r="C113" s="406"/>
      <c r="D113" s="407"/>
      <c r="E113" s="407"/>
      <c r="F113" s="407"/>
      <c r="G113" s="406"/>
      <c r="H113" s="406"/>
      <c r="I113" s="415" t="str">
        <f t="shared" si="1"/>
        <v/>
      </c>
    </row>
    <row r="114">
      <c r="A114" s="416"/>
      <c r="B114" s="407"/>
      <c r="C114" s="406"/>
      <c r="D114" s="407"/>
      <c r="E114" s="407"/>
      <c r="F114" s="407"/>
      <c r="G114" s="406"/>
      <c r="H114" s="406"/>
      <c r="I114" s="415" t="str">
        <f t="shared" si="1"/>
        <v/>
      </c>
    </row>
    <row r="115">
      <c r="A115" s="416"/>
      <c r="B115" s="407"/>
      <c r="C115" s="406"/>
      <c r="D115" s="407"/>
      <c r="E115" s="407"/>
      <c r="F115" s="407"/>
      <c r="G115" s="406"/>
      <c r="H115" s="406"/>
      <c r="I115" s="415" t="str">
        <f t="shared" si="1"/>
        <v/>
      </c>
    </row>
    <row r="116">
      <c r="A116" s="416"/>
      <c r="B116" s="407"/>
      <c r="C116" s="406"/>
      <c r="D116" s="407"/>
      <c r="E116" s="407"/>
      <c r="F116" s="407"/>
      <c r="G116" s="406"/>
      <c r="H116" s="406"/>
      <c r="I116" s="415" t="str">
        <f t="shared" si="1"/>
        <v/>
      </c>
    </row>
    <row r="117">
      <c r="A117" s="416"/>
      <c r="B117" s="407"/>
      <c r="C117" s="406"/>
      <c r="D117" s="407"/>
      <c r="E117" s="407"/>
      <c r="F117" s="407"/>
      <c r="G117" s="406"/>
      <c r="H117" s="406"/>
      <c r="I117" s="415" t="str">
        <f t="shared" si="1"/>
        <v/>
      </c>
    </row>
    <row r="118">
      <c r="A118" s="416"/>
      <c r="B118" s="407"/>
      <c r="C118" s="406"/>
      <c r="D118" s="407"/>
      <c r="E118" s="407"/>
      <c r="F118" s="407"/>
      <c r="G118" s="406"/>
      <c r="H118" s="406"/>
      <c r="I118" s="415" t="str">
        <f t="shared" si="1"/>
        <v/>
      </c>
    </row>
    <row r="119">
      <c r="A119" s="416"/>
      <c r="B119" s="407"/>
      <c r="C119" s="406"/>
      <c r="D119" s="407"/>
      <c r="E119" s="407"/>
      <c r="F119" s="407"/>
      <c r="G119" s="406"/>
      <c r="H119" s="406"/>
      <c r="I119" s="415" t="str">
        <f t="shared" si="1"/>
        <v/>
      </c>
    </row>
    <row r="120">
      <c r="A120" s="416"/>
      <c r="B120" s="407"/>
      <c r="C120" s="406"/>
      <c r="D120" s="407"/>
      <c r="E120" s="407"/>
      <c r="F120" s="407"/>
      <c r="G120" s="406"/>
      <c r="H120" s="406"/>
      <c r="I120" s="415" t="str">
        <f t="shared" si="1"/>
        <v/>
      </c>
    </row>
    <row r="121">
      <c r="A121" s="416"/>
      <c r="B121" s="407"/>
      <c r="C121" s="406"/>
      <c r="D121" s="407"/>
      <c r="E121" s="407"/>
      <c r="F121" s="407"/>
      <c r="G121" s="406"/>
      <c r="H121" s="406"/>
      <c r="I121" s="415" t="str">
        <f t="shared" si="1"/>
        <v/>
      </c>
    </row>
    <row r="122">
      <c r="A122" s="416"/>
      <c r="B122" s="407"/>
      <c r="C122" s="406"/>
      <c r="D122" s="407"/>
      <c r="E122" s="407"/>
      <c r="F122" s="407"/>
      <c r="G122" s="406"/>
      <c r="H122" s="406"/>
      <c r="I122" s="415" t="str">
        <f t="shared" si="1"/>
        <v/>
      </c>
    </row>
    <row r="123">
      <c r="A123" s="416"/>
      <c r="B123" s="407"/>
      <c r="C123" s="406"/>
      <c r="D123" s="407"/>
      <c r="E123" s="407"/>
      <c r="F123" s="407"/>
      <c r="G123" s="406"/>
      <c r="H123" s="406"/>
      <c r="I123" s="415" t="str">
        <f t="shared" si="1"/>
        <v/>
      </c>
    </row>
    <row r="124">
      <c r="A124" s="416"/>
      <c r="B124" s="407"/>
      <c r="C124" s="406"/>
      <c r="D124" s="407"/>
      <c r="E124" s="407"/>
      <c r="F124" s="407"/>
      <c r="G124" s="406"/>
      <c r="H124" s="406"/>
      <c r="I124" s="415" t="str">
        <f t="shared" si="1"/>
        <v/>
      </c>
    </row>
    <row r="125">
      <c r="A125" s="416"/>
      <c r="B125" s="407"/>
      <c r="C125" s="406"/>
      <c r="D125" s="407"/>
      <c r="E125" s="407"/>
      <c r="F125" s="407"/>
      <c r="G125" s="406"/>
      <c r="H125" s="406"/>
      <c r="I125" s="415" t="str">
        <f t="shared" si="1"/>
        <v/>
      </c>
    </row>
    <row r="126">
      <c r="A126" s="416"/>
      <c r="B126" s="407"/>
      <c r="C126" s="406"/>
      <c r="D126" s="407"/>
      <c r="E126" s="407"/>
      <c r="F126" s="407"/>
      <c r="G126" s="406"/>
      <c r="H126" s="406"/>
      <c r="I126" s="415" t="str">
        <f t="shared" si="1"/>
        <v/>
      </c>
    </row>
    <row r="127">
      <c r="A127" s="416"/>
      <c r="B127" s="407"/>
      <c r="C127" s="406"/>
      <c r="D127" s="407"/>
      <c r="E127" s="407"/>
      <c r="F127" s="407"/>
      <c r="G127" s="406"/>
      <c r="H127" s="406"/>
      <c r="I127" s="415" t="str">
        <f t="shared" si="1"/>
        <v/>
      </c>
    </row>
    <row r="128">
      <c r="A128" s="416"/>
      <c r="B128" s="407"/>
      <c r="C128" s="406"/>
      <c r="D128" s="407"/>
      <c r="E128" s="407"/>
      <c r="F128" s="407"/>
      <c r="G128" s="406"/>
      <c r="H128" s="406"/>
      <c r="I128" s="415" t="str">
        <f t="shared" si="1"/>
        <v/>
      </c>
    </row>
    <row r="129">
      <c r="A129" s="416"/>
      <c r="B129" s="407"/>
      <c r="C129" s="406"/>
      <c r="D129" s="407"/>
      <c r="E129" s="407"/>
      <c r="F129" s="407"/>
      <c r="G129" s="406"/>
      <c r="H129" s="406"/>
      <c r="I129" s="415" t="str">
        <f t="shared" si="1"/>
        <v/>
      </c>
    </row>
    <row r="130">
      <c r="A130" s="416"/>
      <c r="B130" s="407"/>
      <c r="C130" s="406"/>
      <c r="D130" s="407"/>
      <c r="E130" s="407"/>
      <c r="F130" s="407"/>
      <c r="G130" s="406"/>
      <c r="H130" s="406"/>
      <c r="I130" s="415" t="str">
        <f t="shared" si="1"/>
        <v/>
      </c>
    </row>
    <row r="131">
      <c r="A131" s="416"/>
      <c r="B131" s="407"/>
      <c r="C131" s="406"/>
      <c r="D131" s="407"/>
      <c r="E131" s="407"/>
      <c r="F131" s="407"/>
      <c r="G131" s="406"/>
      <c r="H131" s="406"/>
      <c r="I131" s="415" t="str">
        <f t="shared" si="1"/>
        <v/>
      </c>
    </row>
    <row r="132">
      <c r="A132" s="416"/>
      <c r="B132" s="407"/>
      <c r="C132" s="406"/>
      <c r="D132" s="407"/>
      <c r="E132" s="407"/>
      <c r="F132" s="407"/>
      <c r="G132" s="406"/>
      <c r="H132" s="406"/>
      <c r="I132" s="415" t="str">
        <f t="shared" si="1"/>
        <v/>
      </c>
    </row>
    <row r="133">
      <c r="A133" s="416"/>
      <c r="B133" s="407"/>
      <c r="C133" s="406"/>
      <c r="D133" s="407"/>
      <c r="E133" s="407"/>
      <c r="F133" s="407"/>
      <c r="G133" s="406"/>
      <c r="H133" s="406"/>
      <c r="I133" s="415" t="str">
        <f t="shared" si="1"/>
        <v/>
      </c>
    </row>
    <row r="134">
      <c r="A134" s="416"/>
      <c r="B134" s="407"/>
      <c r="C134" s="406"/>
      <c r="D134" s="407"/>
      <c r="E134" s="407"/>
      <c r="F134" s="407"/>
      <c r="G134" s="406"/>
      <c r="H134" s="406"/>
      <c r="I134" s="415" t="str">
        <f t="shared" si="1"/>
        <v/>
      </c>
    </row>
    <row r="135">
      <c r="A135" s="416"/>
      <c r="B135" s="407"/>
      <c r="C135" s="406"/>
      <c r="D135" s="407"/>
      <c r="E135" s="407"/>
      <c r="F135" s="407"/>
      <c r="G135" s="406"/>
      <c r="H135" s="406"/>
      <c r="I135" s="415" t="str">
        <f t="shared" si="1"/>
        <v/>
      </c>
    </row>
    <row r="136">
      <c r="A136" s="416"/>
      <c r="B136" s="407"/>
      <c r="C136" s="406"/>
      <c r="D136" s="407"/>
      <c r="E136" s="407"/>
      <c r="F136" s="407"/>
      <c r="G136" s="406"/>
      <c r="H136" s="406"/>
      <c r="I136" s="415" t="str">
        <f t="shared" si="1"/>
        <v/>
      </c>
    </row>
    <row r="137">
      <c r="A137" s="416"/>
      <c r="B137" s="407"/>
      <c r="C137" s="406"/>
      <c r="D137" s="407"/>
      <c r="E137" s="407"/>
      <c r="F137" s="407"/>
      <c r="G137" s="406"/>
      <c r="H137" s="406"/>
      <c r="I137" s="415" t="str">
        <f t="shared" si="1"/>
        <v/>
      </c>
    </row>
    <row r="138">
      <c r="A138" s="416"/>
      <c r="B138" s="407"/>
      <c r="C138" s="406"/>
      <c r="D138" s="407"/>
      <c r="E138" s="407"/>
      <c r="F138" s="407"/>
      <c r="G138" s="406"/>
      <c r="H138" s="406"/>
      <c r="I138" s="415" t="str">
        <f t="shared" si="1"/>
        <v/>
      </c>
    </row>
    <row r="139">
      <c r="A139" s="416"/>
      <c r="B139" s="407"/>
      <c r="C139" s="406"/>
      <c r="D139" s="407"/>
      <c r="E139" s="407"/>
      <c r="F139" s="407"/>
      <c r="G139" s="406"/>
      <c r="H139" s="406"/>
      <c r="I139" s="415" t="str">
        <f t="shared" si="1"/>
        <v/>
      </c>
    </row>
    <row r="140">
      <c r="A140" s="416"/>
      <c r="B140" s="407"/>
      <c r="C140" s="406"/>
      <c r="D140" s="407"/>
      <c r="E140" s="407"/>
      <c r="F140" s="407"/>
      <c r="G140" s="406"/>
      <c r="H140" s="406"/>
      <c r="I140" s="415" t="str">
        <f t="shared" si="1"/>
        <v/>
      </c>
    </row>
    <row r="141">
      <c r="A141" s="416"/>
      <c r="B141" s="407"/>
      <c r="C141" s="406"/>
      <c r="D141" s="407"/>
      <c r="E141" s="407"/>
      <c r="F141" s="407"/>
      <c r="G141" s="406"/>
      <c r="H141" s="406"/>
      <c r="I141" s="415" t="str">
        <f t="shared" si="1"/>
        <v/>
      </c>
    </row>
    <row r="142">
      <c r="A142" s="416"/>
      <c r="B142" s="407"/>
      <c r="C142" s="406"/>
      <c r="D142" s="407"/>
      <c r="E142" s="407"/>
      <c r="F142" s="407"/>
      <c r="G142" s="406"/>
      <c r="H142" s="406"/>
      <c r="I142" s="415" t="str">
        <f t="shared" si="1"/>
        <v/>
      </c>
    </row>
    <row r="143">
      <c r="A143" s="416"/>
      <c r="B143" s="407"/>
      <c r="C143" s="406"/>
      <c r="D143" s="407"/>
      <c r="E143" s="407"/>
      <c r="F143" s="407"/>
      <c r="G143" s="406"/>
      <c r="H143" s="406"/>
      <c r="I143" s="415" t="str">
        <f t="shared" si="1"/>
        <v/>
      </c>
    </row>
    <row r="144">
      <c r="A144" s="416"/>
      <c r="B144" s="407"/>
      <c r="C144" s="406"/>
      <c r="D144" s="407"/>
      <c r="E144" s="407"/>
      <c r="F144" s="407"/>
      <c r="G144" s="406"/>
      <c r="H144" s="406"/>
      <c r="I144" s="415" t="str">
        <f t="shared" si="1"/>
        <v/>
      </c>
    </row>
    <row r="145">
      <c r="A145" s="416"/>
      <c r="B145" s="407"/>
      <c r="C145" s="406"/>
      <c r="D145" s="407"/>
      <c r="E145" s="407"/>
      <c r="F145" s="407"/>
      <c r="G145" s="406"/>
      <c r="H145" s="406"/>
      <c r="I145" s="415" t="str">
        <f t="shared" si="1"/>
        <v/>
      </c>
    </row>
    <row r="146">
      <c r="A146" s="416"/>
      <c r="B146" s="407"/>
      <c r="C146" s="406"/>
      <c r="D146" s="407"/>
      <c r="E146" s="407"/>
      <c r="F146" s="407"/>
      <c r="G146" s="406"/>
      <c r="H146" s="406"/>
      <c r="I146" s="415" t="str">
        <f t="shared" si="1"/>
        <v/>
      </c>
    </row>
    <row r="147">
      <c r="A147" s="416"/>
      <c r="B147" s="407"/>
      <c r="C147" s="406"/>
      <c r="D147" s="407"/>
      <c r="E147" s="407"/>
      <c r="F147" s="407"/>
      <c r="G147" s="406"/>
      <c r="H147" s="406"/>
      <c r="I147" s="415" t="str">
        <f t="shared" si="1"/>
        <v/>
      </c>
    </row>
    <row r="148">
      <c r="A148" s="416"/>
      <c r="B148" s="407"/>
      <c r="C148" s="406"/>
      <c r="D148" s="407"/>
      <c r="E148" s="407"/>
      <c r="F148" s="407"/>
      <c r="G148" s="406"/>
      <c r="H148" s="406"/>
      <c r="I148" s="415" t="str">
        <f t="shared" si="1"/>
        <v/>
      </c>
    </row>
    <row r="149">
      <c r="A149" s="416"/>
      <c r="B149" s="407"/>
      <c r="C149" s="406"/>
      <c r="D149" s="407"/>
      <c r="E149" s="407"/>
      <c r="F149" s="407"/>
      <c r="G149" s="406"/>
      <c r="H149" s="406"/>
      <c r="I149" s="415" t="str">
        <f t="shared" si="1"/>
        <v/>
      </c>
    </row>
    <row r="150">
      <c r="A150" s="416"/>
      <c r="B150" s="407"/>
      <c r="C150" s="406"/>
      <c r="D150" s="407"/>
      <c r="E150" s="407"/>
      <c r="F150" s="407"/>
      <c r="G150" s="406"/>
      <c r="H150" s="406"/>
      <c r="I150" s="415" t="str">
        <f t="shared" si="1"/>
        <v/>
      </c>
    </row>
    <row r="151">
      <c r="A151" s="416"/>
      <c r="B151" s="407"/>
      <c r="C151" s="406"/>
      <c r="D151" s="407"/>
      <c r="E151" s="407"/>
      <c r="F151" s="407"/>
      <c r="G151" s="406"/>
      <c r="H151" s="406"/>
      <c r="I151" s="415" t="str">
        <f t="shared" si="1"/>
        <v/>
      </c>
    </row>
    <row r="152">
      <c r="A152" s="416"/>
      <c r="B152" s="407"/>
      <c r="C152" s="406"/>
      <c r="D152" s="407"/>
      <c r="E152" s="407"/>
      <c r="F152" s="407"/>
      <c r="G152" s="406"/>
      <c r="H152" s="406"/>
      <c r="I152" s="415" t="str">
        <f t="shared" si="1"/>
        <v/>
      </c>
    </row>
    <row r="153">
      <c r="A153" s="416"/>
      <c r="B153" s="407"/>
      <c r="C153" s="406"/>
      <c r="D153" s="407"/>
      <c r="E153" s="407"/>
      <c r="F153" s="407"/>
      <c r="G153" s="406"/>
      <c r="H153" s="406"/>
      <c r="I153" s="415" t="str">
        <f t="shared" si="1"/>
        <v/>
      </c>
    </row>
    <row r="154">
      <c r="A154" s="416"/>
      <c r="B154" s="407"/>
      <c r="C154" s="406"/>
      <c r="D154" s="407"/>
      <c r="E154" s="407"/>
      <c r="F154" s="407"/>
      <c r="G154" s="406"/>
      <c r="H154" s="406"/>
      <c r="I154" s="415" t="str">
        <f t="shared" si="1"/>
        <v/>
      </c>
    </row>
    <row r="155">
      <c r="A155" s="416"/>
      <c r="B155" s="407"/>
      <c r="C155" s="406"/>
      <c r="D155" s="407"/>
      <c r="E155" s="407"/>
      <c r="F155" s="407"/>
      <c r="G155" s="406"/>
      <c r="H155" s="406"/>
      <c r="I155" s="415" t="str">
        <f t="shared" si="1"/>
        <v/>
      </c>
    </row>
    <row r="156">
      <c r="A156" s="416"/>
      <c r="B156" s="407"/>
      <c r="C156" s="406"/>
      <c r="D156" s="407"/>
      <c r="E156" s="407"/>
      <c r="F156" s="407"/>
      <c r="G156" s="406"/>
      <c r="H156" s="406"/>
      <c r="I156" s="415" t="str">
        <f t="shared" si="1"/>
        <v/>
      </c>
    </row>
    <row r="157">
      <c r="A157" s="416"/>
      <c r="B157" s="407"/>
      <c r="C157" s="406"/>
      <c r="D157" s="407"/>
      <c r="E157" s="407"/>
      <c r="F157" s="407"/>
      <c r="G157" s="406"/>
      <c r="H157" s="406"/>
      <c r="I157" s="415" t="str">
        <f t="shared" si="1"/>
        <v/>
      </c>
    </row>
    <row r="158">
      <c r="A158" s="416"/>
      <c r="B158" s="407"/>
      <c r="C158" s="406"/>
      <c r="D158" s="407"/>
      <c r="E158" s="407"/>
      <c r="F158" s="407"/>
      <c r="G158" s="406"/>
      <c r="H158" s="406"/>
      <c r="I158" s="415" t="str">
        <f t="shared" si="1"/>
        <v/>
      </c>
    </row>
    <row r="159">
      <c r="A159" s="416"/>
      <c r="B159" s="407"/>
      <c r="C159" s="406"/>
      <c r="D159" s="407"/>
      <c r="E159" s="407"/>
      <c r="F159" s="407"/>
      <c r="G159" s="406"/>
      <c r="H159" s="406"/>
      <c r="I159" s="415" t="str">
        <f t="shared" si="1"/>
        <v/>
      </c>
    </row>
    <row r="160">
      <c r="A160" s="416"/>
      <c r="B160" s="407"/>
      <c r="C160" s="406"/>
      <c r="D160" s="407"/>
      <c r="E160" s="407"/>
      <c r="F160" s="407"/>
      <c r="G160" s="406"/>
      <c r="H160" s="406"/>
      <c r="I160" s="415" t="str">
        <f t="shared" si="1"/>
        <v/>
      </c>
    </row>
    <row r="161">
      <c r="A161" s="416"/>
      <c r="B161" s="407"/>
      <c r="C161" s="406"/>
      <c r="D161" s="407"/>
      <c r="E161" s="407"/>
      <c r="F161" s="407"/>
      <c r="G161" s="406"/>
      <c r="H161" s="406"/>
      <c r="I161" s="415" t="str">
        <f t="shared" si="1"/>
        <v/>
      </c>
    </row>
    <row r="162">
      <c r="A162" s="416"/>
      <c r="B162" s="407"/>
      <c r="C162" s="406"/>
      <c r="D162" s="407"/>
      <c r="E162" s="407"/>
      <c r="F162" s="407"/>
      <c r="G162" s="406"/>
      <c r="H162" s="406"/>
      <c r="I162" s="415" t="str">
        <f t="shared" si="1"/>
        <v/>
      </c>
    </row>
    <row r="163">
      <c r="A163" s="416"/>
      <c r="B163" s="407"/>
      <c r="C163" s="406"/>
      <c r="D163" s="407"/>
      <c r="E163" s="407"/>
      <c r="F163" s="407"/>
      <c r="G163" s="406"/>
      <c r="H163" s="406"/>
      <c r="I163" s="415" t="str">
        <f t="shared" si="1"/>
        <v/>
      </c>
    </row>
    <row r="164">
      <c r="A164" s="416"/>
      <c r="B164" s="407"/>
      <c r="C164" s="406"/>
      <c r="D164" s="407"/>
      <c r="E164" s="407"/>
      <c r="F164" s="407"/>
      <c r="G164" s="406"/>
      <c r="H164" s="406"/>
      <c r="I164" s="415" t="str">
        <f t="shared" si="1"/>
        <v/>
      </c>
    </row>
    <row r="165">
      <c r="A165" s="416"/>
      <c r="B165" s="407"/>
      <c r="C165" s="406"/>
      <c r="D165" s="407"/>
      <c r="E165" s="407"/>
      <c r="F165" s="407"/>
      <c r="G165" s="406"/>
      <c r="H165" s="406"/>
      <c r="I165" s="415" t="str">
        <f t="shared" si="1"/>
        <v/>
      </c>
    </row>
    <row r="166">
      <c r="A166" s="416"/>
      <c r="B166" s="407"/>
      <c r="C166" s="406"/>
      <c r="D166" s="407"/>
      <c r="E166" s="407"/>
      <c r="F166" s="407"/>
      <c r="G166" s="406"/>
      <c r="H166" s="406"/>
      <c r="I166" s="415" t="str">
        <f t="shared" si="1"/>
        <v/>
      </c>
    </row>
    <row r="167">
      <c r="A167" s="416"/>
      <c r="B167" s="407"/>
      <c r="C167" s="406"/>
      <c r="D167" s="407"/>
      <c r="E167" s="407"/>
      <c r="F167" s="407"/>
      <c r="G167" s="406"/>
      <c r="H167" s="406"/>
      <c r="I167" s="415" t="str">
        <f t="shared" si="1"/>
        <v/>
      </c>
    </row>
    <row r="168">
      <c r="A168" s="416"/>
      <c r="B168" s="407"/>
      <c r="C168" s="406"/>
      <c r="D168" s="407"/>
      <c r="E168" s="407"/>
      <c r="F168" s="407"/>
      <c r="G168" s="406"/>
      <c r="H168" s="406"/>
      <c r="I168" s="415" t="str">
        <f t="shared" si="1"/>
        <v/>
      </c>
    </row>
    <row r="169">
      <c r="A169" s="416"/>
      <c r="B169" s="407"/>
      <c r="C169" s="406"/>
      <c r="D169" s="407"/>
      <c r="E169" s="407"/>
      <c r="F169" s="407"/>
      <c r="G169" s="406"/>
      <c r="H169" s="406"/>
      <c r="I169" s="415" t="str">
        <f t="shared" si="1"/>
        <v/>
      </c>
    </row>
    <row r="170">
      <c r="A170" s="416"/>
      <c r="B170" s="407"/>
      <c r="C170" s="406"/>
      <c r="D170" s="407"/>
      <c r="E170" s="407"/>
      <c r="F170" s="407"/>
      <c r="G170" s="406"/>
      <c r="H170" s="406"/>
      <c r="I170" s="415" t="str">
        <f t="shared" si="1"/>
        <v/>
      </c>
    </row>
    <row r="171">
      <c r="A171" s="416"/>
      <c r="B171" s="407"/>
      <c r="C171" s="406"/>
      <c r="D171" s="407"/>
      <c r="E171" s="407"/>
      <c r="F171" s="407"/>
      <c r="G171" s="406"/>
      <c r="H171" s="406"/>
      <c r="I171" s="415" t="str">
        <f t="shared" si="1"/>
        <v/>
      </c>
    </row>
    <row r="172">
      <c r="A172" s="416"/>
      <c r="B172" s="407"/>
      <c r="C172" s="406"/>
      <c r="D172" s="407"/>
      <c r="E172" s="407"/>
      <c r="F172" s="407"/>
      <c r="G172" s="406"/>
      <c r="H172" s="406"/>
      <c r="I172" s="415" t="str">
        <f t="shared" si="1"/>
        <v/>
      </c>
    </row>
    <row r="173">
      <c r="A173" s="416"/>
      <c r="B173" s="407"/>
      <c r="C173" s="406"/>
      <c r="D173" s="407"/>
      <c r="E173" s="407"/>
      <c r="F173" s="407"/>
      <c r="G173" s="406"/>
      <c r="H173" s="406"/>
      <c r="I173" s="415" t="str">
        <f t="shared" si="1"/>
        <v/>
      </c>
    </row>
    <row r="174">
      <c r="A174" s="416"/>
      <c r="B174" s="407"/>
      <c r="C174" s="406"/>
      <c r="D174" s="407"/>
      <c r="E174" s="407"/>
      <c r="F174" s="407"/>
      <c r="G174" s="406"/>
      <c r="H174" s="406"/>
      <c r="I174" s="415" t="str">
        <f t="shared" si="1"/>
        <v/>
      </c>
    </row>
    <row r="175">
      <c r="A175" s="416"/>
      <c r="B175" s="407"/>
      <c r="C175" s="406"/>
      <c r="D175" s="407"/>
      <c r="E175" s="407"/>
      <c r="F175" s="407"/>
      <c r="G175" s="406"/>
      <c r="H175" s="406"/>
      <c r="I175" s="415" t="str">
        <f t="shared" si="1"/>
        <v/>
      </c>
    </row>
    <row r="176">
      <c r="A176" s="416"/>
      <c r="B176" s="407"/>
      <c r="C176" s="406"/>
      <c r="D176" s="407"/>
      <c r="E176" s="407"/>
      <c r="F176" s="407"/>
      <c r="G176" s="406"/>
      <c r="H176" s="406"/>
      <c r="I176" s="415" t="str">
        <f t="shared" si="1"/>
        <v/>
      </c>
    </row>
    <row r="177">
      <c r="A177" s="416"/>
      <c r="B177" s="407"/>
      <c r="C177" s="406"/>
      <c r="D177" s="407"/>
      <c r="E177" s="407"/>
      <c r="F177" s="407"/>
      <c r="G177" s="406"/>
      <c r="H177" s="406"/>
      <c r="I177" s="415" t="str">
        <f t="shared" si="1"/>
        <v/>
      </c>
    </row>
    <row r="178">
      <c r="A178" s="416"/>
      <c r="B178" s="407"/>
      <c r="C178" s="406"/>
      <c r="D178" s="407"/>
      <c r="E178" s="407"/>
      <c r="F178" s="407"/>
      <c r="G178" s="406"/>
      <c r="H178" s="406"/>
      <c r="I178" s="415" t="str">
        <f t="shared" si="1"/>
        <v/>
      </c>
    </row>
    <row r="179">
      <c r="A179" s="416"/>
      <c r="B179" s="407"/>
      <c r="C179" s="406"/>
      <c r="D179" s="407"/>
      <c r="E179" s="407"/>
      <c r="F179" s="407"/>
      <c r="G179" s="406"/>
      <c r="H179" s="406"/>
      <c r="I179" s="415" t="str">
        <f t="shared" si="1"/>
        <v/>
      </c>
    </row>
    <row r="180">
      <c r="A180" s="416"/>
      <c r="B180" s="407"/>
      <c r="C180" s="406"/>
      <c r="D180" s="407"/>
      <c r="E180" s="407"/>
      <c r="F180" s="407"/>
      <c r="G180" s="406"/>
      <c r="H180" s="406"/>
      <c r="I180" s="415" t="str">
        <f t="shared" si="1"/>
        <v/>
      </c>
    </row>
    <row r="181">
      <c r="A181" s="416"/>
      <c r="B181" s="407"/>
      <c r="C181" s="406"/>
      <c r="D181" s="407"/>
      <c r="E181" s="407"/>
      <c r="F181" s="407"/>
      <c r="G181" s="406"/>
      <c r="H181" s="406"/>
      <c r="I181" s="415" t="str">
        <f t="shared" si="1"/>
        <v/>
      </c>
    </row>
    <row r="182">
      <c r="A182" s="416"/>
      <c r="B182" s="407"/>
      <c r="C182" s="406"/>
      <c r="D182" s="407"/>
      <c r="E182" s="407"/>
      <c r="F182" s="407"/>
      <c r="G182" s="406"/>
      <c r="H182" s="406"/>
      <c r="I182" s="415" t="str">
        <f t="shared" si="1"/>
        <v/>
      </c>
    </row>
    <row r="183">
      <c r="A183" s="416"/>
      <c r="B183" s="407"/>
      <c r="C183" s="406"/>
      <c r="D183" s="407"/>
      <c r="E183" s="407"/>
      <c r="F183" s="407"/>
      <c r="G183" s="406"/>
      <c r="H183" s="406"/>
      <c r="I183" s="415" t="str">
        <f t="shared" si="1"/>
        <v/>
      </c>
    </row>
    <row r="184">
      <c r="A184" s="416"/>
      <c r="B184" s="407"/>
      <c r="C184" s="406"/>
      <c r="D184" s="407"/>
      <c r="E184" s="407"/>
      <c r="F184" s="407"/>
      <c r="G184" s="406"/>
      <c r="H184" s="406"/>
      <c r="I184" s="415" t="str">
        <f t="shared" si="1"/>
        <v/>
      </c>
    </row>
    <row r="185">
      <c r="A185" s="416"/>
      <c r="B185" s="407"/>
      <c r="C185" s="406"/>
      <c r="D185" s="407"/>
      <c r="E185" s="407"/>
      <c r="F185" s="407"/>
      <c r="G185" s="406"/>
      <c r="H185" s="406"/>
      <c r="I185" s="415" t="str">
        <f t="shared" si="1"/>
        <v/>
      </c>
    </row>
    <row r="186">
      <c r="A186" s="416"/>
      <c r="B186" s="407"/>
      <c r="C186" s="406"/>
      <c r="D186" s="407"/>
      <c r="E186" s="407"/>
      <c r="F186" s="407"/>
      <c r="G186" s="406"/>
      <c r="H186" s="406"/>
      <c r="I186" s="415" t="str">
        <f t="shared" si="1"/>
        <v/>
      </c>
    </row>
    <row r="187">
      <c r="A187" s="416"/>
      <c r="B187" s="407"/>
      <c r="C187" s="406"/>
      <c r="D187" s="407"/>
      <c r="E187" s="407"/>
      <c r="F187" s="407"/>
      <c r="G187" s="406"/>
      <c r="H187" s="406"/>
      <c r="I187" s="415" t="str">
        <f t="shared" si="1"/>
        <v/>
      </c>
    </row>
    <row r="188">
      <c r="A188" s="416"/>
      <c r="B188" s="407"/>
      <c r="C188" s="406"/>
      <c r="D188" s="407"/>
      <c r="E188" s="407"/>
      <c r="F188" s="407"/>
      <c r="G188" s="406"/>
      <c r="H188" s="406"/>
      <c r="I188" s="415" t="str">
        <f t="shared" si="1"/>
        <v/>
      </c>
    </row>
    <row r="189">
      <c r="A189" s="416"/>
      <c r="B189" s="407"/>
      <c r="C189" s="406"/>
      <c r="D189" s="407"/>
      <c r="E189" s="407"/>
      <c r="F189" s="407"/>
      <c r="G189" s="406"/>
      <c r="H189" s="406"/>
      <c r="I189" s="415" t="str">
        <f t="shared" si="1"/>
        <v/>
      </c>
    </row>
    <row r="190">
      <c r="A190" s="416"/>
      <c r="B190" s="407"/>
      <c r="C190" s="406"/>
      <c r="D190" s="407"/>
      <c r="E190" s="407"/>
      <c r="F190" s="407"/>
      <c r="G190" s="406"/>
      <c r="H190" s="406"/>
      <c r="I190" s="415" t="str">
        <f t="shared" si="1"/>
        <v/>
      </c>
    </row>
    <row r="191">
      <c r="A191" s="416"/>
      <c r="B191" s="407"/>
      <c r="C191" s="406"/>
      <c r="D191" s="407"/>
      <c r="E191" s="407"/>
      <c r="F191" s="407"/>
      <c r="G191" s="406"/>
      <c r="H191" s="406"/>
      <c r="I191" s="415" t="str">
        <f t="shared" si="1"/>
        <v/>
      </c>
    </row>
    <row r="192">
      <c r="A192" s="416"/>
      <c r="B192" s="407"/>
      <c r="C192" s="406"/>
      <c r="D192" s="407"/>
      <c r="E192" s="407"/>
      <c r="F192" s="407"/>
      <c r="G192" s="406"/>
      <c r="H192" s="406"/>
      <c r="I192" s="415" t="str">
        <f t="shared" si="1"/>
        <v/>
      </c>
    </row>
    <row r="193">
      <c r="A193" s="416"/>
      <c r="B193" s="407"/>
      <c r="C193" s="406"/>
      <c r="D193" s="407"/>
      <c r="E193" s="407"/>
      <c r="F193" s="407"/>
      <c r="G193" s="406"/>
      <c r="H193" s="406"/>
      <c r="I193" s="415" t="str">
        <f t="shared" si="1"/>
        <v/>
      </c>
    </row>
    <row r="194">
      <c r="A194" s="416"/>
      <c r="B194" s="407"/>
      <c r="C194" s="406"/>
      <c r="D194" s="407"/>
      <c r="E194" s="407"/>
      <c r="F194" s="407"/>
      <c r="G194" s="406"/>
      <c r="H194" s="406"/>
      <c r="I194" s="415" t="str">
        <f t="shared" si="1"/>
        <v/>
      </c>
    </row>
    <row r="195">
      <c r="A195" s="416"/>
      <c r="B195" s="407"/>
      <c r="C195" s="406"/>
      <c r="D195" s="407"/>
      <c r="E195" s="407"/>
      <c r="F195" s="407"/>
      <c r="G195" s="406"/>
      <c r="H195" s="406"/>
      <c r="I195" s="415" t="str">
        <f t="shared" si="1"/>
        <v/>
      </c>
    </row>
    <row r="196">
      <c r="A196" s="416"/>
      <c r="B196" s="407"/>
      <c r="C196" s="406"/>
      <c r="D196" s="407"/>
      <c r="E196" s="407"/>
      <c r="F196" s="407"/>
      <c r="G196" s="406"/>
      <c r="H196" s="406"/>
      <c r="I196" s="415" t="str">
        <f t="shared" si="1"/>
        <v/>
      </c>
    </row>
    <row r="197">
      <c r="A197" s="416"/>
      <c r="B197" s="407"/>
      <c r="C197" s="406"/>
      <c r="D197" s="407"/>
      <c r="E197" s="407"/>
      <c r="F197" s="407"/>
      <c r="G197" s="406"/>
      <c r="H197" s="406"/>
      <c r="I197" s="415" t="str">
        <f t="shared" si="1"/>
        <v/>
      </c>
    </row>
    <row r="198">
      <c r="A198" s="416"/>
      <c r="B198" s="407"/>
      <c r="C198" s="406"/>
      <c r="D198" s="407"/>
      <c r="E198" s="407"/>
      <c r="F198" s="407"/>
      <c r="G198" s="406"/>
      <c r="H198" s="406"/>
      <c r="I198" s="415" t="str">
        <f t="shared" si="1"/>
        <v/>
      </c>
    </row>
    <row r="199">
      <c r="A199" s="416"/>
      <c r="B199" s="407"/>
      <c r="C199" s="406"/>
      <c r="D199" s="407"/>
      <c r="E199" s="407"/>
      <c r="F199" s="407"/>
      <c r="G199" s="406"/>
      <c r="H199" s="406"/>
      <c r="I199" s="415" t="str">
        <f t="shared" si="1"/>
        <v/>
      </c>
    </row>
    <row r="200">
      <c r="A200" s="416"/>
      <c r="B200" s="407"/>
      <c r="C200" s="406"/>
      <c r="D200" s="407"/>
      <c r="E200" s="407"/>
      <c r="F200" s="407"/>
      <c r="G200" s="406"/>
      <c r="H200" s="406"/>
      <c r="I200" s="415" t="str">
        <f t="shared" si="1"/>
        <v/>
      </c>
    </row>
    <row r="201">
      <c r="A201" s="416"/>
      <c r="B201" s="407"/>
      <c r="C201" s="406"/>
      <c r="D201" s="407"/>
      <c r="E201" s="407"/>
      <c r="F201" s="407"/>
      <c r="G201" s="406"/>
      <c r="H201" s="406"/>
      <c r="I201" s="415" t="str">
        <f t="shared" si="1"/>
        <v/>
      </c>
    </row>
    <row r="202">
      <c r="A202" s="416"/>
      <c r="B202" s="407"/>
      <c r="C202" s="406"/>
      <c r="D202" s="407"/>
      <c r="E202" s="407"/>
      <c r="F202" s="407"/>
      <c r="G202" s="406"/>
      <c r="H202" s="406"/>
      <c r="I202" s="415" t="str">
        <f t="shared" si="1"/>
        <v/>
      </c>
    </row>
    <row r="203">
      <c r="A203" s="416"/>
      <c r="B203" s="407"/>
      <c r="C203" s="406"/>
      <c r="D203" s="407"/>
      <c r="E203" s="407"/>
      <c r="F203" s="407"/>
      <c r="G203" s="406"/>
      <c r="H203" s="406"/>
      <c r="I203" s="415" t="str">
        <f t="shared" si="1"/>
        <v/>
      </c>
    </row>
    <row r="204">
      <c r="A204" s="416"/>
      <c r="B204" s="407"/>
      <c r="C204" s="406"/>
      <c r="D204" s="407"/>
      <c r="E204" s="407"/>
      <c r="F204" s="407"/>
      <c r="G204" s="406"/>
      <c r="H204" s="406"/>
      <c r="I204" s="415" t="str">
        <f t="shared" si="1"/>
        <v/>
      </c>
    </row>
    <row r="205">
      <c r="A205" s="416"/>
      <c r="B205" s="407"/>
      <c r="C205" s="406"/>
      <c r="D205" s="407"/>
      <c r="E205" s="407"/>
      <c r="F205" s="407"/>
      <c r="G205" s="406"/>
      <c r="H205" s="406"/>
      <c r="I205" s="415" t="str">
        <f t="shared" si="1"/>
        <v/>
      </c>
    </row>
    <row r="206">
      <c r="A206" s="416"/>
      <c r="B206" s="407"/>
      <c r="C206" s="406"/>
      <c r="D206" s="407"/>
      <c r="E206" s="407"/>
      <c r="F206" s="407"/>
      <c r="G206" s="406"/>
      <c r="H206" s="406"/>
      <c r="I206" s="415" t="str">
        <f t="shared" si="1"/>
        <v/>
      </c>
    </row>
    <row r="207">
      <c r="A207" s="416"/>
      <c r="B207" s="407"/>
      <c r="C207" s="406"/>
      <c r="D207" s="407"/>
      <c r="E207" s="407"/>
      <c r="F207" s="407"/>
      <c r="G207" s="406"/>
      <c r="H207" s="406"/>
      <c r="I207" s="415" t="str">
        <f t="shared" si="1"/>
        <v/>
      </c>
    </row>
    <row r="208">
      <c r="A208" s="416"/>
      <c r="B208" s="407"/>
      <c r="C208" s="406"/>
      <c r="D208" s="407"/>
      <c r="E208" s="407"/>
      <c r="F208" s="407"/>
      <c r="G208" s="406"/>
      <c r="H208" s="406"/>
      <c r="I208" s="415" t="str">
        <f t="shared" si="1"/>
        <v/>
      </c>
    </row>
    <row r="209">
      <c r="A209" s="416"/>
      <c r="B209" s="407"/>
      <c r="C209" s="406"/>
      <c r="D209" s="407"/>
      <c r="E209" s="407"/>
      <c r="F209" s="407"/>
      <c r="G209" s="406"/>
      <c r="H209" s="406"/>
      <c r="I209" s="415" t="str">
        <f t="shared" si="1"/>
        <v/>
      </c>
    </row>
    <row r="210">
      <c r="A210" s="416"/>
      <c r="B210" s="407"/>
      <c r="C210" s="406"/>
      <c r="D210" s="407"/>
      <c r="E210" s="407"/>
      <c r="F210" s="407"/>
      <c r="G210" s="406"/>
      <c r="H210" s="406"/>
      <c r="I210" s="415" t="str">
        <f t="shared" si="1"/>
        <v/>
      </c>
    </row>
    <row r="211">
      <c r="A211" s="416"/>
      <c r="B211" s="407"/>
      <c r="C211" s="406"/>
      <c r="D211" s="407"/>
      <c r="E211" s="407"/>
      <c r="F211" s="407"/>
      <c r="G211" s="406"/>
      <c r="H211" s="406"/>
      <c r="I211" s="415" t="str">
        <f t="shared" si="1"/>
        <v/>
      </c>
    </row>
    <row r="212">
      <c r="A212" s="416"/>
      <c r="B212" s="407"/>
      <c r="C212" s="406"/>
      <c r="D212" s="407"/>
      <c r="E212" s="407"/>
      <c r="F212" s="407"/>
      <c r="G212" s="406"/>
      <c r="H212" s="406"/>
      <c r="I212" s="415" t="str">
        <f t="shared" si="1"/>
        <v/>
      </c>
    </row>
    <row r="213">
      <c r="A213" s="416"/>
      <c r="B213" s="407"/>
      <c r="C213" s="406"/>
      <c r="D213" s="407"/>
      <c r="E213" s="407"/>
      <c r="F213" s="407"/>
      <c r="G213" s="406"/>
      <c r="H213" s="406"/>
      <c r="I213" s="415" t="str">
        <f t="shared" si="1"/>
        <v/>
      </c>
    </row>
    <row r="214">
      <c r="A214" s="416"/>
      <c r="B214" s="407"/>
      <c r="C214" s="406"/>
      <c r="D214" s="407"/>
      <c r="E214" s="407"/>
      <c r="F214" s="407"/>
      <c r="G214" s="406"/>
      <c r="H214" s="406"/>
      <c r="I214" s="415" t="str">
        <f t="shared" si="1"/>
        <v/>
      </c>
    </row>
    <row r="215">
      <c r="A215" s="416"/>
      <c r="B215" s="407"/>
      <c r="C215" s="406"/>
      <c r="D215" s="407"/>
      <c r="E215" s="407"/>
      <c r="F215" s="407"/>
      <c r="G215" s="406"/>
      <c r="H215" s="406"/>
      <c r="I215" s="415" t="str">
        <f t="shared" si="1"/>
        <v/>
      </c>
    </row>
    <row r="216">
      <c r="A216" s="416"/>
      <c r="B216" s="407"/>
      <c r="C216" s="406"/>
      <c r="D216" s="407"/>
      <c r="E216" s="407"/>
      <c r="F216" s="407"/>
      <c r="G216" s="406"/>
      <c r="H216" s="406"/>
      <c r="I216" s="415" t="str">
        <f t="shared" si="1"/>
        <v/>
      </c>
    </row>
    <row r="217">
      <c r="A217" s="416"/>
      <c r="B217" s="407"/>
      <c r="C217" s="406"/>
      <c r="D217" s="407"/>
      <c r="E217" s="407"/>
      <c r="F217" s="407"/>
      <c r="G217" s="406"/>
      <c r="H217" s="406"/>
      <c r="I217" s="415" t="str">
        <f t="shared" si="1"/>
        <v/>
      </c>
    </row>
    <row r="218">
      <c r="A218" s="416"/>
      <c r="B218" s="407"/>
      <c r="C218" s="406"/>
      <c r="D218" s="407"/>
      <c r="E218" s="407"/>
      <c r="F218" s="407"/>
      <c r="G218" s="406"/>
      <c r="H218" s="406"/>
      <c r="I218" s="415" t="str">
        <f t="shared" si="1"/>
        <v/>
      </c>
    </row>
    <row r="219">
      <c r="A219" s="416"/>
      <c r="B219" s="407"/>
      <c r="C219" s="406"/>
      <c r="D219" s="407"/>
      <c r="E219" s="407"/>
      <c r="F219" s="407"/>
      <c r="G219" s="406"/>
      <c r="H219" s="406"/>
      <c r="I219" s="415" t="str">
        <f t="shared" si="1"/>
        <v/>
      </c>
    </row>
    <row r="220">
      <c r="A220" s="416"/>
      <c r="B220" s="407"/>
      <c r="C220" s="406"/>
      <c r="D220" s="407"/>
      <c r="E220" s="407"/>
      <c r="F220" s="407"/>
      <c r="G220" s="406"/>
      <c r="H220" s="406"/>
      <c r="I220" s="415" t="str">
        <f t="shared" si="1"/>
        <v/>
      </c>
    </row>
    <row r="221">
      <c r="A221" s="416"/>
      <c r="B221" s="407"/>
      <c r="C221" s="406"/>
      <c r="D221" s="407"/>
      <c r="E221" s="407"/>
      <c r="F221" s="407"/>
      <c r="G221" s="406"/>
      <c r="H221" s="406"/>
      <c r="I221" s="415" t="str">
        <f t="shared" si="1"/>
        <v/>
      </c>
    </row>
    <row r="222">
      <c r="A222" s="416"/>
      <c r="B222" s="407"/>
      <c r="C222" s="406"/>
      <c r="D222" s="407"/>
      <c r="E222" s="407"/>
      <c r="F222" s="407"/>
      <c r="G222" s="406"/>
      <c r="H222" s="406"/>
      <c r="I222" s="415" t="str">
        <f t="shared" si="1"/>
        <v/>
      </c>
    </row>
    <row r="223">
      <c r="A223" s="416"/>
      <c r="B223" s="407"/>
      <c r="C223" s="406"/>
      <c r="D223" s="407"/>
      <c r="E223" s="407"/>
      <c r="F223" s="407"/>
      <c r="G223" s="406"/>
      <c r="H223" s="406"/>
      <c r="I223" s="415" t="str">
        <f t="shared" si="1"/>
        <v/>
      </c>
    </row>
    <row r="224">
      <c r="A224" s="416"/>
      <c r="B224" s="407"/>
      <c r="C224" s="406"/>
      <c r="D224" s="407"/>
      <c r="E224" s="407"/>
      <c r="F224" s="407"/>
      <c r="G224" s="406"/>
      <c r="H224" s="406"/>
      <c r="I224" s="415" t="str">
        <f t="shared" si="1"/>
        <v/>
      </c>
    </row>
    <row r="225">
      <c r="A225" s="416"/>
      <c r="B225" s="407"/>
      <c r="C225" s="406"/>
      <c r="D225" s="407"/>
      <c r="E225" s="407"/>
      <c r="F225" s="407"/>
      <c r="G225" s="406"/>
      <c r="H225" s="406"/>
      <c r="I225" s="415" t="str">
        <f t="shared" si="1"/>
        <v/>
      </c>
    </row>
    <row r="226">
      <c r="A226" s="416"/>
      <c r="B226" s="407"/>
      <c r="C226" s="406"/>
      <c r="D226" s="407"/>
      <c r="E226" s="407"/>
      <c r="F226" s="407"/>
      <c r="G226" s="406"/>
      <c r="H226" s="406"/>
      <c r="I226" s="415" t="str">
        <f t="shared" si="1"/>
        <v/>
      </c>
    </row>
    <row r="227">
      <c r="A227" s="416"/>
      <c r="B227" s="407"/>
      <c r="C227" s="406"/>
      <c r="D227" s="407"/>
      <c r="E227" s="407"/>
      <c r="F227" s="407"/>
      <c r="G227" s="406"/>
      <c r="H227" s="406"/>
      <c r="I227" s="415" t="str">
        <f t="shared" si="1"/>
        <v/>
      </c>
    </row>
    <row r="228">
      <c r="A228" s="416"/>
      <c r="B228" s="407"/>
      <c r="C228" s="406"/>
      <c r="D228" s="407"/>
      <c r="E228" s="407"/>
      <c r="F228" s="407"/>
      <c r="G228" s="406"/>
      <c r="H228" s="406"/>
      <c r="I228" s="415" t="str">
        <f t="shared" si="1"/>
        <v/>
      </c>
    </row>
    <row r="229">
      <c r="A229" s="416"/>
      <c r="B229" s="407"/>
      <c r="C229" s="406"/>
      <c r="D229" s="407"/>
      <c r="E229" s="407"/>
      <c r="F229" s="407"/>
      <c r="G229" s="406"/>
      <c r="H229" s="406"/>
      <c r="I229" s="415" t="str">
        <f t="shared" si="1"/>
        <v/>
      </c>
    </row>
    <row r="230">
      <c r="A230" s="416"/>
      <c r="B230" s="407"/>
      <c r="C230" s="406"/>
      <c r="D230" s="407"/>
      <c r="E230" s="407"/>
      <c r="F230" s="407"/>
      <c r="G230" s="406"/>
      <c r="H230" s="406"/>
      <c r="I230" s="415" t="str">
        <f t="shared" si="1"/>
        <v/>
      </c>
    </row>
    <row r="231">
      <c r="A231" s="416"/>
      <c r="B231" s="407"/>
      <c r="C231" s="406"/>
      <c r="D231" s="407"/>
      <c r="E231" s="407"/>
      <c r="F231" s="407"/>
      <c r="G231" s="406"/>
      <c r="H231" s="406"/>
      <c r="I231" s="415" t="str">
        <f t="shared" si="1"/>
        <v/>
      </c>
    </row>
    <row r="232">
      <c r="A232" s="416"/>
      <c r="B232" s="407"/>
      <c r="C232" s="406"/>
      <c r="D232" s="407"/>
      <c r="E232" s="407"/>
      <c r="F232" s="407"/>
      <c r="G232" s="406"/>
      <c r="H232" s="406"/>
      <c r="I232" s="415" t="str">
        <f t="shared" si="1"/>
        <v/>
      </c>
    </row>
    <row r="233">
      <c r="A233" s="416"/>
      <c r="B233" s="407"/>
      <c r="C233" s="406"/>
      <c r="D233" s="407"/>
      <c r="E233" s="407"/>
      <c r="F233" s="407"/>
      <c r="G233" s="406"/>
      <c r="H233" s="406"/>
      <c r="I233" s="415" t="str">
        <f t="shared" si="1"/>
        <v/>
      </c>
    </row>
    <row r="234">
      <c r="A234" s="416"/>
      <c r="B234" s="407"/>
      <c r="C234" s="406"/>
      <c r="D234" s="407"/>
      <c r="E234" s="407"/>
      <c r="F234" s="407"/>
      <c r="G234" s="406"/>
      <c r="H234" s="406"/>
      <c r="I234" s="415" t="str">
        <f t="shared" si="1"/>
        <v/>
      </c>
    </row>
    <row r="235">
      <c r="A235" s="416"/>
      <c r="B235" s="407"/>
      <c r="C235" s="406"/>
      <c r="D235" s="407"/>
      <c r="E235" s="407"/>
      <c r="F235" s="407"/>
      <c r="G235" s="406"/>
      <c r="H235" s="406"/>
      <c r="I235" s="415" t="str">
        <f t="shared" si="1"/>
        <v/>
      </c>
    </row>
    <row r="236">
      <c r="A236" s="416"/>
      <c r="B236" s="407"/>
      <c r="C236" s="406"/>
      <c r="D236" s="407"/>
      <c r="E236" s="407"/>
      <c r="F236" s="407"/>
      <c r="G236" s="406"/>
      <c r="H236" s="406"/>
      <c r="I236" s="415" t="str">
        <f t="shared" si="1"/>
        <v/>
      </c>
    </row>
    <row r="237">
      <c r="A237" s="416"/>
      <c r="B237" s="407"/>
      <c r="C237" s="406"/>
      <c r="D237" s="407"/>
      <c r="E237" s="407"/>
      <c r="F237" s="407"/>
      <c r="G237" s="406"/>
      <c r="H237" s="406"/>
      <c r="I237" s="415" t="str">
        <f t="shared" si="1"/>
        <v/>
      </c>
    </row>
    <row r="238">
      <c r="A238" s="416"/>
      <c r="B238" s="407"/>
      <c r="C238" s="406"/>
      <c r="D238" s="407"/>
      <c r="E238" s="407"/>
      <c r="F238" s="407"/>
      <c r="G238" s="406"/>
      <c r="H238" s="406"/>
      <c r="I238" s="415" t="str">
        <f t="shared" si="1"/>
        <v/>
      </c>
    </row>
    <row r="239">
      <c r="A239" s="416"/>
      <c r="B239" s="407"/>
      <c r="C239" s="406"/>
      <c r="D239" s="407"/>
      <c r="E239" s="407"/>
      <c r="F239" s="407"/>
      <c r="G239" s="406"/>
      <c r="H239" s="406"/>
      <c r="I239" s="415" t="str">
        <f t="shared" si="1"/>
        <v/>
      </c>
    </row>
    <row r="240">
      <c r="A240" s="416"/>
      <c r="B240" s="407"/>
      <c r="C240" s="406"/>
      <c r="D240" s="407"/>
      <c r="E240" s="407"/>
      <c r="F240" s="407"/>
      <c r="G240" s="406"/>
      <c r="H240" s="406"/>
      <c r="I240" s="415" t="str">
        <f t="shared" si="1"/>
        <v/>
      </c>
    </row>
    <row r="241">
      <c r="A241" s="416"/>
      <c r="B241" s="407"/>
      <c r="C241" s="406"/>
      <c r="D241" s="407"/>
      <c r="E241" s="407"/>
      <c r="F241" s="407"/>
      <c r="G241" s="406"/>
      <c r="H241" s="406"/>
      <c r="I241" s="415" t="str">
        <f t="shared" si="1"/>
        <v/>
      </c>
    </row>
    <row r="242">
      <c r="A242" s="416"/>
      <c r="B242" s="407"/>
      <c r="C242" s="406"/>
      <c r="D242" s="407"/>
      <c r="E242" s="407"/>
      <c r="F242" s="407"/>
      <c r="G242" s="406"/>
      <c r="H242" s="406"/>
      <c r="I242" s="415" t="str">
        <f t="shared" si="1"/>
        <v/>
      </c>
    </row>
    <row r="243">
      <c r="A243" s="416"/>
      <c r="B243" s="407"/>
      <c r="C243" s="406"/>
      <c r="D243" s="407"/>
      <c r="E243" s="407"/>
      <c r="F243" s="407"/>
      <c r="G243" s="406"/>
      <c r="H243" s="406"/>
      <c r="I243" s="415" t="str">
        <f t="shared" si="1"/>
        <v/>
      </c>
    </row>
    <row r="244">
      <c r="A244" s="416"/>
      <c r="B244" s="407"/>
      <c r="C244" s="406"/>
      <c r="D244" s="407"/>
      <c r="E244" s="407"/>
      <c r="F244" s="407"/>
      <c r="G244" s="406"/>
      <c r="H244" s="406"/>
      <c r="I244" s="415" t="str">
        <f t="shared" si="1"/>
        <v/>
      </c>
    </row>
    <row r="245">
      <c r="A245" s="416"/>
      <c r="B245" s="407"/>
      <c r="C245" s="406"/>
      <c r="D245" s="407"/>
      <c r="E245" s="407"/>
      <c r="F245" s="407"/>
      <c r="G245" s="406"/>
      <c r="H245" s="406"/>
      <c r="I245" s="415" t="str">
        <f t="shared" si="1"/>
        <v/>
      </c>
    </row>
    <row r="246">
      <c r="A246" s="416"/>
      <c r="B246" s="407"/>
      <c r="C246" s="406"/>
      <c r="D246" s="407"/>
      <c r="E246" s="407"/>
      <c r="F246" s="407"/>
      <c r="G246" s="406"/>
      <c r="H246" s="406"/>
      <c r="I246" s="415" t="str">
        <f t="shared" si="1"/>
        <v/>
      </c>
    </row>
    <row r="247">
      <c r="A247" s="416"/>
      <c r="B247" s="407"/>
      <c r="C247" s="406"/>
      <c r="D247" s="407"/>
      <c r="E247" s="407"/>
      <c r="F247" s="407"/>
      <c r="G247" s="406"/>
      <c r="H247" s="406"/>
      <c r="I247" s="415" t="str">
        <f t="shared" si="1"/>
        <v/>
      </c>
    </row>
    <row r="248">
      <c r="A248" s="416"/>
      <c r="B248" s="407"/>
      <c r="C248" s="406"/>
      <c r="D248" s="407"/>
      <c r="E248" s="407"/>
      <c r="F248" s="407"/>
      <c r="G248" s="406"/>
      <c r="H248" s="406"/>
      <c r="I248" s="415" t="str">
        <f t="shared" si="1"/>
        <v/>
      </c>
    </row>
    <row r="249">
      <c r="A249" s="416"/>
      <c r="B249" s="407"/>
      <c r="C249" s="406"/>
      <c r="D249" s="407"/>
      <c r="E249" s="407"/>
      <c r="F249" s="407"/>
      <c r="G249" s="406"/>
      <c r="H249" s="406"/>
      <c r="I249" s="415" t="str">
        <f t="shared" si="1"/>
        <v/>
      </c>
    </row>
    <row r="250">
      <c r="A250" s="416"/>
      <c r="B250" s="407"/>
      <c r="C250" s="406"/>
      <c r="D250" s="407"/>
      <c r="E250" s="407"/>
      <c r="F250" s="407"/>
      <c r="G250" s="406"/>
      <c r="H250" s="406"/>
      <c r="I250" s="415" t="str">
        <f t="shared" si="1"/>
        <v/>
      </c>
    </row>
    <row r="251">
      <c r="A251" s="416"/>
      <c r="B251" s="407"/>
      <c r="C251" s="406"/>
      <c r="D251" s="407"/>
      <c r="E251" s="407"/>
      <c r="F251" s="407"/>
      <c r="G251" s="406"/>
      <c r="H251" s="406"/>
      <c r="I251" s="415" t="str">
        <f t="shared" si="1"/>
        <v/>
      </c>
    </row>
    <row r="252">
      <c r="A252" s="416"/>
      <c r="B252" s="407"/>
      <c r="C252" s="406"/>
      <c r="D252" s="407"/>
      <c r="E252" s="407"/>
      <c r="F252" s="407"/>
      <c r="G252" s="406"/>
      <c r="H252" s="406"/>
      <c r="I252" s="415" t="str">
        <f t="shared" si="1"/>
        <v/>
      </c>
    </row>
    <row r="253">
      <c r="A253" s="416"/>
      <c r="B253" s="407"/>
      <c r="C253" s="406"/>
      <c r="D253" s="407"/>
      <c r="E253" s="407"/>
      <c r="F253" s="407"/>
      <c r="G253" s="406"/>
      <c r="H253" s="406"/>
      <c r="I253" s="415" t="str">
        <f t="shared" si="1"/>
        <v/>
      </c>
    </row>
    <row r="254">
      <c r="A254" s="416"/>
      <c r="B254" s="407"/>
      <c r="C254" s="406"/>
      <c r="D254" s="407"/>
      <c r="E254" s="407"/>
      <c r="F254" s="407"/>
      <c r="G254" s="406"/>
      <c r="H254" s="406"/>
      <c r="I254" s="415" t="str">
        <f t="shared" si="1"/>
        <v/>
      </c>
    </row>
    <row r="255">
      <c r="A255" s="416"/>
      <c r="B255" s="407"/>
      <c r="C255" s="406"/>
      <c r="D255" s="407"/>
      <c r="E255" s="407"/>
      <c r="F255" s="407"/>
      <c r="G255" s="406"/>
      <c r="H255" s="406"/>
      <c r="I255" s="415" t="str">
        <f t="shared" si="1"/>
        <v/>
      </c>
    </row>
    <row r="256">
      <c r="A256" s="416"/>
      <c r="B256" s="407"/>
      <c r="C256" s="406"/>
      <c r="D256" s="407"/>
      <c r="E256" s="407"/>
      <c r="F256" s="407"/>
      <c r="G256" s="406"/>
      <c r="H256" s="406"/>
      <c r="I256" s="415" t="str">
        <f t="shared" si="1"/>
        <v/>
      </c>
    </row>
    <row r="257">
      <c r="A257" s="416"/>
      <c r="B257" s="407"/>
      <c r="C257" s="406"/>
      <c r="D257" s="407"/>
      <c r="E257" s="407"/>
      <c r="F257" s="407"/>
      <c r="G257" s="406"/>
      <c r="H257" s="406"/>
      <c r="I257" s="415" t="str">
        <f t="shared" si="1"/>
        <v/>
      </c>
    </row>
    <row r="258">
      <c r="A258" s="416"/>
      <c r="B258" s="407"/>
      <c r="C258" s="406"/>
      <c r="D258" s="407"/>
      <c r="E258" s="407"/>
      <c r="F258" s="407"/>
      <c r="G258" s="406"/>
      <c r="H258" s="406"/>
      <c r="I258" s="415" t="str">
        <f t="shared" si="1"/>
        <v/>
      </c>
    </row>
    <row r="259">
      <c r="A259" s="416"/>
      <c r="B259" s="407"/>
      <c r="C259" s="406"/>
      <c r="D259" s="407"/>
      <c r="E259" s="407"/>
      <c r="F259" s="407"/>
      <c r="G259" s="406"/>
      <c r="H259" s="406"/>
      <c r="I259" s="415" t="str">
        <f t="shared" si="1"/>
        <v/>
      </c>
    </row>
    <row r="260">
      <c r="A260" s="416"/>
      <c r="B260" s="407"/>
      <c r="C260" s="406"/>
      <c r="D260" s="407"/>
      <c r="E260" s="407"/>
      <c r="F260" s="407"/>
      <c r="G260" s="406"/>
      <c r="H260" s="406"/>
      <c r="I260" s="415" t="str">
        <f t="shared" si="1"/>
        <v/>
      </c>
    </row>
    <row r="261">
      <c r="A261" s="416"/>
      <c r="B261" s="407"/>
      <c r="C261" s="406"/>
      <c r="D261" s="407"/>
      <c r="E261" s="407"/>
      <c r="F261" s="407"/>
      <c r="G261" s="406"/>
      <c r="H261" s="406"/>
      <c r="I261" s="415" t="str">
        <f t="shared" si="1"/>
        <v/>
      </c>
    </row>
    <row r="262">
      <c r="A262" s="416"/>
      <c r="B262" s="407"/>
      <c r="C262" s="406"/>
      <c r="D262" s="407"/>
      <c r="E262" s="407"/>
      <c r="F262" s="407"/>
      <c r="G262" s="406"/>
      <c r="H262" s="406"/>
      <c r="I262" s="415" t="str">
        <f t="shared" si="1"/>
        <v/>
      </c>
    </row>
    <row r="263">
      <c r="A263" s="416"/>
      <c r="B263" s="407"/>
      <c r="C263" s="406"/>
      <c r="D263" s="407"/>
      <c r="E263" s="407"/>
      <c r="F263" s="407"/>
      <c r="G263" s="406"/>
      <c r="H263" s="406"/>
      <c r="I263" s="415" t="str">
        <f t="shared" si="1"/>
        <v/>
      </c>
    </row>
    <row r="264">
      <c r="A264" s="416"/>
      <c r="B264" s="407"/>
      <c r="C264" s="406"/>
      <c r="D264" s="407"/>
      <c r="E264" s="407"/>
      <c r="F264" s="407"/>
      <c r="G264" s="406"/>
      <c r="H264" s="406"/>
      <c r="I264" s="415" t="str">
        <f t="shared" si="1"/>
        <v/>
      </c>
    </row>
    <row r="265">
      <c r="A265" s="416"/>
      <c r="B265" s="407"/>
      <c r="C265" s="406"/>
      <c r="D265" s="407"/>
      <c r="E265" s="407"/>
      <c r="F265" s="407"/>
      <c r="G265" s="406"/>
      <c r="H265" s="406"/>
      <c r="I265" s="415" t="str">
        <f t="shared" si="1"/>
        <v/>
      </c>
    </row>
    <row r="266">
      <c r="A266" s="416"/>
      <c r="B266" s="407"/>
      <c r="C266" s="406"/>
      <c r="D266" s="407"/>
      <c r="E266" s="407"/>
      <c r="F266" s="407"/>
      <c r="G266" s="406"/>
      <c r="H266" s="406"/>
      <c r="I266" s="415" t="str">
        <f t="shared" si="1"/>
        <v/>
      </c>
    </row>
    <row r="267">
      <c r="A267" s="416"/>
      <c r="B267" s="407"/>
      <c r="C267" s="406"/>
      <c r="D267" s="407"/>
      <c r="E267" s="407"/>
      <c r="F267" s="407"/>
      <c r="G267" s="406"/>
      <c r="H267" s="406"/>
      <c r="I267" s="415" t="str">
        <f t="shared" si="1"/>
        <v/>
      </c>
    </row>
    <row r="268">
      <c r="A268" s="416"/>
      <c r="B268" s="407"/>
      <c r="C268" s="406"/>
      <c r="D268" s="407"/>
      <c r="E268" s="407"/>
      <c r="F268" s="407"/>
      <c r="G268" s="406"/>
      <c r="H268" s="406"/>
      <c r="I268" s="415" t="str">
        <f t="shared" si="1"/>
        <v/>
      </c>
    </row>
    <row r="269">
      <c r="A269" s="416"/>
      <c r="B269" s="407"/>
      <c r="C269" s="406"/>
      <c r="D269" s="407"/>
      <c r="E269" s="407"/>
      <c r="F269" s="407"/>
      <c r="G269" s="406"/>
      <c r="H269" s="406"/>
      <c r="I269" s="415" t="str">
        <f t="shared" si="1"/>
        <v/>
      </c>
    </row>
    <row r="270">
      <c r="A270" s="416"/>
      <c r="B270" s="407"/>
      <c r="C270" s="406"/>
      <c r="D270" s="407"/>
      <c r="E270" s="407"/>
      <c r="F270" s="407"/>
      <c r="G270" s="406"/>
      <c r="H270" s="406"/>
      <c r="I270" s="415" t="str">
        <f t="shared" si="1"/>
        <v/>
      </c>
    </row>
    <row r="271">
      <c r="A271" s="416"/>
      <c r="B271" s="407"/>
      <c r="C271" s="406"/>
      <c r="D271" s="407"/>
      <c r="E271" s="407"/>
      <c r="F271" s="407"/>
      <c r="G271" s="406"/>
      <c r="H271" s="406"/>
      <c r="I271" s="415" t="str">
        <f t="shared" si="1"/>
        <v/>
      </c>
    </row>
    <row r="272">
      <c r="A272" s="416"/>
      <c r="B272" s="407"/>
      <c r="C272" s="406"/>
      <c r="D272" s="407"/>
      <c r="E272" s="407"/>
      <c r="F272" s="407"/>
      <c r="G272" s="406"/>
      <c r="H272" s="406"/>
      <c r="I272" s="415" t="str">
        <f t="shared" si="1"/>
        <v/>
      </c>
    </row>
    <row r="273">
      <c r="A273" s="416"/>
      <c r="B273" s="407"/>
      <c r="C273" s="406"/>
      <c r="D273" s="407"/>
      <c r="E273" s="407"/>
      <c r="F273" s="407"/>
      <c r="G273" s="406"/>
      <c r="H273" s="406"/>
      <c r="I273" s="415" t="str">
        <f t="shared" si="1"/>
        <v/>
      </c>
    </row>
    <row r="274">
      <c r="A274" s="416"/>
      <c r="B274" s="407"/>
      <c r="C274" s="406"/>
      <c r="D274" s="407"/>
      <c r="E274" s="407"/>
      <c r="F274" s="407"/>
      <c r="G274" s="406"/>
      <c r="H274" s="406"/>
      <c r="I274" s="415" t="str">
        <f t="shared" si="1"/>
        <v/>
      </c>
    </row>
    <row r="275">
      <c r="A275" s="416"/>
      <c r="B275" s="407"/>
      <c r="C275" s="406"/>
      <c r="D275" s="407"/>
      <c r="E275" s="407"/>
      <c r="F275" s="407"/>
      <c r="G275" s="406"/>
      <c r="H275" s="406"/>
      <c r="I275" s="415" t="str">
        <f t="shared" si="1"/>
        <v/>
      </c>
    </row>
    <row r="276">
      <c r="A276" s="416"/>
      <c r="B276" s="407"/>
      <c r="C276" s="406"/>
      <c r="D276" s="407"/>
      <c r="E276" s="407"/>
      <c r="F276" s="407"/>
      <c r="G276" s="406"/>
      <c r="H276" s="406"/>
      <c r="I276" s="415" t="str">
        <f t="shared" si="1"/>
        <v/>
      </c>
    </row>
    <row r="277">
      <c r="A277" s="416"/>
      <c r="B277" s="407"/>
      <c r="C277" s="406"/>
      <c r="D277" s="407"/>
      <c r="E277" s="407"/>
      <c r="F277" s="407"/>
      <c r="G277" s="406"/>
      <c r="H277" s="406"/>
      <c r="I277" s="415" t="str">
        <f t="shared" si="1"/>
        <v/>
      </c>
    </row>
    <row r="278">
      <c r="A278" s="416"/>
      <c r="B278" s="407"/>
      <c r="C278" s="406"/>
      <c r="D278" s="407"/>
      <c r="E278" s="407"/>
      <c r="F278" s="407"/>
      <c r="G278" s="406"/>
      <c r="H278" s="406"/>
      <c r="I278" s="415" t="str">
        <f t="shared" si="1"/>
        <v/>
      </c>
    </row>
    <row r="279">
      <c r="A279" s="416"/>
      <c r="B279" s="407"/>
      <c r="C279" s="406"/>
      <c r="D279" s="407"/>
      <c r="E279" s="407"/>
      <c r="F279" s="407"/>
      <c r="G279" s="406"/>
      <c r="H279" s="406"/>
      <c r="I279" s="415" t="str">
        <f t="shared" si="1"/>
        <v/>
      </c>
    </row>
    <row r="280">
      <c r="A280" s="416"/>
      <c r="B280" s="407"/>
      <c r="C280" s="406"/>
      <c r="D280" s="407"/>
      <c r="E280" s="407"/>
      <c r="F280" s="407"/>
      <c r="G280" s="406"/>
      <c r="H280" s="406"/>
      <c r="I280" s="415" t="str">
        <f t="shared" si="1"/>
        <v/>
      </c>
    </row>
    <row r="281">
      <c r="A281" s="416"/>
      <c r="B281" s="407"/>
      <c r="C281" s="406"/>
      <c r="D281" s="407"/>
      <c r="E281" s="407"/>
      <c r="F281" s="407"/>
      <c r="G281" s="406"/>
      <c r="H281" s="406"/>
      <c r="I281" s="415" t="str">
        <f t="shared" si="1"/>
        <v/>
      </c>
    </row>
    <row r="282">
      <c r="A282" s="416"/>
      <c r="B282" s="407"/>
      <c r="C282" s="406"/>
      <c r="D282" s="407"/>
      <c r="E282" s="407"/>
      <c r="F282" s="407"/>
      <c r="G282" s="406"/>
      <c r="H282" s="406"/>
      <c r="I282" s="415" t="str">
        <f t="shared" si="1"/>
        <v/>
      </c>
    </row>
    <row r="283">
      <c r="A283" s="416"/>
      <c r="B283" s="407"/>
      <c r="C283" s="406"/>
      <c r="D283" s="407"/>
      <c r="E283" s="407"/>
      <c r="F283" s="407"/>
      <c r="G283" s="406"/>
      <c r="H283" s="406"/>
      <c r="I283" s="415" t="str">
        <f t="shared" si="1"/>
        <v/>
      </c>
    </row>
    <row r="284">
      <c r="A284" s="416"/>
      <c r="B284" s="407"/>
      <c r="C284" s="406"/>
      <c r="D284" s="407"/>
      <c r="E284" s="407"/>
      <c r="F284" s="407"/>
      <c r="G284" s="406"/>
      <c r="H284" s="406"/>
      <c r="I284" s="415" t="str">
        <f t="shared" si="1"/>
        <v/>
      </c>
    </row>
    <row r="285">
      <c r="A285" s="416"/>
      <c r="B285" s="407"/>
      <c r="C285" s="406"/>
      <c r="D285" s="407"/>
      <c r="E285" s="407"/>
      <c r="F285" s="407"/>
      <c r="G285" s="406"/>
      <c r="H285" s="406"/>
      <c r="I285" s="415" t="str">
        <f t="shared" si="1"/>
        <v/>
      </c>
    </row>
    <row r="286">
      <c r="A286" s="416"/>
      <c r="B286" s="407"/>
      <c r="C286" s="406"/>
      <c r="D286" s="407"/>
      <c r="E286" s="407"/>
      <c r="F286" s="407"/>
      <c r="G286" s="406"/>
      <c r="H286" s="406"/>
      <c r="I286" s="415" t="str">
        <f t="shared" si="1"/>
        <v/>
      </c>
    </row>
    <row r="287">
      <c r="A287" s="416"/>
      <c r="B287" s="407"/>
      <c r="C287" s="406"/>
      <c r="D287" s="407"/>
      <c r="E287" s="407"/>
      <c r="F287" s="407"/>
      <c r="G287" s="406"/>
      <c r="H287" s="406"/>
      <c r="I287" s="415" t="str">
        <f t="shared" si="1"/>
        <v/>
      </c>
    </row>
    <row r="288">
      <c r="A288" s="416"/>
      <c r="B288" s="407"/>
      <c r="C288" s="406"/>
      <c r="D288" s="407"/>
      <c r="E288" s="407"/>
      <c r="F288" s="407"/>
      <c r="G288" s="406"/>
      <c r="H288" s="406"/>
      <c r="I288" s="415" t="str">
        <f t="shared" si="1"/>
        <v/>
      </c>
    </row>
    <row r="289">
      <c r="A289" s="416"/>
      <c r="B289" s="407"/>
      <c r="C289" s="406"/>
      <c r="D289" s="407"/>
      <c r="E289" s="407"/>
      <c r="F289" s="407"/>
      <c r="G289" s="406"/>
      <c r="H289" s="406"/>
      <c r="I289" s="415" t="str">
        <f t="shared" si="1"/>
        <v/>
      </c>
    </row>
    <row r="290">
      <c r="A290" s="416"/>
      <c r="B290" s="407"/>
      <c r="C290" s="406"/>
      <c r="D290" s="407"/>
      <c r="E290" s="407"/>
      <c r="F290" s="407"/>
      <c r="G290" s="406"/>
      <c r="H290" s="406"/>
      <c r="I290" s="415" t="str">
        <f t="shared" si="1"/>
        <v/>
      </c>
    </row>
    <row r="291">
      <c r="A291" s="416"/>
      <c r="B291" s="407"/>
      <c r="C291" s="406"/>
      <c r="D291" s="407"/>
      <c r="E291" s="407"/>
      <c r="F291" s="407"/>
      <c r="G291" s="406"/>
      <c r="H291" s="406"/>
      <c r="I291" s="415" t="str">
        <f t="shared" si="1"/>
        <v/>
      </c>
    </row>
    <row r="292">
      <c r="A292" s="416"/>
      <c r="B292" s="407"/>
      <c r="C292" s="406"/>
      <c r="D292" s="407"/>
      <c r="E292" s="407"/>
      <c r="F292" s="407"/>
      <c r="G292" s="406"/>
      <c r="H292" s="406"/>
      <c r="I292" s="415" t="str">
        <f t="shared" si="1"/>
        <v/>
      </c>
    </row>
    <row r="293">
      <c r="A293" s="416"/>
      <c r="B293" s="407"/>
      <c r="C293" s="406"/>
      <c r="D293" s="407"/>
      <c r="E293" s="407"/>
      <c r="F293" s="407"/>
      <c r="G293" s="406"/>
      <c r="H293" s="406"/>
      <c r="I293" s="415" t="str">
        <f t="shared" si="1"/>
        <v/>
      </c>
    </row>
    <row r="294">
      <c r="A294" s="416"/>
      <c r="B294" s="407"/>
      <c r="C294" s="406"/>
      <c r="D294" s="407"/>
      <c r="E294" s="407"/>
      <c r="F294" s="407"/>
      <c r="G294" s="406"/>
      <c r="H294" s="406"/>
      <c r="I294" s="415" t="str">
        <f t="shared" si="1"/>
        <v/>
      </c>
    </row>
    <row r="295">
      <c r="A295" s="416"/>
      <c r="B295" s="407"/>
      <c r="C295" s="406"/>
      <c r="D295" s="407"/>
      <c r="E295" s="407"/>
      <c r="F295" s="407"/>
      <c r="G295" s="406"/>
      <c r="H295" s="406"/>
      <c r="I295" s="415" t="str">
        <f t="shared" si="1"/>
        <v/>
      </c>
    </row>
    <row r="296">
      <c r="A296" s="416"/>
      <c r="B296" s="407"/>
      <c r="C296" s="406"/>
      <c r="D296" s="407"/>
      <c r="E296" s="407"/>
      <c r="F296" s="407"/>
      <c r="G296" s="406"/>
      <c r="H296" s="406"/>
      <c r="I296" s="415" t="str">
        <f t="shared" si="1"/>
        <v/>
      </c>
    </row>
    <row r="297">
      <c r="A297" s="416"/>
      <c r="B297" s="407"/>
      <c r="C297" s="406"/>
      <c r="D297" s="407"/>
      <c r="E297" s="407"/>
      <c r="F297" s="407"/>
      <c r="G297" s="406"/>
      <c r="H297" s="406"/>
      <c r="I297" s="415" t="str">
        <f t="shared" si="1"/>
        <v/>
      </c>
    </row>
    <row r="298">
      <c r="A298" s="416"/>
      <c r="B298" s="407"/>
      <c r="C298" s="406"/>
      <c r="D298" s="407"/>
      <c r="E298" s="407"/>
      <c r="F298" s="407"/>
      <c r="G298" s="406"/>
      <c r="H298" s="406"/>
      <c r="I298" s="415" t="str">
        <f t="shared" si="1"/>
        <v/>
      </c>
    </row>
    <row r="299">
      <c r="A299" s="416"/>
      <c r="B299" s="407"/>
      <c r="C299" s="406"/>
      <c r="D299" s="407"/>
      <c r="E299" s="407"/>
      <c r="F299" s="407"/>
      <c r="G299" s="406"/>
      <c r="H299" s="406"/>
      <c r="I299" s="415" t="str">
        <f t="shared" si="1"/>
        <v/>
      </c>
    </row>
    <row r="300">
      <c r="A300" s="416"/>
      <c r="B300" s="407"/>
      <c r="C300" s="406"/>
      <c r="D300" s="407"/>
      <c r="E300" s="407"/>
      <c r="F300" s="407"/>
      <c r="G300" s="406"/>
      <c r="H300" s="406"/>
      <c r="I300" s="415" t="str">
        <f t="shared" si="1"/>
        <v/>
      </c>
    </row>
    <row r="301">
      <c r="A301" s="416"/>
      <c r="B301" s="407"/>
      <c r="C301" s="406"/>
      <c r="D301" s="407"/>
      <c r="E301" s="407"/>
      <c r="F301" s="407"/>
      <c r="G301" s="406"/>
      <c r="H301" s="406"/>
      <c r="I301" s="415" t="str">
        <f t="shared" si="1"/>
        <v/>
      </c>
    </row>
    <row r="302">
      <c r="A302" s="416"/>
      <c r="B302" s="407"/>
      <c r="C302" s="406"/>
      <c r="D302" s="407"/>
      <c r="E302" s="407"/>
      <c r="F302" s="407"/>
      <c r="G302" s="406"/>
      <c r="H302" s="406"/>
      <c r="I302" s="415" t="str">
        <f t="shared" si="1"/>
        <v/>
      </c>
    </row>
    <row r="303">
      <c r="A303" s="416"/>
      <c r="B303" s="407"/>
      <c r="C303" s="406"/>
      <c r="D303" s="407"/>
      <c r="E303" s="407"/>
      <c r="F303" s="407"/>
      <c r="G303" s="406"/>
      <c r="H303" s="406"/>
      <c r="I303" s="415" t="str">
        <f t="shared" si="1"/>
        <v/>
      </c>
    </row>
    <row r="304">
      <c r="A304" s="416"/>
      <c r="B304" s="407"/>
      <c r="C304" s="406"/>
      <c r="D304" s="407"/>
      <c r="E304" s="407"/>
      <c r="F304" s="407"/>
      <c r="G304" s="406"/>
      <c r="H304" s="406"/>
      <c r="I304" s="415" t="str">
        <f t="shared" si="1"/>
        <v/>
      </c>
    </row>
    <row r="305">
      <c r="A305" s="416"/>
      <c r="B305" s="407"/>
      <c r="C305" s="406"/>
      <c r="D305" s="407"/>
      <c r="E305" s="407"/>
      <c r="F305" s="407"/>
      <c r="G305" s="406"/>
      <c r="H305" s="406"/>
      <c r="I305" s="415" t="str">
        <f t="shared" si="1"/>
        <v/>
      </c>
    </row>
    <row r="306">
      <c r="A306" s="416"/>
      <c r="B306" s="407"/>
      <c r="C306" s="406"/>
      <c r="D306" s="407"/>
      <c r="E306" s="407"/>
      <c r="F306" s="407"/>
      <c r="G306" s="406"/>
      <c r="H306" s="406"/>
      <c r="I306" s="415" t="str">
        <f t="shared" si="1"/>
        <v/>
      </c>
    </row>
    <row r="307">
      <c r="A307" s="416"/>
      <c r="B307" s="407"/>
      <c r="C307" s="406"/>
      <c r="D307" s="407"/>
      <c r="E307" s="407"/>
      <c r="F307" s="407"/>
      <c r="G307" s="406"/>
      <c r="H307" s="406"/>
      <c r="I307" s="415" t="str">
        <f t="shared" si="1"/>
        <v/>
      </c>
    </row>
    <row r="308">
      <c r="A308" s="416"/>
      <c r="B308" s="407"/>
      <c r="C308" s="406"/>
      <c r="D308" s="407"/>
      <c r="E308" s="407"/>
      <c r="F308" s="407"/>
      <c r="G308" s="406"/>
      <c r="H308" s="406"/>
      <c r="I308" s="415" t="str">
        <f t="shared" si="1"/>
        <v/>
      </c>
    </row>
    <row r="309">
      <c r="A309" s="416"/>
      <c r="B309" s="407"/>
      <c r="C309" s="406"/>
      <c r="D309" s="407"/>
      <c r="E309" s="407"/>
      <c r="F309" s="407"/>
      <c r="G309" s="406"/>
      <c r="H309" s="406"/>
      <c r="I309" s="415" t="str">
        <f t="shared" si="1"/>
        <v/>
      </c>
    </row>
    <row r="310">
      <c r="A310" s="416"/>
      <c r="B310" s="407"/>
      <c r="C310" s="406"/>
      <c r="D310" s="407"/>
      <c r="E310" s="407"/>
      <c r="F310" s="407"/>
      <c r="G310" s="406"/>
      <c r="H310" s="406"/>
      <c r="I310" s="415" t="str">
        <f t="shared" si="1"/>
        <v/>
      </c>
    </row>
    <row r="311">
      <c r="A311" s="416"/>
      <c r="B311" s="407"/>
      <c r="C311" s="406"/>
      <c r="D311" s="407"/>
      <c r="E311" s="407"/>
      <c r="F311" s="407"/>
      <c r="G311" s="406"/>
      <c r="H311" s="406"/>
      <c r="I311" s="415" t="str">
        <f t="shared" si="1"/>
        <v/>
      </c>
    </row>
    <row r="312">
      <c r="A312" s="416"/>
      <c r="B312" s="407"/>
      <c r="C312" s="406"/>
      <c r="D312" s="407"/>
      <c r="E312" s="407"/>
      <c r="F312" s="407"/>
      <c r="G312" s="406"/>
      <c r="H312" s="406"/>
      <c r="I312" s="415" t="str">
        <f t="shared" si="1"/>
        <v/>
      </c>
    </row>
    <row r="313">
      <c r="A313" s="416"/>
      <c r="B313" s="407"/>
      <c r="C313" s="406"/>
      <c r="D313" s="407"/>
      <c r="E313" s="407"/>
      <c r="F313" s="407"/>
      <c r="G313" s="406"/>
      <c r="H313" s="406"/>
      <c r="I313" s="415" t="str">
        <f t="shared" si="1"/>
        <v/>
      </c>
    </row>
    <row r="314">
      <c r="A314" s="416"/>
      <c r="B314" s="407"/>
      <c r="C314" s="406"/>
      <c r="D314" s="407"/>
      <c r="E314" s="407"/>
      <c r="F314" s="407"/>
      <c r="G314" s="406"/>
      <c r="H314" s="406"/>
      <c r="I314" s="415" t="str">
        <f t="shared" si="1"/>
        <v/>
      </c>
    </row>
    <row r="315">
      <c r="A315" s="416"/>
      <c r="B315" s="407"/>
      <c r="C315" s="406"/>
      <c r="D315" s="407"/>
      <c r="E315" s="407"/>
      <c r="F315" s="407"/>
      <c r="G315" s="406"/>
      <c r="H315" s="406"/>
      <c r="I315" s="415" t="str">
        <f t="shared" si="1"/>
        <v/>
      </c>
    </row>
    <row r="316">
      <c r="A316" s="416"/>
      <c r="B316" s="407"/>
      <c r="C316" s="406"/>
      <c r="D316" s="407"/>
      <c r="E316" s="407"/>
      <c r="F316" s="407"/>
      <c r="G316" s="406"/>
      <c r="H316" s="406"/>
      <c r="I316" s="415" t="str">
        <f t="shared" si="1"/>
        <v/>
      </c>
    </row>
    <row r="317">
      <c r="A317" s="416"/>
      <c r="B317" s="407"/>
      <c r="C317" s="406"/>
      <c r="D317" s="407"/>
      <c r="E317" s="407"/>
      <c r="F317" s="407"/>
      <c r="G317" s="406"/>
      <c r="H317" s="406"/>
      <c r="I317" s="415" t="str">
        <f t="shared" si="1"/>
        <v/>
      </c>
    </row>
    <row r="318">
      <c r="A318" s="416"/>
      <c r="B318" s="407"/>
      <c r="C318" s="406"/>
      <c r="D318" s="407"/>
      <c r="E318" s="407"/>
      <c r="F318" s="407"/>
      <c r="G318" s="406"/>
      <c r="H318" s="406"/>
      <c r="I318" s="415" t="str">
        <f t="shared" si="1"/>
        <v/>
      </c>
    </row>
    <row r="319">
      <c r="A319" s="416"/>
      <c r="B319" s="407"/>
      <c r="C319" s="406"/>
      <c r="D319" s="407"/>
      <c r="E319" s="407"/>
      <c r="F319" s="407"/>
      <c r="G319" s="406"/>
      <c r="H319" s="406"/>
      <c r="I319" s="415" t="str">
        <f t="shared" si="1"/>
        <v/>
      </c>
    </row>
    <row r="320">
      <c r="A320" s="416"/>
      <c r="B320" s="407"/>
      <c r="C320" s="406"/>
      <c r="D320" s="407"/>
      <c r="E320" s="407"/>
      <c r="F320" s="407"/>
      <c r="G320" s="406"/>
      <c r="H320" s="406"/>
      <c r="I320" s="415" t="str">
        <f t="shared" si="1"/>
        <v/>
      </c>
    </row>
    <row r="321">
      <c r="A321" s="416"/>
      <c r="B321" s="407"/>
      <c r="C321" s="406"/>
      <c r="D321" s="407"/>
      <c r="E321" s="407"/>
      <c r="F321" s="407"/>
      <c r="G321" s="406"/>
      <c r="H321" s="406"/>
      <c r="I321" s="415" t="str">
        <f t="shared" si="1"/>
        <v/>
      </c>
    </row>
    <row r="322">
      <c r="A322" s="416"/>
      <c r="B322" s="407"/>
      <c r="C322" s="406"/>
      <c r="D322" s="407"/>
      <c r="E322" s="407"/>
      <c r="F322" s="407"/>
      <c r="G322" s="406"/>
      <c r="H322" s="406"/>
      <c r="I322" s="415" t="str">
        <f t="shared" si="1"/>
        <v/>
      </c>
    </row>
    <row r="323">
      <c r="A323" s="416"/>
      <c r="B323" s="407"/>
      <c r="C323" s="406"/>
      <c r="D323" s="407"/>
      <c r="E323" s="407"/>
      <c r="F323" s="407"/>
      <c r="G323" s="406"/>
      <c r="H323" s="406"/>
      <c r="I323" s="415" t="str">
        <f t="shared" si="1"/>
        <v/>
      </c>
    </row>
    <row r="324">
      <c r="A324" s="416"/>
      <c r="B324" s="407"/>
      <c r="C324" s="406"/>
      <c r="D324" s="407"/>
      <c r="E324" s="407"/>
      <c r="F324" s="407"/>
      <c r="G324" s="406"/>
      <c r="H324" s="406"/>
      <c r="I324" s="415" t="str">
        <f t="shared" si="1"/>
        <v/>
      </c>
    </row>
    <row r="325">
      <c r="A325" s="416"/>
      <c r="B325" s="407"/>
      <c r="C325" s="406"/>
      <c r="D325" s="407"/>
      <c r="E325" s="407"/>
      <c r="F325" s="407"/>
      <c r="G325" s="406"/>
      <c r="H325" s="406"/>
      <c r="I325" s="415" t="str">
        <f t="shared" si="1"/>
        <v/>
      </c>
    </row>
    <row r="326">
      <c r="A326" s="416"/>
      <c r="B326" s="407"/>
      <c r="C326" s="406"/>
      <c r="D326" s="407"/>
      <c r="E326" s="407"/>
      <c r="F326" s="407"/>
      <c r="G326" s="406"/>
      <c r="H326" s="406"/>
      <c r="I326" s="415" t="str">
        <f t="shared" si="1"/>
        <v/>
      </c>
    </row>
    <row r="327">
      <c r="A327" s="416"/>
      <c r="B327" s="407"/>
      <c r="C327" s="406"/>
      <c r="D327" s="407"/>
      <c r="E327" s="407"/>
      <c r="F327" s="407"/>
      <c r="G327" s="406"/>
      <c r="H327" s="406"/>
      <c r="I327" s="415" t="str">
        <f t="shared" si="1"/>
        <v/>
      </c>
    </row>
    <row r="328">
      <c r="A328" s="416"/>
      <c r="B328" s="407"/>
      <c r="C328" s="406"/>
      <c r="D328" s="407"/>
      <c r="E328" s="407"/>
      <c r="F328" s="407"/>
      <c r="G328" s="406"/>
      <c r="H328" s="406"/>
      <c r="I328" s="415" t="str">
        <f t="shared" si="1"/>
        <v/>
      </c>
    </row>
    <row r="329">
      <c r="A329" s="416"/>
      <c r="B329" s="407"/>
      <c r="C329" s="406"/>
      <c r="D329" s="407"/>
      <c r="E329" s="407"/>
      <c r="F329" s="407"/>
      <c r="G329" s="406"/>
      <c r="H329" s="406"/>
      <c r="I329" s="415" t="str">
        <f t="shared" si="1"/>
        <v/>
      </c>
    </row>
    <row r="330">
      <c r="A330" s="416"/>
      <c r="B330" s="407"/>
      <c r="C330" s="406"/>
      <c r="D330" s="407"/>
      <c r="E330" s="407"/>
      <c r="F330" s="407"/>
      <c r="G330" s="406"/>
      <c r="H330" s="406"/>
      <c r="I330" s="415" t="str">
        <f t="shared" si="1"/>
        <v/>
      </c>
    </row>
    <row r="331">
      <c r="A331" s="416"/>
      <c r="B331" s="407"/>
      <c r="C331" s="406"/>
      <c r="D331" s="407"/>
      <c r="E331" s="407"/>
      <c r="F331" s="407"/>
      <c r="G331" s="406"/>
      <c r="H331" s="406"/>
      <c r="I331" s="415" t="str">
        <f t="shared" si="1"/>
        <v/>
      </c>
    </row>
    <row r="332">
      <c r="A332" s="416"/>
      <c r="B332" s="407"/>
      <c r="C332" s="406"/>
      <c r="D332" s="407"/>
      <c r="E332" s="407"/>
      <c r="F332" s="407"/>
      <c r="G332" s="406"/>
      <c r="H332" s="406"/>
      <c r="I332" s="415" t="str">
        <f t="shared" si="1"/>
        <v/>
      </c>
    </row>
    <row r="333">
      <c r="A333" s="416"/>
      <c r="B333" s="407"/>
      <c r="C333" s="406"/>
      <c r="D333" s="407"/>
      <c r="E333" s="407"/>
      <c r="F333" s="407"/>
      <c r="G333" s="406"/>
      <c r="H333" s="406"/>
      <c r="I333" s="415" t="str">
        <f t="shared" si="1"/>
        <v/>
      </c>
    </row>
    <row r="334">
      <c r="A334" s="416"/>
      <c r="B334" s="407"/>
      <c r="C334" s="406"/>
      <c r="D334" s="407"/>
      <c r="E334" s="407"/>
      <c r="F334" s="407"/>
      <c r="G334" s="406"/>
      <c r="H334" s="406"/>
      <c r="I334" s="415" t="str">
        <f t="shared" si="1"/>
        <v/>
      </c>
    </row>
    <row r="335">
      <c r="A335" s="416"/>
      <c r="B335" s="407"/>
      <c r="C335" s="406"/>
      <c r="D335" s="407"/>
      <c r="E335" s="407"/>
      <c r="F335" s="407"/>
      <c r="G335" s="406"/>
      <c r="H335" s="406"/>
      <c r="I335" s="415" t="str">
        <f t="shared" si="1"/>
        <v/>
      </c>
    </row>
    <row r="336">
      <c r="A336" s="416"/>
      <c r="B336" s="407"/>
      <c r="C336" s="406"/>
      <c r="D336" s="407"/>
      <c r="E336" s="407"/>
      <c r="F336" s="407"/>
      <c r="G336" s="406"/>
      <c r="H336" s="406"/>
      <c r="I336" s="415" t="str">
        <f t="shared" si="1"/>
        <v/>
      </c>
    </row>
    <row r="337">
      <c r="A337" s="416"/>
      <c r="B337" s="407"/>
      <c r="C337" s="406"/>
      <c r="D337" s="407"/>
      <c r="E337" s="407"/>
      <c r="F337" s="407"/>
      <c r="G337" s="406"/>
      <c r="H337" s="406"/>
      <c r="I337" s="415" t="str">
        <f t="shared" si="1"/>
        <v/>
      </c>
    </row>
    <row r="338">
      <c r="A338" s="416"/>
      <c r="B338" s="407"/>
      <c r="C338" s="406"/>
      <c r="D338" s="407"/>
      <c r="E338" s="407"/>
      <c r="F338" s="407"/>
      <c r="G338" s="406"/>
      <c r="H338" s="406"/>
      <c r="I338" s="415" t="str">
        <f t="shared" si="1"/>
        <v/>
      </c>
    </row>
    <row r="339">
      <c r="A339" s="416"/>
      <c r="B339" s="407"/>
      <c r="C339" s="406"/>
      <c r="D339" s="407"/>
      <c r="E339" s="407"/>
      <c r="F339" s="407"/>
      <c r="G339" s="406"/>
      <c r="H339" s="406"/>
      <c r="I339" s="415" t="str">
        <f t="shared" si="1"/>
        <v/>
      </c>
    </row>
    <row r="340">
      <c r="A340" s="416"/>
      <c r="B340" s="407"/>
      <c r="C340" s="406"/>
      <c r="D340" s="407"/>
      <c r="E340" s="407"/>
      <c r="F340" s="407"/>
      <c r="G340" s="406"/>
      <c r="H340" s="406"/>
      <c r="I340" s="415" t="str">
        <f t="shared" si="1"/>
        <v/>
      </c>
    </row>
    <row r="341">
      <c r="A341" s="416"/>
      <c r="B341" s="407"/>
      <c r="C341" s="406"/>
      <c r="D341" s="407"/>
      <c r="E341" s="407"/>
      <c r="F341" s="407"/>
      <c r="G341" s="406"/>
      <c r="H341" s="406"/>
      <c r="I341" s="415" t="str">
        <f t="shared" si="1"/>
        <v/>
      </c>
    </row>
    <row r="342">
      <c r="A342" s="416"/>
      <c r="B342" s="407"/>
      <c r="C342" s="406"/>
      <c r="D342" s="407"/>
      <c r="E342" s="407"/>
      <c r="F342" s="407"/>
      <c r="G342" s="406"/>
      <c r="H342" s="406"/>
      <c r="I342" s="415" t="str">
        <f t="shared" si="1"/>
        <v/>
      </c>
    </row>
    <row r="343">
      <c r="A343" s="416"/>
      <c r="B343" s="407"/>
      <c r="C343" s="406"/>
      <c r="D343" s="407"/>
      <c r="E343" s="407"/>
      <c r="F343" s="407"/>
      <c r="G343" s="406"/>
      <c r="H343" s="406"/>
      <c r="I343" s="415" t="str">
        <f t="shared" si="1"/>
        <v/>
      </c>
    </row>
    <row r="344">
      <c r="A344" s="416"/>
      <c r="B344" s="407"/>
      <c r="C344" s="406"/>
      <c r="D344" s="407"/>
      <c r="E344" s="407"/>
      <c r="F344" s="407"/>
      <c r="G344" s="406"/>
      <c r="H344" s="406"/>
      <c r="I344" s="415" t="str">
        <f t="shared" si="1"/>
        <v/>
      </c>
    </row>
    <row r="345">
      <c r="A345" s="416"/>
      <c r="B345" s="407"/>
      <c r="C345" s="406"/>
      <c r="D345" s="407"/>
      <c r="E345" s="407"/>
      <c r="F345" s="407"/>
      <c r="G345" s="406"/>
      <c r="H345" s="406"/>
      <c r="I345" s="415" t="str">
        <f t="shared" si="1"/>
        <v/>
      </c>
    </row>
    <row r="346">
      <c r="A346" s="416"/>
      <c r="B346" s="407"/>
      <c r="C346" s="406"/>
      <c r="D346" s="407"/>
      <c r="E346" s="407"/>
      <c r="F346" s="407"/>
      <c r="G346" s="406"/>
      <c r="H346" s="406"/>
      <c r="I346" s="415" t="str">
        <f t="shared" si="1"/>
        <v/>
      </c>
    </row>
    <row r="347">
      <c r="A347" s="416"/>
      <c r="B347" s="407"/>
      <c r="C347" s="406"/>
      <c r="D347" s="407"/>
      <c r="E347" s="407"/>
      <c r="F347" s="407"/>
      <c r="G347" s="406"/>
      <c r="H347" s="406"/>
      <c r="I347" s="415" t="str">
        <f t="shared" si="1"/>
        <v/>
      </c>
    </row>
    <row r="348">
      <c r="A348" s="416"/>
      <c r="B348" s="407"/>
      <c r="C348" s="406"/>
      <c r="D348" s="407"/>
      <c r="E348" s="407"/>
      <c r="F348" s="407"/>
      <c r="G348" s="406"/>
      <c r="H348" s="406"/>
      <c r="I348" s="415" t="str">
        <f t="shared" si="1"/>
        <v/>
      </c>
    </row>
    <row r="349">
      <c r="A349" s="416"/>
      <c r="B349" s="407"/>
      <c r="C349" s="406"/>
      <c r="D349" s="407"/>
      <c r="E349" s="407"/>
      <c r="F349" s="407"/>
      <c r="G349" s="406"/>
      <c r="H349" s="406"/>
      <c r="I349" s="415" t="str">
        <f t="shared" si="1"/>
        <v/>
      </c>
    </row>
    <row r="350">
      <c r="A350" s="416"/>
      <c r="B350" s="407"/>
      <c r="C350" s="406"/>
      <c r="D350" s="407"/>
      <c r="E350" s="407"/>
      <c r="F350" s="407"/>
      <c r="G350" s="406"/>
      <c r="H350" s="406"/>
      <c r="I350" s="415" t="str">
        <f t="shared" si="1"/>
        <v/>
      </c>
    </row>
    <row r="351">
      <c r="A351" s="416"/>
      <c r="B351" s="407"/>
      <c r="C351" s="406"/>
      <c r="D351" s="407"/>
      <c r="E351" s="407"/>
      <c r="F351" s="407"/>
      <c r="G351" s="406"/>
      <c r="H351" s="406"/>
      <c r="I351" s="415" t="str">
        <f t="shared" si="1"/>
        <v/>
      </c>
    </row>
    <row r="352">
      <c r="A352" s="416"/>
      <c r="B352" s="407"/>
      <c r="C352" s="406"/>
      <c r="D352" s="407"/>
      <c r="E352" s="407"/>
      <c r="F352" s="407"/>
      <c r="G352" s="406"/>
      <c r="H352" s="406"/>
      <c r="I352" s="415" t="str">
        <f t="shared" si="1"/>
        <v/>
      </c>
    </row>
    <row r="353">
      <c r="A353" s="416"/>
      <c r="B353" s="407"/>
      <c r="C353" s="406"/>
      <c r="D353" s="407"/>
      <c r="E353" s="407"/>
      <c r="F353" s="407"/>
      <c r="G353" s="406"/>
      <c r="H353" s="406"/>
      <c r="I353" s="415" t="str">
        <f t="shared" si="1"/>
        <v/>
      </c>
    </row>
    <row r="354">
      <c r="A354" s="416"/>
      <c r="B354" s="407"/>
      <c r="C354" s="406"/>
      <c r="D354" s="407"/>
      <c r="E354" s="407"/>
      <c r="F354" s="407"/>
      <c r="G354" s="406"/>
      <c r="H354" s="406"/>
      <c r="I354" s="415" t="str">
        <f t="shared" si="1"/>
        <v/>
      </c>
    </row>
    <row r="355">
      <c r="A355" s="416"/>
      <c r="B355" s="407"/>
      <c r="C355" s="406"/>
      <c r="D355" s="407"/>
      <c r="E355" s="407"/>
      <c r="F355" s="407"/>
      <c r="G355" s="406"/>
      <c r="H355" s="406"/>
      <c r="I355" s="415" t="str">
        <f t="shared" si="1"/>
        <v/>
      </c>
    </row>
    <row r="356">
      <c r="A356" s="416"/>
      <c r="B356" s="407"/>
      <c r="C356" s="406"/>
      <c r="D356" s="407"/>
      <c r="E356" s="407"/>
      <c r="F356" s="407"/>
      <c r="G356" s="406"/>
      <c r="H356" s="406"/>
      <c r="I356" s="415" t="str">
        <f t="shared" si="1"/>
        <v/>
      </c>
    </row>
    <row r="357">
      <c r="A357" s="416"/>
      <c r="B357" s="407"/>
      <c r="C357" s="406"/>
      <c r="D357" s="407"/>
      <c r="E357" s="407"/>
      <c r="F357" s="407"/>
      <c r="G357" s="406"/>
      <c r="H357" s="406"/>
      <c r="I357" s="415" t="str">
        <f t="shared" si="1"/>
        <v/>
      </c>
    </row>
    <row r="358">
      <c r="A358" s="416"/>
      <c r="B358" s="407"/>
      <c r="C358" s="406"/>
      <c r="D358" s="407"/>
      <c r="E358" s="407"/>
      <c r="F358" s="407"/>
      <c r="G358" s="406"/>
      <c r="H358" s="406"/>
      <c r="I358" s="415" t="str">
        <f t="shared" si="1"/>
        <v/>
      </c>
    </row>
    <row r="359">
      <c r="A359" s="416"/>
      <c r="B359" s="407"/>
      <c r="C359" s="406"/>
      <c r="D359" s="407"/>
      <c r="E359" s="407"/>
      <c r="F359" s="407"/>
      <c r="G359" s="406"/>
      <c r="H359" s="406"/>
      <c r="I359" s="415" t="str">
        <f t="shared" si="1"/>
        <v/>
      </c>
    </row>
    <row r="360">
      <c r="A360" s="416"/>
      <c r="B360" s="407"/>
      <c r="C360" s="406"/>
      <c r="D360" s="407"/>
      <c r="E360" s="407"/>
      <c r="F360" s="407"/>
      <c r="G360" s="406"/>
      <c r="H360" s="406"/>
      <c r="I360" s="415" t="str">
        <f t="shared" si="1"/>
        <v/>
      </c>
    </row>
    <row r="361">
      <c r="A361" s="416"/>
      <c r="B361" s="407"/>
      <c r="C361" s="406"/>
      <c r="D361" s="407"/>
      <c r="E361" s="407"/>
      <c r="F361" s="407"/>
      <c r="G361" s="406"/>
      <c r="H361" s="406"/>
      <c r="I361" s="415" t="str">
        <f t="shared" si="1"/>
        <v/>
      </c>
    </row>
    <row r="362">
      <c r="A362" s="416"/>
      <c r="B362" s="407"/>
      <c r="C362" s="406"/>
      <c r="D362" s="407"/>
      <c r="E362" s="407"/>
      <c r="F362" s="407"/>
      <c r="G362" s="406"/>
      <c r="H362" s="406"/>
      <c r="I362" s="415" t="str">
        <f t="shared" si="1"/>
        <v/>
      </c>
    </row>
    <row r="363">
      <c r="A363" s="416"/>
      <c r="B363" s="407"/>
      <c r="C363" s="406"/>
      <c r="D363" s="407"/>
      <c r="E363" s="407"/>
      <c r="F363" s="407"/>
      <c r="G363" s="406"/>
      <c r="H363" s="406"/>
      <c r="I363" s="415" t="str">
        <f t="shared" si="1"/>
        <v/>
      </c>
    </row>
    <row r="364">
      <c r="A364" s="416"/>
      <c r="B364" s="407"/>
      <c r="C364" s="406"/>
      <c r="D364" s="407"/>
      <c r="E364" s="407"/>
      <c r="F364" s="407"/>
      <c r="G364" s="406"/>
      <c r="H364" s="406"/>
      <c r="I364" s="415" t="str">
        <f t="shared" si="1"/>
        <v/>
      </c>
    </row>
    <row r="365">
      <c r="A365" s="416"/>
      <c r="B365" s="407"/>
      <c r="C365" s="406"/>
      <c r="D365" s="407"/>
      <c r="E365" s="407"/>
      <c r="F365" s="407"/>
      <c r="G365" s="406"/>
      <c r="H365" s="406"/>
      <c r="I365" s="415" t="str">
        <f t="shared" si="1"/>
        <v/>
      </c>
    </row>
    <row r="366">
      <c r="A366" s="416"/>
      <c r="B366" s="407"/>
      <c r="C366" s="406"/>
      <c r="D366" s="407"/>
      <c r="E366" s="407"/>
      <c r="F366" s="407"/>
      <c r="G366" s="406"/>
      <c r="H366" s="406"/>
      <c r="I366" s="415" t="str">
        <f t="shared" si="1"/>
        <v/>
      </c>
    </row>
    <row r="367">
      <c r="A367" s="416"/>
      <c r="B367" s="407"/>
      <c r="C367" s="406"/>
      <c r="D367" s="407"/>
      <c r="E367" s="407"/>
      <c r="F367" s="407"/>
      <c r="G367" s="406"/>
      <c r="H367" s="406"/>
      <c r="I367" s="415" t="str">
        <f t="shared" si="1"/>
        <v/>
      </c>
    </row>
    <row r="368">
      <c r="A368" s="416"/>
      <c r="B368" s="407"/>
      <c r="C368" s="406"/>
      <c r="D368" s="407"/>
      <c r="E368" s="407"/>
      <c r="F368" s="407"/>
      <c r="G368" s="406"/>
      <c r="H368" s="406"/>
      <c r="I368" s="415" t="str">
        <f t="shared" si="1"/>
        <v/>
      </c>
    </row>
    <row r="369">
      <c r="A369" s="416"/>
      <c r="B369" s="407"/>
      <c r="C369" s="406"/>
      <c r="D369" s="407"/>
      <c r="E369" s="407"/>
      <c r="F369" s="407"/>
      <c r="G369" s="406"/>
      <c r="H369" s="406"/>
      <c r="I369" s="415" t="str">
        <f t="shared" si="1"/>
        <v/>
      </c>
    </row>
    <row r="370">
      <c r="A370" s="416"/>
      <c r="B370" s="407"/>
      <c r="C370" s="406"/>
      <c r="D370" s="407"/>
      <c r="E370" s="407"/>
      <c r="F370" s="407"/>
      <c r="G370" s="406"/>
      <c r="H370" s="406"/>
      <c r="I370" s="415" t="str">
        <f t="shared" si="1"/>
        <v/>
      </c>
    </row>
    <row r="371">
      <c r="A371" s="416"/>
      <c r="B371" s="407"/>
      <c r="C371" s="406"/>
      <c r="D371" s="407"/>
      <c r="E371" s="407"/>
      <c r="F371" s="407"/>
      <c r="G371" s="406"/>
      <c r="H371" s="406"/>
      <c r="I371" s="415" t="str">
        <f t="shared" si="1"/>
        <v/>
      </c>
    </row>
    <row r="372">
      <c r="A372" s="416"/>
      <c r="B372" s="407"/>
      <c r="C372" s="406"/>
      <c r="D372" s="407"/>
      <c r="E372" s="407"/>
      <c r="F372" s="407"/>
      <c r="G372" s="406"/>
      <c r="H372" s="406"/>
      <c r="I372" s="415" t="str">
        <f t="shared" si="1"/>
        <v/>
      </c>
    </row>
    <row r="373">
      <c r="A373" s="416"/>
      <c r="B373" s="407"/>
      <c r="C373" s="406"/>
      <c r="D373" s="407"/>
      <c r="E373" s="407"/>
      <c r="F373" s="407"/>
      <c r="G373" s="406"/>
      <c r="H373" s="406"/>
      <c r="I373" s="415" t="str">
        <f t="shared" si="1"/>
        <v/>
      </c>
    </row>
    <row r="374">
      <c r="A374" s="416"/>
      <c r="B374" s="407"/>
      <c r="C374" s="406"/>
      <c r="D374" s="407"/>
      <c r="E374" s="407"/>
      <c r="F374" s="407"/>
      <c r="G374" s="406"/>
      <c r="H374" s="406"/>
      <c r="I374" s="415" t="str">
        <f t="shared" si="1"/>
        <v/>
      </c>
    </row>
    <row r="375">
      <c r="A375" s="416"/>
      <c r="B375" s="407"/>
      <c r="C375" s="406"/>
      <c r="D375" s="407"/>
      <c r="E375" s="407"/>
      <c r="F375" s="407"/>
      <c r="G375" s="406"/>
      <c r="H375" s="406"/>
      <c r="I375" s="415" t="str">
        <f t="shared" si="1"/>
        <v/>
      </c>
    </row>
    <row r="376">
      <c r="A376" s="416"/>
      <c r="B376" s="407"/>
      <c r="C376" s="406"/>
      <c r="D376" s="407"/>
      <c r="E376" s="407"/>
      <c r="F376" s="407"/>
      <c r="G376" s="406"/>
      <c r="H376" s="406"/>
      <c r="I376" s="415" t="str">
        <f t="shared" si="1"/>
        <v/>
      </c>
    </row>
    <row r="377">
      <c r="A377" s="416"/>
      <c r="B377" s="407"/>
      <c r="C377" s="406"/>
      <c r="D377" s="407"/>
      <c r="E377" s="407"/>
      <c r="F377" s="407"/>
      <c r="G377" s="406"/>
      <c r="H377" s="406"/>
      <c r="I377" s="415" t="str">
        <f t="shared" si="1"/>
        <v/>
      </c>
    </row>
    <row r="378">
      <c r="A378" s="416"/>
      <c r="B378" s="407"/>
      <c r="C378" s="406"/>
      <c r="D378" s="407"/>
      <c r="E378" s="407"/>
      <c r="F378" s="407"/>
      <c r="G378" s="406"/>
      <c r="H378" s="406"/>
      <c r="I378" s="415" t="str">
        <f t="shared" si="1"/>
        <v/>
      </c>
    </row>
    <row r="379">
      <c r="A379" s="416"/>
      <c r="B379" s="407"/>
      <c r="C379" s="406"/>
      <c r="D379" s="407"/>
      <c r="E379" s="407"/>
      <c r="F379" s="407"/>
      <c r="G379" s="406"/>
      <c r="H379" s="406"/>
      <c r="I379" s="415" t="str">
        <f t="shared" si="1"/>
        <v/>
      </c>
    </row>
    <row r="380">
      <c r="A380" s="416"/>
      <c r="B380" s="407"/>
      <c r="C380" s="406"/>
      <c r="D380" s="407"/>
      <c r="E380" s="407"/>
      <c r="F380" s="407"/>
      <c r="G380" s="406"/>
      <c r="H380" s="406"/>
      <c r="I380" s="415" t="str">
        <f t="shared" si="1"/>
        <v/>
      </c>
    </row>
    <row r="381">
      <c r="A381" s="416"/>
      <c r="B381" s="407"/>
      <c r="C381" s="406"/>
      <c r="D381" s="407"/>
      <c r="E381" s="407"/>
      <c r="F381" s="407"/>
      <c r="G381" s="406"/>
      <c r="H381" s="406"/>
      <c r="I381" s="415" t="str">
        <f t="shared" si="1"/>
        <v/>
      </c>
    </row>
    <row r="382">
      <c r="A382" s="416"/>
      <c r="B382" s="407"/>
      <c r="C382" s="406"/>
      <c r="D382" s="407"/>
      <c r="E382" s="407"/>
      <c r="F382" s="407"/>
      <c r="G382" s="406"/>
      <c r="H382" s="406"/>
      <c r="I382" s="415" t="str">
        <f t="shared" si="1"/>
        <v/>
      </c>
    </row>
    <row r="383">
      <c r="A383" s="416"/>
      <c r="B383" s="407"/>
      <c r="C383" s="406"/>
      <c r="D383" s="407"/>
      <c r="E383" s="407"/>
      <c r="F383" s="407"/>
      <c r="G383" s="406"/>
      <c r="H383" s="406"/>
      <c r="I383" s="415" t="str">
        <f t="shared" si="1"/>
        <v/>
      </c>
    </row>
    <row r="384">
      <c r="A384" s="416"/>
      <c r="B384" s="407"/>
      <c r="C384" s="406"/>
      <c r="D384" s="407"/>
      <c r="E384" s="407"/>
      <c r="F384" s="407"/>
      <c r="G384" s="406"/>
      <c r="H384" s="406"/>
      <c r="I384" s="415" t="str">
        <f t="shared" si="1"/>
        <v/>
      </c>
    </row>
    <row r="385">
      <c r="A385" s="416"/>
      <c r="B385" s="407"/>
      <c r="C385" s="406"/>
      <c r="D385" s="407"/>
      <c r="E385" s="407"/>
      <c r="F385" s="407"/>
      <c r="G385" s="406"/>
      <c r="H385" s="406"/>
      <c r="I385" s="415" t="str">
        <f t="shared" si="1"/>
        <v/>
      </c>
    </row>
    <row r="386">
      <c r="A386" s="416"/>
      <c r="B386" s="407"/>
      <c r="C386" s="406"/>
      <c r="D386" s="407"/>
      <c r="E386" s="407"/>
      <c r="F386" s="407"/>
      <c r="G386" s="406"/>
      <c r="H386" s="406"/>
      <c r="I386" s="415" t="str">
        <f t="shared" si="1"/>
        <v/>
      </c>
    </row>
    <row r="387">
      <c r="A387" s="416"/>
      <c r="B387" s="407"/>
      <c r="C387" s="406"/>
      <c r="D387" s="407"/>
      <c r="E387" s="407"/>
      <c r="F387" s="407"/>
      <c r="G387" s="406"/>
      <c r="H387" s="406"/>
      <c r="I387" s="415" t="str">
        <f t="shared" si="1"/>
        <v/>
      </c>
    </row>
    <row r="388">
      <c r="A388" s="416"/>
      <c r="B388" s="407"/>
      <c r="C388" s="406"/>
      <c r="D388" s="407"/>
      <c r="E388" s="407"/>
      <c r="F388" s="407"/>
      <c r="G388" s="406"/>
      <c r="H388" s="406"/>
      <c r="I388" s="415" t="str">
        <f t="shared" si="1"/>
        <v/>
      </c>
    </row>
    <row r="389">
      <c r="A389" s="416"/>
      <c r="B389" s="407"/>
      <c r="C389" s="406"/>
      <c r="D389" s="407"/>
      <c r="E389" s="407"/>
      <c r="F389" s="407"/>
      <c r="G389" s="406"/>
      <c r="H389" s="406"/>
      <c r="I389" s="415" t="str">
        <f t="shared" si="1"/>
        <v/>
      </c>
    </row>
    <row r="390">
      <c r="A390" s="416"/>
      <c r="B390" s="407"/>
      <c r="C390" s="406"/>
      <c r="D390" s="407"/>
      <c r="E390" s="407"/>
      <c r="F390" s="407"/>
      <c r="G390" s="406"/>
      <c r="H390" s="406"/>
      <c r="I390" s="415" t="str">
        <f t="shared" si="1"/>
        <v/>
      </c>
    </row>
    <row r="391">
      <c r="A391" s="416"/>
      <c r="B391" s="407"/>
      <c r="C391" s="406"/>
      <c r="D391" s="407"/>
      <c r="E391" s="407"/>
      <c r="F391" s="407"/>
      <c r="G391" s="406"/>
      <c r="H391" s="406"/>
      <c r="I391" s="415" t="str">
        <f t="shared" si="1"/>
        <v/>
      </c>
    </row>
    <row r="392">
      <c r="A392" s="416"/>
      <c r="B392" s="407"/>
      <c r="C392" s="406"/>
      <c r="D392" s="407"/>
      <c r="E392" s="407"/>
      <c r="F392" s="407"/>
      <c r="G392" s="406"/>
      <c r="H392" s="406"/>
      <c r="I392" s="415" t="str">
        <f t="shared" si="1"/>
        <v/>
      </c>
    </row>
    <row r="393">
      <c r="A393" s="416"/>
      <c r="B393" s="407"/>
      <c r="C393" s="406"/>
      <c r="D393" s="407"/>
      <c r="E393" s="407"/>
      <c r="F393" s="407"/>
      <c r="G393" s="406"/>
      <c r="H393" s="406"/>
      <c r="I393" s="415" t="str">
        <f t="shared" si="1"/>
        <v/>
      </c>
    </row>
    <row r="394">
      <c r="A394" s="416"/>
      <c r="B394" s="407"/>
      <c r="C394" s="406"/>
      <c r="D394" s="407"/>
      <c r="E394" s="407"/>
      <c r="F394" s="407"/>
      <c r="G394" s="406"/>
      <c r="H394" s="406"/>
      <c r="I394" s="415" t="str">
        <f t="shared" si="1"/>
        <v/>
      </c>
    </row>
    <row r="395">
      <c r="A395" s="416"/>
      <c r="B395" s="407"/>
      <c r="C395" s="406"/>
      <c r="D395" s="407"/>
      <c r="E395" s="407"/>
      <c r="F395" s="407"/>
      <c r="G395" s="406"/>
      <c r="H395" s="406"/>
      <c r="I395" s="415" t="str">
        <f t="shared" si="1"/>
        <v/>
      </c>
    </row>
    <row r="396">
      <c r="A396" s="416"/>
      <c r="B396" s="407"/>
      <c r="C396" s="406"/>
      <c r="D396" s="407"/>
      <c r="E396" s="407"/>
      <c r="F396" s="407"/>
      <c r="G396" s="406"/>
      <c r="H396" s="406"/>
      <c r="I396" s="415" t="str">
        <f t="shared" si="1"/>
        <v/>
      </c>
    </row>
    <row r="397">
      <c r="A397" s="416"/>
      <c r="B397" s="407"/>
      <c r="C397" s="406"/>
      <c r="D397" s="407"/>
      <c r="E397" s="407"/>
      <c r="F397" s="407"/>
      <c r="G397" s="406"/>
      <c r="H397" s="406"/>
      <c r="I397" s="415" t="str">
        <f t="shared" si="1"/>
        <v/>
      </c>
    </row>
    <row r="398">
      <c r="A398" s="416"/>
      <c r="B398" s="407"/>
      <c r="C398" s="406"/>
      <c r="D398" s="407"/>
      <c r="E398" s="407"/>
      <c r="F398" s="407"/>
      <c r="G398" s="406"/>
      <c r="H398" s="406"/>
      <c r="I398" s="415" t="str">
        <f t="shared" si="1"/>
        <v/>
      </c>
    </row>
    <row r="399">
      <c r="A399" s="416"/>
      <c r="B399" s="407"/>
      <c r="C399" s="406"/>
      <c r="D399" s="407"/>
      <c r="E399" s="407"/>
      <c r="F399" s="407"/>
      <c r="G399" s="406"/>
      <c r="H399" s="406"/>
      <c r="I399" s="415" t="str">
        <f t="shared" si="1"/>
        <v/>
      </c>
    </row>
    <row r="400">
      <c r="A400" s="416"/>
      <c r="B400" s="407"/>
      <c r="C400" s="406"/>
      <c r="D400" s="407"/>
      <c r="E400" s="407"/>
      <c r="F400" s="407"/>
      <c r="G400" s="406"/>
      <c r="H400" s="406"/>
      <c r="I400" s="415" t="str">
        <f t="shared" si="1"/>
        <v/>
      </c>
    </row>
    <row r="401">
      <c r="A401" s="416"/>
      <c r="B401" s="407"/>
      <c r="C401" s="406"/>
      <c r="D401" s="407"/>
      <c r="E401" s="407"/>
      <c r="F401" s="407"/>
      <c r="G401" s="406"/>
      <c r="H401" s="406"/>
      <c r="I401" s="415" t="str">
        <f t="shared" si="1"/>
        <v/>
      </c>
    </row>
    <row r="402">
      <c r="A402" s="416"/>
      <c r="B402" s="407"/>
      <c r="C402" s="406"/>
      <c r="D402" s="407"/>
      <c r="E402" s="407"/>
      <c r="F402" s="407"/>
      <c r="G402" s="406"/>
      <c r="H402" s="406"/>
      <c r="I402" s="415" t="str">
        <f t="shared" si="1"/>
        <v/>
      </c>
    </row>
    <row r="403">
      <c r="A403" s="416"/>
      <c r="B403" s="407"/>
      <c r="C403" s="406"/>
      <c r="D403" s="407"/>
      <c r="E403" s="407"/>
      <c r="F403" s="407"/>
      <c r="G403" s="406"/>
      <c r="H403" s="406"/>
      <c r="I403" s="415" t="str">
        <f t="shared" si="1"/>
        <v/>
      </c>
    </row>
    <row r="404">
      <c r="A404" s="416"/>
      <c r="B404" s="407"/>
      <c r="C404" s="406"/>
      <c r="D404" s="407"/>
      <c r="E404" s="407"/>
      <c r="F404" s="407"/>
      <c r="G404" s="406"/>
      <c r="H404" s="406"/>
      <c r="I404" s="415" t="str">
        <f t="shared" si="1"/>
        <v/>
      </c>
    </row>
    <row r="405">
      <c r="A405" s="416"/>
      <c r="B405" s="407"/>
      <c r="C405" s="406"/>
      <c r="D405" s="407"/>
      <c r="E405" s="407"/>
      <c r="F405" s="407"/>
      <c r="G405" s="406"/>
      <c r="H405" s="406"/>
      <c r="I405" s="415" t="str">
        <f t="shared" si="1"/>
        <v/>
      </c>
    </row>
    <row r="406">
      <c r="A406" s="416"/>
      <c r="B406" s="407"/>
      <c r="C406" s="406"/>
      <c r="D406" s="407"/>
      <c r="E406" s="407"/>
      <c r="F406" s="407"/>
      <c r="G406" s="406"/>
      <c r="H406" s="406"/>
      <c r="I406" s="415" t="str">
        <f t="shared" si="1"/>
        <v/>
      </c>
    </row>
    <row r="407">
      <c r="A407" s="416"/>
      <c r="B407" s="407"/>
      <c r="C407" s="406"/>
      <c r="D407" s="407"/>
      <c r="E407" s="407"/>
      <c r="F407" s="407"/>
      <c r="G407" s="406"/>
      <c r="H407" s="406"/>
      <c r="I407" s="415" t="str">
        <f t="shared" si="1"/>
        <v/>
      </c>
    </row>
    <row r="408">
      <c r="A408" s="416"/>
      <c r="B408" s="407"/>
      <c r="C408" s="406"/>
      <c r="D408" s="407"/>
      <c r="E408" s="407"/>
      <c r="F408" s="407"/>
      <c r="G408" s="406"/>
      <c r="H408" s="406"/>
      <c r="I408" s="415" t="str">
        <f t="shared" si="1"/>
        <v/>
      </c>
    </row>
    <row r="409">
      <c r="A409" s="416"/>
      <c r="B409" s="407"/>
      <c r="C409" s="406"/>
      <c r="D409" s="407"/>
      <c r="E409" s="407"/>
      <c r="F409" s="407"/>
      <c r="G409" s="406"/>
      <c r="H409" s="406"/>
      <c r="I409" s="415" t="str">
        <f t="shared" si="1"/>
        <v/>
      </c>
    </row>
    <row r="410">
      <c r="A410" s="416"/>
      <c r="B410" s="407"/>
      <c r="C410" s="406"/>
      <c r="D410" s="407"/>
      <c r="E410" s="407"/>
      <c r="F410" s="407"/>
      <c r="G410" s="406"/>
      <c r="H410" s="406"/>
      <c r="I410" s="415" t="str">
        <f t="shared" si="1"/>
        <v/>
      </c>
    </row>
    <row r="411">
      <c r="A411" s="416"/>
      <c r="B411" s="407"/>
      <c r="C411" s="406"/>
      <c r="D411" s="407"/>
      <c r="E411" s="407"/>
      <c r="F411" s="407"/>
      <c r="G411" s="406"/>
      <c r="H411" s="406"/>
      <c r="I411" s="415" t="str">
        <f t="shared" si="1"/>
        <v/>
      </c>
    </row>
    <row r="412">
      <c r="A412" s="416"/>
      <c r="B412" s="407"/>
      <c r="C412" s="406"/>
      <c r="D412" s="407"/>
      <c r="E412" s="407"/>
      <c r="F412" s="407"/>
      <c r="G412" s="406"/>
      <c r="H412" s="406"/>
      <c r="I412" s="415" t="str">
        <f t="shared" si="1"/>
        <v/>
      </c>
    </row>
    <row r="413">
      <c r="A413" s="416"/>
      <c r="B413" s="407"/>
      <c r="C413" s="406"/>
      <c r="D413" s="407"/>
      <c r="E413" s="407"/>
      <c r="F413" s="407"/>
      <c r="G413" s="406"/>
      <c r="H413" s="406"/>
      <c r="I413" s="415" t="str">
        <f t="shared" si="1"/>
        <v/>
      </c>
    </row>
    <row r="414">
      <c r="A414" s="416"/>
      <c r="B414" s="407"/>
      <c r="C414" s="406"/>
      <c r="D414" s="407"/>
      <c r="E414" s="407"/>
      <c r="F414" s="407"/>
      <c r="G414" s="406"/>
      <c r="H414" s="406"/>
      <c r="I414" s="415" t="str">
        <f t="shared" si="1"/>
        <v/>
      </c>
    </row>
    <row r="415">
      <c r="A415" s="416"/>
      <c r="B415" s="407"/>
      <c r="C415" s="406"/>
      <c r="D415" s="407"/>
      <c r="E415" s="407"/>
      <c r="F415" s="407"/>
      <c r="G415" s="406"/>
      <c r="H415" s="406"/>
      <c r="I415" s="415" t="str">
        <f t="shared" si="1"/>
        <v/>
      </c>
    </row>
    <row r="416">
      <c r="A416" s="416"/>
      <c r="B416" s="407"/>
      <c r="C416" s="406"/>
      <c r="D416" s="407"/>
      <c r="E416" s="407"/>
      <c r="F416" s="407"/>
      <c r="G416" s="406"/>
      <c r="H416" s="406"/>
      <c r="I416" s="415" t="str">
        <f t="shared" si="1"/>
        <v/>
      </c>
    </row>
    <row r="417">
      <c r="A417" s="416"/>
      <c r="B417" s="407"/>
      <c r="C417" s="406"/>
      <c r="D417" s="407"/>
      <c r="E417" s="407"/>
      <c r="F417" s="407"/>
      <c r="G417" s="406"/>
      <c r="H417" s="406"/>
      <c r="I417" s="415" t="str">
        <f t="shared" si="1"/>
        <v/>
      </c>
    </row>
    <row r="418">
      <c r="A418" s="416"/>
      <c r="B418" s="407"/>
      <c r="C418" s="406"/>
      <c r="D418" s="407"/>
      <c r="E418" s="407"/>
      <c r="F418" s="407"/>
      <c r="G418" s="406"/>
      <c r="H418" s="406"/>
      <c r="I418" s="415" t="str">
        <f t="shared" si="1"/>
        <v/>
      </c>
    </row>
    <row r="419">
      <c r="A419" s="416"/>
      <c r="B419" s="407"/>
      <c r="C419" s="406"/>
      <c r="D419" s="407"/>
      <c r="E419" s="407"/>
      <c r="F419" s="407"/>
      <c r="G419" s="406"/>
      <c r="H419" s="406"/>
      <c r="I419" s="415" t="str">
        <f t="shared" si="1"/>
        <v/>
      </c>
    </row>
    <row r="420">
      <c r="A420" s="416"/>
      <c r="B420" s="407"/>
      <c r="C420" s="406"/>
      <c r="D420" s="407"/>
      <c r="E420" s="407"/>
      <c r="F420" s="407"/>
      <c r="G420" s="406"/>
      <c r="H420" s="406"/>
      <c r="I420" s="415" t="str">
        <f t="shared" si="1"/>
        <v/>
      </c>
    </row>
    <row r="421">
      <c r="A421" s="416"/>
      <c r="B421" s="407"/>
      <c r="C421" s="406"/>
      <c r="D421" s="407"/>
      <c r="E421" s="407"/>
      <c r="F421" s="407"/>
      <c r="G421" s="406"/>
      <c r="H421" s="406"/>
      <c r="I421" s="415" t="str">
        <f t="shared" si="1"/>
        <v/>
      </c>
    </row>
    <row r="422">
      <c r="A422" s="416"/>
      <c r="B422" s="407"/>
      <c r="C422" s="406"/>
      <c r="D422" s="407"/>
      <c r="E422" s="407"/>
      <c r="F422" s="407"/>
      <c r="G422" s="406"/>
      <c r="H422" s="406"/>
      <c r="I422" s="415" t="str">
        <f t="shared" si="1"/>
        <v/>
      </c>
    </row>
    <row r="423">
      <c r="A423" s="416"/>
      <c r="B423" s="407"/>
      <c r="C423" s="406"/>
      <c r="D423" s="407"/>
      <c r="E423" s="407"/>
      <c r="F423" s="407"/>
      <c r="G423" s="406"/>
      <c r="H423" s="406"/>
      <c r="I423" s="415" t="str">
        <f t="shared" si="1"/>
        <v/>
      </c>
    </row>
    <row r="424">
      <c r="A424" s="416"/>
      <c r="B424" s="407"/>
      <c r="C424" s="406"/>
      <c r="D424" s="407"/>
      <c r="E424" s="407"/>
      <c r="F424" s="407"/>
      <c r="G424" s="406"/>
      <c r="H424" s="406"/>
      <c r="I424" s="415" t="str">
        <f t="shared" si="1"/>
        <v/>
      </c>
    </row>
    <row r="425">
      <c r="A425" s="416"/>
      <c r="B425" s="407"/>
      <c r="C425" s="406"/>
      <c r="D425" s="407"/>
      <c r="E425" s="407"/>
      <c r="F425" s="407"/>
      <c r="G425" s="406"/>
      <c r="H425" s="406"/>
      <c r="I425" s="415" t="str">
        <f t="shared" si="1"/>
        <v/>
      </c>
    </row>
    <row r="426">
      <c r="A426" s="416"/>
      <c r="B426" s="407"/>
      <c r="C426" s="406"/>
      <c r="D426" s="407"/>
      <c r="E426" s="407"/>
      <c r="F426" s="407"/>
      <c r="G426" s="406"/>
      <c r="H426" s="406"/>
      <c r="I426" s="415" t="str">
        <f t="shared" si="1"/>
        <v/>
      </c>
    </row>
    <row r="427">
      <c r="A427" s="416"/>
      <c r="B427" s="407"/>
      <c r="C427" s="406"/>
      <c r="D427" s="407"/>
      <c r="E427" s="407"/>
      <c r="F427" s="407"/>
      <c r="G427" s="406"/>
      <c r="H427" s="406"/>
      <c r="I427" s="415" t="str">
        <f t="shared" si="1"/>
        <v/>
      </c>
    </row>
    <row r="428">
      <c r="A428" s="416"/>
      <c r="B428" s="407"/>
      <c r="C428" s="406"/>
      <c r="D428" s="407"/>
      <c r="E428" s="407"/>
      <c r="F428" s="407"/>
      <c r="G428" s="406"/>
      <c r="H428" s="406"/>
      <c r="I428" s="415" t="str">
        <f t="shared" si="1"/>
        <v/>
      </c>
    </row>
    <row r="429">
      <c r="A429" s="416"/>
      <c r="B429" s="407"/>
      <c r="C429" s="406"/>
      <c r="D429" s="407"/>
      <c r="E429" s="407"/>
      <c r="F429" s="407"/>
      <c r="G429" s="406"/>
      <c r="H429" s="406"/>
      <c r="I429" s="415" t="str">
        <f t="shared" si="1"/>
        <v/>
      </c>
    </row>
    <row r="430">
      <c r="A430" s="416"/>
      <c r="B430" s="407"/>
      <c r="C430" s="406"/>
      <c r="D430" s="407"/>
      <c r="E430" s="407"/>
      <c r="F430" s="407"/>
      <c r="G430" s="406"/>
      <c r="H430" s="406"/>
      <c r="I430" s="415" t="str">
        <f t="shared" si="1"/>
        <v/>
      </c>
    </row>
    <row r="431">
      <c r="A431" s="416"/>
      <c r="B431" s="407"/>
      <c r="C431" s="406"/>
      <c r="D431" s="407"/>
      <c r="E431" s="407"/>
      <c r="F431" s="407"/>
      <c r="G431" s="406"/>
      <c r="H431" s="406"/>
      <c r="I431" s="415" t="str">
        <f t="shared" si="1"/>
        <v/>
      </c>
    </row>
    <row r="432">
      <c r="A432" s="416"/>
      <c r="B432" s="407"/>
      <c r="C432" s="406"/>
      <c r="D432" s="407"/>
      <c r="E432" s="407"/>
      <c r="F432" s="407"/>
      <c r="G432" s="406"/>
      <c r="H432" s="406"/>
      <c r="I432" s="415" t="str">
        <f t="shared" si="1"/>
        <v/>
      </c>
    </row>
    <row r="433">
      <c r="A433" s="416"/>
      <c r="B433" s="407"/>
      <c r="C433" s="406"/>
      <c r="D433" s="407"/>
      <c r="E433" s="407"/>
      <c r="F433" s="407"/>
      <c r="G433" s="406"/>
      <c r="H433" s="406"/>
      <c r="I433" s="415" t="str">
        <f t="shared" si="1"/>
        <v/>
      </c>
    </row>
    <row r="434">
      <c r="A434" s="416"/>
      <c r="B434" s="407"/>
      <c r="C434" s="406"/>
      <c r="D434" s="407"/>
      <c r="E434" s="407"/>
      <c r="F434" s="407"/>
      <c r="G434" s="406"/>
      <c r="H434" s="406"/>
      <c r="I434" s="415" t="str">
        <f t="shared" si="1"/>
        <v/>
      </c>
    </row>
    <row r="435">
      <c r="A435" s="416"/>
      <c r="B435" s="407"/>
      <c r="C435" s="406"/>
      <c r="D435" s="407"/>
      <c r="E435" s="407"/>
      <c r="F435" s="407"/>
      <c r="G435" s="406"/>
      <c r="H435" s="406"/>
      <c r="I435" s="415" t="str">
        <f t="shared" si="1"/>
        <v/>
      </c>
    </row>
    <row r="436">
      <c r="A436" s="416"/>
      <c r="B436" s="407"/>
      <c r="C436" s="406"/>
      <c r="D436" s="407"/>
      <c r="E436" s="407"/>
      <c r="F436" s="407"/>
      <c r="G436" s="406"/>
      <c r="H436" s="406"/>
      <c r="I436" s="415" t="str">
        <f t="shared" si="1"/>
        <v/>
      </c>
    </row>
    <row r="437">
      <c r="A437" s="416"/>
      <c r="B437" s="407"/>
      <c r="C437" s="406"/>
      <c r="D437" s="407"/>
      <c r="E437" s="407"/>
      <c r="F437" s="407"/>
      <c r="G437" s="406"/>
      <c r="H437" s="406"/>
      <c r="I437" s="415" t="str">
        <f t="shared" si="1"/>
        <v/>
      </c>
    </row>
    <row r="438">
      <c r="A438" s="416"/>
      <c r="B438" s="407"/>
      <c r="C438" s="406"/>
      <c r="D438" s="407"/>
      <c r="E438" s="407"/>
      <c r="F438" s="407"/>
      <c r="G438" s="406"/>
      <c r="H438" s="406"/>
      <c r="I438" s="415" t="str">
        <f t="shared" si="1"/>
        <v/>
      </c>
    </row>
    <row r="439">
      <c r="A439" s="416"/>
      <c r="B439" s="407"/>
      <c r="C439" s="406"/>
      <c r="D439" s="407"/>
      <c r="E439" s="407"/>
      <c r="F439" s="407"/>
      <c r="G439" s="406"/>
      <c r="H439" s="406"/>
      <c r="I439" s="415" t="str">
        <f t="shared" si="1"/>
        <v/>
      </c>
    </row>
    <row r="440">
      <c r="A440" s="416"/>
      <c r="B440" s="407"/>
      <c r="C440" s="406"/>
      <c r="D440" s="407"/>
      <c r="E440" s="407"/>
      <c r="F440" s="407"/>
      <c r="G440" s="406"/>
      <c r="H440" s="406"/>
      <c r="I440" s="415" t="str">
        <f t="shared" si="1"/>
        <v/>
      </c>
    </row>
    <row r="441">
      <c r="A441" s="416"/>
      <c r="B441" s="407"/>
      <c r="C441" s="406"/>
      <c r="D441" s="407"/>
      <c r="E441" s="407"/>
      <c r="F441" s="407"/>
      <c r="G441" s="406"/>
      <c r="H441" s="406"/>
      <c r="I441" s="415" t="str">
        <f t="shared" si="1"/>
        <v/>
      </c>
    </row>
    <row r="442">
      <c r="A442" s="416"/>
      <c r="B442" s="407"/>
      <c r="C442" s="406"/>
      <c r="D442" s="407"/>
      <c r="E442" s="407"/>
      <c r="F442" s="407"/>
      <c r="G442" s="406"/>
      <c r="H442" s="406"/>
      <c r="I442" s="415" t="str">
        <f t="shared" si="1"/>
        <v/>
      </c>
    </row>
    <row r="443">
      <c r="A443" s="416"/>
      <c r="B443" s="407"/>
      <c r="C443" s="406"/>
      <c r="D443" s="407"/>
      <c r="E443" s="407"/>
      <c r="F443" s="407"/>
      <c r="G443" s="406"/>
      <c r="H443" s="406"/>
      <c r="I443" s="415" t="str">
        <f t="shared" si="1"/>
        <v/>
      </c>
    </row>
    <row r="444">
      <c r="A444" s="416"/>
      <c r="B444" s="407"/>
      <c r="C444" s="406"/>
      <c r="D444" s="407"/>
      <c r="E444" s="407"/>
      <c r="F444" s="407"/>
      <c r="G444" s="406"/>
      <c r="H444" s="406"/>
      <c r="I444" s="415" t="str">
        <f t="shared" si="1"/>
        <v/>
      </c>
    </row>
    <row r="445">
      <c r="A445" s="416"/>
      <c r="B445" s="407"/>
      <c r="C445" s="406"/>
      <c r="D445" s="407"/>
      <c r="E445" s="407"/>
      <c r="F445" s="407"/>
      <c r="G445" s="406"/>
      <c r="H445" s="406"/>
      <c r="I445" s="415" t="str">
        <f t="shared" si="1"/>
        <v/>
      </c>
    </row>
    <row r="446">
      <c r="A446" s="416"/>
      <c r="B446" s="407"/>
      <c r="C446" s="406"/>
      <c r="D446" s="407"/>
      <c r="E446" s="407"/>
      <c r="F446" s="407"/>
      <c r="G446" s="406"/>
      <c r="H446" s="406"/>
      <c r="I446" s="415" t="str">
        <f t="shared" si="1"/>
        <v/>
      </c>
    </row>
    <row r="447">
      <c r="A447" s="416"/>
      <c r="B447" s="407"/>
      <c r="C447" s="406"/>
      <c r="D447" s="407"/>
      <c r="E447" s="407"/>
      <c r="F447" s="407"/>
      <c r="G447" s="406"/>
      <c r="H447" s="406"/>
      <c r="I447" s="415" t="str">
        <f t="shared" si="1"/>
        <v/>
      </c>
    </row>
    <row r="448">
      <c r="A448" s="416"/>
      <c r="B448" s="407"/>
      <c r="C448" s="406"/>
      <c r="D448" s="407"/>
      <c r="E448" s="407"/>
      <c r="F448" s="407"/>
      <c r="G448" s="406"/>
      <c r="H448" s="406"/>
      <c r="I448" s="415" t="str">
        <f t="shared" si="1"/>
        <v/>
      </c>
    </row>
    <row r="449">
      <c r="A449" s="416"/>
      <c r="B449" s="407"/>
      <c r="C449" s="406"/>
      <c r="D449" s="407"/>
      <c r="E449" s="407"/>
      <c r="F449" s="407"/>
      <c r="G449" s="406"/>
      <c r="H449" s="406"/>
      <c r="I449" s="415" t="str">
        <f t="shared" si="1"/>
        <v/>
      </c>
    </row>
    <row r="450">
      <c r="A450" s="416"/>
      <c r="B450" s="407"/>
      <c r="C450" s="406"/>
      <c r="D450" s="407"/>
      <c r="E450" s="407"/>
      <c r="F450" s="407"/>
      <c r="G450" s="406"/>
      <c r="H450" s="406"/>
      <c r="I450" s="415" t="str">
        <f t="shared" si="1"/>
        <v/>
      </c>
    </row>
    <row r="451">
      <c r="A451" s="416"/>
      <c r="B451" s="407"/>
      <c r="C451" s="406"/>
      <c r="D451" s="407"/>
      <c r="E451" s="407"/>
      <c r="F451" s="407"/>
      <c r="G451" s="406"/>
      <c r="H451" s="406"/>
      <c r="I451" s="415" t="str">
        <f t="shared" si="1"/>
        <v/>
      </c>
    </row>
    <row r="452">
      <c r="A452" s="416"/>
      <c r="B452" s="407"/>
      <c r="C452" s="406"/>
      <c r="D452" s="407"/>
      <c r="E452" s="407"/>
      <c r="F452" s="407"/>
      <c r="G452" s="406"/>
      <c r="H452" s="406"/>
      <c r="I452" s="415" t="str">
        <f t="shared" si="1"/>
        <v/>
      </c>
    </row>
    <row r="453">
      <c r="A453" s="416"/>
      <c r="B453" s="407"/>
      <c r="C453" s="406"/>
      <c r="D453" s="407"/>
      <c r="E453" s="407"/>
      <c r="F453" s="407"/>
      <c r="G453" s="406"/>
      <c r="H453" s="406"/>
      <c r="I453" s="415" t="str">
        <f t="shared" si="1"/>
        <v/>
      </c>
    </row>
    <row r="454">
      <c r="A454" s="416"/>
      <c r="B454" s="407"/>
      <c r="C454" s="406"/>
      <c r="D454" s="407"/>
      <c r="E454" s="407"/>
      <c r="F454" s="407"/>
      <c r="G454" s="406"/>
      <c r="H454" s="406"/>
      <c r="I454" s="415" t="str">
        <f t="shared" si="1"/>
        <v/>
      </c>
    </row>
    <row r="455">
      <c r="A455" s="416"/>
      <c r="B455" s="407"/>
      <c r="C455" s="406"/>
      <c r="D455" s="407"/>
      <c r="E455" s="407"/>
      <c r="F455" s="407"/>
      <c r="G455" s="406"/>
      <c r="H455" s="406"/>
      <c r="I455" s="415" t="str">
        <f t="shared" si="1"/>
        <v/>
      </c>
    </row>
    <row r="456">
      <c r="A456" s="416"/>
      <c r="B456" s="407"/>
      <c r="C456" s="406"/>
      <c r="D456" s="407"/>
      <c r="E456" s="407"/>
      <c r="F456" s="407"/>
      <c r="G456" s="406"/>
      <c r="H456" s="406"/>
      <c r="I456" s="415" t="str">
        <f t="shared" si="1"/>
        <v/>
      </c>
    </row>
    <row r="457">
      <c r="A457" s="416"/>
      <c r="B457" s="407"/>
      <c r="C457" s="406"/>
      <c r="D457" s="407"/>
      <c r="E457" s="407"/>
      <c r="F457" s="407"/>
      <c r="G457" s="406"/>
      <c r="H457" s="406"/>
      <c r="I457" s="415" t="str">
        <f t="shared" si="1"/>
        <v/>
      </c>
    </row>
    <row r="458">
      <c r="A458" s="416"/>
      <c r="B458" s="407"/>
      <c r="C458" s="406"/>
      <c r="D458" s="407"/>
      <c r="E458" s="407"/>
      <c r="F458" s="407"/>
      <c r="G458" s="406"/>
      <c r="H458" s="406"/>
      <c r="I458" s="415" t="str">
        <f t="shared" si="1"/>
        <v/>
      </c>
    </row>
    <row r="459">
      <c r="A459" s="416"/>
      <c r="B459" s="407"/>
      <c r="C459" s="406"/>
      <c r="D459" s="407"/>
      <c r="E459" s="407"/>
      <c r="F459" s="407"/>
      <c r="G459" s="406"/>
      <c r="H459" s="406"/>
      <c r="I459" s="415" t="str">
        <f t="shared" si="1"/>
        <v/>
      </c>
    </row>
    <row r="460">
      <c r="A460" s="416"/>
      <c r="B460" s="407"/>
      <c r="C460" s="406"/>
      <c r="D460" s="407"/>
      <c r="E460" s="407"/>
      <c r="F460" s="407"/>
      <c r="G460" s="406"/>
      <c r="H460" s="406"/>
      <c r="I460" s="415" t="str">
        <f t="shared" si="1"/>
        <v/>
      </c>
    </row>
    <row r="461">
      <c r="A461" s="416"/>
      <c r="B461" s="407"/>
      <c r="C461" s="406"/>
      <c r="D461" s="407"/>
      <c r="E461" s="407"/>
      <c r="F461" s="407"/>
      <c r="G461" s="406"/>
      <c r="H461" s="406"/>
      <c r="I461" s="415" t="str">
        <f t="shared" si="1"/>
        <v/>
      </c>
    </row>
    <row r="462">
      <c r="A462" s="416"/>
      <c r="B462" s="407"/>
      <c r="C462" s="406"/>
      <c r="D462" s="407"/>
      <c r="E462" s="407"/>
      <c r="F462" s="407"/>
      <c r="G462" s="406"/>
      <c r="H462" s="406"/>
      <c r="I462" s="415" t="str">
        <f t="shared" si="1"/>
        <v/>
      </c>
    </row>
    <row r="463">
      <c r="A463" s="416"/>
      <c r="B463" s="407"/>
      <c r="C463" s="406"/>
      <c r="D463" s="407"/>
      <c r="E463" s="407"/>
      <c r="F463" s="407"/>
      <c r="G463" s="406"/>
      <c r="H463" s="406"/>
      <c r="I463" s="415" t="str">
        <f t="shared" si="1"/>
        <v/>
      </c>
    </row>
    <row r="464">
      <c r="A464" s="416"/>
      <c r="B464" s="407"/>
      <c r="C464" s="406"/>
      <c r="D464" s="407"/>
      <c r="E464" s="407"/>
      <c r="F464" s="407"/>
      <c r="G464" s="406"/>
      <c r="H464" s="406"/>
      <c r="I464" s="415" t="str">
        <f t="shared" si="1"/>
        <v/>
      </c>
    </row>
    <row r="465">
      <c r="A465" s="416"/>
      <c r="B465" s="407"/>
      <c r="C465" s="406"/>
      <c r="D465" s="407"/>
      <c r="E465" s="407"/>
      <c r="F465" s="407"/>
      <c r="G465" s="406"/>
      <c r="H465" s="406"/>
      <c r="I465" s="415" t="str">
        <f t="shared" si="1"/>
        <v/>
      </c>
    </row>
    <row r="466">
      <c r="A466" s="416"/>
      <c r="B466" s="407"/>
      <c r="C466" s="406"/>
      <c r="D466" s="407"/>
      <c r="E466" s="407"/>
      <c r="F466" s="407"/>
      <c r="G466" s="406"/>
      <c r="H466" s="406"/>
      <c r="I466" s="415" t="str">
        <f t="shared" si="1"/>
        <v/>
      </c>
    </row>
    <row r="467">
      <c r="A467" s="416"/>
      <c r="B467" s="407"/>
      <c r="C467" s="406"/>
      <c r="D467" s="407"/>
      <c r="E467" s="407"/>
      <c r="F467" s="407"/>
      <c r="G467" s="406"/>
      <c r="H467" s="406"/>
      <c r="I467" s="415" t="str">
        <f t="shared" si="1"/>
        <v/>
      </c>
    </row>
    <row r="468">
      <c r="A468" s="416"/>
      <c r="B468" s="407"/>
      <c r="C468" s="406"/>
      <c r="D468" s="407"/>
      <c r="E468" s="407"/>
      <c r="F468" s="407"/>
      <c r="G468" s="406"/>
      <c r="H468" s="406"/>
      <c r="I468" s="415" t="str">
        <f t="shared" si="1"/>
        <v/>
      </c>
    </row>
    <row r="469">
      <c r="A469" s="416"/>
      <c r="B469" s="407"/>
      <c r="C469" s="406"/>
      <c r="D469" s="407"/>
      <c r="E469" s="407"/>
      <c r="F469" s="407"/>
      <c r="G469" s="406"/>
      <c r="H469" s="406"/>
      <c r="I469" s="415" t="str">
        <f t="shared" si="1"/>
        <v/>
      </c>
    </row>
    <row r="470">
      <c r="A470" s="416"/>
      <c r="B470" s="407"/>
      <c r="C470" s="406"/>
      <c r="D470" s="407"/>
      <c r="E470" s="407"/>
      <c r="F470" s="407"/>
      <c r="G470" s="406"/>
      <c r="H470" s="406"/>
      <c r="I470" s="415" t="str">
        <f t="shared" si="1"/>
        <v/>
      </c>
    </row>
    <row r="471">
      <c r="A471" s="416"/>
      <c r="B471" s="407"/>
      <c r="C471" s="406"/>
      <c r="D471" s="407"/>
      <c r="E471" s="407"/>
      <c r="F471" s="407"/>
      <c r="G471" s="406"/>
      <c r="H471" s="406"/>
      <c r="I471" s="415" t="str">
        <f t="shared" si="1"/>
        <v/>
      </c>
    </row>
    <row r="472">
      <c r="A472" s="416"/>
      <c r="B472" s="407"/>
      <c r="C472" s="406"/>
      <c r="D472" s="407"/>
      <c r="E472" s="407"/>
      <c r="F472" s="407"/>
      <c r="G472" s="406"/>
      <c r="H472" s="406"/>
      <c r="I472" s="415" t="str">
        <f t="shared" si="1"/>
        <v/>
      </c>
    </row>
    <row r="473">
      <c r="A473" s="416"/>
      <c r="B473" s="407"/>
      <c r="C473" s="406"/>
      <c r="D473" s="407"/>
      <c r="E473" s="407"/>
      <c r="F473" s="407"/>
      <c r="G473" s="406"/>
      <c r="H473" s="406"/>
      <c r="I473" s="415" t="str">
        <f t="shared" si="1"/>
        <v/>
      </c>
    </row>
    <row r="474">
      <c r="A474" s="416"/>
      <c r="B474" s="407"/>
      <c r="C474" s="406"/>
      <c r="D474" s="407"/>
      <c r="E474" s="407"/>
      <c r="F474" s="407"/>
      <c r="G474" s="406"/>
      <c r="H474" s="406"/>
      <c r="I474" s="415" t="str">
        <f t="shared" si="1"/>
        <v/>
      </c>
    </row>
    <row r="475">
      <c r="A475" s="416"/>
      <c r="B475" s="407"/>
      <c r="C475" s="406"/>
      <c r="D475" s="407"/>
      <c r="E475" s="407"/>
      <c r="F475" s="407"/>
      <c r="G475" s="406"/>
      <c r="H475" s="406"/>
      <c r="I475" s="415" t="str">
        <f t="shared" si="1"/>
        <v/>
      </c>
    </row>
    <row r="476">
      <c r="A476" s="416"/>
      <c r="B476" s="407"/>
      <c r="C476" s="406"/>
      <c r="D476" s="407"/>
      <c r="E476" s="407"/>
      <c r="F476" s="407"/>
      <c r="G476" s="406"/>
      <c r="H476" s="406"/>
      <c r="I476" s="415" t="str">
        <f t="shared" si="1"/>
        <v/>
      </c>
    </row>
    <row r="477">
      <c r="A477" s="416"/>
      <c r="B477" s="407"/>
      <c r="C477" s="406"/>
      <c r="D477" s="407"/>
      <c r="E477" s="407"/>
      <c r="F477" s="407"/>
      <c r="G477" s="406"/>
      <c r="H477" s="406"/>
      <c r="I477" s="415" t="str">
        <f t="shared" si="1"/>
        <v/>
      </c>
    </row>
    <row r="478">
      <c r="A478" s="416"/>
      <c r="B478" s="407"/>
      <c r="C478" s="406"/>
      <c r="D478" s="407"/>
      <c r="E478" s="407"/>
      <c r="F478" s="407"/>
      <c r="G478" s="406"/>
      <c r="H478" s="406"/>
      <c r="I478" s="415" t="str">
        <f t="shared" si="1"/>
        <v/>
      </c>
    </row>
    <row r="479">
      <c r="A479" s="416"/>
      <c r="B479" s="407"/>
      <c r="C479" s="406"/>
      <c r="D479" s="407"/>
      <c r="E479" s="407"/>
      <c r="F479" s="407"/>
      <c r="G479" s="406"/>
      <c r="H479" s="406"/>
      <c r="I479" s="415" t="str">
        <f t="shared" si="1"/>
        <v/>
      </c>
    </row>
    <row r="480">
      <c r="A480" s="416"/>
      <c r="B480" s="407"/>
      <c r="C480" s="406"/>
      <c r="D480" s="407"/>
      <c r="E480" s="407"/>
      <c r="F480" s="407"/>
      <c r="G480" s="406"/>
      <c r="H480" s="406"/>
      <c r="I480" s="415" t="str">
        <f t="shared" si="1"/>
        <v/>
      </c>
    </row>
    <row r="481">
      <c r="A481" s="416"/>
      <c r="B481" s="407"/>
      <c r="C481" s="406"/>
      <c r="D481" s="407"/>
      <c r="E481" s="407"/>
      <c r="F481" s="407"/>
      <c r="G481" s="406"/>
      <c r="H481" s="406"/>
      <c r="I481" s="415" t="str">
        <f t="shared" si="1"/>
        <v/>
      </c>
    </row>
    <row r="482">
      <c r="A482" s="416"/>
      <c r="B482" s="407"/>
      <c r="C482" s="406"/>
      <c r="D482" s="407"/>
      <c r="E482" s="407"/>
      <c r="F482" s="407"/>
      <c r="G482" s="406"/>
      <c r="H482" s="406"/>
      <c r="I482" s="415" t="str">
        <f t="shared" si="1"/>
        <v/>
      </c>
    </row>
    <row r="483">
      <c r="A483" s="416"/>
      <c r="B483" s="407"/>
      <c r="C483" s="406"/>
      <c r="D483" s="407"/>
      <c r="E483" s="407"/>
      <c r="F483" s="407"/>
      <c r="G483" s="406"/>
      <c r="H483" s="406"/>
      <c r="I483" s="415" t="str">
        <f t="shared" si="1"/>
        <v/>
      </c>
    </row>
    <row r="484">
      <c r="A484" s="416"/>
      <c r="B484" s="407"/>
      <c r="C484" s="406"/>
      <c r="D484" s="407"/>
      <c r="E484" s="407"/>
      <c r="F484" s="407"/>
      <c r="G484" s="406"/>
      <c r="H484" s="406"/>
      <c r="I484" s="415" t="str">
        <f t="shared" si="1"/>
        <v/>
      </c>
    </row>
    <row r="485">
      <c r="A485" s="416"/>
      <c r="B485" s="407"/>
      <c r="C485" s="406"/>
      <c r="D485" s="407"/>
      <c r="E485" s="407"/>
      <c r="F485" s="407"/>
      <c r="G485" s="406"/>
      <c r="H485" s="406"/>
      <c r="I485" s="415" t="str">
        <f t="shared" si="1"/>
        <v/>
      </c>
    </row>
    <row r="486">
      <c r="A486" s="416"/>
      <c r="B486" s="407"/>
      <c r="C486" s="406"/>
      <c r="D486" s="407"/>
      <c r="E486" s="407"/>
      <c r="F486" s="407"/>
      <c r="G486" s="406"/>
      <c r="H486" s="406"/>
      <c r="I486" s="415" t="str">
        <f t="shared" si="1"/>
        <v/>
      </c>
    </row>
    <row r="487">
      <c r="A487" s="416"/>
      <c r="B487" s="407"/>
      <c r="C487" s="406"/>
      <c r="D487" s="407"/>
      <c r="E487" s="407"/>
      <c r="F487" s="407"/>
      <c r="G487" s="406"/>
      <c r="H487" s="406"/>
      <c r="I487" s="415" t="str">
        <f t="shared" si="1"/>
        <v/>
      </c>
    </row>
    <row r="488">
      <c r="A488" s="416"/>
      <c r="B488" s="407"/>
      <c r="C488" s="406"/>
      <c r="D488" s="407"/>
      <c r="E488" s="407"/>
      <c r="F488" s="407"/>
      <c r="G488" s="406"/>
      <c r="H488" s="406"/>
      <c r="I488" s="415" t="str">
        <f t="shared" si="1"/>
        <v/>
      </c>
    </row>
    <row r="489">
      <c r="A489" s="416"/>
      <c r="B489" s="407"/>
      <c r="C489" s="406"/>
      <c r="D489" s="407"/>
      <c r="E489" s="407"/>
      <c r="F489" s="407"/>
      <c r="G489" s="406"/>
      <c r="H489" s="406"/>
      <c r="I489" s="415" t="str">
        <f t="shared" si="1"/>
        <v/>
      </c>
    </row>
    <row r="490">
      <c r="A490" s="416"/>
      <c r="B490" s="407"/>
      <c r="C490" s="406"/>
      <c r="D490" s="407"/>
      <c r="E490" s="407"/>
      <c r="F490" s="407"/>
      <c r="G490" s="406"/>
      <c r="H490" s="406"/>
      <c r="I490" s="415" t="str">
        <f t="shared" si="1"/>
        <v/>
      </c>
    </row>
    <row r="491">
      <c r="A491" s="416"/>
      <c r="B491" s="407"/>
      <c r="C491" s="406"/>
      <c r="D491" s="407"/>
      <c r="E491" s="407"/>
      <c r="F491" s="407"/>
      <c r="G491" s="406"/>
      <c r="H491" s="406"/>
      <c r="I491" s="415" t="str">
        <f t="shared" si="1"/>
        <v/>
      </c>
    </row>
    <row r="492">
      <c r="A492" s="416"/>
      <c r="B492" s="407"/>
      <c r="C492" s="406"/>
      <c r="D492" s="407"/>
      <c r="E492" s="407"/>
      <c r="F492" s="407"/>
      <c r="G492" s="406"/>
      <c r="H492" s="406"/>
      <c r="I492" s="415" t="str">
        <f t="shared" si="1"/>
        <v/>
      </c>
    </row>
    <row r="493">
      <c r="A493" s="416"/>
      <c r="B493" s="407"/>
      <c r="C493" s="406"/>
      <c r="D493" s="407"/>
      <c r="E493" s="407"/>
      <c r="F493" s="407"/>
      <c r="G493" s="406"/>
      <c r="H493" s="406"/>
      <c r="I493" s="415" t="str">
        <f t="shared" si="1"/>
        <v/>
      </c>
    </row>
    <row r="494">
      <c r="A494" s="416"/>
      <c r="B494" s="407"/>
      <c r="C494" s="406"/>
      <c r="D494" s="407"/>
      <c r="E494" s="407"/>
      <c r="F494" s="407"/>
      <c r="G494" s="406"/>
      <c r="H494" s="406"/>
      <c r="I494" s="415" t="str">
        <f t="shared" si="1"/>
        <v/>
      </c>
    </row>
    <row r="495">
      <c r="A495" s="416"/>
      <c r="B495" s="407"/>
      <c r="C495" s="406"/>
      <c r="D495" s="407"/>
      <c r="E495" s="407"/>
      <c r="F495" s="407"/>
      <c r="G495" s="406"/>
      <c r="H495" s="406"/>
      <c r="I495" s="415" t="str">
        <f t="shared" si="1"/>
        <v/>
      </c>
    </row>
    <row r="496">
      <c r="A496" s="416"/>
      <c r="B496" s="407"/>
      <c r="C496" s="406"/>
      <c r="D496" s="407"/>
      <c r="E496" s="407"/>
      <c r="F496" s="407"/>
      <c r="G496" s="406"/>
      <c r="H496" s="406"/>
      <c r="I496" s="415" t="str">
        <f t="shared" si="1"/>
        <v/>
      </c>
    </row>
    <row r="497">
      <c r="A497" s="416"/>
      <c r="B497" s="407"/>
      <c r="C497" s="406"/>
      <c r="D497" s="407"/>
      <c r="E497" s="407"/>
      <c r="F497" s="407"/>
      <c r="G497" s="406"/>
      <c r="H497" s="406"/>
      <c r="I497" s="415" t="str">
        <f t="shared" si="1"/>
        <v/>
      </c>
    </row>
    <row r="498">
      <c r="A498" s="416"/>
      <c r="B498" s="407"/>
      <c r="C498" s="406"/>
      <c r="D498" s="407"/>
      <c r="E498" s="407"/>
      <c r="F498" s="407"/>
      <c r="G498" s="406"/>
      <c r="H498" s="406"/>
      <c r="I498" s="415" t="str">
        <f t="shared" si="1"/>
        <v/>
      </c>
    </row>
    <row r="499">
      <c r="A499" s="416"/>
      <c r="B499" s="407"/>
      <c r="C499" s="406"/>
      <c r="D499" s="407"/>
      <c r="E499" s="407"/>
      <c r="F499" s="407"/>
      <c r="G499" s="406"/>
      <c r="H499" s="406"/>
      <c r="I499" s="415" t="str">
        <f t="shared" si="1"/>
        <v/>
      </c>
    </row>
    <row r="500">
      <c r="A500" s="416"/>
      <c r="B500" s="407"/>
      <c r="C500" s="406"/>
      <c r="D500" s="407"/>
      <c r="E500" s="407"/>
      <c r="F500" s="407"/>
      <c r="G500" s="406"/>
      <c r="H500" s="406"/>
      <c r="I500" s="415" t="str">
        <f t="shared" si="1"/>
        <v/>
      </c>
    </row>
    <row r="501">
      <c r="A501" s="416"/>
      <c r="B501" s="407"/>
      <c r="C501" s="406"/>
      <c r="D501" s="407"/>
      <c r="E501" s="407"/>
      <c r="F501" s="407"/>
      <c r="G501" s="406"/>
      <c r="H501" s="406"/>
      <c r="I501" s="415" t="str">
        <f t="shared" si="1"/>
        <v/>
      </c>
    </row>
    <row r="502">
      <c r="A502" s="416"/>
      <c r="B502" s="407"/>
      <c r="C502" s="406"/>
      <c r="D502" s="407"/>
      <c r="E502" s="407"/>
      <c r="F502" s="407"/>
      <c r="G502" s="406"/>
      <c r="H502" s="406"/>
      <c r="I502" s="415" t="str">
        <f t="shared" si="1"/>
        <v/>
      </c>
    </row>
    <row r="503">
      <c r="A503" s="416"/>
      <c r="B503" s="407"/>
      <c r="C503" s="406"/>
      <c r="D503" s="407"/>
      <c r="E503" s="407"/>
      <c r="F503" s="407"/>
      <c r="G503" s="406"/>
      <c r="H503" s="406"/>
      <c r="I503" s="415" t="str">
        <f t="shared" si="1"/>
        <v/>
      </c>
    </row>
    <row r="504">
      <c r="A504" s="416"/>
      <c r="B504" s="407"/>
      <c r="C504" s="406"/>
      <c r="D504" s="407"/>
      <c r="E504" s="407"/>
      <c r="F504" s="407"/>
      <c r="G504" s="406"/>
      <c r="H504" s="406"/>
      <c r="I504" s="415" t="str">
        <f t="shared" si="1"/>
        <v/>
      </c>
    </row>
    <row r="505">
      <c r="A505" s="416"/>
      <c r="B505" s="407"/>
      <c r="C505" s="406"/>
      <c r="D505" s="407"/>
      <c r="E505" s="407"/>
      <c r="F505" s="407"/>
      <c r="G505" s="406"/>
      <c r="H505" s="406"/>
      <c r="I505" s="415" t="str">
        <f t="shared" si="1"/>
        <v/>
      </c>
    </row>
    <row r="506">
      <c r="A506" s="416"/>
      <c r="B506" s="407"/>
      <c r="C506" s="406"/>
      <c r="D506" s="407"/>
      <c r="E506" s="407"/>
      <c r="F506" s="407"/>
      <c r="G506" s="406"/>
      <c r="H506" s="406"/>
      <c r="I506" s="415" t="str">
        <f t="shared" si="1"/>
        <v/>
      </c>
    </row>
    <row r="507">
      <c r="A507" s="416"/>
      <c r="B507" s="407"/>
      <c r="C507" s="406"/>
      <c r="D507" s="407"/>
      <c r="E507" s="407"/>
      <c r="F507" s="407"/>
      <c r="G507" s="406"/>
      <c r="H507" s="406"/>
      <c r="I507" s="415" t="str">
        <f t="shared" si="1"/>
        <v/>
      </c>
    </row>
    <row r="508">
      <c r="A508" s="416"/>
      <c r="B508" s="407"/>
      <c r="C508" s="406"/>
      <c r="D508" s="407"/>
      <c r="E508" s="407"/>
      <c r="F508" s="407"/>
      <c r="G508" s="406"/>
      <c r="H508" s="406"/>
      <c r="I508" s="415" t="str">
        <f t="shared" si="1"/>
        <v/>
      </c>
    </row>
    <row r="509">
      <c r="A509" s="416"/>
      <c r="B509" s="407"/>
      <c r="C509" s="406"/>
      <c r="D509" s="407"/>
      <c r="E509" s="407"/>
      <c r="F509" s="407"/>
      <c r="G509" s="406"/>
      <c r="H509" s="406"/>
      <c r="I509" s="415" t="str">
        <f t="shared" si="1"/>
        <v/>
      </c>
    </row>
    <row r="510">
      <c r="A510" s="416"/>
      <c r="B510" s="407"/>
      <c r="C510" s="406"/>
      <c r="D510" s="407"/>
      <c r="E510" s="407"/>
      <c r="F510" s="407"/>
      <c r="G510" s="406"/>
      <c r="H510" s="406"/>
      <c r="I510" s="415" t="str">
        <f t="shared" si="1"/>
        <v/>
      </c>
    </row>
    <row r="511">
      <c r="A511" s="416"/>
      <c r="B511" s="407"/>
      <c r="C511" s="406"/>
      <c r="D511" s="407"/>
      <c r="E511" s="407"/>
      <c r="F511" s="407"/>
      <c r="G511" s="406"/>
      <c r="H511" s="406"/>
      <c r="I511" s="415" t="str">
        <f t="shared" si="1"/>
        <v/>
      </c>
    </row>
    <row r="512">
      <c r="A512" s="416"/>
      <c r="B512" s="407"/>
      <c r="C512" s="406"/>
      <c r="D512" s="407"/>
      <c r="E512" s="407"/>
      <c r="F512" s="407"/>
      <c r="G512" s="406"/>
      <c r="H512" s="406"/>
      <c r="I512" s="415" t="str">
        <f t="shared" si="1"/>
        <v/>
      </c>
    </row>
    <row r="513">
      <c r="A513" s="416"/>
      <c r="B513" s="407"/>
      <c r="C513" s="406"/>
      <c r="D513" s="407"/>
      <c r="E513" s="407"/>
      <c r="F513" s="407"/>
      <c r="G513" s="406"/>
      <c r="H513" s="406"/>
      <c r="I513" s="415" t="str">
        <f t="shared" si="1"/>
        <v/>
      </c>
    </row>
    <row r="514">
      <c r="A514" s="416"/>
      <c r="B514" s="407"/>
      <c r="C514" s="406"/>
      <c r="D514" s="407"/>
      <c r="E514" s="407"/>
      <c r="F514" s="407"/>
      <c r="G514" s="406"/>
      <c r="H514" s="406"/>
      <c r="I514" s="415" t="str">
        <f t="shared" si="1"/>
        <v/>
      </c>
    </row>
    <row r="515">
      <c r="A515" s="416"/>
      <c r="B515" s="407"/>
      <c r="C515" s="406"/>
      <c r="D515" s="407"/>
      <c r="E515" s="407"/>
      <c r="F515" s="407"/>
      <c r="G515" s="406"/>
      <c r="H515" s="406"/>
      <c r="I515" s="415" t="str">
        <f t="shared" si="1"/>
        <v/>
      </c>
    </row>
    <row r="516">
      <c r="A516" s="416"/>
      <c r="B516" s="407"/>
      <c r="C516" s="406"/>
      <c r="D516" s="407"/>
      <c r="E516" s="407"/>
      <c r="F516" s="407"/>
      <c r="G516" s="406"/>
      <c r="H516" s="406"/>
      <c r="I516" s="415" t="str">
        <f t="shared" si="1"/>
        <v/>
      </c>
    </row>
    <row r="517">
      <c r="A517" s="416"/>
      <c r="B517" s="407"/>
      <c r="C517" s="406"/>
      <c r="D517" s="407"/>
      <c r="E517" s="407"/>
      <c r="F517" s="407"/>
      <c r="G517" s="406"/>
      <c r="H517" s="406"/>
      <c r="I517" s="415" t="str">
        <f t="shared" si="1"/>
        <v/>
      </c>
    </row>
    <row r="518">
      <c r="A518" s="416"/>
      <c r="B518" s="407"/>
      <c r="C518" s="406"/>
      <c r="D518" s="407"/>
      <c r="E518" s="407"/>
      <c r="F518" s="407"/>
      <c r="G518" s="406"/>
      <c r="H518" s="406"/>
      <c r="I518" s="415" t="str">
        <f t="shared" si="1"/>
        <v/>
      </c>
    </row>
    <row r="519">
      <c r="A519" s="416"/>
      <c r="B519" s="407"/>
      <c r="C519" s="406"/>
      <c r="D519" s="407"/>
      <c r="E519" s="407"/>
      <c r="F519" s="407"/>
      <c r="G519" s="406"/>
      <c r="H519" s="406"/>
      <c r="I519" s="415" t="str">
        <f t="shared" si="1"/>
        <v/>
      </c>
    </row>
    <row r="520">
      <c r="A520" s="416"/>
      <c r="B520" s="407"/>
      <c r="C520" s="406"/>
      <c r="D520" s="407"/>
      <c r="E520" s="407"/>
      <c r="F520" s="407"/>
      <c r="G520" s="406"/>
      <c r="H520" s="406"/>
      <c r="I520" s="415" t="str">
        <f t="shared" si="1"/>
        <v/>
      </c>
    </row>
    <row r="521">
      <c r="A521" s="416"/>
      <c r="B521" s="407"/>
      <c r="C521" s="406"/>
      <c r="D521" s="407"/>
      <c r="E521" s="407"/>
      <c r="F521" s="407"/>
      <c r="G521" s="406"/>
      <c r="H521" s="406"/>
      <c r="I521" s="415" t="str">
        <f t="shared" si="1"/>
        <v/>
      </c>
    </row>
    <row r="522">
      <c r="A522" s="416"/>
      <c r="B522" s="407"/>
      <c r="C522" s="406"/>
      <c r="D522" s="407"/>
      <c r="E522" s="407"/>
      <c r="F522" s="407"/>
      <c r="G522" s="406"/>
      <c r="H522" s="406"/>
      <c r="I522" s="415" t="str">
        <f t="shared" si="1"/>
        <v/>
      </c>
    </row>
    <row r="523">
      <c r="A523" s="416"/>
      <c r="B523" s="407"/>
      <c r="C523" s="406"/>
      <c r="D523" s="407"/>
      <c r="E523" s="407"/>
      <c r="F523" s="407"/>
      <c r="G523" s="406"/>
      <c r="H523" s="406"/>
      <c r="I523" s="415" t="str">
        <f t="shared" si="1"/>
        <v/>
      </c>
    </row>
    <row r="524">
      <c r="A524" s="416"/>
      <c r="B524" s="407"/>
      <c r="C524" s="406"/>
      <c r="D524" s="407"/>
      <c r="E524" s="407"/>
      <c r="F524" s="407"/>
      <c r="G524" s="406"/>
      <c r="H524" s="406"/>
      <c r="I524" s="415" t="str">
        <f t="shared" si="1"/>
        <v/>
      </c>
    </row>
    <row r="525">
      <c r="A525" s="416"/>
      <c r="B525" s="407"/>
      <c r="C525" s="406"/>
      <c r="D525" s="407"/>
      <c r="E525" s="407"/>
      <c r="F525" s="407"/>
      <c r="G525" s="406"/>
      <c r="H525" s="406"/>
      <c r="I525" s="415" t="str">
        <f t="shared" si="1"/>
        <v/>
      </c>
    </row>
    <row r="526">
      <c r="A526" s="416"/>
      <c r="B526" s="407"/>
      <c r="C526" s="406"/>
      <c r="D526" s="407"/>
      <c r="E526" s="407"/>
      <c r="F526" s="407"/>
      <c r="G526" s="406"/>
      <c r="H526" s="406"/>
      <c r="I526" s="415" t="str">
        <f t="shared" si="1"/>
        <v/>
      </c>
    </row>
    <row r="527">
      <c r="A527" s="416"/>
      <c r="B527" s="407"/>
      <c r="C527" s="406"/>
      <c r="D527" s="407"/>
      <c r="E527" s="407"/>
      <c r="F527" s="407"/>
      <c r="G527" s="406"/>
      <c r="H527" s="406"/>
      <c r="I527" s="415" t="str">
        <f t="shared" si="1"/>
        <v/>
      </c>
    </row>
    <row r="528">
      <c r="A528" s="416"/>
      <c r="B528" s="407"/>
      <c r="C528" s="406"/>
      <c r="D528" s="407"/>
      <c r="E528" s="407"/>
      <c r="F528" s="407"/>
      <c r="G528" s="406"/>
      <c r="H528" s="406"/>
      <c r="I528" s="415" t="str">
        <f t="shared" si="1"/>
        <v/>
      </c>
    </row>
    <row r="529">
      <c r="A529" s="416"/>
      <c r="B529" s="407"/>
      <c r="C529" s="406"/>
      <c r="D529" s="407"/>
      <c r="E529" s="407"/>
      <c r="F529" s="407"/>
      <c r="G529" s="406"/>
      <c r="H529" s="406"/>
      <c r="I529" s="415" t="str">
        <f t="shared" si="1"/>
        <v/>
      </c>
    </row>
    <row r="530">
      <c r="A530" s="416"/>
      <c r="B530" s="407"/>
      <c r="C530" s="406"/>
      <c r="D530" s="407"/>
      <c r="E530" s="407"/>
      <c r="F530" s="407"/>
      <c r="G530" s="406"/>
      <c r="H530" s="406"/>
      <c r="I530" s="415" t="str">
        <f t="shared" si="1"/>
        <v/>
      </c>
    </row>
    <row r="531">
      <c r="A531" s="416"/>
      <c r="B531" s="407"/>
      <c r="C531" s="406"/>
      <c r="D531" s="407"/>
      <c r="E531" s="407"/>
      <c r="F531" s="407"/>
      <c r="G531" s="406"/>
      <c r="H531" s="406"/>
      <c r="I531" s="415" t="str">
        <f t="shared" si="1"/>
        <v/>
      </c>
    </row>
    <row r="532">
      <c r="A532" s="416"/>
      <c r="B532" s="407"/>
      <c r="C532" s="406"/>
      <c r="D532" s="407"/>
      <c r="E532" s="407"/>
      <c r="F532" s="407"/>
      <c r="G532" s="406"/>
      <c r="H532" s="406"/>
      <c r="I532" s="415" t="str">
        <f t="shared" si="1"/>
        <v/>
      </c>
    </row>
    <row r="533">
      <c r="A533" s="416"/>
      <c r="B533" s="407"/>
      <c r="C533" s="406"/>
      <c r="D533" s="407"/>
      <c r="E533" s="407"/>
      <c r="F533" s="407"/>
      <c r="G533" s="406"/>
      <c r="H533" s="406"/>
      <c r="I533" s="415" t="str">
        <f t="shared" si="1"/>
        <v/>
      </c>
    </row>
    <row r="534">
      <c r="A534" s="416"/>
      <c r="B534" s="407"/>
      <c r="C534" s="406"/>
      <c r="D534" s="407"/>
      <c r="E534" s="407"/>
      <c r="F534" s="407"/>
      <c r="G534" s="406"/>
      <c r="H534" s="406"/>
      <c r="I534" s="415" t="str">
        <f t="shared" si="1"/>
        <v/>
      </c>
    </row>
    <row r="535">
      <c r="A535" s="416"/>
      <c r="B535" s="407"/>
      <c r="C535" s="406"/>
      <c r="D535" s="407"/>
      <c r="E535" s="407"/>
      <c r="F535" s="407"/>
      <c r="G535" s="406"/>
      <c r="H535" s="406"/>
      <c r="I535" s="415" t="str">
        <f t="shared" si="1"/>
        <v/>
      </c>
    </row>
    <row r="536">
      <c r="A536" s="416"/>
      <c r="B536" s="407"/>
      <c r="C536" s="406"/>
      <c r="D536" s="407"/>
      <c r="E536" s="407"/>
      <c r="F536" s="407"/>
      <c r="G536" s="406"/>
      <c r="H536" s="406"/>
      <c r="I536" s="415" t="str">
        <f t="shared" si="1"/>
        <v/>
      </c>
    </row>
    <row r="537">
      <c r="A537" s="416"/>
      <c r="B537" s="407"/>
      <c r="C537" s="406"/>
      <c r="D537" s="407"/>
      <c r="E537" s="407"/>
      <c r="F537" s="407"/>
      <c r="G537" s="406"/>
      <c r="H537" s="406"/>
      <c r="I537" s="415" t="str">
        <f t="shared" si="1"/>
        <v/>
      </c>
    </row>
    <row r="538">
      <c r="A538" s="416"/>
      <c r="B538" s="407"/>
      <c r="C538" s="406"/>
      <c r="D538" s="407"/>
      <c r="E538" s="407"/>
      <c r="F538" s="407"/>
      <c r="G538" s="406"/>
      <c r="H538" s="406"/>
      <c r="I538" s="415" t="str">
        <f t="shared" si="1"/>
        <v/>
      </c>
    </row>
    <row r="539">
      <c r="A539" s="416"/>
      <c r="B539" s="407"/>
      <c r="C539" s="406"/>
      <c r="D539" s="407"/>
      <c r="E539" s="407"/>
      <c r="F539" s="407"/>
      <c r="G539" s="406"/>
      <c r="H539" s="406"/>
      <c r="I539" s="415" t="str">
        <f t="shared" si="1"/>
        <v/>
      </c>
    </row>
    <row r="540">
      <c r="A540" s="416"/>
      <c r="B540" s="407"/>
      <c r="C540" s="406"/>
      <c r="D540" s="407"/>
      <c r="E540" s="407"/>
      <c r="F540" s="407"/>
      <c r="G540" s="406"/>
      <c r="H540" s="406"/>
      <c r="I540" s="415" t="str">
        <f t="shared" si="1"/>
        <v/>
      </c>
    </row>
    <row r="541">
      <c r="A541" s="416"/>
      <c r="B541" s="407"/>
      <c r="C541" s="406"/>
      <c r="D541" s="407"/>
      <c r="E541" s="407"/>
      <c r="F541" s="407"/>
      <c r="G541" s="406"/>
      <c r="H541" s="406"/>
      <c r="I541" s="415" t="str">
        <f t="shared" si="1"/>
        <v/>
      </c>
    </row>
    <row r="542">
      <c r="A542" s="416"/>
      <c r="B542" s="407"/>
      <c r="C542" s="406"/>
      <c r="D542" s="407"/>
      <c r="E542" s="407"/>
      <c r="F542" s="407"/>
      <c r="G542" s="406"/>
      <c r="H542" s="406"/>
      <c r="I542" s="415" t="str">
        <f t="shared" si="1"/>
        <v/>
      </c>
    </row>
    <row r="543">
      <c r="A543" s="416"/>
      <c r="B543" s="407"/>
      <c r="C543" s="406"/>
      <c r="D543" s="407"/>
      <c r="E543" s="407"/>
      <c r="F543" s="407"/>
      <c r="G543" s="406"/>
      <c r="H543" s="406"/>
      <c r="I543" s="415" t="str">
        <f t="shared" si="1"/>
        <v/>
      </c>
    </row>
    <row r="544">
      <c r="A544" s="416"/>
      <c r="B544" s="407"/>
      <c r="C544" s="406"/>
      <c r="D544" s="407"/>
      <c r="E544" s="407"/>
      <c r="F544" s="407"/>
      <c r="G544" s="406"/>
      <c r="H544" s="406"/>
      <c r="I544" s="415" t="str">
        <f t="shared" si="1"/>
        <v/>
      </c>
    </row>
    <row r="545">
      <c r="A545" s="416"/>
      <c r="B545" s="407"/>
      <c r="C545" s="406"/>
      <c r="D545" s="407"/>
      <c r="E545" s="407"/>
      <c r="F545" s="407"/>
      <c r="G545" s="406"/>
      <c r="H545" s="406"/>
      <c r="I545" s="415" t="str">
        <f t="shared" si="1"/>
        <v/>
      </c>
    </row>
    <row r="546">
      <c r="A546" s="416"/>
      <c r="B546" s="407"/>
      <c r="C546" s="406"/>
      <c r="D546" s="407"/>
      <c r="E546" s="407"/>
      <c r="F546" s="407"/>
      <c r="G546" s="406"/>
      <c r="H546" s="406"/>
      <c r="I546" s="415" t="str">
        <f t="shared" si="1"/>
        <v/>
      </c>
    </row>
    <row r="547">
      <c r="A547" s="416"/>
      <c r="B547" s="407"/>
      <c r="C547" s="406"/>
      <c r="D547" s="407"/>
      <c r="E547" s="407"/>
      <c r="F547" s="407"/>
      <c r="G547" s="406"/>
      <c r="H547" s="406"/>
      <c r="I547" s="415" t="str">
        <f t="shared" si="1"/>
        <v/>
      </c>
    </row>
    <row r="548">
      <c r="A548" s="416"/>
      <c r="B548" s="407"/>
      <c r="C548" s="406"/>
      <c r="D548" s="407"/>
      <c r="E548" s="407"/>
      <c r="F548" s="407"/>
      <c r="G548" s="406"/>
      <c r="H548" s="406"/>
      <c r="I548" s="415" t="str">
        <f t="shared" si="1"/>
        <v/>
      </c>
    </row>
    <row r="549">
      <c r="A549" s="416"/>
      <c r="B549" s="407"/>
      <c r="C549" s="406"/>
      <c r="D549" s="407"/>
      <c r="E549" s="407"/>
      <c r="F549" s="407"/>
      <c r="G549" s="406"/>
      <c r="H549" s="406"/>
      <c r="I549" s="415" t="str">
        <f t="shared" si="1"/>
        <v/>
      </c>
    </row>
    <row r="550">
      <c r="A550" s="416"/>
      <c r="B550" s="407"/>
      <c r="C550" s="406"/>
      <c r="D550" s="407"/>
      <c r="E550" s="407"/>
      <c r="F550" s="407"/>
      <c r="G550" s="406"/>
      <c r="H550" s="406"/>
      <c r="I550" s="415" t="str">
        <f t="shared" si="1"/>
        <v/>
      </c>
    </row>
    <row r="551">
      <c r="A551" s="416"/>
      <c r="B551" s="407"/>
      <c r="C551" s="406"/>
      <c r="D551" s="407"/>
      <c r="E551" s="407"/>
      <c r="F551" s="407"/>
      <c r="G551" s="406"/>
      <c r="H551" s="406"/>
      <c r="I551" s="415" t="str">
        <f t="shared" si="1"/>
        <v/>
      </c>
    </row>
    <row r="552">
      <c r="A552" s="416"/>
      <c r="B552" s="407"/>
      <c r="C552" s="406"/>
      <c r="D552" s="407"/>
      <c r="E552" s="407"/>
      <c r="F552" s="407"/>
      <c r="G552" s="406"/>
      <c r="H552" s="406"/>
      <c r="I552" s="415" t="str">
        <f t="shared" si="1"/>
        <v/>
      </c>
    </row>
    <row r="553">
      <c r="A553" s="416"/>
      <c r="B553" s="407"/>
      <c r="C553" s="406"/>
      <c r="D553" s="407"/>
      <c r="E553" s="407"/>
      <c r="F553" s="407"/>
      <c r="G553" s="406"/>
      <c r="H553" s="406"/>
      <c r="I553" s="415" t="str">
        <f t="shared" si="1"/>
        <v/>
      </c>
    </row>
    <row r="554">
      <c r="A554" s="416"/>
      <c r="B554" s="407"/>
      <c r="C554" s="406"/>
      <c r="D554" s="407"/>
      <c r="E554" s="407"/>
      <c r="F554" s="407"/>
      <c r="G554" s="406"/>
      <c r="H554" s="406"/>
      <c r="I554" s="415" t="str">
        <f t="shared" si="1"/>
        <v/>
      </c>
    </row>
    <row r="555">
      <c r="A555" s="416"/>
      <c r="B555" s="407"/>
      <c r="C555" s="406"/>
      <c r="D555" s="407"/>
      <c r="E555" s="407"/>
      <c r="F555" s="407"/>
      <c r="G555" s="406"/>
      <c r="H555" s="406"/>
      <c r="I555" s="415" t="str">
        <f t="shared" si="1"/>
        <v/>
      </c>
    </row>
    <row r="556">
      <c r="A556" s="416"/>
      <c r="B556" s="407"/>
      <c r="C556" s="406"/>
      <c r="D556" s="407"/>
      <c r="E556" s="407"/>
      <c r="F556" s="407"/>
      <c r="G556" s="406"/>
      <c r="H556" s="406"/>
      <c r="I556" s="415" t="str">
        <f t="shared" si="1"/>
        <v/>
      </c>
    </row>
    <row r="557">
      <c r="A557" s="416"/>
      <c r="B557" s="407"/>
      <c r="C557" s="406"/>
      <c r="D557" s="407"/>
      <c r="E557" s="407"/>
      <c r="F557" s="407"/>
      <c r="G557" s="406"/>
      <c r="H557" s="406"/>
      <c r="I557" s="415" t="str">
        <f t="shared" si="1"/>
        <v/>
      </c>
    </row>
    <row r="558">
      <c r="A558" s="416"/>
      <c r="B558" s="407"/>
      <c r="C558" s="406"/>
      <c r="D558" s="407"/>
      <c r="E558" s="407"/>
      <c r="F558" s="407"/>
      <c r="G558" s="406"/>
      <c r="H558" s="406"/>
      <c r="I558" s="415" t="str">
        <f t="shared" si="1"/>
        <v/>
      </c>
    </row>
    <row r="559">
      <c r="A559" s="416"/>
      <c r="B559" s="407"/>
      <c r="C559" s="406"/>
      <c r="D559" s="407"/>
      <c r="E559" s="407"/>
      <c r="F559" s="407"/>
      <c r="G559" s="406"/>
      <c r="H559" s="406"/>
      <c r="I559" s="415" t="str">
        <f t="shared" si="1"/>
        <v/>
      </c>
    </row>
    <row r="560">
      <c r="A560" s="416"/>
      <c r="B560" s="407"/>
      <c r="C560" s="406"/>
      <c r="D560" s="407"/>
      <c r="E560" s="407"/>
      <c r="F560" s="407"/>
      <c r="G560" s="406"/>
      <c r="H560" s="406"/>
      <c r="I560" s="415" t="str">
        <f t="shared" si="1"/>
        <v/>
      </c>
    </row>
    <row r="561">
      <c r="A561" s="416"/>
      <c r="B561" s="407"/>
      <c r="C561" s="406"/>
      <c r="D561" s="407"/>
      <c r="E561" s="407"/>
      <c r="F561" s="407"/>
      <c r="G561" s="406"/>
      <c r="H561" s="406"/>
      <c r="I561" s="415" t="str">
        <f t="shared" si="1"/>
        <v/>
      </c>
    </row>
    <row r="562">
      <c r="A562" s="416"/>
      <c r="B562" s="407"/>
      <c r="C562" s="406"/>
      <c r="D562" s="407"/>
      <c r="E562" s="407"/>
      <c r="F562" s="407"/>
      <c r="G562" s="406"/>
      <c r="H562" s="406"/>
      <c r="I562" s="415" t="str">
        <f t="shared" si="1"/>
        <v/>
      </c>
    </row>
    <row r="563">
      <c r="A563" s="416"/>
      <c r="B563" s="407"/>
      <c r="C563" s="406"/>
      <c r="D563" s="407"/>
      <c r="E563" s="407"/>
      <c r="F563" s="407"/>
      <c r="G563" s="406"/>
      <c r="H563" s="406"/>
      <c r="I563" s="415" t="str">
        <f t="shared" si="1"/>
        <v/>
      </c>
    </row>
    <row r="564">
      <c r="A564" s="416"/>
      <c r="B564" s="407"/>
      <c r="C564" s="406"/>
      <c r="D564" s="407"/>
      <c r="E564" s="407"/>
      <c r="F564" s="407"/>
      <c r="G564" s="406"/>
      <c r="H564" s="406"/>
      <c r="I564" s="415" t="str">
        <f t="shared" si="1"/>
        <v/>
      </c>
    </row>
    <row r="565">
      <c r="A565" s="416"/>
      <c r="B565" s="407"/>
      <c r="C565" s="406"/>
      <c r="D565" s="407"/>
      <c r="E565" s="407"/>
      <c r="F565" s="407"/>
      <c r="G565" s="406"/>
      <c r="H565" s="406"/>
      <c r="I565" s="415" t="str">
        <f t="shared" si="1"/>
        <v/>
      </c>
    </row>
    <row r="566">
      <c r="A566" s="416"/>
      <c r="B566" s="407"/>
      <c r="C566" s="406"/>
      <c r="D566" s="407"/>
      <c r="E566" s="407"/>
      <c r="F566" s="407"/>
      <c r="G566" s="406"/>
      <c r="H566" s="406"/>
      <c r="I566" s="415" t="str">
        <f t="shared" si="1"/>
        <v/>
      </c>
    </row>
    <row r="567">
      <c r="A567" s="416"/>
      <c r="B567" s="407"/>
      <c r="C567" s="406"/>
      <c r="D567" s="407"/>
      <c r="E567" s="407"/>
      <c r="F567" s="407"/>
      <c r="G567" s="406"/>
      <c r="H567" s="406"/>
      <c r="I567" s="415" t="str">
        <f t="shared" si="1"/>
        <v/>
      </c>
    </row>
    <row r="568">
      <c r="A568" s="416"/>
      <c r="B568" s="407"/>
      <c r="C568" s="406"/>
      <c r="D568" s="407"/>
      <c r="E568" s="407"/>
      <c r="F568" s="407"/>
      <c r="G568" s="406"/>
      <c r="H568" s="406"/>
      <c r="I568" s="415" t="str">
        <f t="shared" si="1"/>
        <v/>
      </c>
    </row>
    <row r="569">
      <c r="A569" s="416"/>
      <c r="B569" s="407"/>
      <c r="C569" s="406"/>
      <c r="D569" s="407"/>
      <c r="E569" s="407"/>
      <c r="F569" s="407"/>
      <c r="G569" s="406"/>
      <c r="H569" s="406"/>
      <c r="I569" s="415" t="str">
        <f t="shared" si="1"/>
        <v/>
      </c>
    </row>
    <row r="570">
      <c r="A570" s="416"/>
      <c r="B570" s="407"/>
      <c r="C570" s="406"/>
      <c r="D570" s="407"/>
      <c r="E570" s="407"/>
      <c r="F570" s="407"/>
      <c r="G570" s="406"/>
      <c r="H570" s="406"/>
      <c r="I570" s="415" t="str">
        <f t="shared" si="1"/>
        <v/>
      </c>
    </row>
    <row r="571">
      <c r="A571" s="416"/>
      <c r="B571" s="407"/>
      <c r="C571" s="406"/>
      <c r="D571" s="407"/>
      <c r="E571" s="407"/>
      <c r="F571" s="407"/>
      <c r="G571" s="406"/>
      <c r="H571" s="406"/>
      <c r="I571" s="415" t="str">
        <f t="shared" si="1"/>
        <v/>
      </c>
    </row>
    <row r="572">
      <c r="A572" s="416"/>
      <c r="B572" s="407"/>
      <c r="C572" s="406"/>
      <c r="D572" s="407"/>
      <c r="E572" s="407"/>
      <c r="F572" s="407"/>
      <c r="G572" s="406"/>
      <c r="H572" s="406"/>
      <c r="I572" s="415" t="str">
        <f t="shared" si="1"/>
        <v/>
      </c>
    </row>
    <row r="573">
      <c r="A573" s="416"/>
      <c r="B573" s="407"/>
      <c r="C573" s="406"/>
      <c r="D573" s="407"/>
      <c r="E573" s="407"/>
      <c r="F573" s="407"/>
      <c r="G573" s="406"/>
      <c r="H573" s="406"/>
      <c r="I573" s="415" t="str">
        <f t="shared" si="1"/>
        <v/>
      </c>
    </row>
    <row r="574">
      <c r="A574" s="416"/>
      <c r="B574" s="407"/>
      <c r="C574" s="406"/>
      <c r="D574" s="407"/>
      <c r="E574" s="407"/>
      <c r="F574" s="407"/>
      <c r="G574" s="406"/>
      <c r="H574" s="406"/>
      <c r="I574" s="415" t="str">
        <f t="shared" si="1"/>
        <v/>
      </c>
    </row>
    <row r="575">
      <c r="A575" s="416"/>
      <c r="B575" s="407"/>
      <c r="C575" s="406"/>
      <c r="D575" s="407"/>
      <c r="E575" s="407"/>
      <c r="F575" s="407"/>
      <c r="G575" s="406"/>
      <c r="H575" s="406"/>
      <c r="I575" s="415" t="str">
        <f t="shared" si="1"/>
        <v/>
      </c>
    </row>
    <row r="576">
      <c r="A576" s="416"/>
      <c r="B576" s="407"/>
      <c r="C576" s="406"/>
      <c r="D576" s="407"/>
      <c r="E576" s="407"/>
      <c r="F576" s="407"/>
      <c r="G576" s="406"/>
      <c r="H576" s="406"/>
      <c r="I576" s="415" t="str">
        <f t="shared" si="1"/>
        <v/>
      </c>
    </row>
    <row r="577">
      <c r="A577" s="416"/>
      <c r="B577" s="407"/>
      <c r="C577" s="406"/>
      <c r="D577" s="407"/>
      <c r="E577" s="407"/>
      <c r="F577" s="407"/>
      <c r="G577" s="406"/>
      <c r="H577" s="406"/>
      <c r="I577" s="415" t="str">
        <f t="shared" si="1"/>
        <v/>
      </c>
    </row>
    <row r="578">
      <c r="A578" s="416"/>
      <c r="B578" s="407"/>
      <c r="C578" s="406"/>
      <c r="D578" s="407"/>
      <c r="E578" s="407"/>
      <c r="F578" s="407"/>
      <c r="G578" s="406"/>
      <c r="H578" s="406"/>
      <c r="I578" s="415" t="str">
        <f t="shared" si="1"/>
        <v/>
      </c>
    </row>
    <row r="579">
      <c r="A579" s="416"/>
      <c r="B579" s="407"/>
      <c r="C579" s="406"/>
      <c r="D579" s="407"/>
      <c r="E579" s="407"/>
      <c r="F579" s="407"/>
      <c r="G579" s="406"/>
      <c r="H579" s="406"/>
      <c r="I579" s="415" t="str">
        <f t="shared" si="1"/>
        <v/>
      </c>
    </row>
    <row r="580">
      <c r="A580" s="416"/>
      <c r="B580" s="407"/>
      <c r="C580" s="406"/>
      <c r="D580" s="407"/>
      <c r="E580" s="407"/>
      <c r="F580" s="407"/>
      <c r="G580" s="406"/>
      <c r="H580" s="406"/>
      <c r="I580" s="415" t="str">
        <f t="shared" si="1"/>
        <v/>
      </c>
    </row>
    <row r="581">
      <c r="A581" s="416"/>
      <c r="B581" s="407"/>
      <c r="C581" s="406"/>
      <c r="D581" s="407"/>
      <c r="E581" s="407"/>
      <c r="F581" s="407"/>
      <c r="G581" s="406"/>
      <c r="H581" s="406"/>
      <c r="I581" s="415" t="str">
        <f t="shared" si="1"/>
        <v/>
      </c>
    </row>
    <row r="582">
      <c r="A582" s="416"/>
      <c r="B582" s="407"/>
      <c r="C582" s="406"/>
      <c r="D582" s="407"/>
      <c r="E582" s="407"/>
      <c r="F582" s="407"/>
      <c r="G582" s="406"/>
      <c r="H582" s="406"/>
      <c r="I582" s="415" t="str">
        <f t="shared" si="1"/>
        <v/>
      </c>
    </row>
    <row r="583">
      <c r="A583" s="416"/>
      <c r="B583" s="407"/>
      <c r="C583" s="406"/>
      <c r="D583" s="407"/>
      <c r="E583" s="407"/>
      <c r="F583" s="407"/>
      <c r="G583" s="406"/>
      <c r="H583" s="406"/>
      <c r="I583" s="415" t="str">
        <f t="shared" si="1"/>
        <v/>
      </c>
    </row>
    <row r="584">
      <c r="A584" s="416"/>
      <c r="B584" s="407"/>
      <c r="C584" s="406"/>
      <c r="D584" s="407"/>
      <c r="E584" s="407"/>
      <c r="F584" s="407"/>
      <c r="G584" s="406"/>
      <c r="H584" s="406"/>
      <c r="I584" s="415" t="str">
        <f t="shared" si="1"/>
        <v/>
      </c>
    </row>
    <row r="585">
      <c r="A585" s="416"/>
      <c r="B585" s="407"/>
      <c r="C585" s="406"/>
      <c r="D585" s="407"/>
      <c r="E585" s="407"/>
      <c r="F585" s="407"/>
      <c r="G585" s="406"/>
      <c r="H585" s="406"/>
      <c r="I585" s="415" t="str">
        <f t="shared" si="1"/>
        <v/>
      </c>
    </row>
    <row r="586">
      <c r="A586" s="416"/>
      <c r="B586" s="407"/>
      <c r="C586" s="406"/>
      <c r="D586" s="407"/>
      <c r="E586" s="407"/>
      <c r="F586" s="407"/>
      <c r="G586" s="406"/>
      <c r="H586" s="406"/>
      <c r="I586" s="415" t="str">
        <f t="shared" si="1"/>
        <v/>
      </c>
    </row>
    <row r="587">
      <c r="A587" s="416"/>
      <c r="B587" s="407"/>
      <c r="C587" s="406"/>
      <c r="D587" s="407"/>
      <c r="E587" s="407"/>
      <c r="F587" s="407"/>
      <c r="G587" s="406"/>
      <c r="H587" s="406"/>
      <c r="I587" s="415" t="str">
        <f t="shared" si="1"/>
        <v/>
      </c>
    </row>
    <row r="588">
      <c r="A588" s="416"/>
      <c r="B588" s="407"/>
      <c r="C588" s="406"/>
      <c r="D588" s="407"/>
      <c r="E588" s="407"/>
      <c r="F588" s="407"/>
      <c r="G588" s="406"/>
      <c r="H588" s="406"/>
      <c r="I588" s="415" t="str">
        <f t="shared" si="1"/>
        <v/>
      </c>
    </row>
    <row r="589">
      <c r="A589" s="416"/>
      <c r="B589" s="407"/>
      <c r="C589" s="406"/>
      <c r="D589" s="407"/>
      <c r="E589" s="407"/>
      <c r="F589" s="407"/>
      <c r="G589" s="406"/>
      <c r="H589" s="406"/>
      <c r="I589" s="415" t="str">
        <f t="shared" si="1"/>
        <v/>
      </c>
    </row>
    <row r="590">
      <c r="A590" s="416"/>
      <c r="B590" s="407"/>
      <c r="C590" s="406"/>
      <c r="D590" s="407"/>
      <c r="E590" s="407"/>
      <c r="F590" s="407"/>
      <c r="G590" s="406"/>
      <c r="H590" s="406"/>
      <c r="I590" s="415" t="str">
        <f t="shared" si="1"/>
        <v/>
      </c>
    </row>
    <row r="591">
      <c r="A591" s="416"/>
      <c r="B591" s="407"/>
      <c r="C591" s="406"/>
      <c r="D591" s="407"/>
      <c r="E591" s="407"/>
      <c r="F591" s="407"/>
      <c r="G591" s="406"/>
      <c r="H591" s="406"/>
      <c r="I591" s="415" t="str">
        <f t="shared" si="1"/>
        <v/>
      </c>
    </row>
    <row r="592">
      <c r="A592" s="416"/>
      <c r="B592" s="407"/>
      <c r="C592" s="406"/>
      <c r="D592" s="407"/>
      <c r="E592" s="407"/>
      <c r="F592" s="407"/>
      <c r="G592" s="406"/>
      <c r="H592" s="406"/>
      <c r="I592" s="415" t="str">
        <f t="shared" si="1"/>
        <v/>
      </c>
    </row>
    <row r="593">
      <c r="A593" s="416"/>
      <c r="B593" s="407"/>
      <c r="C593" s="406"/>
      <c r="D593" s="407"/>
      <c r="E593" s="407"/>
      <c r="F593" s="407"/>
      <c r="G593" s="406"/>
      <c r="H593" s="406"/>
      <c r="I593" s="415" t="str">
        <f t="shared" si="1"/>
        <v/>
      </c>
    </row>
    <row r="594">
      <c r="A594" s="416"/>
      <c r="B594" s="407"/>
      <c r="C594" s="406"/>
      <c r="D594" s="407"/>
      <c r="E594" s="407"/>
      <c r="F594" s="407"/>
      <c r="G594" s="406"/>
      <c r="H594" s="406"/>
      <c r="I594" s="415" t="str">
        <f t="shared" si="1"/>
        <v/>
      </c>
    </row>
    <row r="595">
      <c r="A595" s="416"/>
      <c r="B595" s="407"/>
      <c r="C595" s="406"/>
      <c r="D595" s="407"/>
      <c r="E595" s="407"/>
      <c r="F595" s="407"/>
      <c r="G595" s="406"/>
      <c r="H595" s="406"/>
      <c r="I595" s="415" t="str">
        <f t="shared" si="1"/>
        <v/>
      </c>
    </row>
    <row r="596">
      <c r="A596" s="416"/>
      <c r="B596" s="407"/>
      <c r="C596" s="406"/>
      <c r="D596" s="407"/>
      <c r="E596" s="407"/>
      <c r="F596" s="407"/>
      <c r="G596" s="406"/>
      <c r="H596" s="406"/>
      <c r="I596" s="415" t="str">
        <f t="shared" si="1"/>
        <v/>
      </c>
    </row>
    <row r="597">
      <c r="A597" s="416"/>
      <c r="B597" s="407"/>
      <c r="C597" s="406"/>
      <c r="D597" s="407"/>
      <c r="E597" s="407"/>
      <c r="F597" s="407"/>
      <c r="G597" s="406"/>
      <c r="H597" s="406"/>
      <c r="I597" s="415" t="str">
        <f t="shared" si="1"/>
        <v/>
      </c>
    </row>
    <row r="598">
      <c r="A598" s="416"/>
      <c r="B598" s="407"/>
      <c r="C598" s="406"/>
      <c r="D598" s="407"/>
      <c r="E598" s="407"/>
      <c r="F598" s="407"/>
      <c r="G598" s="406"/>
      <c r="H598" s="406"/>
      <c r="I598" s="415" t="str">
        <f t="shared" si="1"/>
        <v/>
      </c>
    </row>
    <row r="599">
      <c r="A599" s="416"/>
      <c r="B599" s="407"/>
      <c r="C599" s="406"/>
      <c r="D599" s="407"/>
      <c r="E599" s="407"/>
      <c r="F599" s="407"/>
      <c r="G599" s="406"/>
      <c r="H599" s="406"/>
      <c r="I599" s="415" t="str">
        <f t="shared" si="1"/>
        <v/>
      </c>
    </row>
    <row r="600">
      <c r="A600" s="416"/>
      <c r="B600" s="407"/>
      <c r="C600" s="406"/>
      <c r="D600" s="407"/>
      <c r="E600" s="407"/>
      <c r="F600" s="407"/>
      <c r="G600" s="406"/>
      <c r="H600" s="406"/>
      <c r="I600" s="415" t="str">
        <f t="shared" si="1"/>
        <v/>
      </c>
    </row>
    <row r="601">
      <c r="A601" s="416"/>
      <c r="B601" s="407"/>
      <c r="C601" s="406"/>
      <c r="D601" s="407"/>
      <c r="E601" s="407"/>
      <c r="F601" s="407"/>
      <c r="G601" s="406"/>
      <c r="H601" s="406"/>
      <c r="I601" s="415" t="str">
        <f t="shared" si="1"/>
        <v/>
      </c>
    </row>
    <row r="602">
      <c r="A602" s="416"/>
      <c r="B602" s="407"/>
      <c r="C602" s="406"/>
      <c r="D602" s="407"/>
      <c r="E602" s="407"/>
      <c r="F602" s="407"/>
      <c r="G602" s="406"/>
      <c r="H602" s="406"/>
      <c r="I602" s="415" t="str">
        <f t="shared" si="1"/>
        <v/>
      </c>
    </row>
    <row r="603">
      <c r="A603" s="416"/>
      <c r="B603" s="407"/>
      <c r="C603" s="406"/>
      <c r="D603" s="407"/>
      <c r="E603" s="407"/>
      <c r="F603" s="407"/>
      <c r="G603" s="406"/>
      <c r="H603" s="406"/>
      <c r="I603" s="415" t="str">
        <f t="shared" si="1"/>
        <v/>
      </c>
    </row>
    <row r="604">
      <c r="A604" s="416"/>
      <c r="B604" s="407"/>
      <c r="C604" s="406"/>
      <c r="D604" s="407"/>
      <c r="E604" s="407"/>
      <c r="F604" s="407"/>
      <c r="G604" s="406"/>
      <c r="H604" s="406"/>
      <c r="I604" s="415" t="str">
        <f t="shared" si="1"/>
        <v/>
      </c>
    </row>
    <row r="605">
      <c r="A605" s="416"/>
      <c r="B605" s="407"/>
      <c r="C605" s="406"/>
      <c r="D605" s="407"/>
      <c r="E605" s="407"/>
      <c r="F605" s="407"/>
      <c r="G605" s="406"/>
      <c r="H605" s="406"/>
      <c r="I605" s="415" t="str">
        <f t="shared" si="1"/>
        <v/>
      </c>
    </row>
    <row r="606">
      <c r="A606" s="416"/>
      <c r="B606" s="407"/>
      <c r="C606" s="406"/>
      <c r="D606" s="407"/>
      <c r="E606" s="407"/>
      <c r="F606" s="407"/>
      <c r="G606" s="406"/>
      <c r="H606" s="406"/>
      <c r="I606" s="415" t="str">
        <f t="shared" si="1"/>
        <v/>
      </c>
    </row>
    <row r="607">
      <c r="A607" s="416"/>
      <c r="B607" s="407"/>
      <c r="C607" s="406"/>
      <c r="D607" s="407"/>
      <c r="E607" s="407"/>
      <c r="F607" s="407"/>
      <c r="G607" s="406"/>
      <c r="H607" s="406"/>
      <c r="I607" s="415" t="str">
        <f t="shared" si="1"/>
        <v/>
      </c>
    </row>
    <row r="608">
      <c r="A608" s="416"/>
      <c r="B608" s="407"/>
      <c r="C608" s="406"/>
      <c r="D608" s="407"/>
      <c r="E608" s="407"/>
      <c r="F608" s="407"/>
      <c r="G608" s="406"/>
      <c r="H608" s="406"/>
      <c r="I608" s="415" t="str">
        <f t="shared" si="1"/>
        <v/>
      </c>
    </row>
    <row r="609">
      <c r="A609" s="416"/>
      <c r="B609" s="407"/>
      <c r="C609" s="406"/>
      <c r="D609" s="407"/>
      <c r="E609" s="407"/>
      <c r="F609" s="407"/>
      <c r="G609" s="406"/>
      <c r="H609" s="406"/>
      <c r="I609" s="415" t="str">
        <f t="shared" si="1"/>
        <v/>
      </c>
    </row>
    <row r="610">
      <c r="A610" s="416"/>
      <c r="B610" s="407"/>
      <c r="C610" s="406"/>
      <c r="D610" s="407"/>
      <c r="E610" s="407"/>
      <c r="F610" s="407"/>
      <c r="G610" s="406"/>
      <c r="H610" s="406"/>
      <c r="I610" s="415" t="str">
        <f t="shared" si="1"/>
        <v/>
      </c>
    </row>
    <row r="611">
      <c r="A611" s="416"/>
      <c r="B611" s="407"/>
      <c r="C611" s="406"/>
      <c r="D611" s="407"/>
      <c r="E611" s="407"/>
      <c r="F611" s="407"/>
      <c r="G611" s="406"/>
      <c r="H611" s="406"/>
      <c r="I611" s="415" t="str">
        <f t="shared" si="1"/>
        <v/>
      </c>
    </row>
    <row r="612">
      <c r="A612" s="416"/>
      <c r="B612" s="407"/>
      <c r="C612" s="406"/>
      <c r="D612" s="407"/>
      <c r="E612" s="407"/>
      <c r="F612" s="407"/>
      <c r="G612" s="406"/>
      <c r="H612" s="406"/>
      <c r="I612" s="415" t="str">
        <f t="shared" si="1"/>
        <v/>
      </c>
    </row>
    <row r="613">
      <c r="A613" s="416"/>
      <c r="B613" s="407"/>
      <c r="C613" s="406"/>
      <c r="D613" s="407"/>
      <c r="E613" s="407"/>
      <c r="F613" s="407"/>
      <c r="G613" s="406"/>
      <c r="H613" s="406"/>
      <c r="I613" s="415" t="str">
        <f t="shared" si="1"/>
        <v/>
      </c>
    </row>
    <row r="614">
      <c r="A614" s="416"/>
      <c r="B614" s="407"/>
      <c r="C614" s="406"/>
      <c r="D614" s="407"/>
      <c r="E614" s="407"/>
      <c r="F614" s="407"/>
      <c r="G614" s="406"/>
      <c r="H614" s="406"/>
      <c r="I614" s="415" t="str">
        <f t="shared" si="1"/>
        <v/>
      </c>
    </row>
    <row r="615">
      <c r="A615" s="416"/>
      <c r="B615" s="407"/>
      <c r="C615" s="406"/>
      <c r="D615" s="407"/>
      <c r="E615" s="407"/>
      <c r="F615" s="407"/>
      <c r="G615" s="406"/>
      <c r="H615" s="406"/>
      <c r="I615" s="415" t="str">
        <f t="shared" si="1"/>
        <v/>
      </c>
    </row>
    <row r="616">
      <c r="A616" s="416"/>
      <c r="B616" s="407"/>
      <c r="C616" s="406"/>
      <c r="D616" s="407"/>
      <c r="E616" s="407"/>
      <c r="F616" s="407"/>
      <c r="G616" s="406"/>
      <c r="H616" s="406"/>
      <c r="I616" s="415" t="str">
        <f t="shared" si="1"/>
        <v/>
      </c>
    </row>
    <row r="617">
      <c r="A617" s="416"/>
      <c r="B617" s="407"/>
      <c r="C617" s="406"/>
      <c r="D617" s="407"/>
      <c r="E617" s="407"/>
      <c r="F617" s="407"/>
      <c r="G617" s="406"/>
      <c r="H617" s="406"/>
      <c r="I617" s="415" t="str">
        <f t="shared" si="1"/>
        <v/>
      </c>
    </row>
    <row r="618">
      <c r="A618" s="416"/>
      <c r="B618" s="407"/>
      <c r="C618" s="406"/>
      <c r="D618" s="407"/>
      <c r="E618" s="407"/>
      <c r="F618" s="407"/>
      <c r="G618" s="406"/>
      <c r="H618" s="406"/>
      <c r="I618" s="415" t="str">
        <f t="shared" si="1"/>
        <v/>
      </c>
    </row>
    <row r="619">
      <c r="A619" s="416"/>
      <c r="B619" s="407"/>
      <c r="C619" s="406"/>
      <c r="D619" s="407"/>
      <c r="E619" s="407"/>
      <c r="F619" s="407"/>
      <c r="G619" s="406"/>
      <c r="H619" s="406"/>
      <c r="I619" s="415" t="str">
        <f t="shared" si="1"/>
        <v/>
      </c>
    </row>
    <row r="620">
      <c r="A620" s="416"/>
      <c r="B620" s="407"/>
      <c r="C620" s="406"/>
      <c r="D620" s="407"/>
      <c r="E620" s="407"/>
      <c r="F620" s="407"/>
      <c r="G620" s="406"/>
      <c r="H620" s="406"/>
      <c r="I620" s="415" t="str">
        <f t="shared" si="1"/>
        <v/>
      </c>
    </row>
    <row r="621">
      <c r="A621" s="416"/>
      <c r="B621" s="407"/>
      <c r="C621" s="406"/>
      <c r="D621" s="407"/>
      <c r="E621" s="407"/>
      <c r="F621" s="407"/>
      <c r="G621" s="406"/>
      <c r="H621" s="406"/>
      <c r="I621" s="415" t="str">
        <f t="shared" si="1"/>
        <v/>
      </c>
    </row>
    <row r="622">
      <c r="A622" s="416"/>
      <c r="B622" s="407"/>
      <c r="C622" s="406"/>
      <c r="D622" s="407"/>
      <c r="E622" s="407"/>
      <c r="F622" s="407"/>
      <c r="G622" s="406"/>
      <c r="H622" s="406"/>
      <c r="I622" s="415" t="str">
        <f t="shared" si="1"/>
        <v/>
      </c>
    </row>
    <row r="623">
      <c r="A623" s="416"/>
      <c r="B623" s="407"/>
      <c r="C623" s="406"/>
      <c r="D623" s="407"/>
      <c r="E623" s="407"/>
      <c r="F623" s="407"/>
      <c r="G623" s="406"/>
      <c r="H623" s="406"/>
      <c r="I623" s="415" t="str">
        <f t="shared" si="1"/>
        <v/>
      </c>
    </row>
    <row r="624">
      <c r="A624" s="416"/>
      <c r="B624" s="407"/>
      <c r="C624" s="406"/>
      <c r="D624" s="407"/>
      <c r="E624" s="407"/>
      <c r="F624" s="407"/>
      <c r="G624" s="406"/>
      <c r="H624" s="406"/>
      <c r="I624" s="415" t="str">
        <f t="shared" si="1"/>
        <v/>
      </c>
    </row>
    <row r="625">
      <c r="A625" s="416"/>
      <c r="B625" s="407"/>
      <c r="C625" s="406"/>
      <c r="D625" s="407"/>
      <c r="E625" s="407"/>
      <c r="F625" s="407"/>
      <c r="G625" s="406"/>
      <c r="H625" s="406"/>
      <c r="I625" s="415" t="str">
        <f t="shared" si="1"/>
        <v/>
      </c>
    </row>
    <row r="626">
      <c r="A626" s="416"/>
      <c r="B626" s="407"/>
      <c r="C626" s="406"/>
      <c r="D626" s="407"/>
      <c r="E626" s="407"/>
      <c r="F626" s="407"/>
      <c r="G626" s="406"/>
      <c r="H626" s="406"/>
      <c r="I626" s="415" t="str">
        <f t="shared" si="1"/>
        <v/>
      </c>
    </row>
    <row r="627">
      <c r="A627" s="416"/>
      <c r="B627" s="407"/>
      <c r="C627" s="406"/>
      <c r="D627" s="407"/>
      <c r="E627" s="407"/>
      <c r="F627" s="407"/>
      <c r="G627" s="406"/>
      <c r="H627" s="406"/>
      <c r="I627" s="415" t="str">
        <f t="shared" si="1"/>
        <v/>
      </c>
    </row>
    <row r="628">
      <c r="A628" s="416"/>
      <c r="B628" s="407"/>
      <c r="C628" s="406"/>
      <c r="D628" s="407"/>
      <c r="E628" s="407"/>
      <c r="F628" s="407"/>
      <c r="G628" s="406"/>
      <c r="H628" s="406"/>
      <c r="I628" s="415" t="str">
        <f t="shared" si="1"/>
        <v/>
      </c>
    </row>
    <row r="629">
      <c r="A629" s="416"/>
      <c r="B629" s="407"/>
      <c r="C629" s="406"/>
      <c r="D629" s="407"/>
      <c r="E629" s="407"/>
      <c r="F629" s="407"/>
      <c r="G629" s="406"/>
      <c r="H629" s="406"/>
      <c r="I629" s="415" t="str">
        <f t="shared" si="1"/>
        <v/>
      </c>
    </row>
    <row r="630">
      <c r="A630" s="416"/>
      <c r="B630" s="407"/>
      <c r="C630" s="406"/>
      <c r="D630" s="407"/>
      <c r="E630" s="407"/>
      <c r="F630" s="407"/>
      <c r="G630" s="406"/>
      <c r="H630" s="406"/>
      <c r="I630" s="415" t="str">
        <f t="shared" si="1"/>
        <v/>
      </c>
    </row>
    <row r="631">
      <c r="A631" s="416"/>
      <c r="B631" s="407"/>
      <c r="C631" s="406"/>
      <c r="D631" s="407"/>
      <c r="E631" s="407"/>
      <c r="F631" s="407"/>
      <c r="G631" s="406"/>
      <c r="H631" s="406"/>
      <c r="I631" s="415" t="str">
        <f t="shared" si="1"/>
        <v/>
      </c>
    </row>
    <row r="632">
      <c r="A632" s="416"/>
      <c r="B632" s="407"/>
      <c r="C632" s="406"/>
      <c r="D632" s="407"/>
      <c r="E632" s="407"/>
      <c r="F632" s="407"/>
      <c r="G632" s="406"/>
      <c r="H632" s="406"/>
      <c r="I632" s="415" t="str">
        <f t="shared" si="1"/>
        <v/>
      </c>
    </row>
    <row r="633">
      <c r="A633" s="416"/>
      <c r="B633" s="407"/>
      <c r="C633" s="406"/>
      <c r="D633" s="407"/>
      <c r="E633" s="407"/>
      <c r="F633" s="407"/>
      <c r="G633" s="406"/>
      <c r="H633" s="406"/>
      <c r="I633" s="415" t="str">
        <f t="shared" si="1"/>
        <v/>
      </c>
    </row>
    <row r="634">
      <c r="A634" s="416"/>
      <c r="B634" s="407"/>
      <c r="C634" s="406"/>
      <c r="D634" s="407"/>
      <c r="E634" s="407"/>
      <c r="F634" s="407"/>
      <c r="G634" s="406"/>
      <c r="H634" s="406"/>
      <c r="I634" s="415" t="str">
        <f t="shared" si="1"/>
        <v/>
      </c>
    </row>
    <row r="635">
      <c r="A635" s="416"/>
      <c r="B635" s="407"/>
      <c r="C635" s="406"/>
      <c r="D635" s="407"/>
      <c r="E635" s="407"/>
      <c r="F635" s="407"/>
      <c r="G635" s="406"/>
      <c r="H635" s="406"/>
      <c r="I635" s="415" t="str">
        <f t="shared" si="1"/>
        <v/>
      </c>
    </row>
    <row r="636">
      <c r="A636" s="416"/>
      <c r="B636" s="407"/>
      <c r="C636" s="406"/>
      <c r="D636" s="407"/>
      <c r="E636" s="407"/>
      <c r="F636" s="407"/>
      <c r="G636" s="406"/>
      <c r="H636" s="406"/>
      <c r="I636" s="415" t="str">
        <f t="shared" si="1"/>
        <v/>
      </c>
    </row>
    <row r="637">
      <c r="A637" s="416"/>
      <c r="B637" s="407"/>
      <c r="C637" s="406"/>
      <c r="D637" s="407"/>
      <c r="E637" s="407"/>
      <c r="F637" s="407"/>
      <c r="G637" s="406"/>
      <c r="H637" s="406"/>
      <c r="I637" s="415" t="str">
        <f t="shared" si="1"/>
        <v/>
      </c>
    </row>
    <row r="638">
      <c r="A638" s="416"/>
      <c r="B638" s="407"/>
      <c r="C638" s="406"/>
      <c r="D638" s="407"/>
      <c r="E638" s="407"/>
      <c r="F638" s="407"/>
      <c r="G638" s="406"/>
      <c r="H638" s="406"/>
      <c r="I638" s="415" t="str">
        <f t="shared" si="1"/>
        <v/>
      </c>
    </row>
    <row r="639">
      <c r="A639" s="416"/>
      <c r="B639" s="407"/>
      <c r="C639" s="406"/>
      <c r="D639" s="407"/>
      <c r="E639" s="407"/>
      <c r="F639" s="407"/>
      <c r="G639" s="406"/>
      <c r="H639" s="406"/>
      <c r="I639" s="415" t="str">
        <f t="shared" si="1"/>
        <v/>
      </c>
    </row>
    <row r="640">
      <c r="A640" s="416"/>
      <c r="B640" s="407"/>
      <c r="C640" s="406"/>
      <c r="D640" s="407"/>
      <c r="E640" s="407"/>
      <c r="F640" s="407"/>
      <c r="G640" s="406"/>
      <c r="H640" s="406"/>
      <c r="I640" s="415" t="str">
        <f t="shared" si="1"/>
        <v/>
      </c>
    </row>
    <row r="641">
      <c r="A641" s="416"/>
      <c r="B641" s="407"/>
      <c r="C641" s="406"/>
      <c r="D641" s="407"/>
      <c r="E641" s="407"/>
      <c r="F641" s="407"/>
      <c r="G641" s="406"/>
      <c r="H641" s="406"/>
      <c r="I641" s="415" t="str">
        <f t="shared" si="1"/>
        <v/>
      </c>
    </row>
    <row r="642">
      <c r="A642" s="416"/>
      <c r="B642" s="407"/>
      <c r="C642" s="406"/>
      <c r="D642" s="407"/>
      <c r="E642" s="407"/>
      <c r="F642" s="407"/>
      <c r="G642" s="406"/>
      <c r="H642" s="406"/>
      <c r="I642" s="415" t="str">
        <f t="shared" si="1"/>
        <v/>
      </c>
    </row>
    <row r="643">
      <c r="A643" s="416"/>
      <c r="B643" s="407"/>
      <c r="C643" s="406"/>
      <c r="D643" s="407"/>
      <c r="E643" s="407"/>
      <c r="F643" s="407"/>
      <c r="G643" s="406"/>
      <c r="H643" s="406"/>
      <c r="I643" s="415" t="str">
        <f t="shared" si="1"/>
        <v/>
      </c>
    </row>
    <row r="644">
      <c r="A644" s="416"/>
      <c r="B644" s="407"/>
      <c r="C644" s="406"/>
      <c r="D644" s="407"/>
      <c r="E644" s="407"/>
      <c r="F644" s="407"/>
      <c r="G644" s="406"/>
      <c r="H644" s="406"/>
      <c r="I644" s="415" t="str">
        <f t="shared" si="1"/>
        <v/>
      </c>
    </row>
    <row r="645">
      <c r="A645" s="416"/>
      <c r="B645" s="407"/>
      <c r="C645" s="406"/>
      <c r="D645" s="407"/>
      <c r="E645" s="407"/>
      <c r="F645" s="407"/>
      <c r="G645" s="406"/>
      <c r="H645" s="406"/>
      <c r="I645" s="415" t="str">
        <f t="shared" si="1"/>
        <v/>
      </c>
    </row>
    <row r="646">
      <c r="A646" s="416"/>
      <c r="B646" s="407"/>
      <c r="C646" s="406"/>
      <c r="D646" s="407"/>
      <c r="E646" s="407"/>
      <c r="F646" s="407"/>
      <c r="G646" s="406"/>
      <c r="H646" s="406"/>
      <c r="I646" s="415" t="str">
        <f t="shared" si="1"/>
        <v/>
      </c>
    </row>
    <row r="647">
      <c r="A647" s="416"/>
      <c r="B647" s="407"/>
      <c r="C647" s="406"/>
      <c r="D647" s="407"/>
      <c r="E647" s="407"/>
      <c r="F647" s="407"/>
      <c r="G647" s="406"/>
      <c r="H647" s="406"/>
      <c r="I647" s="415" t="str">
        <f t="shared" si="1"/>
        <v/>
      </c>
    </row>
    <row r="648">
      <c r="A648" s="416"/>
      <c r="B648" s="407"/>
      <c r="C648" s="406"/>
      <c r="D648" s="407"/>
      <c r="E648" s="407"/>
      <c r="F648" s="407"/>
      <c r="G648" s="406"/>
      <c r="H648" s="406"/>
      <c r="I648" s="415" t="str">
        <f t="shared" si="1"/>
        <v/>
      </c>
    </row>
    <row r="649">
      <c r="A649" s="416"/>
      <c r="B649" s="407"/>
      <c r="C649" s="406"/>
      <c r="D649" s="407"/>
      <c r="E649" s="407"/>
      <c r="F649" s="407"/>
      <c r="G649" s="406"/>
      <c r="H649" s="406"/>
      <c r="I649" s="415" t="str">
        <f t="shared" si="1"/>
        <v/>
      </c>
    </row>
    <row r="650">
      <c r="A650" s="416"/>
      <c r="B650" s="407"/>
      <c r="C650" s="406"/>
      <c r="D650" s="407"/>
      <c r="E650" s="407"/>
      <c r="F650" s="407"/>
      <c r="G650" s="406"/>
      <c r="H650" s="406"/>
      <c r="I650" s="415" t="str">
        <f t="shared" si="1"/>
        <v/>
      </c>
    </row>
    <row r="651">
      <c r="A651" s="416"/>
      <c r="B651" s="407"/>
      <c r="C651" s="406"/>
      <c r="D651" s="407"/>
      <c r="E651" s="407"/>
      <c r="F651" s="407"/>
      <c r="G651" s="406"/>
      <c r="H651" s="406"/>
      <c r="I651" s="415" t="str">
        <f t="shared" si="1"/>
        <v/>
      </c>
    </row>
    <row r="652">
      <c r="A652" s="416"/>
      <c r="B652" s="407"/>
      <c r="C652" s="406"/>
      <c r="D652" s="407"/>
      <c r="E652" s="407"/>
      <c r="F652" s="407"/>
      <c r="G652" s="406"/>
      <c r="H652" s="406"/>
      <c r="I652" s="415" t="str">
        <f t="shared" si="1"/>
        <v/>
      </c>
    </row>
    <row r="653">
      <c r="A653" s="416"/>
      <c r="B653" s="407"/>
      <c r="C653" s="406"/>
      <c r="D653" s="407"/>
      <c r="E653" s="407"/>
      <c r="F653" s="407"/>
      <c r="G653" s="406"/>
      <c r="H653" s="406"/>
      <c r="I653" s="415" t="str">
        <f t="shared" si="1"/>
        <v/>
      </c>
    </row>
    <row r="654">
      <c r="A654" s="416"/>
      <c r="B654" s="407"/>
      <c r="C654" s="406"/>
      <c r="D654" s="407"/>
      <c r="E654" s="407"/>
      <c r="F654" s="407"/>
      <c r="G654" s="406"/>
      <c r="H654" s="406"/>
      <c r="I654" s="415" t="str">
        <f t="shared" si="1"/>
        <v/>
      </c>
    </row>
    <row r="655">
      <c r="A655" s="416"/>
      <c r="B655" s="407"/>
      <c r="C655" s="406"/>
      <c r="D655" s="407"/>
      <c r="E655" s="407"/>
      <c r="F655" s="407"/>
      <c r="G655" s="406"/>
      <c r="H655" s="406"/>
      <c r="I655" s="415" t="str">
        <f t="shared" si="1"/>
        <v/>
      </c>
    </row>
    <row r="656">
      <c r="A656" s="416"/>
      <c r="B656" s="407"/>
      <c r="C656" s="406"/>
      <c r="D656" s="407"/>
      <c r="E656" s="407"/>
      <c r="F656" s="407"/>
      <c r="G656" s="406"/>
      <c r="H656" s="406"/>
      <c r="I656" s="415" t="str">
        <f t="shared" si="1"/>
        <v/>
      </c>
    </row>
    <row r="657">
      <c r="A657" s="416"/>
      <c r="B657" s="407"/>
      <c r="C657" s="406"/>
      <c r="D657" s="407"/>
      <c r="E657" s="407"/>
      <c r="F657" s="407"/>
      <c r="G657" s="406"/>
      <c r="H657" s="406"/>
      <c r="I657" s="415" t="str">
        <f t="shared" si="1"/>
        <v/>
      </c>
    </row>
    <row r="658">
      <c r="A658" s="416"/>
      <c r="B658" s="407"/>
      <c r="C658" s="406"/>
      <c r="D658" s="407"/>
      <c r="E658" s="407"/>
      <c r="F658" s="407"/>
      <c r="G658" s="406"/>
      <c r="H658" s="406"/>
      <c r="I658" s="415" t="str">
        <f t="shared" si="1"/>
        <v/>
      </c>
    </row>
    <row r="659">
      <c r="A659" s="416"/>
      <c r="B659" s="407"/>
      <c r="C659" s="406"/>
      <c r="D659" s="407"/>
      <c r="E659" s="407"/>
      <c r="F659" s="407"/>
      <c r="G659" s="406"/>
      <c r="H659" s="406"/>
      <c r="I659" s="415" t="str">
        <f t="shared" si="1"/>
        <v/>
      </c>
    </row>
    <row r="660">
      <c r="A660" s="416"/>
      <c r="B660" s="407"/>
      <c r="C660" s="406"/>
      <c r="D660" s="407"/>
      <c r="E660" s="407"/>
      <c r="F660" s="407"/>
      <c r="G660" s="406"/>
      <c r="H660" s="406"/>
      <c r="I660" s="415" t="str">
        <f t="shared" si="1"/>
        <v/>
      </c>
    </row>
    <row r="661">
      <c r="A661" s="416"/>
      <c r="B661" s="407"/>
      <c r="C661" s="406"/>
      <c r="D661" s="407"/>
      <c r="E661" s="407"/>
      <c r="F661" s="407"/>
      <c r="G661" s="406"/>
      <c r="H661" s="406"/>
      <c r="I661" s="415" t="str">
        <f t="shared" si="1"/>
        <v/>
      </c>
    </row>
    <row r="662">
      <c r="A662" s="416"/>
      <c r="B662" s="407"/>
      <c r="C662" s="406"/>
      <c r="D662" s="407"/>
      <c r="E662" s="407"/>
      <c r="F662" s="407"/>
      <c r="G662" s="406"/>
      <c r="H662" s="406"/>
      <c r="I662" s="415" t="str">
        <f t="shared" si="1"/>
        <v/>
      </c>
    </row>
    <row r="663">
      <c r="A663" s="416"/>
      <c r="B663" s="407"/>
      <c r="C663" s="406"/>
      <c r="D663" s="407"/>
      <c r="E663" s="407"/>
      <c r="F663" s="407"/>
      <c r="G663" s="406"/>
      <c r="H663" s="406"/>
      <c r="I663" s="415" t="str">
        <f t="shared" si="1"/>
        <v/>
      </c>
    </row>
    <row r="664">
      <c r="A664" s="416"/>
      <c r="B664" s="407"/>
      <c r="C664" s="406"/>
      <c r="D664" s="407"/>
      <c r="E664" s="407"/>
      <c r="F664" s="407"/>
      <c r="G664" s="406"/>
      <c r="H664" s="406"/>
      <c r="I664" s="415" t="str">
        <f t="shared" si="1"/>
        <v/>
      </c>
    </row>
    <row r="665">
      <c r="A665" s="416"/>
      <c r="B665" s="407"/>
      <c r="C665" s="406"/>
      <c r="D665" s="407"/>
      <c r="E665" s="407"/>
      <c r="F665" s="407"/>
      <c r="G665" s="406"/>
      <c r="H665" s="406"/>
      <c r="I665" s="415" t="str">
        <f t="shared" si="1"/>
        <v/>
      </c>
    </row>
    <row r="666">
      <c r="A666" s="416"/>
      <c r="B666" s="407"/>
      <c r="C666" s="406"/>
      <c r="D666" s="407"/>
      <c r="E666" s="407"/>
      <c r="F666" s="407"/>
      <c r="G666" s="406"/>
      <c r="H666" s="406"/>
      <c r="I666" s="415" t="str">
        <f t="shared" si="1"/>
        <v/>
      </c>
    </row>
    <row r="667">
      <c r="A667" s="416"/>
      <c r="B667" s="407"/>
      <c r="C667" s="406"/>
      <c r="D667" s="407"/>
      <c r="E667" s="407"/>
      <c r="F667" s="407"/>
      <c r="G667" s="406"/>
      <c r="H667" s="406"/>
      <c r="I667" s="415" t="str">
        <f t="shared" si="1"/>
        <v/>
      </c>
    </row>
    <row r="668">
      <c r="A668" s="416"/>
      <c r="B668" s="407"/>
      <c r="C668" s="406"/>
      <c r="D668" s="407"/>
      <c r="E668" s="407"/>
      <c r="F668" s="407"/>
      <c r="G668" s="406"/>
      <c r="H668" s="406"/>
      <c r="I668" s="415" t="str">
        <f t="shared" si="1"/>
        <v/>
      </c>
    </row>
    <row r="669">
      <c r="A669" s="416"/>
      <c r="B669" s="407"/>
      <c r="C669" s="406"/>
      <c r="D669" s="407"/>
      <c r="E669" s="407"/>
      <c r="F669" s="407"/>
      <c r="G669" s="406"/>
      <c r="H669" s="406"/>
      <c r="I669" s="415" t="str">
        <f t="shared" si="1"/>
        <v/>
      </c>
    </row>
    <row r="670">
      <c r="A670" s="416"/>
      <c r="B670" s="407"/>
      <c r="C670" s="406"/>
      <c r="D670" s="407"/>
      <c r="E670" s="407"/>
      <c r="F670" s="407"/>
      <c r="G670" s="406"/>
      <c r="H670" s="406"/>
      <c r="I670" s="415" t="str">
        <f t="shared" si="1"/>
        <v/>
      </c>
    </row>
    <row r="671">
      <c r="A671" s="416"/>
      <c r="B671" s="407"/>
      <c r="C671" s="406"/>
      <c r="D671" s="407"/>
      <c r="E671" s="407"/>
      <c r="F671" s="407"/>
      <c r="G671" s="406"/>
      <c r="H671" s="406"/>
      <c r="I671" s="415" t="str">
        <f t="shared" si="1"/>
        <v/>
      </c>
    </row>
    <row r="672">
      <c r="A672" s="416"/>
      <c r="B672" s="407"/>
      <c r="C672" s="406"/>
      <c r="D672" s="407"/>
      <c r="E672" s="407"/>
      <c r="F672" s="407"/>
      <c r="G672" s="406"/>
      <c r="H672" s="406"/>
      <c r="I672" s="415" t="str">
        <f t="shared" si="1"/>
        <v/>
      </c>
    </row>
    <row r="673">
      <c r="A673" s="416"/>
      <c r="B673" s="407"/>
      <c r="C673" s="406"/>
      <c r="D673" s="407"/>
      <c r="E673" s="407"/>
      <c r="F673" s="407"/>
      <c r="G673" s="406"/>
      <c r="H673" s="406"/>
      <c r="I673" s="415" t="str">
        <f t="shared" si="1"/>
        <v/>
      </c>
    </row>
    <row r="674">
      <c r="A674" s="416"/>
      <c r="B674" s="407"/>
      <c r="C674" s="406"/>
      <c r="D674" s="407"/>
      <c r="E674" s="407"/>
      <c r="F674" s="407"/>
      <c r="G674" s="406"/>
      <c r="H674" s="406"/>
      <c r="I674" s="415" t="str">
        <f t="shared" si="1"/>
        <v/>
      </c>
    </row>
    <row r="675">
      <c r="A675" s="416"/>
      <c r="B675" s="407"/>
      <c r="C675" s="406"/>
      <c r="D675" s="407"/>
      <c r="E675" s="407"/>
      <c r="F675" s="407"/>
      <c r="G675" s="406"/>
      <c r="H675" s="406"/>
      <c r="I675" s="415" t="str">
        <f t="shared" si="1"/>
        <v/>
      </c>
    </row>
    <row r="676">
      <c r="A676" s="416"/>
      <c r="B676" s="407"/>
      <c r="C676" s="406"/>
      <c r="D676" s="407"/>
      <c r="E676" s="407"/>
      <c r="F676" s="407"/>
      <c r="G676" s="406"/>
      <c r="H676" s="406"/>
      <c r="I676" s="415" t="str">
        <f t="shared" si="1"/>
        <v/>
      </c>
    </row>
    <row r="677">
      <c r="A677" s="416"/>
      <c r="B677" s="407"/>
      <c r="C677" s="406"/>
      <c r="D677" s="407"/>
      <c r="E677" s="407"/>
      <c r="F677" s="407"/>
      <c r="G677" s="406"/>
      <c r="H677" s="406"/>
      <c r="I677" s="415" t="str">
        <f t="shared" si="1"/>
        <v/>
      </c>
    </row>
    <row r="678">
      <c r="A678" s="416"/>
      <c r="B678" s="407"/>
      <c r="C678" s="406"/>
      <c r="D678" s="407"/>
      <c r="E678" s="407"/>
      <c r="F678" s="407"/>
      <c r="G678" s="406"/>
      <c r="H678" s="406"/>
      <c r="I678" s="415" t="str">
        <f t="shared" si="1"/>
        <v/>
      </c>
    </row>
    <row r="679">
      <c r="A679" s="416"/>
      <c r="B679" s="407"/>
      <c r="C679" s="406"/>
      <c r="D679" s="407"/>
      <c r="E679" s="407"/>
      <c r="F679" s="407"/>
      <c r="G679" s="406"/>
      <c r="H679" s="406"/>
      <c r="I679" s="415" t="str">
        <f t="shared" si="1"/>
        <v/>
      </c>
    </row>
    <row r="680">
      <c r="A680" s="416"/>
      <c r="B680" s="407"/>
      <c r="C680" s="406"/>
      <c r="D680" s="407"/>
      <c r="E680" s="407"/>
      <c r="F680" s="407"/>
      <c r="G680" s="406"/>
      <c r="H680" s="406"/>
      <c r="I680" s="415" t="str">
        <f t="shared" si="1"/>
        <v/>
      </c>
    </row>
    <row r="681">
      <c r="A681" s="416"/>
      <c r="B681" s="407"/>
      <c r="C681" s="406"/>
      <c r="D681" s="407"/>
      <c r="E681" s="407"/>
      <c r="F681" s="407"/>
      <c r="G681" s="406"/>
      <c r="H681" s="406"/>
      <c r="I681" s="415" t="str">
        <f t="shared" si="1"/>
        <v/>
      </c>
    </row>
    <row r="682">
      <c r="A682" s="416"/>
      <c r="B682" s="407"/>
      <c r="C682" s="406"/>
      <c r="D682" s="407"/>
      <c r="E682" s="407"/>
      <c r="F682" s="407"/>
      <c r="G682" s="406"/>
      <c r="H682" s="406"/>
      <c r="I682" s="415" t="str">
        <f t="shared" si="1"/>
        <v/>
      </c>
    </row>
    <row r="683">
      <c r="A683" s="416"/>
      <c r="B683" s="407"/>
      <c r="C683" s="406"/>
      <c r="D683" s="407"/>
      <c r="E683" s="407"/>
      <c r="F683" s="407"/>
      <c r="G683" s="406"/>
      <c r="H683" s="406"/>
      <c r="I683" s="415" t="str">
        <f t="shared" si="1"/>
        <v/>
      </c>
    </row>
    <row r="684">
      <c r="A684" s="416"/>
      <c r="B684" s="407"/>
      <c r="C684" s="406"/>
      <c r="D684" s="407"/>
      <c r="E684" s="407"/>
      <c r="F684" s="407"/>
      <c r="G684" s="406"/>
      <c r="H684" s="406"/>
      <c r="I684" s="415" t="str">
        <f t="shared" si="1"/>
        <v/>
      </c>
    </row>
    <row r="685">
      <c r="A685" s="416"/>
      <c r="B685" s="407"/>
      <c r="C685" s="406"/>
      <c r="D685" s="407"/>
      <c r="E685" s="407"/>
      <c r="F685" s="407"/>
      <c r="G685" s="406"/>
      <c r="H685" s="406"/>
      <c r="I685" s="415" t="str">
        <f t="shared" si="1"/>
        <v/>
      </c>
    </row>
    <row r="686">
      <c r="A686" s="416"/>
      <c r="B686" s="407"/>
      <c r="C686" s="406"/>
      <c r="D686" s="407"/>
      <c r="E686" s="407"/>
      <c r="F686" s="407"/>
      <c r="G686" s="406"/>
      <c r="H686" s="406"/>
      <c r="I686" s="415" t="str">
        <f t="shared" si="1"/>
        <v/>
      </c>
    </row>
    <row r="687">
      <c r="A687" s="416"/>
      <c r="B687" s="407"/>
      <c r="C687" s="406"/>
      <c r="D687" s="407"/>
      <c r="E687" s="407"/>
      <c r="F687" s="407"/>
      <c r="G687" s="406"/>
      <c r="H687" s="406"/>
      <c r="I687" s="415" t="str">
        <f t="shared" si="1"/>
        <v/>
      </c>
    </row>
    <row r="688">
      <c r="A688" s="416"/>
      <c r="B688" s="407"/>
      <c r="C688" s="406"/>
      <c r="D688" s="407"/>
      <c r="E688" s="407"/>
      <c r="F688" s="407"/>
      <c r="G688" s="406"/>
      <c r="H688" s="406"/>
      <c r="I688" s="415" t="str">
        <f t="shared" si="1"/>
        <v/>
      </c>
    </row>
    <row r="689">
      <c r="A689" s="416"/>
      <c r="B689" s="407"/>
      <c r="C689" s="406"/>
      <c r="D689" s="407"/>
      <c r="E689" s="407"/>
      <c r="F689" s="407"/>
      <c r="G689" s="406"/>
      <c r="H689" s="406"/>
      <c r="I689" s="415" t="str">
        <f t="shared" si="1"/>
        <v/>
      </c>
    </row>
    <row r="690">
      <c r="A690" s="416"/>
      <c r="B690" s="407"/>
      <c r="C690" s="406"/>
      <c r="D690" s="407"/>
      <c r="E690" s="407"/>
      <c r="F690" s="407"/>
      <c r="G690" s="406"/>
      <c r="H690" s="406"/>
      <c r="I690" s="415" t="str">
        <f t="shared" si="1"/>
        <v/>
      </c>
    </row>
    <row r="691">
      <c r="A691" s="416"/>
      <c r="B691" s="407"/>
      <c r="C691" s="406"/>
      <c r="D691" s="407"/>
      <c r="E691" s="407"/>
      <c r="F691" s="407"/>
      <c r="G691" s="406"/>
      <c r="H691" s="406"/>
      <c r="I691" s="415" t="str">
        <f t="shared" si="1"/>
        <v/>
      </c>
    </row>
    <row r="692">
      <c r="A692" s="416"/>
      <c r="B692" s="407"/>
      <c r="C692" s="406"/>
      <c r="D692" s="407"/>
      <c r="E692" s="407"/>
      <c r="F692" s="407"/>
      <c r="G692" s="406"/>
      <c r="H692" s="406"/>
      <c r="I692" s="415" t="str">
        <f t="shared" si="1"/>
        <v/>
      </c>
    </row>
    <row r="693">
      <c r="A693" s="416"/>
      <c r="B693" s="407"/>
      <c r="C693" s="406"/>
      <c r="D693" s="407"/>
      <c r="E693" s="407"/>
      <c r="F693" s="407"/>
      <c r="G693" s="406"/>
      <c r="H693" s="406"/>
      <c r="I693" s="415" t="str">
        <f t="shared" si="1"/>
        <v/>
      </c>
    </row>
    <row r="694">
      <c r="A694" s="416"/>
      <c r="B694" s="407"/>
      <c r="C694" s="406"/>
      <c r="D694" s="407"/>
      <c r="E694" s="407"/>
      <c r="F694" s="407"/>
      <c r="G694" s="406"/>
      <c r="H694" s="406"/>
      <c r="I694" s="415" t="str">
        <f t="shared" si="1"/>
        <v/>
      </c>
    </row>
    <row r="695">
      <c r="A695" s="416"/>
      <c r="B695" s="407"/>
      <c r="C695" s="406"/>
      <c r="D695" s="407"/>
      <c r="E695" s="407"/>
      <c r="F695" s="407"/>
      <c r="G695" s="406"/>
      <c r="H695" s="406"/>
      <c r="I695" s="415" t="str">
        <f t="shared" si="1"/>
        <v/>
      </c>
    </row>
    <row r="696">
      <c r="A696" s="416"/>
      <c r="B696" s="407"/>
      <c r="C696" s="406"/>
      <c r="D696" s="407"/>
      <c r="E696" s="407"/>
      <c r="F696" s="407"/>
      <c r="G696" s="406"/>
      <c r="H696" s="406"/>
      <c r="I696" s="415" t="str">
        <f t="shared" si="1"/>
        <v/>
      </c>
    </row>
    <row r="697">
      <c r="A697" s="416"/>
      <c r="B697" s="407"/>
      <c r="C697" s="406"/>
      <c r="D697" s="407"/>
      <c r="E697" s="407"/>
      <c r="F697" s="407"/>
      <c r="G697" s="406"/>
      <c r="H697" s="406"/>
      <c r="I697" s="415" t="str">
        <f t="shared" si="1"/>
        <v/>
      </c>
    </row>
    <row r="698">
      <c r="A698" s="416"/>
      <c r="B698" s="407"/>
      <c r="C698" s="406"/>
      <c r="D698" s="407"/>
      <c r="E698" s="407"/>
      <c r="F698" s="407"/>
      <c r="G698" s="406"/>
      <c r="H698" s="406"/>
      <c r="I698" s="415" t="str">
        <f t="shared" si="1"/>
        <v/>
      </c>
    </row>
    <row r="699">
      <c r="A699" s="416"/>
      <c r="B699" s="407"/>
      <c r="C699" s="406"/>
      <c r="D699" s="407"/>
      <c r="E699" s="407"/>
      <c r="F699" s="407"/>
      <c r="G699" s="406"/>
      <c r="H699" s="406"/>
      <c r="I699" s="415" t="str">
        <f t="shared" si="1"/>
        <v/>
      </c>
    </row>
    <row r="700">
      <c r="A700" s="416"/>
      <c r="B700" s="407"/>
      <c r="C700" s="406"/>
      <c r="D700" s="407"/>
      <c r="E700" s="407"/>
      <c r="F700" s="407"/>
      <c r="G700" s="406"/>
      <c r="H700" s="406"/>
      <c r="I700" s="415" t="str">
        <f t="shared" si="1"/>
        <v/>
      </c>
    </row>
    <row r="701">
      <c r="A701" s="416"/>
      <c r="B701" s="407"/>
      <c r="C701" s="406"/>
      <c r="D701" s="407"/>
      <c r="E701" s="407"/>
      <c r="F701" s="407"/>
      <c r="G701" s="406"/>
      <c r="H701" s="406"/>
      <c r="I701" s="415" t="str">
        <f t="shared" si="1"/>
        <v/>
      </c>
    </row>
    <row r="702">
      <c r="A702" s="416"/>
      <c r="B702" s="407"/>
      <c r="C702" s="406"/>
      <c r="D702" s="407"/>
      <c r="E702" s="407"/>
      <c r="F702" s="407"/>
      <c r="G702" s="406"/>
      <c r="H702" s="406"/>
      <c r="I702" s="415" t="str">
        <f t="shared" si="1"/>
        <v/>
      </c>
    </row>
    <row r="703">
      <c r="A703" s="416"/>
      <c r="B703" s="407"/>
      <c r="C703" s="406"/>
      <c r="D703" s="407"/>
      <c r="E703" s="407"/>
      <c r="F703" s="407"/>
      <c r="G703" s="406"/>
      <c r="H703" s="406"/>
      <c r="I703" s="415" t="str">
        <f t="shared" si="1"/>
        <v/>
      </c>
    </row>
    <row r="704">
      <c r="A704" s="416"/>
      <c r="B704" s="407"/>
      <c r="C704" s="406"/>
      <c r="D704" s="407"/>
      <c r="E704" s="407"/>
      <c r="F704" s="407"/>
      <c r="G704" s="406"/>
      <c r="H704" s="406"/>
      <c r="I704" s="415" t="str">
        <f t="shared" si="1"/>
        <v/>
      </c>
    </row>
    <row r="705">
      <c r="A705" s="416"/>
      <c r="B705" s="407"/>
      <c r="C705" s="406"/>
      <c r="D705" s="407"/>
      <c r="E705" s="407"/>
      <c r="F705" s="407"/>
      <c r="G705" s="406"/>
      <c r="H705" s="406"/>
      <c r="I705" s="415" t="str">
        <f t="shared" si="1"/>
        <v/>
      </c>
    </row>
    <row r="706">
      <c r="A706" s="416"/>
      <c r="B706" s="407"/>
      <c r="C706" s="406"/>
      <c r="D706" s="407"/>
      <c r="E706" s="407"/>
      <c r="F706" s="407"/>
      <c r="G706" s="406"/>
      <c r="H706" s="406"/>
      <c r="I706" s="415" t="str">
        <f t="shared" si="1"/>
        <v/>
      </c>
    </row>
    <row r="707">
      <c r="A707" s="416"/>
      <c r="B707" s="407"/>
      <c r="C707" s="406"/>
      <c r="D707" s="407"/>
      <c r="E707" s="407"/>
      <c r="F707" s="407"/>
      <c r="G707" s="406"/>
      <c r="H707" s="406"/>
      <c r="I707" s="415" t="str">
        <f t="shared" si="1"/>
        <v/>
      </c>
    </row>
    <row r="708">
      <c r="A708" s="416"/>
      <c r="B708" s="407"/>
      <c r="C708" s="406"/>
      <c r="D708" s="407"/>
      <c r="E708" s="407"/>
      <c r="F708" s="407"/>
      <c r="G708" s="406"/>
      <c r="H708" s="406"/>
      <c r="I708" s="415" t="str">
        <f t="shared" si="1"/>
        <v/>
      </c>
    </row>
    <row r="709">
      <c r="A709" s="416"/>
      <c r="B709" s="407"/>
      <c r="C709" s="406"/>
      <c r="D709" s="407"/>
      <c r="E709" s="407"/>
      <c r="F709" s="407"/>
      <c r="G709" s="406"/>
      <c r="H709" s="406"/>
      <c r="I709" s="415" t="str">
        <f t="shared" si="1"/>
        <v/>
      </c>
    </row>
    <row r="710">
      <c r="A710" s="416"/>
      <c r="B710" s="407"/>
      <c r="C710" s="406"/>
      <c r="D710" s="407"/>
      <c r="E710" s="407"/>
      <c r="F710" s="407"/>
      <c r="G710" s="406"/>
      <c r="H710" s="406"/>
      <c r="I710" s="415" t="str">
        <f t="shared" si="1"/>
        <v/>
      </c>
    </row>
    <row r="711">
      <c r="A711" s="416"/>
      <c r="B711" s="407"/>
      <c r="C711" s="406"/>
      <c r="D711" s="407"/>
      <c r="E711" s="407"/>
      <c r="F711" s="407"/>
      <c r="G711" s="406"/>
      <c r="H711" s="406"/>
      <c r="I711" s="415" t="str">
        <f t="shared" si="1"/>
        <v/>
      </c>
    </row>
    <row r="712">
      <c r="A712" s="416"/>
      <c r="B712" s="407"/>
      <c r="C712" s="406"/>
      <c r="D712" s="407"/>
      <c r="E712" s="407"/>
      <c r="F712" s="407"/>
      <c r="G712" s="406"/>
      <c r="H712" s="406"/>
      <c r="I712" s="415" t="str">
        <f t="shared" si="1"/>
        <v/>
      </c>
    </row>
    <row r="713">
      <c r="A713" s="416"/>
      <c r="B713" s="407"/>
      <c r="C713" s="406"/>
      <c r="D713" s="407"/>
      <c r="E713" s="407"/>
      <c r="F713" s="407"/>
      <c r="G713" s="406"/>
      <c r="H713" s="406"/>
      <c r="I713" s="415" t="str">
        <f t="shared" si="1"/>
        <v/>
      </c>
    </row>
    <row r="714">
      <c r="A714" s="416"/>
      <c r="B714" s="407"/>
      <c r="C714" s="406"/>
      <c r="D714" s="407"/>
      <c r="E714" s="407"/>
      <c r="F714" s="407"/>
      <c r="G714" s="406"/>
      <c r="H714" s="406"/>
      <c r="I714" s="415" t="str">
        <f t="shared" si="1"/>
        <v/>
      </c>
    </row>
    <row r="715">
      <c r="A715" s="416"/>
      <c r="B715" s="407"/>
      <c r="C715" s="406"/>
      <c r="D715" s="407"/>
      <c r="E715" s="407"/>
      <c r="F715" s="407"/>
      <c r="G715" s="406"/>
      <c r="H715" s="406"/>
      <c r="I715" s="415" t="str">
        <f t="shared" si="1"/>
        <v/>
      </c>
    </row>
    <row r="716">
      <c r="A716" s="416"/>
      <c r="B716" s="407"/>
      <c r="C716" s="406"/>
      <c r="D716" s="407"/>
      <c r="E716" s="407"/>
      <c r="F716" s="407"/>
      <c r="G716" s="406"/>
      <c r="H716" s="406"/>
      <c r="I716" s="415" t="str">
        <f t="shared" si="1"/>
        <v/>
      </c>
    </row>
    <row r="717">
      <c r="A717" s="416"/>
      <c r="B717" s="407"/>
      <c r="C717" s="406"/>
      <c r="D717" s="407"/>
      <c r="E717" s="407"/>
      <c r="F717" s="407"/>
      <c r="G717" s="406"/>
      <c r="H717" s="406"/>
      <c r="I717" s="415" t="str">
        <f t="shared" si="1"/>
        <v/>
      </c>
    </row>
    <row r="718">
      <c r="A718" s="416"/>
      <c r="B718" s="407"/>
      <c r="C718" s="406"/>
      <c r="D718" s="407"/>
      <c r="E718" s="407"/>
      <c r="F718" s="407"/>
      <c r="G718" s="406"/>
      <c r="H718" s="406"/>
      <c r="I718" s="415" t="str">
        <f t="shared" si="1"/>
        <v/>
      </c>
    </row>
    <row r="719">
      <c r="A719" s="416"/>
      <c r="B719" s="407"/>
      <c r="C719" s="406"/>
      <c r="D719" s="407"/>
      <c r="E719" s="407"/>
      <c r="F719" s="407"/>
      <c r="G719" s="406"/>
      <c r="H719" s="406"/>
      <c r="I719" s="415" t="str">
        <f t="shared" si="1"/>
        <v/>
      </c>
    </row>
    <row r="720">
      <c r="A720" s="416"/>
      <c r="B720" s="407"/>
      <c r="C720" s="406"/>
      <c r="D720" s="407"/>
      <c r="E720" s="407"/>
      <c r="F720" s="407"/>
      <c r="G720" s="406"/>
      <c r="H720" s="406"/>
      <c r="I720" s="415" t="str">
        <f t="shared" si="1"/>
        <v/>
      </c>
    </row>
    <row r="721">
      <c r="A721" s="416"/>
      <c r="B721" s="407"/>
      <c r="C721" s="406"/>
      <c r="D721" s="407"/>
      <c r="E721" s="407"/>
      <c r="F721" s="407"/>
      <c r="G721" s="406"/>
      <c r="H721" s="406"/>
      <c r="I721" s="415" t="str">
        <f t="shared" si="1"/>
        <v/>
      </c>
    </row>
    <row r="722">
      <c r="A722" s="416"/>
      <c r="B722" s="407"/>
      <c r="C722" s="406"/>
      <c r="D722" s="407"/>
      <c r="E722" s="407"/>
      <c r="F722" s="407"/>
      <c r="G722" s="406"/>
      <c r="H722" s="406"/>
      <c r="I722" s="415" t="str">
        <f t="shared" si="1"/>
        <v/>
      </c>
    </row>
    <row r="723">
      <c r="A723" s="416"/>
      <c r="B723" s="407"/>
      <c r="C723" s="406"/>
      <c r="D723" s="407"/>
      <c r="E723" s="407"/>
      <c r="F723" s="407"/>
      <c r="G723" s="406"/>
      <c r="H723" s="406"/>
      <c r="I723" s="415" t="str">
        <f t="shared" si="1"/>
        <v/>
      </c>
    </row>
    <row r="724">
      <c r="A724" s="416"/>
      <c r="B724" s="407"/>
      <c r="C724" s="406"/>
      <c r="D724" s="407"/>
      <c r="E724" s="407"/>
      <c r="F724" s="407"/>
      <c r="G724" s="406"/>
      <c r="H724" s="406"/>
      <c r="I724" s="415" t="str">
        <f t="shared" si="1"/>
        <v/>
      </c>
    </row>
    <row r="725">
      <c r="A725" s="416"/>
      <c r="B725" s="407"/>
      <c r="C725" s="406"/>
      <c r="D725" s="407"/>
      <c r="E725" s="407"/>
      <c r="F725" s="407"/>
      <c r="G725" s="406"/>
      <c r="H725" s="406"/>
      <c r="I725" s="415" t="str">
        <f t="shared" si="1"/>
        <v/>
      </c>
    </row>
    <row r="726">
      <c r="A726" s="416"/>
      <c r="B726" s="407"/>
      <c r="C726" s="406"/>
      <c r="D726" s="407"/>
      <c r="E726" s="407"/>
      <c r="F726" s="407"/>
      <c r="G726" s="406"/>
      <c r="H726" s="406"/>
      <c r="I726" s="415" t="str">
        <f t="shared" si="1"/>
        <v/>
      </c>
    </row>
    <row r="727">
      <c r="A727" s="416"/>
      <c r="B727" s="407"/>
      <c r="C727" s="406"/>
      <c r="D727" s="407"/>
      <c r="E727" s="407"/>
      <c r="F727" s="407"/>
      <c r="G727" s="406"/>
      <c r="H727" s="406"/>
      <c r="I727" s="415" t="str">
        <f t="shared" si="1"/>
        <v/>
      </c>
    </row>
    <row r="728">
      <c r="A728" s="416"/>
      <c r="B728" s="407"/>
      <c r="C728" s="406"/>
      <c r="D728" s="407"/>
      <c r="E728" s="407"/>
      <c r="F728" s="407"/>
      <c r="G728" s="406"/>
      <c r="H728" s="406"/>
      <c r="I728" s="415" t="str">
        <f t="shared" si="1"/>
        <v/>
      </c>
    </row>
    <row r="729">
      <c r="A729" s="416"/>
      <c r="B729" s="407"/>
      <c r="C729" s="406"/>
      <c r="D729" s="407"/>
      <c r="E729" s="407"/>
      <c r="F729" s="407"/>
      <c r="G729" s="406"/>
      <c r="H729" s="406"/>
      <c r="I729" s="415" t="str">
        <f t="shared" si="1"/>
        <v/>
      </c>
    </row>
    <row r="730">
      <c r="A730" s="416"/>
      <c r="B730" s="407"/>
      <c r="C730" s="406"/>
      <c r="D730" s="407"/>
      <c r="E730" s="407"/>
      <c r="F730" s="407"/>
      <c r="G730" s="406"/>
      <c r="H730" s="406"/>
      <c r="I730" s="415" t="str">
        <f t="shared" si="1"/>
        <v/>
      </c>
    </row>
    <row r="731">
      <c r="A731" s="416"/>
      <c r="B731" s="407"/>
      <c r="C731" s="406"/>
      <c r="D731" s="407"/>
      <c r="E731" s="407"/>
      <c r="F731" s="407"/>
      <c r="G731" s="406"/>
      <c r="H731" s="406"/>
      <c r="I731" s="415" t="str">
        <f t="shared" si="1"/>
        <v/>
      </c>
    </row>
    <row r="732">
      <c r="A732" s="416"/>
      <c r="B732" s="407"/>
      <c r="C732" s="406"/>
      <c r="D732" s="407"/>
      <c r="E732" s="407"/>
      <c r="F732" s="407"/>
      <c r="G732" s="406"/>
      <c r="H732" s="406"/>
      <c r="I732" s="415" t="str">
        <f t="shared" si="1"/>
        <v/>
      </c>
    </row>
    <row r="733">
      <c r="A733" s="416"/>
      <c r="B733" s="407"/>
      <c r="C733" s="406"/>
      <c r="D733" s="407"/>
      <c r="E733" s="407"/>
      <c r="F733" s="407"/>
      <c r="G733" s="406"/>
      <c r="H733" s="406"/>
      <c r="I733" s="415" t="str">
        <f t="shared" si="1"/>
        <v/>
      </c>
    </row>
    <row r="734">
      <c r="A734" s="416"/>
      <c r="B734" s="407"/>
      <c r="C734" s="406"/>
      <c r="D734" s="407"/>
      <c r="E734" s="407"/>
      <c r="F734" s="407"/>
      <c r="G734" s="406"/>
      <c r="H734" s="406"/>
      <c r="I734" s="415" t="str">
        <f t="shared" si="1"/>
        <v/>
      </c>
    </row>
    <row r="735">
      <c r="A735" s="416"/>
      <c r="B735" s="407"/>
      <c r="C735" s="406"/>
      <c r="D735" s="407"/>
      <c r="E735" s="407"/>
      <c r="F735" s="407"/>
      <c r="G735" s="406"/>
      <c r="H735" s="406"/>
      <c r="I735" s="415" t="str">
        <f t="shared" si="1"/>
        <v/>
      </c>
    </row>
    <row r="736">
      <c r="A736" s="416"/>
      <c r="B736" s="407"/>
      <c r="C736" s="406"/>
      <c r="D736" s="407"/>
      <c r="E736" s="407"/>
      <c r="F736" s="407"/>
      <c r="G736" s="406"/>
      <c r="H736" s="406"/>
      <c r="I736" s="415" t="str">
        <f t="shared" si="1"/>
        <v/>
      </c>
    </row>
    <row r="737">
      <c r="A737" s="416"/>
      <c r="B737" s="407"/>
      <c r="C737" s="406"/>
      <c r="D737" s="407"/>
      <c r="E737" s="407"/>
      <c r="F737" s="407"/>
      <c r="G737" s="406"/>
      <c r="H737" s="406"/>
      <c r="I737" s="415" t="str">
        <f t="shared" si="1"/>
        <v/>
      </c>
    </row>
    <row r="738">
      <c r="A738" s="416"/>
      <c r="B738" s="407"/>
      <c r="C738" s="406"/>
      <c r="D738" s="407"/>
      <c r="E738" s="407"/>
      <c r="F738" s="407"/>
      <c r="G738" s="406"/>
      <c r="H738" s="406"/>
      <c r="I738" s="415" t="str">
        <f t="shared" si="1"/>
        <v/>
      </c>
    </row>
    <row r="739">
      <c r="A739" s="416"/>
      <c r="B739" s="407"/>
      <c r="C739" s="406"/>
      <c r="D739" s="407"/>
      <c r="E739" s="407"/>
      <c r="F739" s="407"/>
      <c r="G739" s="406"/>
      <c r="H739" s="406"/>
      <c r="I739" s="415" t="str">
        <f t="shared" si="1"/>
        <v/>
      </c>
    </row>
    <row r="740">
      <c r="A740" s="416"/>
      <c r="B740" s="407"/>
      <c r="C740" s="406"/>
      <c r="D740" s="407"/>
      <c r="E740" s="407"/>
      <c r="F740" s="407"/>
      <c r="G740" s="406"/>
      <c r="H740" s="406"/>
      <c r="I740" s="415" t="str">
        <f t="shared" si="1"/>
        <v/>
      </c>
    </row>
    <row r="741">
      <c r="A741" s="416"/>
      <c r="B741" s="407"/>
      <c r="C741" s="406"/>
      <c r="D741" s="407"/>
      <c r="E741" s="407"/>
      <c r="F741" s="407"/>
      <c r="G741" s="406"/>
      <c r="H741" s="406"/>
      <c r="I741" s="415" t="str">
        <f t="shared" si="1"/>
        <v/>
      </c>
    </row>
    <row r="742">
      <c r="A742" s="416"/>
      <c r="B742" s="407"/>
      <c r="C742" s="406"/>
      <c r="D742" s="407"/>
      <c r="E742" s="407"/>
      <c r="F742" s="407"/>
      <c r="G742" s="406"/>
      <c r="H742" s="406"/>
      <c r="I742" s="415" t="str">
        <f t="shared" si="1"/>
        <v/>
      </c>
    </row>
    <row r="743">
      <c r="A743" s="416"/>
      <c r="B743" s="407"/>
      <c r="C743" s="406"/>
      <c r="D743" s="407"/>
      <c r="E743" s="407"/>
      <c r="F743" s="407"/>
      <c r="G743" s="406"/>
      <c r="H743" s="406"/>
      <c r="I743" s="415" t="str">
        <f t="shared" si="1"/>
        <v/>
      </c>
    </row>
    <row r="744">
      <c r="A744" s="416"/>
      <c r="B744" s="407"/>
      <c r="C744" s="406"/>
      <c r="D744" s="407"/>
      <c r="E744" s="407"/>
      <c r="F744" s="407"/>
      <c r="G744" s="406"/>
      <c r="H744" s="406"/>
      <c r="I744" s="415" t="str">
        <f t="shared" si="1"/>
        <v/>
      </c>
    </row>
    <row r="745">
      <c r="A745" s="416"/>
      <c r="B745" s="407"/>
      <c r="C745" s="406"/>
      <c r="D745" s="407"/>
      <c r="E745" s="407"/>
      <c r="F745" s="407"/>
      <c r="G745" s="406"/>
      <c r="H745" s="406"/>
      <c r="I745" s="415" t="str">
        <f t="shared" si="1"/>
        <v/>
      </c>
    </row>
    <row r="746">
      <c r="A746" s="416"/>
      <c r="B746" s="407"/>
      <c r="C746" s="406"/>
      <c r="D746" s="407"/>
      <c r="E746" s="407"/>
      <c r="F746" s="407"/>
      <c r="G746" s="406"/>
      <c r="H746" s="406"/>
      <c r="I746" s="415" t="str">
        <f t="shared" si="1"/>
        <v/>
      </c>
    </row>
    <row r="747">
      <c r="A747" s="416"/>
      <c r="B747" s="407"/>
      <c r="C747" s="406"/>
      <c r="D747" s="407"/>
      <c r="E747" s="407"/>
      <c r="F747" s="407"/>
      <c r="G747" s="406"/>
      <c r="H747" s="406"/>
      <c r="I747" s="415" t="str">
        <f t="shared" si="1"/>
        <v/>
      </c>
    </row>
    <row r="748">
      <c r="A748" s="416"/>
      <c r="B748" s="407"/>
      <c r="C748" s="406"/>
      <c r="D748" s="407"/>
      <c r="E748" s="407"/>
      <c r="F748" s="407"/>
      <c r="G748" s="406"/>
      <c r="H748" s="406"/>
      <c r="I748" s="415" t="str">
        <f t="shared" si="1"/>
        <v/>
      </c>
    </row>
    <row r="749">
      <c r="A749" s="416"/>
      <c r="B749" s="407"/>
      <c r="C749" s="406"/>
      <c r="D749" s="407"/>
      <c r="E749" s="407"/>
      <c r="F749" s="407"/>
      <c r="G749" s="406"/>
      <c r="H749" s="406"/>
      <c r="I749" s="415" t="str">
        <f t="shared" si="1"/>
        <v/>
      </c>
    </row>
    <row r="750">
      <c r="A750" s="416"/>
      <c r="B750" s="407"/>
      <c r="C750" s="406"/>
      <c r="D750" s="407"/>
      <c r="E750" s="407"/>
      <c r="F750" s="407"/>
      <c r="G750" s="406"/>
      <c r="H750" s="406"/>
      <c r="I750" s="415" t="str">
        <f t="shared" si="1"/>
        <v/>
      </c>
    </row>
    <row r="751">
      <c r="A751" s="416"/>
      <c r="B751" s="407"/>
      <c r="C751" s="406"/>
      <c r="D751" s="407"/>
      <c r="E751" s="407"/>
      <c r="F751" s="407"/>
      <c r="G751" s="406"/>
      <c r="H751" s="406"/>
      <c r="I751" s="415" t="str">
        <f t="shared" si="1"/>
        <v/>
      </c>
    </row>
    <row r="752">
      <c r="A752" s="416"/>
      <c r="B752" s="407"/>
      <c r="C752" s="406"/>
      <c r="D752" s="407"/>
      <c r="E752" s="407"/>
      <c r="F752" s="407"/>
      <c r="G752" s="406"/>
      <c r="H752" s="406"/>
      <c r="I752" s="415" t="str">
        <f t="shared" si="1"/>
        <v/>
      </c>
    </row>
    <row r="753">
      <c r="A753" s="416"/>
      <c r="B753" s="407"/>
      <c r="C753" s="406"/>
      <c r="D753" s="407"/>
      <c r="E753" s="407"/>
      <c r="F753" s="407"/>
      <c r="G753" s="406"/>
      <c r="H753" s="406"/>
      <c r="I753" s="415" t="str">
        <f t="shared" si="1"/>
        <v/>
      </c>
    </row>
    <row r="754">
      <c r="A754" s="416"/>
      <c r="B754" s="407"/>
      <c r="C754" s="406"/>
      <c r="D754" s="407"/>
      <c r="E754" s="407"/>
      <c r="F754" s="407"/>
      <c r="G754" s="406"/>
      <c r="H754" s="406"/>
      <c r="I754" s="415" t="str">
        <f t="shared" si="1"/>
        <v/>
      </c>
    </row>
    <row r="755">
      <c r="A755" s="416"/>
      <c r="B755" s="407"/>
      <c r="C755" s="406"/>
      <c r="D755" s="407"/>
      <c r="E755" s="407"/>
      <c r="F755" s="407"/>
      <c r="G755" s="406"/>
      <c r="H755" s="406"/>
      <c r="I755" s="415" t="str">
        <f t="shared" si="1"/>
        <v/>
      </c>
    </row>
    <row r="756">
      <c r="A756" s="416"/>
      <c r="B756" s="407"/>
      <c r="C756" s="406"/>
      <c r="D756" s="407"/>
      <c r="E756" s="407"/>
      <c r="F756" s="407"/>
      <c r="G756" s="406"/>
      <c r="H756" s="406"/>
      <c r="I756" s="415" t="str">
        <f t="shared" si="1"/>
        <v/>
      </c>
    </row>
    <row r="757">
      <c r="A757" s="416"/>
      <c r="B757" s="407"/>
      <c r="C757" s="406"/>
      <c r="D757" s="407"/>
      <c r="E757" s="407"/>
      <c r="F757" s="407"/>
      <c r="G757" s="406"/>
      <c r="H757" s="406"/>
      <c r="I757" s="415" t="str">
        <f t="shared" si="1"/>
        <v/>
      </c>
    </row>
    <row r="758">
      <c r="A758" s="416"/>
      <c r="B758" s="407"/>
      <c r="C758" s="406"/>
      <c r="D758" s="407"/>
      <c r="E758" s="407"/>
      <c r="F758" s="407"/>
      <c r="G758" s="406"/>
      <c r="H758" s="406"/>
      <c r="I758" s="415" t="str">
        <f t="shared" si="1"/>
        <v/>
      </c>
    </row>
    <row r="759">
      <c r="A759" s="416"/>
      <c r="B759" s="407"/>
      <c r="C759" s="406"/>
      <c r="D759" s="407"/>
      <c r="E759" s="407"/>
      <c r="F759" s="407"/>
      <c r="G759" s="406"/>
      <c r="H759" s="406"/>
      <c r="I759" s="415" t="str">
        <f t="shared" si="1"/>
        <v/>
      </c>
    </row>
    <row r="760">
      <c r="A760" s="416"/>
      <c r="B760" s="407"/>
      <c r="C760" s="406"/>
      <c r="D760" s="407"/>
      <c r="E760" s="407"/>
      <c r="F760" s="407"/>
      <c r="G760" s="406"/>
      <c r="H760" s="406"/>
      <c r="I760" s="415" t="str">
        <f t="shared" si="1"/>
        <v/>
      </c>
    </row>
    <row r="761">
      <c r="A761" s="416"/>
      <c r="B761" s="407"/>
      <c r="C761" s="406"/>
      <c r="D761" s="407"/>
      <c r="E761" s="407"/>
      <c r="F761" s="407"/>
      <c r="G761" s="406"/>
      <c r="H761" s="406"/>
      <c r="I761" s="415" t="str">
        <f t="shared" si="1"/>
        <v/>
      </c>
    </row>
    <row r="762">
      <c r="A762" s="416"/>
      <c r="B762" s="407"/>
      <c r="C762" s="406"/>
      <c r="D762" s="407"/>
      <c r="E762" s="407"/>
      <c r="F762" s="407"/>
      <c r="G762" s="406"/>
      <c r="H762" s="406"/>
      <c r="I762" s="415" t="str">
        <f t="shared" si="1"/>
        <v/>
      </c>
    </row>
    <row r="763">
      <c r="A763" s="416"/>
      <c r="B763" s="407"/>
      <c r="C763" s="406"/>
      <c r="D763" s="407"/>
      <c r="E763" s="407"/>
      <c r="F763" s="407"/>
      <c r="G763" s="406"/>
      <c r="H763" s="406"/>
      <c r="I763" s="415" t="str">
        <f t="shared" si="1"/>
        <v/>
      </c>
    </row>
    <row r="764">
      <c r="A764" s="416"/>
      <c r="B764" s="407"/>
      <c r="C764" s="406"/>
      <c r="D764" s="407"/>
      <c r="E764" s="407"/>
      <c r="F764" s="407"/>
      <c r="G764" s="406"/>
      <c r="H764" s="406"/>
      <c r="I764" s="415" t="str">
        <f t="shared" si="1"/>
        <v/>
      </c>
    </row>
    <row r="765">
      <c r="A765" s="416"/>
      <c r="B765" s="407"/>
      <c r="C765" s="406"/>
      <c r="D765" s="407"/>
      <c r="E765" s="407"/>
      <c r="F765" s="407"/>
      <c r="G765" s="406"/>
      <c r="H765" s="406"/>
      <c r="I765" s="415" t="str">
        <f t="shared" si="1"/>
        <v/>
      </c>
    </row>
    <row r="766">
      <c r="A766" s="416"/>
      <c r="B766" s="407"/>
      <c r="C766" s="406"/>
      <c r="D766" s="407"/>
      <c r="E766" s="407"/>
      <c r="F766" s="407"/>
      <c r="G766" s="406"/>
      <c r="H766" s="406"/>
      <c r="I766" s="415" t="str">
        <f t="shared" si="1"/>
        <v/>
      </c>
    </row>
    <row r="767">
      <c r="A767" s="416"/>
      <c r="B767" s="407"/>
      <c r="C767" s="406"/>
      <c r="D767" s="407"/>
      <c r="E767" s="407"/>
      <c r="F767" s="407"/>
      <c r="G767" s="406"/>
      <c r="H767" s="406"/>
      <c r="I767" s="415" t="str">
        <f t="shared" si="1"/>
        <v/>
      </c>
    </row>
    <row r="768">
      <c r="A768" s="416"/>
      <c r="B768" s="407"/>
      <c r="C768" s="406"/>
      <c r="D768" s="407"/>
      <c r="E768" s="407"/>
      <c r="F768" s="407"/>
      <c r="G768" s="406"/>
      <c r="H768" s="406"/>
      <c r="I768" s="415" t="str">
        <f t="shared" si="1"/>
        <v/>
      </c>
    </row>
    <row r="769">
      <c r="A769" s="416"/>
      <c r="B769" s="407"/>
      <c r="C769" s="406"/>
      <c r="D769" s="407"/>
      <c r="E769" s="407"/>
      <c r="F769" s="407"/>
      <c r="G769" s="406"/>
      <c r="H769" s="406"/>
      <c r="I769" s="415" t="str">
        <f t="shared" si="1"/>
        <v/>
      </c>
    </row>
    <row r="770">
      <c r="A770" s="416"/>
      <c r="B770" s="407"/>
      <c r="C770" s="406"/>
      <c r="D770" s="407"/>
      <c r="E770" s="407"/>
      <c r="F770" s="407"/>
      <c r="G770" s="406"/>
      <c r="H770" s="406"/>
      <c r="I770" s="415" t="str">
        <f t="shared" si="1"/>
        <v/>
      </c>
    </row>
    <row r="771">
      <c r="A771" s="416"/>
      <c r="B771" s="407"/>
      <c r="C771" s="406"/>
      <c r="D771" s="407"/>
      <c r="E771" s="407"/>
      <c r="F771" s="407"/>
      <c r="G771" s="406"/>
      <c r="H771" s="406"/>
      <c r="I771" s="415" t="str">
        <f t="shared" si="1"/>
        <v/>
      </c>
    </row>
    <row r="772">
      <c r="A772" s="416"/>
      <c r="B772" s="407"/>
      <c r="C772" s="406"/>
      <c r="D772" s="407"/>
      <c r="E772" s="407"/>
      <c r="F772" s="407"/>
      <c r="G772" s="406"/>
      <c r="H772" s="406"/>
      <c r="I772" s="415" t="str">
        <f t="shared" si="1"/>
        <v/>
      </c>
    </row>
    <row r="773">
      <c r="A773" s="416"/>
      <c r="B773" s="407"/>
      <c r="C773" s="406"/>
      <c r="D773" s="407"/>
      <c r="E773" s="407"/>
      <c r="F773" s="407"/>
      <c r="G773" s="406"/>
      <c r="H773" s="406"/>
      <c r="I773" s="415" t="str">
        <f t="shared" si="1"/>
        <v/>
      </c>
    </row>
    <row r="774">
      <c r="A774" s="416"/>
      <c r="B774" s="407"/>
      <c r="C774" s="406"/>
      <c r="D774" s="407"/>
      <c r="E774" s="407"/>
      <c r="F774" s="407"/>
      <c r="G774" s="406"/>
      <c r="H774" s="406"/>
      <c r="I774" s="415" t="str">
        <f t="shared" si="1"/>
        <v/>
      </c>
    </row>
    <row r="775">
      <c r="A775" s="416"/>
      <c r="B775" s="407"/>
      <c r="C775" s="406"/>
      <c r="D775" s="407"/>
      <c r="E775" s="407"/>
      <c r="F775" s="407"/>
      <c r="G775" s="406"/>
      <c r="H775" s="406"/>
      <c r="I775" s="415" t="str">
        <f t="shared" si="1"/>
        <v/>
      </c>
    </row>
    <row r="776">
      <c r="A776" s="416"/>
      <c r="B776" s="407"/>
      <c r="C776" s="406"/>
      <c r="D776" s="407"/>
      <c r="E776" s="407"/>
      <c r="F776" s="407"/>
      <c r="G776" s="406"/>
      <c r="H776" s="406"/>
      <c r="I776" s="415" t="str">
        <f t="shared" si="1"/>
        <v/>
      </c>
    </row>
    <row r="777">
      <c r="A777" s="416"/>
      <c r="B777" s="407"/>
      <c r="C777" s="406"/>
      <c r="D777" s="407"/>
      <c r="E777" s="407"/>
      <c r="F777" s="407"/>
      <c r="G777" s="406"/>
      <c r="H777" s="406"/>
      <c r="I777" s="415" t="str">
        <f t="shared" si="1"/>
        <v/>
      </c>
    </row>
    <row r="778">
      <c r="A778" s="416"/>
      <c r="B778" s="407"/>
      <c r="C778" s="406"/>
      <c r="D778" s="407"/>
      <c r="E778" s="407"/>
      <c r="F778" s="407"/>
      <c r="G778" s="406"/>
      <c r="H778" s="406"/>
      <c r="I778" s="415" t="str">
        <f t="shared" si="1"/>
        <v/>
      </c>
    </row>
    <row r="779">
      <c r="A779" s="416"/>
      <c r="B779" s="407"/>
      <c r="C779" s="406"/>
      <c r="D779" s="407"/>
      <c r="E779" s="407"/>
      <c r="F779" s="407"/>
      <c r="G779" s="406"/>
      <c r="H779" s="406"/>
      <c r="I779" s="415" t="str">
        <f t="shared" si="1"/>
        <v/>
      </c>
    </row>
    <row r="780">
      <c r="A780" s="416"/>
      <c r="B780" s="407"/>
      <c r="C780" s="406"/>
      <c r="D780" s="407"/>
      <c r="E780" s="407"/>
      <c r="F780" s="407"/>
      <c r="G780" s="406"/>
      <c r="H780" s="406"/>
      <c r="I780" s="415" t="str">
        <f t="shared" si="1"/>
        <v/>
      </c>
    </row>
    <row r="781">
      <c r="A781" s="416"/>
      <c r="B781" s="407"/>
      <c r="C781" s="406"/>
      <c r="D781" s="407"/>
      <c r="E781" s="407"/>
      <c r="F781" s="407"/>
      <c r="G781" s="406"/>
      <c r="H781" s="406"/>
      <c r="I781" s="415" t="str">
        <f t="shared" si="1"/>
        <v/>
      </c>
    </row>
    <row r="782">
      <c r="A782" s="416"/>
      <c r="B782" s="407"/>
      <c r="C782" s="406"/>
      <c r="D782" s="407"/>
      <c r="E782" s="407"/>
      <c r="F782" s="407"/>
      <c r="G782" s="406"/>
      <c r="H782" s="406"/>
      <c r="I782" s="415" t="str">
        <f t="shared" si="1"/>
        <v/>
      </c>
    </row>
    <row r="783">
      <c r="A783" s="416"/>
      <c r="B783" s="407"/>
      <c r="C783" s="406"/>
      <c r="D783" s="407"/>
      <c r="E783" s="407"/>
      <c r="F783" s="407"/>
      <c r="G783" s="406"/>
      <c r="H783" s="406"/>
      <c r="I783" s="415" t="str">
        <f t="shared" si="1"/>
        <v/>
      </c>
    </row>
    <row r="784">
      <c r="A784" s="416"/>
      <c r="B784" s="407"/>
      <c r="C784" s="406"/>
      <c r="D784" s="407"/>
      <c r="E784" s="407"/>
      <c r="F784" s="407"/>
      <c r="G784" s="406"/>
      <c r="H784" s="406"/>
      <c r="I784" s="415" t="str">
        <f t="shared" si="1"/>
        <v/>
      </c>
    </row>
    <row r="785">
      <c r="A785" s="416"/>
      <c r="B785" s="407"/>
      <c r="C785" s="406"/>
      <c r="D785" s="407"/>
      <c r="E785" s="407"/>
      <c r="F785" s="407"/>
      <c r="G785" s="406"/>
      <c r="H785" s="406"/>
      <c r="I785" s="415" t="str">
        <f t="shared" si="1"/>
        <v/>
      </c>
    </row>
    <row r="786">
      <c r="A786" s="416"/>
      <c r="B786" s="407"/>
      <c r="C786" s="406"/>
      <c r="D786" s="407"/>
      <c r="E786" s="407"/>
      <c r="F786" s="407"/>
      <c r="G786" s="406"/>
      <c r="H786" s="406"/>
      <c r="I786" s="415" t="str">
        <f t="shared" si="1"/>
        <v/>
      </c>
    </row>
    <row r="787">
      <c r="A787" s="416"/>
      <c r="B787" s="407"/>
      <c r="C787" s="406"/>
      <c r="D787" s="407"/>
      <c r="E787" s="407"/>
      <c r="F787" s="407"/>
      <c r="G787" s="406"/>
      <c r="H787" s="406"/>
      <c r="I787" s="415" t="str">
        <f t="shared" si="1"/>
        <v/>
      </c>
    </row>
    <row r="788">
      <c r="A788" s="416"/>
      <c r="B788" s="407"/>
      <c r="C788" s="406"/>
      <c r="D788" s="407"/>
      <c r="E788" s="407"/>
      <c r="F788" s="407"/>
      <c r="G788" s="406"/>
      <c r="H788" s="406"/>
      <c r="I788" s="415" t="str">
        <f t="shared" si="1"/>
        <v/>
      </c>
    </row>
    <row r="789">
      <c r="A789" s="416"/>
      <c r="B789" s="407"/>
      <c r="C789" s="406"/>
      <c r="D789" s="407"/>
      <c r="E789" s="407"/>
      <c r="F789" s="407"/>
      <c r="G789" s="406"/>
      <c r="H789" s="406"/>
      <c r="I789" s="415" t="str">
        <f t="shared" si="1"/>
        <v/>
      </c>
    </row>
    <row r="790">
      <c r="A790" s="416"/>
      <c r="B790" s="407"/>
      <c r="C790" s="406"/>
      <c r="D790" s="407"/>
      <c r="E790" s="407"/>
      <c r="F790" s="407"/>
      <c r="G790" s="406"/>
      <c r="H790" s="406"/>
      <c r="I790" s="415" t="str">
        <f t="shared" si="1"/>
        <v/>
      </c>
    </row>
    <row r="791">
      <c r="A791" s="416"/>
      <c r="B791" s="407"/>
      <c r="C791" s="406"/>
      <c r="D791" s="407"/>
      <c r="E791" s="407"/>
      <c r="F791" s="407"/>
      <c r="G791" s="406"/>
      <c r="H791" s="406"/>
      <c r="I791" s="415" t="str">
        <f t="shared" si="1"/>
        <v/>
      </c>
    </row>
    <row r="792">
      <c r="A792" s="416"/>
      <c r="B792" s="407"/>
      <c r="C792" s="406"/>
      <c r="D792" s="407"/>
      <c r="E792" s="407"/>
      <c r="F792" s="407"/>
      <c r="G792" s="406"/>
      <c r="H792" s="406"/>
      <c r="I792" s="415" t="str">
        <f t="shared" si="1"/>
        <v/>
      </c>
    </row>
    <row r="793">
      <c r="A793" s="416"/>
      <c r="B793" s="407"/>
      <c r="C793" s="406"/>
      <c r="D793" s="407"/>
      <c r="E793" s="407"/>
      <c r="F793" s="407"/>
      <c r="G793" s="406"/>
      <c r="H793" s="406"/>
      <c r="I793" s="415" t="str">
        <f t="shared" si="1"/>
        <v/>
      </c>
    </row>
    <row r="794">
      <c r="A794" s="416"/>
      <c r="B794" s="407"/>
      <c r="C794" s="406"/>
      <c r="D794" s="407"/>
      <c r="E794" s="407"/>
      <c r="F794" s="407"/>
      <c r="G794" s="406"/>
      <c r="H794" s="406"/>
      <c r="I794" s="415" t="str">
        <f t="shared" si="1"/>
        <v/>
      </c>
    </row>
    <row r="795">
      <c r="A795" s="416"/>
      <c r="B795" s="407"/>
      <c r="C795" s="406"/>
      <c r="D795" s="407"/>
      <c r="E795" s="407"/>
      <c r="F795" s="407"/>
      <c r="G795" s="406"/>
      <c r="H795" s="406"/>
      <c r="I795" s="415" t="str">
        <f t="shared" si="1"/>
        <v/>
      </c>
    </row>
    <row r="796">
      <c r="A796" s="416"/>
      <c r="B796" s="407"/>
      <c r="C796" s="406"/>
      <c r="D796" s="407"/>
      <c r="E796" s="407"/>
      <c r="F796" s="407"/>
      <c r="G796" s="406"/>
      <c r="H796" s="406"/>
      <c r="I796" s="415" t="str">
        <f t="shared" si="1"/>
        <v/>
      </c>
    </row>
    <row r="797">
      <c r="A797" s="416"/>
      <c r="B797" s="407"/>
      <c r="C797" s="406"/>
      <c r="D797" s="407"/>
      <c r="E797" s="407"/>
      <c r="F797" s="407"/>
      <c r="G797" s="406"/>
      <c r="H797" s="406"/>
      <c r="I797" s="415" t="str">
        <f t="shared" si="1"/>
        <v/>
      </c>
    </row>
    <row r="798">
      <c r="A798" s="416"/>
      <c r="B798" s="407"/>
      <c r="C798" s="406"/>
      <c r="D798" s="407"/>
      <c r="E798" s="407"/>
      <c r="F798" s="407"/>
      <c r="G798" s="406"/>
      <c r="H798" s="406"/>
      <c r="I798" s="415" t="str">
        <f t="shared" si="1"/>
        <v/>
      </c>
    </row>
    <row r="799">
      <c r="A799" s="416"/>
      <c r="B799" s="407"/>
      <c r="C799" s="406"/>
      <c r="D799" s="407"/>
      <c r="E799" s="407"/>
      <c r="F799" s="407"/>
      <c r="G799" s="406"/>
      <c r="H799" s="406"/>
      <c r="I799" s="415" t="str">
        <f t="shared" si="1"/>
        <v/>
      </c>
    </row>
    <row r="800">
      <c r="A800" s="416"/>
      <c r="B800" s="407"/>
      <c r="C800" s="406"/>
      <c r="D800" s="407"/>
      <c r="E800" s="407"/>
      <c r="F800" s="407"/>
      <c r="G800" s="406"/>
      <c r="H800" s="406"/>
      <c r="I800" s="415" t="str">
        <f t="shared" si="1"/>
        <v/>
      </c>
    </row>
    <row r="801">
      <c r="A801" s="416"/>
      <c r="B801" s="407"/>
      <c r="C801" s="406"/>
      <c r="D801" s="407"/>
      <c r="E801" s="407"/>
      <c r="F801" s="407"/>
      <c r="G801" s="406"/>
      <c r="H801" s="406"/>
      <c r="I801" s="415" t="str">
        <f t="shared" si="1"/>
        <v/>
      </c>
    </row>
    <row r="802">
      <c r="A802" s="416"/>
      <c r="B802" s="407"/>
      <c r="C802" s="406"/>
      <c r="D802" s="407"/>
      <c r="E802" s="407"/>
      <c r="F802" s="407"/>
      <c r="G802" s="406"/>
      <c r="H802" s="406"/>
      <c r="I802" s="415" t="str">
        <f t="shared" si="1"/>
        <v/>
      </c>
    </row>
    <row r="803">
      <c r="A803" s="416"/>
      <c r="B803" s="407"/>
      <c r="C803" s="406"/>
      <c r="D803" s="407"/>
      <c r="E803" s="407"/>
      <c r="F803" s="407"/>
      <c r="G803" s="406"/>
      <c r="H803" s="406"/>
      <c r="I803" s="415" t="str">
        <f t="shared" si="1"/>
        <v/>
      </c>
    </row>
    <row r="804">
      <c r="A804" s="416"/>
      <c r="B804" s="407"/>
      <c r="C804" s="406"/>
      <c r="D804" s="407"/>
      <c r="E804" s="407"/>
      <c r="F804" s="407"/>
      <c r="G804" s="406"/>
      <c r="H804" s="406"/>
      <c r="I804" s="415" t="str">
        <f t="shared" si="1"/>
        <v/>
      </c>
    </row>
    <row r="805">
      <c r="A805" s="416"/>
      <c r="B805" s="407"/>
      <c r="C805" s="406"/>
      <c r="D805" s="407"/>
      <c r="E805" s="407"/>
      <c r="F805" s="407"/>
      <c r="G805" s="406"/>
      <c r="H805" s="406"/>
      <c r="I805" s="415" t="str">
        <f t="shared" si="1"/>
        <v/>
      </c>
    </row>
    <row r="806">
      <c r="A806" s="416"/>
      <c r="B806" s="407"/>
      <c r="C806" s="406"/>
      <c r="D806" s="407"/>
      <c r="E806" s="407"/>
      <c r="F806" s="407"/>
      <c r="G806" s="406"/>
      <c r="H806" s="406"/>
      <c r="I806" s="415" t="str">
        <f t="shared" si="1"/>
        <v/>
      </c>
    </row>
    <row r="807">
      <c r="A807" s="416"/>
      <c r="B807" s="407"/>
      <c r="C807" s="406"/>
      <c r="D807" s="407"/>
      <c r="E807" s="407"/>
      <c r="F807" s="407"/>
      <c r="G807" s="406"/>
      <c r="H807" s="406"/>
      <c r="I807" s="415" t="str">
        <f t="shared" si="1"/>
        <v/>
      </c>
    </row>
    <row r="808">
      <c r="A808" s="416"/>
      <c r="B808" s="407"/>
      <c r="C808" s="406"/>
      <c r="D808" s="407"/>
      <c r="E808" s="407"/>
      <c r="F808" s="407"/>
      <c r="G808" s="406"/>
      <c r="H808" s="406"/>
      <c r="I808" s="415" t="str">
        <f t="shared" si="1"/>
        <v/>
      </c>
    </row>
    <row r="809">
      <c r="A809" s="416"/>
      <c r="B809" s="407"/>
      <c r="C809" s="406"/>
      <c r="D809" s="407"/>
      <c r="E809" s="407"/>
      <c r="F809" s="407"/>
      <c r="G809" s="406"/>
      <c r="H809" s="406"/>
      <c r="I809" s="415" t="str">
        <f t="shared" si="1"/>
        <v/>
      </c>
    </row>
    <row r="810">
      <c r="A810" s="416"/>
      <c r="B810" s="407"/>
      <c r="C810" s="406"/>
      <c r="D810" s="407"/>
      <c r="E810" s="407"/>
      <c r="F810" s="407"/>
      <c r="G810" s="406"/>
      <c r="H810" s="406"/>
      <c r="I810" s="415" t="str">
        <f t="shared" si="1"/>
        <v/>
      </c>
    </row>
    <row r="811">
      <c r="A811" s="416"/>
      <c r="B811" s="407"/>
      <c r="C811" s="406"/>
      <c r="D811" s="407"/>
      <c r="E811" s="407"/>
      <c r="F811" s="407"/>
      <c r="G811" s="406"/>
      <c r="H811" s="406"/>
      <c r="I811" s="415" t="str">
        <f t="shared" si="1"/>
        <v/>
      </c>
    </row>
    <row r="812">
      <c r="A812" s="416"/>
      <c r="B812" s="407"/>
      <c r="C812" s="406"/>
      <c r="D812" s="407"/>
      <c r="E812" s="407"/>
      <c r="F812" s="407"/>
      <c r="G812" s="406"/>
      <c r="H812" s="406"/>
      <c r="I812" s="415" t="str">
        <f t="shared" si="1"/>
        <v/>
      </c>
    </row>
    <row r="813">
      <c r="A813" s="416"/>
      <c r="B813" s="407"/>
      <c r="C813" s="406"/>
      <c r="D813" s="407"/>
      <c r="E813" s="407"/>
      <c r="F813" s="407"/>
      <c r="G813" s="406"/>
      <c r="H813" s="406"/>
      <c r="I813" s="415" t="str">
        <f t="shared" si="1"/>
        <v/>
      </c>
    </row>
    <row r="814">
      <c r="A814" s="416"/>
      <c r="B814" s="407"/>
      <c r="C814" s="406"/>
      <c r="D814" s="407"/>
      <c r="E814" s="407"/>
      <c r="F814" s="407"/>
      <c r="G814" s="406"/>
      <c r="H814" s="406"/>
      <c r="I814" s="415" t="str">
        <f t="shared" si="1"/>
        <v/>
      </c>
    </row>
    <row r="815">
      <c r="A815" s="416"/>
      <c r="B815" s="407"/>
      <c r="C815" s="406"/>
      <c r="D815" s="407"/>
      <c r="E815" s="407"/>
      <c r="F815" s="407"/>
      <c r="G815" s="406"/>
      <c r="H815" s="406"/>
      <c r="I815" s="415" t="str">
        <f t="shared" si="1"/>
        <v/>
      </c>
    </row>
    <row r="816">
      <c r="A816" s="416"/>
      <c r="B816" s="407"/>
      <c r="C816" s="406"/>
      <c r="D816" s="407"/>
      <c r="E816" s="407"/>
      <c r="F816" s="407"/>
      <c r="G816" s="406"/>
      <c r="H816" s="406"/>
      <c r="I816" s="415" t="str">
        <f t="shared" si="1"/>
        <v/>
      </c>
    </row>
    <row r="817">
      <c r="A817" s="416"/>
      <c r="B817" s="407"/>
      <c r="C817" s="406"/>
      <c r="D817" s="407"/>
      <c r="E817" s="407"/>
      <c r="F817" s="407"/>
      <c r="G817" s="406"/>
      <c r="H817" s="406"/>
      <c r="I817" s="415" t="str">
        <f t="shared" si="1"/>
        <v/>
      </c>
    </row>
    <row r="818">
      <c r="A818" s="416"/>
      <c r="B818" s="407"/>
      <c r="C818" s="406"/>
      <c r="D818" s="407"/>
      <c r="E818" s="407"/>
      <c r="F818" s="407"/>
      <c r="G818" s="406"/>
      <c r="H818" s="406"/>
      <c r="I818" s="415" t="str">
        <f t="shared" si="1"/>
        <v/>
      </c>
    </row>
    <row r="819">
      <c r="A819" s="416"/>
      <c r="B819" s="407"/>
      <c r="C819" s="406"/>
      <c r="D819" s="407"/>
      <c r="E819" s="407"/>
      <c r="F819" s="407"/>
      <c r="G819" s="406"/>
      <c r="H819" s="406"/>
      <c r="I819" s="415" t="str">
        <f t="shared" si="1"/>
        <v/>
      </c>
    </row>
    <row r="820">
      <c r="A820" s="416"/>
      <c r="B820" s="407"/>
      <c r="C820" s="406"/>
      <c r="D820" s="407"/>
      <c r="E820" s="407"/>
      <c r="F820" s="407"/>
      <c r="G820" s="406"/>
      <c r="H820" s="406"/>
      <c r="I820" s="415" t="str">
        <f t="shared" si="1"/>
        <v/>
      </c>
    </row>
    <row r="821">
      <c r="A821" s="416"/>
      <c r="B821" s="407"/>
      <c r="C821" s="406"/>
      <c r="D821" s="407"/>
      <c r="E821" s="407"/>
      <c r="F821" s="407"/>
      <c r="G821" s="406"/>
      <c r="H821" s="406"/>
      <c r="I821" s="415" t="str">
        <f t="shared" si="1"/>
        <v/>
      </c>
    </row>
    <row r="822">
      <c r="A822" s="416"/>
      <c r="B822" s="407"/>
      <c r="C822" s="406"/>
      <c r="D822" s="407"/>
      <c r="E822" s="407"/>
      <c r="F822" s="407"/>
      <c r="G822" s="406"/>
      <c r="H822" s="406"/>
      <c r="I822" s="415" t="str">
        <f t="shared" si="1"/>
        <v/>
      </c>
    </row>
    <row r="823">
      <c r="A823" s="416"/>
      <c r="B823" s="407"/>
      <c r="C823" s="406"/>
      <c r="D823" s="407"/>
      <c r="E823" s="407"/>
      <c r="F823" s="407"/>
      <c r="G823" s="406"/>
      <c r="H823" s="406"/>
      <c r="I823" s="415" t="str">
        <f t="shared" si="1"/>
        <v/>
      </c>
    </row>
    <row r="824">
      <c r="A824" s="416"/>
      <c r="B824" s="407"/>
      <c r="C824" s="406"/>
      <c r="D824" s="407"/>
      <c r="E824" s="407"/>
      <c r="F824" s="407"/>
      <c r="G824" s="406"/>
      <c r="H824" s="406"/>
      <c r="I824" s="415" t="str">
        <f t="shared" si="1"/>
        <v/>
      </c>
    </row>
    <row r="825">
      <c r="A825" s="416"/>
      <c r="B825" s="407"/>
      <c r="C825" s="406"/>
      <c r="D825" s="407"/>
      <c r="E825" s="407"/>
      <c r="F825" s="407"/>
      <c r="G825" s="406"/>
      <c r="H825" s="406"/>
      <c r="I825" s="415" t="str">
        <f t="shared" si="1"/>
        <v/>
      </c>
    </row>
    <row r="826">
      <c r="A826" s="416"/>
      <c r="B826" s="407"/>
      <c r="C826" s="406"/>
      <c r="D826" s="407"/>
      <c r="E826" s="407"/>
      <c r="F826" s="407"/>
      <c r="G826" s="406"/>
      <c r="H826" s="406"/>
      <c r="I826" s="415" t="str">
        <f t="shared" si="1"/>
        <v/>
      </c>
    </row>
    <row r="827">
      <c r="A827" s="416"/>
      <c r="B827" s="407"/>
      <c r="C827" s="406"/>
      <c r="D827" s="407"/>
      <c r="E827" s="407"/>
      <c r="F827" s="407"/>
      <c r="G827" s="406"/>
      <c r="H827" s="406"/>
      <c r="I827" s="415" t="str">
        <f t="shared" si="1"/>
        <v/>
      </c>
    </row>
    <row r="828">
      <c r="A828" s="416"/>
      <c r="B828" s="407"/>
      <c r="C828" s="406"/>
      <c r="D828" s="407"/>
      <c r="E828" s="407"/>
      <c r="F828" s="407"/>
      <c r="G828" s="406"/>
      <c r="H828" s="406"/>
      <c r="I828" s="415" t="str">
        <f t="shared" si="1"/>
        <v/>
      </c>
    </row>
    <row r="829">
      <c r="A829" s="416"/>
      <c r="B829" s="407"/>
      <c r="C829" s="406"/>
      <c r="D829" s="407"/>
      <c r="E829" s="407"/>
      <c r="F829" s="407"/>
      <c r="G829" s="406"/>
      <c r="H829" s="406"/>
      <c r="I829" s="415" t="str">
        <f t="shared" si="1"/>
        <v/>
      </c>
    </row>
    <row r="830">
      <c r="A830" s="416"/>
      <c r="B830" s="407"/>
      <c r="C830" s="406"/>
      <c r="D830" s="407"/>
      <c r="E830" s="407"/>
      <c r="F830" s="407"/>
      <c r="G830" s="406"/>
      <c r="H830" s="406"/>
      <c r="I830" s="415" t="str">
        <f t="shared" si="1"/>
        <v/>
      </c>
    </row>
    <row r="831">
      <c r="A831" s="416"/>
      <c r="B831" s="407"/>
      <c r="C831" s="406"/>
      <c r="D831" s="407"/>
      <c r="E831" s="407"/>
      <c r="F831" s="407"/>
      <c r="G831" s="406"/>
      <c r="H831" s="406"/>
      <c r="I831" s="415" t="str">
        <f t="shared" si="1"/>
        <v/>
      </c>
    </row>
    <row r="832">
      <c r="A832" s="416"/>
      <c r="B832" s="407"/>
      <c r="C832" s="406"/>
      <c r="D832" s="407"/>
      <c r="E832" s="407"/>
      <c r="F832" s="407"/>
      <c r="G832" s="406"/>
      <c r="H832" s="406"/>
      <c r="I832" s="415" t="str">
        <f t="shared" si="1"/>
        <v/>
      </c>
    </row>
    <row r="833">
      <c r="A833" s="416"/>
      <c r="B833" s="407"/>
      <c r="C833" s="406"/>
      <c r="D833" s="407"/>
      <c r="E833" s="407"/>
      <c r="F833" s="407"/>
      <c r="G833" s="406"/>
      <c r="H833" s="406"/>
      <c r="I833" s="415" t="str">
        <f t="shared" si="1"/>
        <v/>
      </c>
    </row>
    <row r="834">
      <c r="A834" s="416"/>
      <c r="B834" s="407"/>
      <c r="C834" s="406"/>
      <c r="D834" s="407"/>
      <c r="E834" s="407"/>
      <c r="F834" s="407"/>
      <c r="G834" s="406"/>
      <c r="H834" s="406"/>
      <c r="I834" s="415" t="str">
        <f t="shared" si="1"/>
        <v/>
      </c>
    </row>
    <row r="835">
      <c r="A835" s="416"/>
      <c r="B835" s="407"/>
      <c r="C835" s="406"/>
      <c r="D835" s="407"/>
      <c r="E835" s="407"/>
      <c r="F835" s="407"/>
      <c r="G835" s="406"/>
      <c r="H835" s="406"/>
      <c r="I835" s="415" t="str">
        <f t="shared" si="1"/>
        <v/>
      </c>
    </row>
    <row r="836">
      <c r="A836" s="416"/>
      <c r="B836" s="407"/>
      <c r="C836" s="406"/>
      <c r="D836" s="407"/>
      <c r="E836" s="407"/>
      <c r="F836" s="407"/>
      <c r="G836" s="406"/>
      <c r="H836" s="406"/>
      <c r="I836" s="415" t="str">
        <f t="shared" si="1"/>
        <v/>
      </c>
    </row>
    <row r="837">
      <c r="A837" s="416"/>
      <c r="B837" s="407"/>
      <c r="C837" s="406"/>
      <c r="D837" s="407"/>
      <c r="E837" s="407"/>
      <c r="F837" s="407"/>
      <c r="G837" s="406"/>
      <c r="H837" s="406"/>
      <c r="I837" s="415" t="str">
        <f t="shared" si="1"/>
        <v/>
      </c>
    </row>
    <row r="838">
      <c r="A838" s="416"/>
      <c r="B838" s="407"/>
      <c r="C838" s="406"/>
      <c r="D838" s="407"/>
      <c r="E838" s="407"/>
      <c r="F838" s="407"/>
      <c r="G838" s="406"/>
      <c r="H838" s="406"/>
      <c r="I838" s="415" t="str">
        <f t="shared" si="1"/>
        <v/>
      </c>
    </row>
    <row r="839">
      <c r="A839" s="416"/>
      <c r="B839" s="407"/>
      <c r="C839" s="406"/>
      <c r="D839" s="407"/>
      <c r="E839" s="407"/>
      <c r="F839" s="407"/>
      <c r="G839" s="406"/>
      <c r="H839" s="406"/>
      <c r="I839" s="415" t="str">
        <f t="shared" si="1"/>
        <v/>
      </c>
    </row>
    <row r="840">
      <c r="A840" s="416"/>
      <c r="B840" s="407"/>
      <c r="C840" s="406"/>
      <c r="D840" s="407"/>
      <c r="E840" s="407"/>
      <c r="F840" s="407"/>
      <c r="G840" s="406"/>
      <c r="H840" s="406"/>
      <c r="I840" s="415" t="str">
        <f t="shared" si="1"/>
        <v/>
      </c>
    </row>
    <row r="841">
      <c r="A841" s="416"/>
      <c r="B841" s="407"/>
      <c r="C841" s="406"/>
      <c r="D841" s="407"/>
      <c r="E841" s="407"/>
      <c r="F841" s="407"/>
      <c r="G841" s="406"/>
      <c r="H841" s="406"/>
      <c r="I841" s="415" t="str">
        <f t="shared" si="1"/>
        <v/>
      </c>
    </row>
    <row r="842">
      <c r="A842" s="416"/>
      <c r="B842" s="407"/>
      <c r="C842" s="406"/>
      <c r="D842" s="407"/>
      <c r="E842" s="407"/>
      <c r="F842" s="407"/>
      <c r="G842" s="406"/>
      <c r="H842" s="406"/>
      <c r="I842" s="415" t="str">
        <f t="shared" si="1"/>
        <v/>
      </c>
    </row>
    <row r="843">
      <c r="A843" s="416"/>
      <c r="B843" s="407"/>
      <c r="C843" s="406"/>
      <c r="D843" s="407"/>
      <c r="E843" s="407"/>
      <c r="F843" s="407"/>
      <c r="G843" s="406"/>
      <c r="H843" s="406"/>
      <c r="I843" s="415" t="str">
        <f t="shared" si="1"/>
        <v/>
      </c>
    </row>
    <row r="844">
      <c r="A844" s="416"/>
      <c r="B844" s="407"/>
      <c r="C844" s="406"/>
      <c r="D844" s="407"/>
      <c r="E844" s="407"/>
      <c r="F844" s="407"/>
      <c r="G844" s="406"/>
      <c r="H844" s="406"/>
      <c r="I844" s="415" t="str">
        <f t="shared" si="1"/>
        <v/>
      </c>
    </row>
    <row r="845">
      <c r="A845" s="416"/>
      <c r="B845" s="407"/>
      <c r="C845" s="406"/>
      <c r="D845" s="407"/>
      <c r="E845" s="407"/>
      <c r="F845" s="407"/>
      <c r="G845" s="406"/>
      <c r="H845" s="406"/>
      <c r="I845" s="415" t="str">
        <f t="shared" si="1"/>
        <v/>
      </c>
    </row>
    <row r="846">
      <c r="A846" s="416"/>
      <c r="B846" s="407"/>
      <c r="C846" s="406"/>
      <c r="D846" s="407"/>
      <c r="E846" s="407"/>
      <c r="F846" s="407"/>
      <c r="G846" s="406"/>
      <c r="H846" s="406"/>
      <c r="I846" s="415" t="str">
        <f t="shared" si="1"/>
        <v/>
      </c>
    </row>
    <row r="847">
      <c r="A847" s="416"/>
      <c r="B847" s="407"/>
      <c r="C847" s="406"/>
      <c r="D847" s="407"/>
      <c r="E847" s="407"/>
      <c r="F847" s="407"/>
      <c r="G847" s="406"/>
      <c r="H847" s="406"/>
      <c r="I847" s="415" t="str">
        <f t="shared" si="1"/>
        <v/>
      </c>
    </row>
    <row r="848">
      <c r="A848" s="416"/>
      <c r="B848" s="407"/>
      <c r="C848" s="406"/>
      <c r="D848" s="407"/>
      <c r="E848" s="407"/>
      <c r="F848" s="407"/>
      <c r="G848" s="406"/>
      <c r="H848" s="406"/>
      <c r="I848" s="415" t="str">
        <f t="shared" si="1"/>
        <v/>
      </c>
    </row>
    <row r="849">
      <c r="A849" s="416"/>
      <c r="B849" s="407"/>
      <c r="C849" s="406"/>
      <c r="D849" s="407"/>
      <c r="E849" s="407"/>
      <c r="F849" s="407"/>
      <c r="G849" s="406"/>
      <c r="H849" s="406"/>
      <c r="I849" s="415" t="str">
        <f t="shared" si="1"/>
        <v/>
      </c>
    </row>
    <row r="850">
      <c r="A850" s="416"/>
      <c r="B850" s="407"/>
      <c r="C850" s="406"/>
      <c r="D850" s="407"/>
      <c r="E850" s="407"/>
      <c r="F850" s="407"/>
      <c r="G850" s="406"/>
      <c r="H850" s="406"/>
      <c r="I850" s="415" t="str">
        <f t="shared" si="1"/>
        <v/>
      </c>
    </row>
    <row r="851">
      <c r="A851" s="416"/>
      <c r="B851" s="407"/>
      <c r="C851" s="406"/>
      <c r="D851" s="407"/>
      <c r="E851" s="407"/>
      <c r="F851" s="407"/>
      <c r="G851" s="406"/>
      <c r="H851" s="406"/>
      <c r="I851" s="415" t="str">
        <f t="shared" si="1"/>
        <v/>
      </c>
    </row>
    <row r="852">
      <c r="A852" s="416"/>
      <c r="B852" s="407"/>
      <c r="C852" s="406"/>
      <c r="D852" s="407"/>
      <c r="E852" s="407"/>
      <c r="F852" s="407"/>
      <c r="G852" s="406"/>
      <c r="H852" s="406"/>
      <c r="I852" s="415" t="str">
        <f t="shared" si="1"/>
        <v/>
      </c>
    </row>
    <row r="853">
      <c r="A853" s="416"/>
      <c r="B853" s="407"/>
      <c r="C853" s="406"/>
      <c r="D853" s="407"/>
      <c r="E853" s="407"/>
      <c r="F853" s="407"/>
      <c r="G853" s="406"/>
      <c r="H853" s="406"/>
      <c r="I853" s="415" t="str">
        <f t="shared" si="1"/>
        <v/>
      </c>
    </row>
    <row r="854">
      <c r="A854" s="416"/>
      <c r="B854" s="407"/>
      <c r="C854" s="406"/>
      <c r="D854" s="407"/>
      <c r="E854" s="407"/>
      <c r="F854" s="407"/>
      <c r="G854" s="406"/>
      <c r="H854" s="406"/>
      <c r="I854" s="415" t="str">
        <f t="shared" si="1"/>
        <v/>
      </c>
    </row>
    <row r="855">
      <c r="A855" s="416"/>
      <c r="B855" s="407"/>
      <c r="C855" s="406"/>
      <c r="D855" s="407"/>
      <c r="E855" s="407"/>
      <c r="F855" s="407"/>
      <c r="G855" s="406"/>
      <c r="H855" s="406"/>
      <c r="I855" s="415" t="str">
        <f t="shared" si="1"/>
        <v/>
      </c>
    </row>
    <row r="856">
      <c r="A856" s="416"/>
      <c r="B856" s="407"/>
      <c r="C856" s="406"/>
      <c r="D856" s="407"/>
      <c r="E856" s="407"/>
      <c r="F856" s="407"/>
      <c r="G856" s="406"/>
      <c r="H856" s="406"/>
      <c r="I856" s="415" t="str">
        <f t="shared" si="1"/>
        <v/>
      </c>
    </row>
    <row r="857">
      <c r="A857" s="416"/>
      <c r="B857" s="407"/>
      <c r="C857" s="406"/>
      <c r="D857" s="407"/>
      <c r="E857" s="407"/>
      <c r="F857" s="407"/>
      <c r="G857" s="406"/>
      <c r="H857" s="406"/>
      <c r="I857" s="415" t="str">
        <f t="shared" si="1"/>
        <v/>
      </c>
    </row>
    <row r="858">
      <c r="A858" s="416"/>
      <c r="B858" s="407"/>
      <c r="C858" s="406"/>
      <c r="D858" s="407"/>
      <c r="E858" s="407"/>
      <c r="F858" s="407"/>
      <c r="G858" s="406"/>
      <c r="H858" s="406"/>
      <c r="I858" s="415" t="str">
        <f t="shared" si="1"/>
        <v/>
      </c>
    </row>
    <row r="859">
      <c r="A859" s="416"/>
      <c r="B859" s="407"/>
      <c r="C859" s="406"/>
      <c r="D859" s="407"/>
      <c r="E859" s="407"/>
      <c r="F859" s="407"/>
      <c r="G859" s="406"/>
      <c r="H859" s="406"/>
      <c r="I859" s="415" t="str">
        <f t="shared" si="1"/>
        <v/>
      </c>
    </row>
    <row r="860">
      <c r="A860" s="416"/>
      <c r="B860" s="407"/>
      <c r="C860" s="406"/>
      <c r="D860" s="407"/>
      <c r="E860" s="407"/>
      <c r="F860" s="407"/>
      <c r="G860" s="406"/>
      <c r="H860" s="406"/>
      <c r="I860" s="415" t="str">
        <f t="shared" si="1"/>
        <v/>
      </c>
    </row>
    <row r="861">
      <c r="A861" s="416"/>
      <c r="B861" s="407"/>
      <c r="C861" s="406"/>
      <c r="D861" s="407"/>
      <c r="E861" s="407"/>
      <c r="F861" s="407"/>
      <c r="G861" s="406"/>
      <c r="H861" s="406"/>
      <c r="I861" s="415" t="str">
        <f t="shared" si="1"/>
        <v/>
      </c>
    </row>
    <row r="862">
      <c r="A862" s="416"/>
      <c r="B862" s="407"/>
      <c r="C862" s="406"/>
      <c r="D862" s="407"/>
      <c r="E862" s="407"/>
      <c r="F862" s="407"/>
      <c r="G862" s="406"/>
      <c r="H862" s="406"/>
      <c r="I862" s="415" t="str">
        <f t="shared" si="1"/>
        <v/>
      </c>
    </row>
    <row r="863">
      <c r="A863" s="416"/>
      <c r="B863" s="407"/>
      <c r="C863" s="406"/>
      <c r="D863" s="407"/>
      <c r="E863" s="407"/>
      <c r="F863" s="407"/>
      <c r="G863" s="406"/>
      <c r="H863" s="406"/>
      <c r="I863" s="415" t="str">
        <f t="shared" si="1"/>
        <v/>
      </c>
    </row>
    <row r="864">
      <c r="A864" s="416"/>
      <c r="B864" s="407"/>
      <c r="C864" s="406"/>
      <c r="D864" s="407"/>
      <c r="E864" s="407"/>
      <c r="F864" s="407"/>
      <c r="G864" s="406"/>
      <c r="H864" s="406"/>
      <c r="I864" s="415" t="str">
        <f t="shared" si="1"/>
        <v/>
      </c>
    </row>
    <row r="865">
      <c r="A865" s="416"/>
      <c r="B865" s="407"/>
      <c r="C865" s="406"/>
      <c r="D865" s="407"/>
      <c r="E865" s="407"/>
      <c r="F865" s="407"/>
      <c r="G865" s="406"/>
      <c r="H865" s="406"/>
      <c r="I865" s="415" t="str">
        <f t="shared" si="1"/>
        <v/>
      </c>
    </row>
    <row r="866">
      <c r="A866" s="416"/>
      <c r="B866" s="407"/>
      <c r="C866" s="406"/>
      <c r="D866" s="407"/>
      <c r="E866" s="407"/>
      <c r="F866" s="407"/>
      <c r="G866" s="406"/>
      <c r="H866" s="406"/>
      <c r="I866" s="415" t="str">
        <f t="shared" si="1"/>
        <v/>
      </c>
    </row>
    <row r="867">
      <c r="A867" s="416"/>
      <c r="B867" s="407"/>
      <c r="C867" s="406"/>
      <c r="D867" s="407"/>
      <c r="E867" s="407"/>
      <c r="F867" s="407"/>
      <c r="G867" s="406"/>
      <c r="H867" s="406"/>
      <c r="I867" s="415" t="str">
        <f t="shared" si="1"/>
        <v/>
      </c>
    </row>
    <row r="868">
      <c r="A868" s="416"/>
      <c r="B868" s="407"/>
      <c r="C868" s="406"/>
      <c r="D868" s="407"/>
      <c r="E868" s="407"/>
      <c r="F868" s="407"/>
      <c r="G868" s="406"/>
      <c r="H868" s="406"/>
      <c r="I868" s="415" t="str">
        <f t="shared" si="1"/>
        <v/>
      </c>
    </row>
    <row r="869">
      <c r="A869" s="416"/>
      <c r="B869" s="407"/>
      <c r="C869" s="406"/>
      <c r="D869" s="407"/>
      <c r="E869" s="407"/>
      <c r="F869" s="407"/>
      <c r="G869" s="406"/>
      <c r="H869" s="406"/>
      <c r="I869" s="415" t="str">
        <f t="shared" si="1"/>
        <v/>
      </c>
    </row>
    <row r="870">
      <c r="A870" s="416"/>
      <c r="B870" s="407"/>
      <c r="C870" s="406"/>
      <c r="D870" s="407"/>
      <c r="E870" s="407"/>
      <c r="F870" s="407"/>
      <c r="G870" s="406"/>
      <c r="H870" s="406"/>
      <c r="I870" s="415" t="str">
        <f t="shared" si="1"/>
        <v/>
      </c>
    </row>
    <row r="871">
      <c r="A871" s="416"/>
      <c r="B871" s="407"/>
      <c r="C871" s="406"/>
      <c r="D871" s="407"/>
      <c r="E871" s="407"/>
      <c r="F871" s="407"/>
      <c r="G871" s="406"/>
      <c r="H871" s="406"/>
      <c r="I871" s="415" t="str">
        <f t="shared" si="1"/>
        <v/>
      </c>
    </row>
    <row r="872">
      <c r="A872" s="416"/>
      <c r="B872" s="407"/>
      <c r="C872" s="406"/>
      <c r="D872" s="407"/>
      <c r="E872" s="407"/>
      <c r="F872" s="407"/>
      <c r="G872" s="406"/>
      <c r="H872" s="406"/>
      <c r="I872" s="415" t="str">
        <f t="shared" si="1"/>
        <v/>
      </c>
    </row>
    <row r="873">
      <c r="A873" s="416"/>
      <c r="B873" s="407"/>
      <c r="C873" s="406"/>
      <c r="D873" s="407"/>
      <c r="E873" s="407"/>
      <c r="F873" s="407"/>
      <c r="G873" s="406"/>
      <c r="H873" s="406"/>
      <c r="I873" s="415" t="str">
        <f t="shared" si="1"/>
        <v/>
      </c>
    </row>
    <row r="874">
      <c r="A874" s="416"/>
      <c r="B874" s="407"/>
      <c r="C874" s="406"/>
      <c r="D874" s="407"/>
      <c r="E874" s="407"/>
      <c r="F874" s="407"/>
      <c r="G874" s="406"/>
      <c r="H874" s="406"/>
      <c r="I874" s="415" t="str">
        <f t="shared" si="1"/>
        <v/>
      </c>
    </row>
    <row r="875">
      <c r="A875" s="416"/>
      <c r="B875" s="407"/>
      <c r="C875" s="406"/>
      <c r="D875" s="407"/>
      <c r="E875" s="407"/>
      <c r="F875" s="407"/>
      <c r="G875" s="406"/>
      <c r="H875" s="406"/>
      <c r="I875" s="415" t="str">
        <f t="shared" si="1"/>
        <v/>
      </c>
    </row>
    <row r="876">
      <c r="A876" s="416"/>
      <c r="B876" s="407"/>
      <c r="C876" s="406"/>
      <c r="D876" s="407"/>
      <c r="E876" s="407"/>
      <c r="F876" s="407"/>
      <c r="G876" s="406"/>
      <c r="H876" s="406"/>
      <c r="I876" s="415" t="str">
        <f t="shared" si="1"/>
        <v/>
      </c>
    </row>
    <row r="877">
      <c r="A877" s="416"/>
      <c r="B877" s="407"/>
      <c r="C877" s="406"/>
      <c r="D877" s="407"/>
      <c r="E877" s="407"/>
      <c r="F877" s="407"/>
      <c r="G877" s="406"/>
      <c r="H877" s="406"/>
      <c r="I877" s="415" t="str">
        <f t="shared" si="1"/>
        <v/>
      </c>
    </row>
    <row r="878">
      <c r="A878" s="416"/>
      <c r="B878" s="407"/>
      <c r="C878" s="406"/>
      <c r="D878" s="407"/>
      <c r="E878" s="407"/>
      <c r="F878" s="407"/>
      <c r="G878" s="406"/>
      <c r="H878" s="406"/>
      <c r="I878" s="415" t="str">
        <f t="shared" si="1"/>
        <v/>
      </c>
    </row>
    <row r="879">
      <c r="A879" s="416"/>
      <c r="B879" s="407"/>
      <c r="C879" s="406"/>
      <c r="D879" s="407"/>
      <c r="E879" s="407"/>
      <c r="F879" s="407"/>
      <c r="G879" s="406"/>
      <c r="H879" s="406"/>
      <c r="I879" s="415" t="str">
        <f t="shared" si="1"/>
        <v/>
      </c>
    </row>
    <row r="880">
      <c r="A880" s="416"/>
      <c r="B880" s="407"/>
      <c r="C880" s="406"/>
      <c r="D880" s="407"/>
      <c r="E880" s="407"/>
      <c r="F880" s="407"/>
      <c r="G880" s="406"/>
      <c r="H880" s="406"/>
      <c r="I880" s="415" t="str">
        <f t="shared" si="1"/>
        <v/>
      </c>
    </row>
    <row r="881">
      <c r="A881" s="416"/>
      <c r="B881" s="407"/>
      <c r="C881" s="406"/>
      <c r="D881" s="407"/>
      <c r="E881" s="407"/>
      <c r="F881" s="407"/>
      <c r="G881" s="406"/>
      <c r="H881" s="406"/>
      <c r="I881" s="415" t="str">
        <f t="shared" si="1"/>
        <v/>
      </c>
    </row>
    <row r="882">
      <c r="A882" s="416"/>
      <c r="B882" s="407"/>
      <c r="C882" s="406"/>
      <c r="D882" s="407"/>
      <c r="E882" s="407"/>
      <c r="F882" s="407"/>
      <c r="G882" s="406"/>
      <c r="H882" s="406"/>
      <c r="I882" s="415" t="str">
        <f t="shared" si="1"/>
        <v/>
      </c>
    </row>
    <row r="883">
      <c r="A883" s="416"/>
      <c r="B883" s="407"/>
      <c r="C883" s="406"/>
      <c r="D883" s="407"/>
      <c r="E883" s="407"/>
      <c r="F883" s="407"/>
      <c r="G883" s="406"/>
      <c r="H883" s="406"/>
      <c r="I883" s="415" t="str">
        <f t="shared" si="1"/>
        <v/>
      </c>
    </row>
    <row r="884">
      <c r="A884" s="416"/>
      <c r="B884" s="407"/>
      <c r="C884" s="406"/>
      <c r="D884" s="407"/>
      <c r="E884" s="407"/>
      <c r="F884" s="407"/>
      <c r="G884" s="406"/>
      <c r="H884" s="406"/>
      <c r="I884" s="415" t="str">
        <f t="shared" si="1"/>
        <v/>
      </c>
    </row>
    <row r="885">
      <c r="A885" s="416"/>
      <c r="B885" s="407"/>
      <c r="C885" s="406"/>
      <c r="D885" s="407"/>
      <c r="E885" s="407"/>
      <c r="F885" s="407"/>
      <c r="G885" s="406"/>
      <c r="H885" s="406"/>
      <c r="I885" s="415" t="str">
        <f t="shared" si="1"/>
        <v/>
      </c>
    </row>
    <row r="886">
      <c r="A886" s="416"/>
      <c r="B886" s="407"/>
      <c r="C886" s="406"/>
      <c r="D886" s="407"/>
      <c r="E886" s="407"/>
      <c r="F886" s="407"/>
      <c r="G886" s="406"/>
      <c r="H886" s="406"/>
      <c r="I886" s="415" t="str">
        <f t="shared" si="1"/>
        <v/>
      </c>
    </row>
    <row r="887">
      <c r="A887" s="416"/>
      <c r="B887" s="407"/>
      <c r="C887" s="406"/>
      <c r="D887" s="407"/>
      <c r="E887" s="407"/>
      <c r="F887" s="407"/>
      <c r="G887" s="406"/>
      <c r="H887" s="406"/>
      <c r="I887" s="415" t="str">
        <f t="shared" si="1"/>
        <v/>
      </c>
    </row>
    <row r="888">
      <c r="A888" s="416"/>
      <c r="B888" s="407"/>
      <c r="C888" s="406"/>
      <c r="D888" s="407"/>
      <c r="E888" s="407"/>
      <c r="F888" s="407"/>
      <c r="G888" s="406"/>
      <c r="H888" s="406"/>
      <c r="I888" s="415" t="str">
        <f t="shared" si="1"/>
        <v/>
      </c>
    </row>
    <row r="889">
      <c r="A889" s="416"/>
      <c r="B889" s="407"/>
      <c r="C889" s="406"/>
      <c r="D889" s="407"/>
      <c r="E889" s="407"/>
      <c r="F889" s="407"/>
      <c r="G889" s="406"/>
      <c r="H889" s="406"/>
      <c r="I889" s="415" t="str">
        <f t="shared" si="1"/>
        <v/>
      </c>
    </row>
    <row r="890">
      <c r="A890" s="416"/>
      <c r="B890" s="407"/>
      <c r="C890" s="406"/>
      <c r="D890" s="407"/>
      <c r="E890" s="407"/>
      <c r="F890" s="407"/>
      <c r="G890" s="406"/>
      <c r="H890" s="406"/>
      <c r="I890" s="415" t="str">
        <f t="shared" si="1"/>
        <v/>
      </c>
    </row>
    <row r="891">
      <c r="A891" s="416"/>
      <c r="B891" s="407"/>
      <c r="C891" s="406"/>
      <c r="D891" s="407"/>
      <c r="E891" s="407"/>
      <c r="F891" s="407"/>
      <c r="G891" s="406"/>
      <c r="H891" s="406"/>
      <c r="I891" s="415" t="str">
        <f t="shared" si="1"/>
        <v/>
      </c>
    </row>
    <row r="892">
      <c r="A892" s="416"/>
      <c r="B892" s="407"/>
      <c r="C892" s="406"/>
      <c r="D892" s="407"/>
      <c r="E892" s="407"/>
      <c r="F892" s="407"/>
      <c r="G892" s="406"/>
      <c r="H892" s="406"/>
      <c r="I892" s="415" t="str">
        <f t="shared" si="1"/>
        <v/>
      </c>
    </row>
    <row r="893">
      <c r="A893" s="416"/>
      <c r="B893" s="407"/>
      <c r="C893" s="406"/>
      <c r="D893" s="407"/>
      <c r="E893" s="407"/>
      <c r="F893" s="407"/>
      <c r="G893" s="406"/>
      <c r="H893" s="406"/>
      <c r="I893" s="415" t="str">
        <f t="shared" si="1"/>
        <v/>
      </c>
    </row>
    <row r="894">
      <c r="A894" s="416"/>
      <c r="B894" s="407"/>
      <c r="C894" s="406"/>
      <c r="D894" s="407"/>
      <c r="E894" s="407"/>
      <c r="F894" s="407"/>
      <c r="G894" s="406"/>
      <c r="H894" s="406"/>
      <c r="I894" s="415" t="str">
        <f t="shared" si="1"/>
        <v/>
      </c>
    </row>
    <row r="895">
      <c r="A895" s="416"/>
      <c r="B895" s="407"/>
      <c r="C895" s="406"/>
      <c r="D895" s="407"/>
      <c r="E895" s="407"/>
      <c r="F895" s="407"/>
      <c r="G895" s="406"/>
      <c r="H895" s="406"/>
      <c r="I895" s="415" t="str">
        <f t="shared" si="1"/>
        <v/>
      </c>
    </row>
    <row r="896">
      <c r="A896" s="416"/>
      <c r="B896" s="407"/>
      <c r="C896" s="406"/>
      <c r="D896" s="407"/>
      <c r="E896" s="407"/>
      <c r="F896" s="407"/>
      <c r="G896" s="406"/>
      <c r="H896" s="406"/>
      <c r="I896" s="415" t="str">
        <f t="shared" si="1"/>
        <v/>
      </c>
    </row>
    <row r="897">
      <c r="A897" s="416"/>
      <c r="B897" s="407"/>
      <c r="C897" s="406"/>
      <c r="D897" s="407"/>
      <c r="E897" s="407"/>
      <c r="F897" s="407"/>
      <c r="G897" s="406"/>
      <c r="H897" s="406"/>
      <c r="I897" s="415" t="str">
        <f t="shared" si="1"/>
        <v/>
      </c>
    </row>
    <row r="898">
      <c r="A898" s="416"/>
      <c r="B898" s="407"/>
      <c r="C898" s="406"/>
      <c r="D898" s="407"/>
      <c r="E898" s="407"/>
      <c r="F898" s="407"/>
      <c r="G898" s="406"/>
      <c r="H898" s="406"/>
      <c r="I898" s="415" t="str">
        <f t="shared" si="1"/>
        <v/>
      </c>
    </row>
    <row r="899">
      <c r="A899" s="416"/>
      <c r="B899" s="407"/>
      <c r="C899" s="406"/>
      <c r="D899" s="407"/>
      <c r="E899" s="407"/>
      <c r="F899" s="407"/>
      <c r="G899" s="406"/>
      <c r="H899" s="406"/>
      <c r="I899" s="415" t="str">
        <f t="shared" si="1"/>
        <v/>
      </c>
    </row>
    <row r="900">
      <c r="A900" s="416"/>
      <c r="B900" s="407"/>
      <c r="C900" s="406"/>
      <c r="D900" s="407"/>
      <c r="E900" s="407"/>
      <c r="F900" s="407"/>
      <c r="G900" s="406"/>
      <c r="H900" s="406"/>
      <c r="I900" s="415" t="str">
        <f t="shared" si="1"/>
        <v/>
      </c>
    </row>
    <row r="901">
      <c r="A901" s="416"/>
      <c r="B901" s="407"/>
      <c r="C901" s="406"/>
      <c r="D901" s="407"/>
      <c r="E901" s="407"/>
      <c r="F901" s="407"/>
      <c r="G901" s="406"/>
      <c r="H901" s="406"/>
      <c r="I901" s="415" t="str">
        <f t="shared" si="1"/>
        <v/>
      </c>
    </row>
    <row r="902">
      <c r="A902" s="416"/>
      <c r="B902" s="407"/>
      <c r="C902" s="406"/>
      <c r="D902" s="407"/>
      <c r="E902" s="407"/>
      <c r="F902" s="407"/>
      <c r="G902" s="406"/>
      <c r="H902" s="406"/>
      <c r="I902" s="415" t="str">
        <f t="shared" si="1"/>
        <v/>
      </c>
    </row>
    <row r="903">
      <c r="A903" s="416"/>
      <c r="B903" s="407"/>
      <c r="C903" s="406"/>
      <c r="D903" s="407"/>
      <c r="E903" s="407"/>
      <c r="F903" s="407"/>
      <c r="G903" s="406"/>
      <c r="H903" s="406"/>
      <c r="I903" s="415" t="str">
        <f t="shared" si="1"/>
        <v/>
      </c>
    </row>
    <row r="904">
      <c r="A904" s="416"/>
      <c r="B904" s="407"/>
      <c r="C904" s="406"/>
      <c r="D904" s="407"/>
      <c r="E904" s="407"/>
      <c r="F904" s="407"/>
      <c r="G904" s="406"/>
      <c r="H904" s="406"/>
      <c r="I904" s="415" t="str">
        <f t="shared" si="1"/>
        <v/>
      </c>
    </row>
    <row r="905">
      <c r="A905" s="416"/>
      <c r="B905" s="407"/>
      <c r="C905" s="406"/>
      <c r="D905" s="407"/>
      <c r="E905" s="407"/>
      <c r="F905" s="407"/>
      <c r="G905" s="406"/>
      <c r="H905" s="406"/>
      <c r="I905" s="415" t="str">
        <f t="shared" si="1"/>
        <v/>
      </c>
    </row>
    <row r="906">
      <c r="A906" s="416"/>
      <c r="B906" s="407"/>
      <c r="C906" s="406"/>
      <c r="D906" s="407"/>
      <c r="E906" s="407"/>
      <c r="F906" s="407"/>
      <c r="G906" s="406"/>
      <c r="H906" s="406"/>
      <c r="I906" s="415" t="str">
        <f t="shared" si="1"/>
        <v/>
      </c>
    </row>
    <row r="907">
      <c r="A907" s="416"/>
      <c r="B907" s="407"/>
      <c r="C907" s="406"/>
      <c r="D907" s="407"/>
      <c r="E907" s="407"/>
      <c r="F907" s="407"/>
      <c r="G907" s="406"/>
      <c r="H907" s="406"/>
      <c r="I907" s="415" t="str">
        <f t="shared" si="1"/>
        <v/>
      </c>
    </row>
    <row r="908">
      <c r="A908" s="416"/>
      <c r="B908" s="407"/>
      <c r="C908" s="406"/>
      <c r="D908" s="407"/>
      <c r="E908" s="407"/>
      <c r="F908" s="407"/>
      <c r="G908" s="406"/>
      <c r="H908" s="406"/>
      <c r="I908" s="415" t="str">
        <f t="shared" si="1"/>
        <v/>
      </c>
    </row>
    <row r="909">
      <c r="A909" s="416"/>
      <c r="B909" s="407"/>
      <c r="C909" s="406"/>
      <c r="D909" s="407"/>
      <c r="E909" s="407"/>
      <c r="F909" s="407"/>
      <c r="G909" s="406"/>
      <c r="H909" s="406"/>
      <c r="I909" s="415" t="str">
        <f t="shared" si="1"/>
        <v/>
      </c>
    </row>
    <row r="910">
      <c r="A910" s="416"/>
      <c r="B910" s="407"/>
      <c r="C910" s="406"/>
      <c r="D910" s="407"/>
      <c r="E910" s="407"/>
      <c r="F910" s="407"/>
      <c r="G910" s="406"/>
      <c r="H910" s="406"/>
      <c r="I910" s="415" t="str">
        <f t="shared" si="1"/>
        <v/>
      </c>
    </row>
    <row r="911">
      <c r="A911" s="416"/>
      <c r="B911" s="407"/>
      <c r="C911" s="406"/>
      <c r="D911" s="407"/>
      <c r="E911" s="407"/>
      <c r="F911" s="407"/>
      <c r="G911" s="406"/>
      <c r="H911" s="406"/>
      <c r="I911" s="415" t="str">
        <f t="shared" si="1"/>
        <v/>
      </c>
    </row>
    <row r="912">
      <c r="A912" s="416"/>
      <c r="B912" s="407"/>
      <c r="C912" s="406"/>
      <c r="D912" s="407"/>
      <c r="E912" s="407"/>
      <c r="F912" s="407"/>
      <c r="G912" s="406"/>
      <c r="H912" s="406"/>
      <c r="I912" s="415" t="str">
        <f t="shared" si="1"/>
        <v/>
      </c>
    </row>
    <row r="913">
      <c r="A913" s="416"/>
      <c r="B913" s="407"/>
      <c r="C913" s="406"/>
      <c r="D913" s="407"/>
      <c r="E913" s="407"/>
      <c r="F913" s="407"/>
      <c r="G913" s="406"/>
      <c r="H913" s="406"/>
      <c r="I913" s="415" t="str">
        <f t="shared" si="1"/>
        <v/>
      </c>
    </row>
    <row r="914">
      <c r="A914" s="416"/>
      <c r="B914" s="407"/>
      <c r="C914" s="406"/>
      <c r="D914" s="407"/>
      <c r="E914" s="407"/>
      <c r="F914" s="407"/>
      <c r="G914" s="406"/>
      <c r="H914" s="406"/>
      <c r="I914" s="415" t="str">
        <f t="shared" si="1"/>
        <v/>
      </c>
    </row>
    <row r="915">
      <c r="A915" s="416"/>
      <c r="B915" s="407"/>
      <c r="C915" s="406"/>
      <c r="D915" s="407"/>
      <c r="E915" s="407"/>
      <c r="F915" s="407"/>
      <c r="G915" s="406"/>
      <c r="H915" s="406"/>
      <c r="I915" s="415" t="str">
        <f t="shared" si="1"/>
        <v/>
      </c>
    </row>
    <row r="916">
      <c r="A916" s="416"/>
      <c r="B916" s="407"/>
      <c r="C916" s="406"/>
      <c r="D916" s="407"/>
      <c r="E916" s="407"/>
      <c r="F916" s="407"/>
      <c r="G916" s="406"/>
      <c r="H916" s="406"/>
      <c r="I916" s="415" t="str">
        <f t="shared" si="1"/>
        <v/>
      </c>
    </row>
    <row r="917">
      <c r="A917" s="416"/>
      <c r="B917" s="407"/>
      <c r="C917" s="406"/>
      <c r="D917" s="407"/>
      <c r="E917" s="407"/>
      <c r="F917" s="407"/>
      <c r="G917" s="406"/>
      <c r="H917" s="406"/>
      <c r="I917" s="415" t="str">
        <f t="shared" si="1"/>
        <v/>
      </c>
    </row>
    <row r="918">
      <c r="A918" s="416"/>
      <c r="B918" s="407"/>
      <c r="C918" s="406"/>
      <c r="D918" s="407"/>
      <c r="E918" s="407"/>
      <c r="F918" s="407"/>
      <c r="G918" s="406"/>
      <c r="H918" s="406"/>
      <c r="I918" s="415" t="str">
        <f t="shared" si="1"/>
        <v/>
      </c>
    </row>
    <row r="919">
      <c r="A919" s="416"/>
      <c r="B919" s="407"/>
      <c r="C919" s="406"/>
      <c r="D919" s="407"/>
      <c r="E919" s="407"/>
      <c r="F919" s="407"/>
      <c r="G919" s="406"/>
      <c r="H919" s="406"/>
      <c r="I919" s="415" t="str">
        <f t="shared" si="1"/>
        <v/>
      </c>
    </row>
    <row r="920">
      <c r="A920" s="416"/>
      <c r="B920" s="407"/>
      <c r="C920" s="406"/>
      <c r="D920" s="407"/>
      <c r="E920" s="407"/>
      <c r="F920" s="407"/>
      <c r="G920" s="406"/>
      <c r="H920" s="406"/>
      <c r="I920" s="415" t="str">
        <f t="shared" si="1"/>
        <v/>
      </c>
    </row>
    <row r="921">
      <c r="A921" s="416"/>
      <c r="B921" s="407"/>
      <c r="C921" s="406"/>
      <c r="D921" s="407"/>
      <c r="E921" s="407"/>
      <c r="F921" s="407"/>
      <c r="G921" s="406"/>
      <c r="H921" s="406"/>
      <c r="I921" s="415" t="str">
        <f t="shared" si="1"/>
        <v/>
      </c>
    </row>
    <row r="922">
      <c r="A922" s="416"/>
      <c r="B922" s="407"/>
      <c r="C922" s="406"/>
      <c r="D922" s="407"/>
      <c r="E922" s="407"/>
      <c r="F922" s="407"/>
      <c r="G922" s="406"/>
      <c r="H922" s="406"/>
      <c r="I922" s="415" t="str">
        <f t="shared" si="1"/>
        <v/>
      </c>
    </row>
    <row r="923">
      <c r="A923" s="416"/>
      <c r="B923" s="407"/>
      <c r="C923" s="406"/>
      <c r="D923" s="407"/>
      <c r="E923" s="407"/>
      <c r="F923" s="407"/>
      <c r="G923" s="406"/>
      <c r="H923" s="406"/>
      <c r="I923" s="415" t="str">
        <f t="shared" si="1"/>
        <v/>
      </c>
    </row>
    <row r="924">
      <c r="A924" s="416"/>
      <c r="B924" s="407"/>
      <c r="C924" s="406"/>
      <c r="D924" s="407"/>
      <c r="E924" s="407"/>
      <c r="F924" s="407"/>
      <c r="G924" s="406"/>
      <c r="H924" s="406"/>
      <c r="I924" s="415" t="str">
        <f t="shared" si="1"/>
        <v/>
      </c>
    </row>
    <row r="925">
      <c r="A925" s="416"/>
      <c r="B925" s="407"/>
      <c r="C925" s="406"/>
      <c r="D925" s="407"/>
      <c r="E925" s="407"/>
      <c r="F925" s="407"/>
      <c r="G925" s="406"/>
      <c r="H925" s="406"/>
      <c r="I925" s="415" t="str">
        <f t="shared" si="1"/>
        <v/>
      </c>
    </row>
    <row r="926">
      <c r="A926" s="416"/>
      <c r="B926" s="407"/>
      <c r="C926" s="406"/>
      <c r="D926" s="407"/>
      <c r="E926" s="407"/>
      <c r="F926" s="407"/>
      <c r="G926" s="406"/>
      <c r="H926" s="406"/>
      <c r="I926" s="415" t="str">
        <f t="shared" si="1"/>
        <v/>
      </c>
    </row>
    <row r="927">
      <c r="A927" s="416"/>
      <c r="B927" s="407"/>
      <c r="C927" s="406"/>
      <c r="D927" s="407"/>
      <c r="E927" s="407"/>
      <c r="F927" s="407"/>
      <c r="G927" s="406"/>
      <c r="H927" s="406"/>
      <c r="I927" s="415" t="str">
        <f t="shared" si="1"/>
        <v/>
      </c>
    </row>
    <row r="928">
      <c r="A928" s="416"/>
      <c r="B928" s="407"/>
      <c r="C928" s="406"/>
      <c r="D928" s="407"/>
      <c r="E928" s="407"/>
      <c r="F928" s="407"/>
      <c r="G928" s="406"/>
      <c r="H928" s="406"/>
      <c r="I928" s="415" t="str">
        <f t="shared" si="1"/>
        <v/>
      </c>
    </row>
    <row r="929">
      <c r="A929" s="416"/>
      <c r="B929" s="407"/>
      <c r="C929" s="406"/>
      <c r="D929" s="407"/>
      <c r="E929" s="407"/>
      <c r="F929" s="407"/>
      <c r="G929" s="406"/>
      <c r="H929" s="406"/>
      <c r="I929" s="415" t="str">
        <f t="shared" si="1"/>
        <v/>
      </c>
    </row>
    <row r="930">
      <c r="A930" s="416"/>
      <c r="B930" s="407"/>
      <c r="C930" s="406"/>
      <c r="D930" s="407"/>
      <c r="E930" s="407"/>
      <c r="F930" s="407"/>
      <c r="G930" s="406"/>
      <c r="H930" s="406"/>
      <c r="I930" s="415" t="str">
        <f t="shared" si="1"/>
        <v/>
      </c>
    </row>
    <row r="931">
      <c r="A931" s="416"/>
      <c r="B931" s="407"/>
      <c r="C931" s="406"/>
      <c r="D931" s="407"/>
      <c r="E931" s="407"/>
      <c r="F931" s="407"/>
      <c r="G931" s="406"/>
      <c r="H931" s="406"/>
      <c r="I931" s="415" t="str">
        <f t="shared" si="1"/>
        <v/>
      </c>
    </row>
    <row r="932">
      <c r="A932" s="416"/>
      <c r="B932" s="407"/>
      <c r="C932" s="406"/>
      <c r="D932" s="407"/>
      <c r="E932" s="407"/>
      <c r="F932" s="407"/>
      <c r="G932" s="406"/>
      <c r="H932" s="406"/>
      <c r="I932" s="415" t="str">
        <f t="shared" si="1"/>
        <v/>
      </c>
    </row>
    <row r="933">
      <c r="A933" s="416"/>
      <c r="B933" s="407"/>
      <c r="C933" s="406"/>
      <c r="D933" s="407"/>
      <c r="E933" s="407"/>
      <c r="F933" s="407"/>
      <c r="G933" s="406"/>
      <c r="H933" s="406"/>
      <c r="I933" s="415" t="str">
        <f t="shared" si="1"/>
        <v/>
      </c>
    </row>
    <row r="934">
      <c r="A934" s="416"/>
      <c r="B934" s="407"/>
      <c r="C934" s="406"/>
      <c r="D934" s="407"/>
      <c r="E934" s="407"/>
      <c r="F934" s="407"/>
      <c r="G934" s="406"/>
      <c r="H934" s="406"/>
      <c r="I934" s="415" t="str">
        <f t="shared" si="1"/>
        <v/>
      </c>
    </row>
    <row r="935">
      <c r="A935" s="416"/>
      <c r="B935" s="407"/>
      <c r="C935" s="406"/>
      <c r="D935" s="407"/>
      <c r="E935" s="407"/>
      <c r="F935" s="407"/>
      <c r="G935" s="406"/>
      <c r="H935" s="406"/>
      <c r="I935" s="415" t="str">
        <f t="shared" si="1"/>
        <v/>
      </c>
    </row>
    <row r="936">
      <c r="A936" s="416"/>
      <c r="B936" s="407"/>
      <c r="C936" s="406"/>
      <c r="D936" s="407"/>
      <c r="E936" s="407"/>
      <c r="F936" s="407"/>
      <c r="G936" s="406"/>
      <c r="H936" s="406"/>
      <c r="I936" s="415" t="str">
        <f t="shared" si="1"/>
        <v/>
      </c>
    </row>
    <row r="937">
      <c r="A937" s="416"/>
      <c r="B937" s="407"/>
      <c r="C937" s="406"/>
      <c r="D937" s="407"/>
      <c r="E937" s="407"/>
      <c r="F937" s="407"/>
      <c r="G937" s="406"/>
      <c r="H937" s="406"/>
      <c r="I937" s="415" t="str">
        <f t="shared" si="1"/>
        <v/>
      </c>
    </row>
    <row r="938">
      <c r="A938" s="416"/>
      <c r="B938" s="407"/>
      <c r="C938" s="406"/>
      <c r="D938" s="407"/>
      <c r="E938" s="407"/>
      <c r="F938" s="407"/>
      <c r="G938" s="406"/>
      <c r="H938" s="406"/>
      <c r="I938" s="415" t="str">
        <f t="shared" si="1"/>
        <v/>
      </c>
    </row>
    <row r="939">
      <c r="A939" s="416"/>
      <c r="B939" s="407"/>
      <c r="C939" s="406"/>
      <c r="D939" s="407"/>
      <c r="E939" s="407"/>
      <c r="F939" s="407"/>
      <c r="G939" s="406"/>
      <c r="H939" s="406"/>
      <c r="I939" s="415" t="str">
        <f t="shared" si="1"/>
        <v/>
      </c>
    </row>
    <row r="940">
      <c r="A940" s="416"/>
      <c r="B940" s="407"/>
      <c r="C940" s="406"/>
      <c r="D940" s="407"/>
      <c r="E940" s="407"/>
      <c r="F940" s="407"/>
      <c r="G940" s="406"/>
      <c r="H940" s="406"/>
      <c r="I940" s="415" t="str">
        <f t="shared" si="1"/>
        <v/>
      </c>
    </row>
    <row r="941">
      <c r="A941" s="416"/>
      <c r="B941" s="407"/>
      <c r="C941" s="406"/>
      <c r="D941" s="407"/>
      <c r="E941" s="407"/>
      <c r="F941" s="407"/>
      <c r="G941" s="406"/>
      <c r="H941" s="406"/>
      <c r="I941" s="415" t="str">
        <f t="shared" si="1"/>
        <v/>
      </c>
    </row>
    <row r="942">
      <c r="A942" s="416"/>
      <c r="B942" s="407"/>
      <c r="C942" s="406"/>
      <c r="D942" s="407"/>
      <c r="E942" s="407"/>
      <c r="F942" s="407"/>
      <c r="G942" s="406"/>
      <c r="H942" s="406"/>
      <c r="I942" s="415" t="str">
        <f t="shared" si="1"/>
        <v/>
      </c>
    </row>
    <row r="943">
      <c r="A943" s="416"/>
      <c r="B943" s="407"/>
      <c r="C943" s="406"/>
      <c r="D943" s="407"/>
      <c r="E943" s="407"/>
      <c r="F943" s="407"/>
      <c r="G943" s="406"/>
      <c r="H943" s="406"/>
      <c r="I943" s="415" t="str">
        <f t="shared" si="1"/>
        <v/>
      </c>
    </row>
    <row r="944">
      <c r="A944" s="416"/>
      <c r="B944" s="407"/>
      <c r="C944" s="406"/>
      <c r="D944" s="407"/>
      <c r="E944" s="407"/>
      <c r="F944" s="407"/>
      <c r="G944" s="406"/>
      <c r="H944" s="406"/>
      <c r="I944" s="415" t="str">
        <f t="shared" si="1"/>
        <v/>
      </c>
    </row>
    <row r="945">
      <c r="A945" s="416"/>
      <c r="B945" s="407"/>
      <c r="C945" s="406"/>
      <c r="D945" s="407"/>
      <c r="E945" s="407"/>
      <c r="F945" s="407"/>
      <c r="G945" s="406"/>
      <c r="H945" s="406"/>
      <c r="I945" s="415" t="str">
        <f t="shared" si="1"/>
        <v/>
      </c>
    </row>
    <row r="946">
      <c r="A946" s="416"/>
      <c r="B946" s="407"/>
      <c r="C946" s="406"/>
      <c r="D946" s="407"/>
      <c r="E946" s="407"/>
      <c r="F946" s="407"/>
      <c r="G946" s="406"/>
      <c r="H946" s="406"/>
      <c r="I946" s="415" t="str">
        <f t="shared" si="1"/>
        <v/>
      </c>
    </row>
    <row r="947">
      <c r="A947" s="416"/>
      <c r="B947" s="407"/>
      <c r="C947" s="406"/>
      <c r="D947" s="407"/>
      <c r="E947" s="407"/>
      <c r="F947" s="407"/>
      <c r="G947" s="406"/>
      <c r="H947" s="406"/>
      <c r="I947" s="415" t="str">
        <f t="shared" si="1"/>
        <v/>
      </c>
    </row>
    <row r="948">
      <c r="A948" s="416"/>
      <c r="B948" s="407"/>
      <c r="C948" s="406"/>
      <c r="D948" s="407"/>
      <c r="E948" s="407"/>
      <c r="F948" s="407"/>
      <c r="G948" s="406"/>
      <c r="H948" s="406"/>
      <c r="I948" s="415" t="str">
        <f t="shared" si="1"/>
        <v/>
      </c>
    </row>
    <row r="949">
      <c r="A949" s="416"/>
      <c r="B949" s="407"/>
      <c r="C949" s="406"/>
      <c r="D949" s="407"/>
      <c r="E949" s="407"/>
      <c r="F949" s="407"/>
      <c r="G949" s="406"/>
      <c r="H949" s="406"/>
      <c r="I949" s="415" t="str">
        <f t="shared" si="1"/>
        <v/>
      </c>
    </row>
    <row r="950">
      <c r="A950" s="416"/>
      <c r="B950" s="407"/>
      <c r="C950" s="406"/>
      <c r="D950" s="407"/>
      <c r="E950" s="407"/>
      <c r="F950" s="407"/>
      <c r="G950" s="406"/>
      <c r="H950" s="406"/>
      <c r="I950" s="415" t="str">
        <f t="shared" si="1"/>
        <v/>
      </c>
    </row>
    <row r="951">
      <c r="A951" s="416"/>
      <c r="B951" s="407"/>
      <c r="C951" s="406"/>
      <c r="D951" s="407"/>
      <c r="E951" s="407"/>
      <c r="F951" s="407"/>
      <c r="G951" s="406"/>
      <c r="H951" s="406"/>
      <c r="I951" s="415" t="str">
        <f t="shared" si="1"/>
        <v/>
      </c>
    </row>
    <row r="952">
      <c r="A952" s="416"/>
      <c r="B952" s="407"/>
      <c r="C952" s="406"/>
      <c r="D952" s="407"/>
      <c r="E952" s="407"/>
      <c r="F952" s="407"/>
      <c r="G952" s="406"/>
      <c r="H952" s="406"/>
      <c r="I952" s="415" t="str">
        <f t="shared" si="1"/>
        <v/>
      </c>
    </row>
    <row r="953">
      <c r="A953" s="416"/>
      <c r="B953" s="407"/>
      <c r="C953" s="406"/>
      <c r="D953" s="407"/>
      <c r="E953" s="407"/>
      <c r="F953" s="407"/>
      <c r="G953" s="406"/>
      <c r="H953" s="406"/>
      <c r="I953" s="415" t="str">
        <f t="shared" si="1"/>
        <v/>
      </c>
    </row>
    <row r="954">
      <c r="A954" s="416"/>
      <c r="B954" s="407"/>
      <c r="C954" s="406"/>
      <c r="D954" s="407"/>
      <c r="E954" s="407"/>
      <c r="F954" s="407"/>
      <c r="G954" s="406"/>
      <c r="H954" s="406"/>
      <c r="I954" s="415" t="str">
        <f t="shared" si="1"/>
        <v/>
      </c>
    </row>
    <row r="955">
      <c r="A955" s="416"/>
      <c r="B955" s="407"/>
      <c r="C955" s="406"/>
      <c r="D955" s="407"/>
      <c r="E955" s="407"/>
      <c r="F955" s="407"/>
      <c r="G955" s="406"/>
      <c r="H955" s="406"/>
      <c r="I955" s="415" t="str">
        <f t="shared" si="1"/>
        <v/>
      </c>
    </row>
    <row r="956">
      <c r="A956" s="416"/>
      <c r="B956" s="407"/>
      <c r="C956" s="406"/>
      <c r="D956" s="407"/>
      <c r="E956" s="407"/>
      <c r="F956" s="407"/>
      <c r="G956" s="406"/>
      <c r="H956" s="406"/>
      <c r="I956" s="415" t="str">
        <f t="shared" si="1"/>
        <v/>
      </c>
    </row>
    <row r="957">
      <c r="A957" s="416"/>
      <c r="B957" s="407"/>
      <c r="C957" s="406"/>
      <c r="D957" s="407"/>
      <c r="E957" s="407"/>
      <c r="F957" s="407"/>
      <c r="G957" s="406"/>
      <c r="H957" s="406"/>
      <c r="I957" s="415" t="str">
        <f t="shared" si="1"/>
        <v/>
      </c>
    </row>
    <row r="958">
      <c r="A958" s="416"/>
      <c r="B958" s="407"/>
      <c r="C958" s="406"/>
      <c r="D958" s="407"/>
      <c r="E958" s="407"/>
      <c r="F958" s="407"/>
      <c r="G958" s="406"/>
      <c r="H958" s="406"/>
      <c r="I958" s="415" t="str">
        <f t="shared" si="1"/>
        <v/>
      </c>
    </row>
    <row r="959">
      <c r="A959" s="416"/>
      <c r="B959" s="407"/>
      <c r="C959" s="406"/>
      <c r="D959" s="407"/>
      <c r="E959" s="407"/>
      <c r="F959" s="407"/>
      <c r="G959" s="406"/>
      <c r="H959" s="406"/>
      <c r="I959" s="415" t="str">
        <f t="shared" si="1"/>
        <v/>
      </c>
    </row>
    <row r="960">
      <c r="A960" s="416"/>
      <c r="B960" s="407"/>
      <c r="C960" s="406"/>
      <c r="D960" s="407"/>
      <c r="E960" s="407"/>
      <c r="F960" s="407"/>
      <c r="G960" s="406"/>
      <c r="H960" s="406"/>
      <c r="I960" s="415" t="str">
        <f t="shared" si="1"/>
        <v/>
      </c>
    </row>
    <row r="961">
      <c r="A961" s="416"/>
      <c r="B961" s="407"/>
      <c r="C961" s="406"/>
      <c r="D961" s="407"/>
      <c r="E961" s="407"/>
      <c r="F961" s="407"/>
      <c r="G961" s="406"/>
      <c r="H961" s="406"/>
      <c r="I961" s="415" t="str">
        <f t="shared" si="1"/>
        <v/>
      </c>
    </row>
    <row r="962">
      <c r="A962" s="416"/>
      <c r="B962" s="407"/>
      <c r="C962" s="406"/>
      <c r="D962" s="407"/>
      <c r="E962" s="407"/>
      <c r="F962" s="407"/>
      <c r="G962" s="406"/>
      <c r="H962" s="406"/>
      <c r="I962" s="415" t="str">
        <f t="shared" si="1"/>
        <v/>
      </c>
    </row>
    <row r="963">
      <c r="A963" s="416"/>
      <c r="B963" s="407"/>
      <c r="C963" s="406"/>
      <c r="D963" s="407"/>
      <c r="E963" s="407"/>
      <c r="F963" s="407"/>
      <c r="G963" s="406"/>
      <c r="H963" s="406"/>
      <c r="I963" s="415" t="str">
        <f t="shared" si="1"/>
        <v/>
      </c>
    </row>
    <row r="964">
      <c r="A964" s="416"/>
      <c r="B964" s="407"/>
      <c r="C964" s="406"/>
      <c r="D964" s="407"/>
      <c r="E964" s="407"/>
      <c r="F964" s="407"/>
      <c r="G964" s="406"/>
      <c r="H964" s="406"/>
      <c r="I964" s="415" t="str">
        <f t="shared" si="1"/>
        <v/>
      </c>
    </row>
    <row r="965">
      <c r="A965" s="416"/>
      <c r="B965" s="407"/>
      <c r="C965" s="406"/>
      <c r="D965" s="407"/>
      <c r="E965" s="407"/>
      <c r="F965" s="407"/>
      <c r="G965" s="406"/>
      <c r="H965" s="406"/>
      <c r="I965" s="415" t="str">
        <f t="shared" si="1"/>
        <v/>
      </c>
    </row>
    <row r="966">
      <c r="A966" s="416"/>
      <c r="B966" s="407"/>
      <c r="C966" s="406"/>
      <c r="D966" s="407"/>
      <c r="E966" s="407"/>
      <c r="F966" s="407"/>
      <c r="G966" s="406"/>
      <c r="H966" s="406"/>
      <c r="I966" s="415" t="str">
        <f t="shared" si="1"/>
        <v/>
      </c>
    </row>
    <row r="967">
      <c r="A967" s="416"/>
      <c r="B967" s="407"/>
      <c r="C967" s="406"/>
      <c r="D967" s="407"/>
      <c r="E967" s="407"/>
      <c r="F967" s="407"/>
      <c r="G967" s="406"/>
      <c r="H967" s="406"/>
      <c r="I967" s="415" t="str">
        <f t="shared" si="1"/>
        <v/>
      </c>
    </row>
    <row r="968">
      <c r="A968" s="416"/>
      <c r="B968" s="407"/>
      <c r="C968" s="406"/>
      <c r="D968" s="407"/>
      <c r="E968" s="407"/>
      <c r="F968" s="407"/>
      <c r="G968" s="406"/>
      <c r="H968" s="406"/>
      <c r="I968" s="415" t="str">
        <f t="shared" si="1"/>
        <v/>
      </c>
    </row>
    <row r="969">
      <c r="A969" s="416"/>
      <c r="B969" s="407"/>
      <c r="C969" s="406"/>
      <c r="D969" s="407"/>
      <c r="E969" s="407"/>
      <c r="F969" s="407"/>
      <c r="G969" s="406"/>
      <c r="H969" s="406"/>
      <c r="I969" s="415" t="str">
        <f t="shared" si="1"/>
        <v/>
      </c>
    </row>
    <row r="970">
      <c r="A970" s="416"/>
      <c r="B970" s="407"/>
      <c r="C970" s="406"/>
      <c r="D970" s="407"/>
      <c r="E970" s="407"/>
      <c r="F970" s="407"/>
      <c r="G970" s="406"/>
      <c r="H970" s="406"/>
      <c r="I970" s="415" t="str">
        <f t="shared" si="1"/>
        <v/>
      </c>
    </row>
    <row r="971">
      <c r="A971" s="416"/>
      <c r="B971" s="407"/>
      <c r="C971" s="406"/>
      <c r="D971" s="407"/>
      <c r="E971" s="407"/>
      <c r="F971" s="407"/>
      <c r="G971" s="406"/>
      <c r="H971" s="406"/>
      <c r="I971" s="415" t="str">
        <f t="shared" si="1"/>
        <v/>
      </c>
    </row>
    <row r="972">
      <c r="A972" s="416"/>
      <c r="B972" s="407"/>
      <c r="C972" s="406"/>
      <c r="D972" s="407"/>
      <c r="E972" s="407"/>
      <c r="F972" s="407"/>
      <c r="G972" s="406"/>
      <c r="H972" s="406"/>
      <c r="I972" s="415" t="str">
        <f t="shared" si="1"/>
        <v/>
      </c>
    </row>
    <row r="973">
      <c r="A973" s="416"/>
      <c r="B973" s="407"/>
      <c r="C973" s="406"/>
      <c r="D973" s="407"/>
      <c r="E973" s="407"/>
      <c r="F973" s="407"/>
      <c r="G973" s="406"/>
      <c r="H973" s="406"/>
      <c r="I973" s="415" t="str">
        <f t="shared" si="1"/>
        <v/>
      </c>
    </row>
    <row r="974">
      <c r="A974" s="416"/>
      <c r="B974" s="407"/>
      <c r="C974" s="406"/>
      <c r="D974" s="407"/>
      <c r="E974" s="407"/>
      <c r="F974" s="407"/>
      <c r="G974" s="406"/>
      <c r="H974" s="406"/>
      <c r="I974" s="415" t="str">
        <f t="shared" si="1"/>
        <v/>
      </c>
    </row>
    <row r="975">
      <c r="A975" s="416"/>
      <c r="B975" s="407"/>
      <c r="C975" s="406"/>
      <c r="D975" s="407"/>
      <c r="E975" s="407"/>
      <c r="F975" s="407"/>
      <c r="G975" s="406"/>
      <c r="H975" s="406"/>
      <c r="I975" s="415" t="str">
        <f t="shared" si="1"/>
        <v/>
      </c>
    </row>
    <row r="976">
      <c r="A976" s="416"/>
      <c r="B976" s="407"/>
      <c r="C976" s="406"/>
      <c r="D976" s="407"/>
      <c r="E976" s="407"/>
      <c r="F976" s="407"/>
      <c r="G976" s="406"/>
      <c r="H976" s="406"/>
      <c r="I976" s="415" t="str">
        <f t="shared" si="1"/>
        <v/>
      </c>
    </row>
    <row r="977">
      <c r="A977" s="416"/>
      <c r="B977" s="407"/>
      <c r="C977" s="406"/>
      <c r="D977" s="407"/>
      <c r="E977" s="407"/>
      <c r="F977" s="407"/>
      <c r="G977" s="406"/>
      <c r="H977" s="406"/>
      <c r="I977" s="415" t="str">
        <f t="shared" si="1"/>
        <v/>
      </c>
    </row>
    <row r="978">
      <c r="A978" s="416"/>
      <c r="B978" s="407"/>
      <c r="C978" s="406"/>
      <c r="D978" s="407"/>
      <c r="E978" s="407"/>
      <c r="F978" s="407"/>
      <c r="G978" s="406"/>
      <c r="H978" s="406"/>
      <c r="I978" s="415" t="str">
        <f t="shared" si="1"/>
        <v/>
      </c>
    </row>
    <row r="979">
      <c r="A979" s="416"/>
      <c r="B979" s="407"/>
      <c r="C979" s="406"/>
      <c r="D979" s="407"/>
      <c r="E979" s="407"/>
      <c r="F979" s="407"/>
      <c r="G979" s="406"/>
      <c r="H979" s="406"/>
      <c r="I979" s="415" t="str">
        <f t="shared" si="1"/>
        <v/>
      </c>
    </row>
    <row r="980">
      <c r="A980" s="416"/>
      <c r="B980" s="407"/>
      <c r="C980" s="406"/>
      <c r="D980" s="407"/>
      <c r="E980" s="407"/>
      <c r="F980" s="407"/>
      <c r="G980" s="406"/>
      <c r="H980" s="406"/>
      <c r="I980" s="415" t="str">
        <f t="shared" si="1"/>
        <v/>
      </c>
    </row>
    <row r="981">
      <c r="A981" s="416"/>
      <c r="B981" s="407"/>
      <c r="C981" s="406"/>
      <c r="D981" s="407"/>
      <c r="E981" s="407"/>
      <c r="F981" s="407"/>
      <c r="G981" s="406"/>
      <c r="H981" s="406"/>
      <c r="I981" s="415" t="str">
        <f t="shared" si="1"/>
        <v/>
      </c>
    </row>
    <row r="982">
      <c r="A982" s="416"/>
      <c r="B982" s="407"/>
      <c r="C982" s="406"/>
      <c r="D982" s="407"/>
      <c r="E982" s="407"/>
      <c r="F982" s="407"/>
      <c r="G982" s="406"/>
      <c r="H982" s="406"/>
      <c r="I982" s="415" t="str">
        <f t="shared" si="1"/>
        <v/>
      </c>
    </row>
    <row r="983">
      <c r="A983" s="416"/>
      <c r="B983" s="407"/>
      <c r="C983" s="406"/>
      <c r="D983" s="407"/>
      <c r="E983" s="407"/>
      <c r="F983" s="407"/>
      <c r="G983" s="406"/>
      <c r="H983" s="406"/>
      <c r="I983" s="415" t="str">
        <f t="shared" si="1"/>
        <v/>
      </c>
    </row>
    <row r="984">
      <c r="A984" s="416"/>
      <c r="B984" s="407"/>
      <c r="C984" s="406"/>
      <c r="D984" s="407"/>
      <c r="E984" s="407"/>
      <c r="F984" s="407"/>
      <c r="G984" s="406"/>
      <c r="H984" s="406"/>
      <c r="I984" s="415" t="str">
        <f t="shared" si="1"/>
        <v/>
      </c>
    </row>
    <row r="985">
      <c r="A985" s="416"/>
      <c r="B985" s="407"/>
      <c r="C985" s="406"/>
      <c r="D985" s="407"/>
      <c r="E985" s="407"/>
      <c r="F985" s="407"/>
      <c r="G985" s="406"/>
      <c r="H985" s="406"/>
      <c r="I985" s="415" t="str">
        <f t="shared" si="1"/>
        <v/>
      </c>
    </row>
    <row r="986">
      <c r="A986" s="416"/>
      <c r="B986" s="407"/>
      <c r="C986" s="406"/>
      <c r="D986" s="407"/>
      <c r="E986" s="407"/>
      <c r="F986" s="407"/>
      <c r="G986" s="406"/>
      <c r="H986" s="406"/>
      <c r="I986" s="415" t="str">
        <f t="shared" si="1"/>
        <v/>
      </c>
    </row>
    <row r="987">
      <c r="A987" s="416"/>
      <c r="B987" s="407"/>
      <c r="C987" s="406"/>
      <c r="D987" s="407"/>
      <c r="E987" s="407"/>
      <c r="F987" s="407"/>
      <c r="G987" s="406"/>
      <c r="H987" s="406"/>
      <c r="I987" s="415" t="str">
        <f t="shared" si="1"/>
        <v/>
      </c>
    </row>
    <row r="988">
      <c r="A988" s="416"/>
      <c r="B988" s="407"/>
      <c r="C988" s="406"/>
      <c r="D988" s="407"/>
      <c r="E988" s="407"/>
      <c r="F988" s="407"/>
      <c r="G988" s="406"/>
      <c r="H988" s="406"/>
      <c r="I988" s="415" t="str">
        <f t="shared" si="1"/>
        <v/>
      </c>
    </row>
    <row r="989">
      <c r="A989" s="416"/>
      <c r="B989" s="407"/>
      <c r="C989" s="406"/>
      <c r="D989" s="407"/>
      <c r="E989" s="407"/>
      <c r="F989" s="407"/>
      <c r="G989" s="406"/>
      <c r="H989" s="406"/>
      <c r="I989" s="415" t="str">
        <f t="shared" si="1"/>
        <v/>
      </c>
    </row>
    <row r="990">
      <c r="A990" s="416"/>
      <c r="B990" s="407"/>
      <c r="C990" s="406"/>
      <c r="D990" s="407"/>
      <c r="E990" s="407"/>
      <c r="F990" s="407"/>
      <c r="G990" s="406"/>
      <c r="H990" s="406"/>
      <c r="I990" s="415" t="str">
        <f t="shared" si="1"/>
        <v/>
      </c>
    </row>
    <row r="991">
      <c r="A991" s="416"/>
      <c r="B991" s="407"/>
      <c r="C991" s="406"/>
      <c r="D991" s="407"/>
      <c r="E991" s="407"/>
      <c r="F991" s="407"/>
      <c r="G991" s="406"/>
      <c r="H991" s="406"/>
      <c r="I991" s="415" t="str">
        <f t="shared" si="1"/>
        <v/>
      </c>
    </row>
    <row r="992">
      <c r="A992" s="416"/>
      <c r="B992" s="407"/>
      <c r="C992" s="406"/>
      <c r="D992" s="407"/>
      <c r="E992" s="407"/>
      <c r="F992" s="407"/>
      <c r="G992" s="406"/>
      <c r="H992" s="406"/>
      <c r="I992" s="415" t="str">
        <f t="shared" si="1"/>
        <v/>
      </c>
    </row>
    <row r="993">
      <c r="A993" s="416"/>
      <c r="B993" s="407"/>
      <c r="C993" s="406"/>
      <c r="D993" s="407"/>
      <c r="E993" s="407"/>
      <c r="F993" s="407"/>
      <c r="G993" s="406"/>
      <c r="H993" s="406"/>
      <c r="I993" s="415" t="str">
        <f t="shared" si="1"/>
        <v/>
      </c>
    </row>
    <row r="994">
      <c r="A994" s="416"/>
      <c r="B994" s="407"/>
      <c r="C994" s="406"/>
      <c r="D994" s="407"/>
      <c r="E994" s="407"/>
      <c r="F994" s="407"/>
      <c r="G994" s="406"/>
      <c r="H994" s="406"/>
      <c r="I994" s="415" t="str">
        <f t="shared" si="1"/>
        <v/>
      </c>
    </row>
    <row r="995">
      <c r="A995" s="416"/>
      <c r="B995" s="407"/>
      <c r="C995" s="406"/>
      <c r="D995" s="407"/>
      <c r="E995" s="407"/>
      <c r="F995" s="407"/>
      <c r="G995" s="406"/>
      <c r="H995" s="406"/>
      <c r="I995" s="415" t="str">
        <f t="shared" si="1"/>
        <v/>
      </c>
    </row>
    <row r="996">
      <c r="A996" s="416"/>
      <c r="B996" s="407"/>
      <c r="C996" s="406"/>
      <c r="D996" s="407"/>
      <c r="E996" s="407"/>
      <c r="F996" s="407"/>
      <c r="G996" s="406"/>
      <c r="H996" s="406"/>
      <c r="I996" s="415" t="str">
        <f t="shared" si="1"/>
        <v/>
      </c>
    </row>
    <row r="997">
      <c r="A997" s="416"/>
      <c r="B997" s="407"/>
      <c r="C997" s="406"/>
      <c r="D997" s="407"/>
      <c r="E997" s="407"/>
      <c r="F997" s="407"/>
      <c r="G997" s="406"/>
      <c r="H997" s="406"/>
      <c r="I997" s="415" t="str">
        <f t="shared" si="1"/>
        <v/>
      </c>
    </row>
    <row r="998">
      <c r="A998" s="416"/>
      <c r="B998" s="407"/>
      <c r="C998" s="406"/>
      <c r="D998" s="407"/>
      <c r="E998" s="407"/>
      <c r="F998" s="407"/>
      <c r="G998" s="406"/>
      <c r="H998" s="406"/>
      <c r="I998" s="415" t="str">
        <f t="shared" si="1"/>
        <v/>
      </c>
    </row>
    <row r="999">
      <c r="A999" s="416"/>
      <c r="B999" s="407"/>
      <c r="C999" s="406"/>
      <c r="D999" s="407"/>
      <c r="E999" s="407"/>
      <c r="F999" s="407"/>
      <c r="G999" s="406"/>
      <c r="H999" s="406"/>
      <c r="I999" s="415" t="str">
        <f t="shared" si="1"/>
        <v/>
      </c>
    </row>
    <row r="1000">
      <c r="A1000" s="416"/>
      <c r="B1000" s="407"/>
      <c r="C1000" s="406"/>
      <c r="D1000" s="407"/>
      <c r="E1000" s="407"/>
      <c r="F1000" s="407"/>
      <c r="G1000" s="406"/>
      <c r="H1000" s="406"/>
      <c r="I1000" s="415" t="str">
        <f t="shared" si="1"/>
        <v/>
      </c>
    </row>
    <row r="1001">
      <c r="A1001" s="416"/>
      <c r="B1001" s="407"/>
      <c r="C1001" s="406"/>
      <c r="D1001" s="407"/>
      <c r="E1001" s="407"/>
      <c r="F1001" s="407"/>
      <c r="G1001" s="406"/>
      <c r="H1001" s="406"/>
      <c r="I1001" s="415" t="str">
        <f t="shared" si="1"/>
        <v/>
      </c>
    </row>
    <row r="1002">
      <c r="A1002" s="416"/>
      <c r="B1002" s="407"/>
      <c r="C1002" s="406"/>
      <c r="D1002" s="407"/>
      <c r="E1002" s="407"/>
      <c r="F1002" s="407"/>
      <c r="G1002" s="406"/>
      <c r="H1002" s="406"/>
      <c r="I1002" s="415" t="str">
        <f t="shared" si="1"/>
        <v/>
      </c>
    </row>
    <row r="1003">
      <c r="A1003" s="416"/>
      <c r="B1003" s="407"/>
      <c r="C1003" s="406"/>
      <c r="D1003" s="407"/>
      <c r="E1003" s="407"/>
      <c r="F1003" s="407"/>
      <c r="G1003" s="406"/>
      <c r="H1003" s="406"/>
      <c r="I1003" s="415" t="str">
        <f t="shared" si="1"/>
        <v/>
      </c>
    </row>
    <row r="1004">
      <c r="A1004" s="416"/>
      <c r="B1004" s="407"/>
      <c r="C1004" s="406"/>
      <c r="D1004" s="407"/>
      <c r="E1004" s="407"/>
      <c r="F1004" s="407"/>
      <c r="G1004" s="406"/>
      <c r="H1004" s="406"/>
      <c r="I1004" s="415" t="str">
        <f t="shared" si="1"/>
        <v/>
      </c>
    </row>
  </sheetData>
  <dataValidations>
    <dataValidation type="custom" allowBlank="1" showDropDown="1" sqref="B1 A6:A1004">
      <formula1>OR(NOT(ISERROR(DATEVALUE(A1))), AND(ISNUMBER(A1), LEFT(CELL("format", A1))="D"))</formula1>
    </dataValidation>
  </dataValidations>
  <drawing r:id="rId1"/>
</worksheet>
</file>
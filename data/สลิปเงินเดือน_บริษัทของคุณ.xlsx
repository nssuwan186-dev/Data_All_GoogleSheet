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พนักงาน" sheetId="1" r:id="rId5"/>
    <sheet state="visible" name="สลิปเงินเดือน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ตำแหน่งงานของพนักงาน</t>
      </text>
    </comment>
    <comment authorId="0" ref="D1">
      <text>
        <t xml:space="preserve">หมายเลขบัญชีธนาคารของพนักงาน</t>
      </text>
    </comment>
    <comment authorId="0" ref="F1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C2">
      <text>
        <t xml:space="preserve">ตำแหน่งงานของพนักงาน</t>
      </text>
    </comment>
    <comment authorId="0" ref="D2">
      <text>
        <t xml:space="preserve">หมายเลขบัญชีธนาคารของพนักงาน</t>
      </text>
    </comment>
    <comment authorId="0" ref="F2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C3">
      <text>
        <t xml:space="preserve">ตำแหน่งงานของพนักงาน</t>
      </text>
    </comment>
    <comment authorId="0" ref="D3">
      <text>
        <t xml:space="preserve">หมายเลขบัญชีธนาคารของพนักงาน</t>
      </text>
    </comment>
    <comment authorId="0" ref="F3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C4">
      <text>
        <t xml:space="preserve">ตำแหน่งงานของพนักงาน</t>
      </text>
    </comment>
    <comment authorId="0" ref="D4">
      <text>
        <t xml:space="preserve">หมายเลขบัญชีธนาคารของพนักงาน</t>
      </text>
    </comment>
    <comment authorId="0" ref="F4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C5">
      <text>
        <t xml:space="preserve">ตำแหน่งงานของพนักงาน</t>
      </text>
    </comment>
    <comment authorId="0" ref="D5">
      <text>
        <t xml:space="preserve">หมายเลขบัญชีธนาคารของพนักงาน</t>
      </text>
    </comment>
    <comment authorId="0" ref="F5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B6">
      <text>
        <t xml:space="preserve">ชื่อและนามสกุลเต็มของพนักงาน</t>
      </text>
    </comment>
    <comment authorId="0" ref="C6">
      <text>
        <t xml:space="preserve">ตำแหน่งงานของพนักงาน</t>
      </text>
    </comment>
    <comment authorId="0" ref="D6">
      <text>
        <t xml:space="preserve">หมายเลขบัญชีธนาคารของพนักงาน</t>
      </text>
    </comment>
    <comment authorId="0" ref="F6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B7">
      <text>
        <t xml:space="preserve">ชื่อและนามสกุลเต็มของพนักงาน</t>
      </text>
    </comment>
    <comment authorId="0" ref="C7">
      <text>
        <t xml:space="preserve">ตำแหน่งงานของพนักงาน</t>
      </text>
    </comment>
    <comment authorId="0" ref="D7">
      <text>
        <t xml:space="preserve">หมายเลขบัญชีธนาคารของพนักงาน</t>
      </text>
    </comment>
    <comment authorId="0" ref="F7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  <comment authorId="0" ref="B8">
      <text>
        <t xml:space="preserve">ชื่อและนามสกุลเต็มของพนักงาน</t>
      </text>
    </comment>
    <comment authorId="0" ref="C8">
      <text>
        <t xml:space="preserve">ตำแหน่งงานของพนักงาน</t>
      </text>
    </comment>
    <comment authorId="0" ref="F8">
      <text>
        <t xml:space="preserve">เงินเดือนพื้นฐานรายเดือนเป็นตัวเลขเท่านั้น (ไม่ต้องใส่เครื่องหมายบาท)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สูตร: คำนวณ 5% ของเงินเดือนพื้นฐาน หรือสูงสุด 750 บาท/เดือน (คุณสามารถแก้ไขเพดานได้ในสูตร)</t>
      </text>
    </comment>
    <comment authorId="0" ref="B25">
      <text>
        <t xml:space="preserve">&lt;&lt;&lt;--- ป้อนข้อมูล: หักจากการขาด/ลา/มาสาย (หากมี)</t>
      </text>
    </comment>
    <comment authorId="0" ref="B26">
      <text>
        <t xml:space="preserve">&lt;&lt;&lt;--- ป้อนข้อมูล: รายการหักอื่นๆ เช่น เงินกู้บริษัท (หากมี)</t>
      </text>
    </comment>
  </commentList>
</comments>
</file>

<file path=xl/sharedStrings.xml><?xml version="1.0" encoding="utf-8"?>
<sst xmlns="http://schemas.openxmlformats.org/spreadsheetml/2006/main" count="53" uniqueCount="48">
  <si>
    <t>เอกสารนี้ถูกแก้ไขโดยสคริปต์</t>
  </si>
  <si>
    <t>ชื่อ-นามสกุล</t>
  </si>
  <si>
    <t>ตำแหน่ง</t>
  </si>
  <si>
    <t>บัญชี</t>
  </si>
  <si>
    <t>ธนาคาร</t>
  </si>
  <si>
    <t>เงินเดือนพื้นฐาน</t>
  </si>
  <si>
    <t>A0001</t>
  </si>
  <si>
    <t>ณัฐภัทร สุวรรณโส</t>
  </si>
  <si>
    <t>110-1-49744-1</t>
  </si>
  <si>
    <t xml:space="preserve">ธ.กสิกรไทย </t>
  </si>
  <si>
    <t>A0002</t>
  </si>
  <si>
    <t>สุพัตรา มาลัยเพิ่ม</t>
  </si>
  <si>
    <t>แม่บ้าน</t>
  </si>
  <si>
    <t>990-0-08635-7</t>
  </si>
  <si>
    <t xml:space="preserve">ธ.กรุงเทพ  </t>
  </si>
  <si>
    <t>A0003</t>
  </si>
  <si>
    <t>พิกุล สึกชัย</t>
  </si>
  <si>
    <t>990-0-15862-8</t>
  </si>
  <si>
    <t>A0004</t>
  </si>
  <si>
    <t>พงเพชร กันนารัตน์</t>
  </si>
  <si>
    <t>คนสวน</t>
  </si>
  <si>
    <t>990-0-17427-8</t>
  </si>
  <si>
    <t>บริษัท วิพัฒน์โฮเทล.ดีเวลลอปเมนท์ จำกัด</t>
  </si>
  <si>
    <t>426 หมู่ที่ 9 ตำบลบึงกาฬ อำเภอเมืองบึงกาฬ จ.บึงกาฬ 38000</t>
  </si>
  <si>
    <t>โทร 080-625-4859 , 042-492-641</t>
  </si>
  <si>
    <t>เลขประจำตัวผู้เสียภาษีอากร   0-3855-59000-07-5</t>
  </si>
  <si>
    <t>สลิปเงินเดือน (PAYSLIP)</t>
  </si>
  <si>
    <t>ประจำเดือน:</t>
  </si>
  <si>
    <t>รหัสพนักงาน:</t>
  </si>
  <si>
    <t>**ข้อมูลพนักงาน**</t>
  </si>
  <si>
    <t>ชื่อ-นามสกุล:</t>
  </si>
  <si>
    <t>ตำแหน่ง:</t>
  </si>
  <si>
    <t>ธนาคาร:</t>
  </si>
  <si>
    <t>เลขที่บัญชี:</t>
  </si>
  <si>
    <t>วันที่เริ่มงาน:</t>
  </si>
  <si>
    <t>**รายรับ**</t>
  </si>
  <si>
    <t>เงินเดือนพื้นฐาน:</t>
  </si>
  <si>
    <t>เบี้ยขยัน:</t>
  </si>
  <si>
    <t>ค่าคอมมิชชั่น:</t>
  </si>
  <si>
    <t>ค่าล่วงเวลา:</t>
  </si>
  <si>
    <t>รวมรายรับ:</t>
  </si>
  <si>
    <t>**รายการหัก**</t>
  </si>
  <si>
    <t>ประกันสังคม:</t>
  </si>
  <si>
    <t>หักขาดลามาสาย:</t>
  </si>
  <si>
    <t>หักอื่นๆ:</t>
  </si>
  <si>
    <t>รวมรายการหัก:</t>
  </si>
  <si>
    <t>**สุทธิ**</t>
  </si>
  <si>
    <t>เงินได้สุทธิ: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</si>
</sst>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9.0"/>
      <color rgb="FFFF5733"/>
      <name val="Thaisans_neuebold"/>
    </font>
    <font>
      <sz val="11.0"/>
      <color rgb="FF333333"/>
      <name val="&quot;Helvetica Neue&quot;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EFFF8"/>
        <bgColor rgb="FFFEFFF8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" xfId="0" applyFont="1" applyNumberFormat="1"/>
    <xf borderId="0" fillId="0" fontId="2" numFmtId="0" xfId="0" applyFont="1"/>
    <xf borderId="0" fillId="3" fontId="3" numFmtId="0" xfId="0" applyAlignment="1" applyFill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3" fontId="4" numFmtId="49" xfId="0" applyAlignment="1" applyFont="1" applyNumberFormat="1">
      <alignment horizontal="left" readingOrder="0" vertical="top"/>
    </xf>
    <xf borderId="0" fillId="0" fontId="5" numFmtId="0" xfId="0" applyAlignment="1" applyFont="1">
      <alignment horizontal="center" readingOrder="0" vertical="top"/>
    </xf>
    <xf borderId="0" fillId="0" fontId="1" numFmtId="0" xfId="0" applyAlignment="1" applyFont="1">
      <alignment horizontal="right"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5"/>
    <col customWidth="1" min="3" max="3" width="17.13"/>
    <col customWidth="1" min="4" max="4" width="22.5"/>
    <col customWidth="1" min="5" max="5" width="15.5"/>
    <col customWidth="1" min="6" max="6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3" t="s">
        <v>3</v>
      </c>
      <c r="D2" s="3" t="s">
        <v>8</v>
      </c>
      <c r="E2" s="3" t="s">
        <v>9</v>
      </c>
      <c r="F2" s="5">
        <f>400*30</f>
        <v>12000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5">
        <f>466.67*30</f>
        <v>14000.1</v>
      </c>
    </row>
    <row r="4">
      <c r="A4" s="3" t="s">
        <v>15</v>
      </c>
      <c r="B4" s="3" t="s">
        <v>16</v>
      </c>
      <c r="C4" s="3" t="s">
        <v>12</v>
      </c>
      <c r="D4" s="3" t="s">
        <v>17</v>
      </c>
      <c r="E4" s="3" t="s">
        <v>14</v>
      </c>
      <c r="F4" s="5">
        <f>320*30</f>
        <v>9600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14</v>
      </c>
      <c r="F5" s="6">
        <f>400*30</f>
        <v>12000</v>
      </c>
    </row>
    <row r="6">
      <c r="B6" s="7"/>
      <c r="C6" s="7"/>
      <c r="D6" s="7"/>
      <c r="F6" s="6"/>
    </row>
    <row r="7">
      <c r="B7" s="7"/>
      <c r="C7" s="7"/>
      <c r="D7" s="7"/>
      <c r="F7" s="6"/>
    </row>
    <row r="8">
      <c r="B8" s="7"/>
      <c r="C8" s="7"/>
      <c r="F8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5.38"/>
    <col customWidth="1" min="2" max="2" width="16.5"/>
  </cols>
  <sheetData>
    <row r="1">
      <c r="A1" s="8" t="s">
        <v>22</v>
      </c>
      <c r="B1" s="9"/>
    </row>
    <row r="2">
      <c r="A2" s="10" t="s">
        <v>23</v>
      </c>
      <c r="B2" s="10"/>
    </row>
    <row r="3">
      <c r="A3" s="10" t="s">
        <v>24</v>
      </c>
      <c r="B3" s="11"/>
    </row>
    <row r="4">
      <c r="A4" s="12" t="s">
        <v>25</v>
      </c>
      <c r="B4" s="11"/>
    </row>
    <row r="5">
      <c r="A5" s="13" t="s">
        <v>26</v>
      </c>
      <c r="B5" s="13"/>
    </row>
    <row r="6">
      <c r="A6" s="14" t="s">
        <v>27</v>
      </c>
      <c r="B6" s="15" t="str">
        <f>TEXT(TODAY(),"MMMM YYYY")</f>
        <v>January 2026</v>
      </c>
    </row>
    <row r="7">
      <c r="A7" s="14" t="s">
        <v>28</v>
      </c>
      <c r="B7" s="16" t="s">
        <v>10</v>
      </c>
    </row>
    <row r="8">
      <c r="A8" s="9"/>
      <c r="B8" s="9"/>
    </row>
    <row r="9">
      <c r="A9" s="17" t="s">
        <v>29</v>
      </c>
    </row>
    <row r="10">
      <c r="A10" s="18" t="s">
        <v>30</v>
      </c>
      <c r="B10" s="9" t="str">
        <f>IFNA(VLOOKUP(B7,'ข้อมูลพนักงาน'!A:F,2,FALSE),"")</f>
        <v>สุพัตรา มาลัยเพิ่ม</v>
      </c>
    </row>
    <row r="11">
      <c r="A11" s="18" t="s">
        <v>31</v>
      </c>
      <c r="B11" s="9" t="str">
        <f>IFNA(VLOOKUP(B7,'ข้อมูลพนักงาน'!A:F,3,FALSE),"")</f>
        <v>แม่บ้าน</v>
      </c>
    </row>
    <row r="12">
      <c r="A12" s="18" t="s">
        <v>32</v>
      </c>
      <c r="B12" s="9" t="str">
        <f>IFNA(VLOOKUP(B7,'ข้อมูลพนักงาน'!A:F,5,FALSE),"")</f>
        <v>ธ.กรุงเทพ  </v>
      </c>
    </row>
    <row r="13">
      <c r="A13" s="18" t="s">
        <v>33</v>
      </c>
      <c r="B13" s="9" t="str">
        <f>IFNA(VLOOKUP(B7,'ข้อมูลพนักงาน'!A:F,4,FALSE),"")</f>
        <v>990-0-08635-7</v>
      </c>
    </row>
    <row r="14">
      <c r="A14" s="18" t="s">
        <v>34</v>
      </c>
      <c r="B14" s="9"/>
    </row>
    <row r="15">
      <c r="A15" s="9"/>
      <c r="B15" s="9"/>
    </row>
    <row r="16">
      <c r="A16" s="17" t="s">
        <v>35</v>
      </c>
      <c r="B16" s="9"/>
    </row>
    <row r="17">
      <c r="A17" s="18" t="s">
        <v>36</v>
      </c>
      <c r="B17" s="9">
        <f>IFNA(VLOOKUP(B7,'ข้อมูลพนักงาน'!A:F,6,FALSE),"")</f>
        <v>14000.1</v>
      </c>
    </row>
    <row r="18">
      <c r="A18" s="18" t="s">
        <v>37</v>
      </c>
      <c r="B18" s="9"/>
    </row>
    <row r="19">
      <c r="A19" s="18" t="s">
        <v>38</v>
      </c>
      <c r="B19" s="9"/>
    </row>
    <row r="20">
      <c r="A20" s="18" t="s">
        <v>39</v>
      </c>
      <c r="B20" s="9"/>
    </row>
    <row r="21">
      <c r="A21" s="14" t="s">
        <v>40</v>
      </c>
      <c r="B21" s="9">
        <f>SUM(B17:B20)</f>
        <v>14000.1</v>
      </c>
    </row>
    <row r="22">
      <c r="A22" s="9"/>
      <c r="B22" s="9"/>
    </row>
    <row r="23">
      <c r="A23" s="17" t="s">
        <v>41</v>
      </c>
      <c r="B23" s="9"/>
    </row>
    <row r="24">
      <c r="A24" s="18" t="s">
        <v>42</v>
      </c>
      <c r="B24" s="9">
        <f>MIN(B17*0.05,750)</f>
        <v>700.005</v>
      </c>
    </row>
    <row r="25">
      <c r="A25" s="18" t="s">
        <v>43</v>
      </c>
      <c r="B25" s="9"/>
    </row>
    <row r="26">
      <c r="A26" s="18" t="s">
        <v>44</v>
      </c>
      <c r="B26" s="9"/>
    </row>
    <row r="27">
      <c r="A27" s="14" t="s">
        <v>45</v>
      </c>
      <c r="B27" s="9">
        <f>SUM(B24:B26)</f>
        <v>700.005</v>
      </c>
    </row>
    <row r="28">
      <c r="A28" s="9"/>
      <c r="B28" s="9"/>
    </row>
    <row r="29">
      <c r="A29" s="19" t="s">
        <v>46</v>
      </c>
      <c r="B29" s="9"/>
    </row>
    <row r="30">
      <c r="A30" s="20" t="s">
        <v>47</v>
      </c>
      <c r="B30" s="9">
        <f>B21-B27</f>
        <v>13300.095</v>
      </c>
    </row>
  </sheetData>
  <mergeCells count="1">
    <mergeCell ref="A9:B9"/>
  </mergeCells>
  <dataValidations>
    <dataValidation type="list" allowBlank="1" showInputMessage="1" showErrorMessage="1" prompt="คลิกและป้อนค่าจากช่วง" sqref="B7">
      <formula1>'ข้อมูลพนักงาน'!$A$2:$A$8</formula1>
    </dataValidation>
  </dataValidations>
  <drawing r:id="rId2"/>
  <legacyDrawing r:id="rId3"/>
</worksheet>
</file>
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P00555" sheetId="1" r:id="rId5"/>
  </sheets>
  <definedNames/>
  <calcPr/>
</workbook>
</file>

<file path=xl/sharedStrings.xml><?xml version="1.0" encoding="utf-8"?>
<sst xmlns="http://schemas.openxmlformats.org/spreadsheetml/2006/main" count="37" uniqueCount="37">
  <si>
    <t>บริษัท วิพัฒน์โฮเทล.ดีเวลลอปเมนท์ จำกัด</t>
  </si>
  <si>
    <t>426 หมู่ที่9 ตำบลบึงกาฬ อำเภอเมืองบึงกาฬ จังหวัดบึงกาฬ 38000</t>
  </si>
  <si>
    <t>ใบเสร็จรับเงิน / ใบกำกับภาษี</t>
  </si>
  <si>
    <t xml:space="preserve">โทร 080-625-4859 , 042-492-641  </t>
  </si>
  <si>
    <t>เลขประจำตัวผู้เสียภาษีอากร   0-3855-59000-07-5</t>
  </si>
  <si>
    <t xml:space="preserve">  ชื่อลูกค้า / Customers:</t>
  </si>
  <si>
    <t xml:space="preserve">บริษัท อิเล็คโทรนิก ไลท์ติ้ง จำกัด
</t>
  </si>
  <si>
    <t>เลขที่ / No.</t>
  </si>
  <si>
    <t>VP00555</t>
  </si>
  <si>
    <t xml:space="preserve">  ที่อยู่ / Address:</t>
  </si>
  <si>
    <t>155/1 ซอยรามอินทรา 5 แยก 18 แขวงท่าแร้ง เขตบางเขน กรุงเทพมหานคร</t>
  </si>
  <si>
    <t>วันที่ / Date</t>
  </si>
  <si>
    <t>เลขประจำตัวผู้เสียภาษี</t>
  </si>
  <si>
    <t>ลำดับที่</t>
  </si>
  <si>
    <t>รายการ</t>
  </si>
  <si>
    <t>จำนวน</t>
  </si>
  <si>
    <t>ราคา/หน่วย</t>
  </si>
  <si>
    <t>จำนวนเงิน</t>
  </si>
  <si>
    <t>Item</t>
  </si>
  <si>
    <t>Description</t>
  </si>
  <si>
    <t>Quantity</t>
  </si>
  <si>
    <t>Unit Price</t>
  </si>
  <si>
    <t>Amount</t>
  </si>
  <si>
    <t>ค่าห้องพัก</t>
  </si>
  <si>
    <t xml:space="preserve">เข้าวันที่ </t>
  </si>
  <si>
    <t xml:space="preserve">ออกวันที่ </t>
  </si>
  <si>
    <t>รายการรับชำระเงิน</t>
  </si>
  <si>
    <t>รวมเงิน</t>
  </si>
  <si>
    <t>TOTAL</t>
  </si>
  <si>
    <t>ภาษีมูลค่าเพิ่ม</t>
  </si>
  <si>
    <t>( VAT 7% )</t>
  </si>
  <si>
    <t>ตัวอักษร</t>
  </si>
  <si>
    <t>ยอดเงินสุทธิ</t>
  </si>
  <si>
    <t xml:space="preserve">   ลงชื่อ ....................................... ผู้ชำระ</t>
  </si>
  <si>
    <t>ลงชื่อ ........................................ ผู้รับ</t>
  </si>
  <si>
    <t xml:space="preserve">              (....................................)</t>
  </si>
  <si>
    <t xml:space="preserve">            (.....................................)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</si>
</sst>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0#-####-#####-##-#"/>
    <numFmt numFmtId="166" formatCode="#,##0.00_ ;[Red]\-\ #,##0.00_ ;"/>
  </numFmts>
  <fonts count="8">
    <font>
      <sz val="10.0"/>
      <color rgb="FF000000"/>
      <name val="Arial"/>
      <scheme val="minor"/>
    </font>
    <font>
      <sz val="20.0"/>
      <color theme="1"/>
      <name val="Angsana New"/>
    </font>
    <font>
      <b/>
      <sz val="20.0"/>
      <color theme="1"/>
      <name val="Angsana New"/>
    </font>
    <font/>
    <font>
      <b/>
      <sz val="24.0"/>
      <color theme="1"/>
      <name val="Angsana New"/>
    </font>
    <font>
      <sz val="18.0"/>
      <color theme="1"/>
      <name val="Angsana New"/>
    </font>
    <font>
      <sz val="16.0"/>
      <color theme="1"/>
      <name val="Angsana New"/>
    </font>
    <font>
      <sz val="20.0"/>
      <color rgb="FF7F7F7F"/>
      <name val="Angsana New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55">
    <border/>
    <border>
      <left/>
      <right/>
      <top/>
      <bottom/>
    </border>
    <border>
      <left/>
      <right/>
      <top/>
    </border>
    <border>
      <left/>
      <top/>
    </border>
    <border>
      <right/>
      <top/>
    </border>
    <border>
      <left/>
      <top/>
      <bottom/>
    </border>
    <border>
      <left/>
      <right/>
      <bottom/>
    </border>
    <border>
      <right/>
      <bottom/>
    </border>
    <border>
      <right/>
      <top/>
      <bottom/>
    </border>
    <border>
      <left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bottom style="dotted">
        <color rgb="FFD8D8D8"/>
      </bottom>
    </border>
    <border>
      <bottom style="dotted">
        <color rgb="FFD8D8D8"/>
      </bottom>
    </border>
    <border>
      <right style="thin">
        <color rgb="FF000000"/>
      </right>
      <bottom style="dotted">
        <color rgb="FFD8D8D8"/>
      </bottom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bottom style="dotted">
        <color rgb="FFB7B7B7"/>
      </bottom>
    </border>
    <border>
      <right style="thin">
        <color rgb="FF000000"/>
      </right>
      <bottom style="dotted">
        <color rgb="FFB7B7B7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bottom/>
    </border>
    <border>
      <right style="thin">
        <color rgb="FF000000"/>
      </right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2" fillId="2" fontId="1" numFmtId="0" xfId="0" applyBorder="1" applyFont="1"/>
    <xf borderId="3" fillId="2" fontId="2" numFmtId="0" xfId="0" applyAlignment="1" applyBorder="1" applyFont="1">
      <alignment horizontal="center" shrinkToFit="0" vertical="center" wrapText="1"/>
    </xf>
    <xf borderId="4" fillId="0" fontId="3" numFmtId="0" xfId="0" applyBorder="1" applyFont="1"/>
    <xf borderId="5" fillId="2" fontId="1" numFmtId="0" xfId="0" applyAlignment="1" applyBorder="1" applyFont="1">
      <alignment vertical="center"/>
    </xf>
    <xf borderId="0" fillId="2" fontId="4" numFmtId="0" xfId="0" applyAlignment="1" applyFont="1">
      <alignment horizontal="center" readingOrder="0" vertical="center"/>
    </xf>
    <xf borderId="4" fillId="2" fontId="1" numFmtId="0" xfId="0" applyBorder="1" applyFont="1"/>
    <xf borderId="6" fillId="2" fontId="1" numFmtId="0" xfId="0" applyAlignment="1" applyBorder="1" applyFont="1">
      <alignment vertical="center"/>
    </xf>
    <xf borderId="6" fillId="2" fontId="1" numFmtId="0" xfId="0" applyBorder="1" applyFont="1"/>
    <xf borderId="7" fillId="2" fontId="1" numFmtId="0" xfId="0" applyBorder="1" applyFont="1"/>
    <xf borderId="8" fillId="2" fontId="1" numFmtId="0" xfId="0" applyBorder="1" applyFont="1"/>
    <xf borderId="9" fillId="2" fontId="5" numFmtId="0" xfId="0" applyAlignment="1" applyBorder="1" applyFont="1">
      <alignment horizontal="center" shrinkToFit="0" vertical="center" wrapText="1"/>
    </xf>
    <xf borderId="7" fillId="0" fontId="3" numFmtId="0" xfId="0" applyBorder="1" applyFont="1"/>
    <xf borderId="1" fillId="2" fontId="1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left" vertical="center"/>
    </xf>
    <xf borderId="1" fillId="2" fontId="1" numFmtId="0" xfId="0" applyBorder="1" applyFont="1"/>
    <xf borderId="10" fillId="2" fontId="1" numFmtId="0" xfId="0" applyAlignment="1" applyBorder="1" applyFont="1">
      <alignment vertical="center"/>
    </xf>
    <xf borderId="11" fillId="2" fontId="1" numFmtId="0" xfId="0" applyAlignment="1" applyBorder="1" applyFont="1">
      <alignment vertical="center"/>
    </xf>
    <xf borderId="12" fillId="3" fontId="1" numFmtId="0" xfId="0" applyAlignment="1" applyBorder="1" applyFill="1" applyFont="1">
      <alignment readingOrder="0" shrinkToFit="0" vertical="top" wrapText="1"/>
    </xf>
    <xf borderId="13" fillId="0" fontId="3" numFmtId="0" xfId="0" applyBorder="1" applyFont="1"/>
    <xf borderId="14" fillId="0" fontId="3" numFmtId="0" xfId="0" applyBorder="1" applyFont="1"/>
    <xf borderId="8" fillId="2" fontId="1" numFmtId="0" xfId="0" applyAlignment="1" applyBorder="1" applyFont="1">
      <alignment vertical="center"/>
    </xf>
    <xf borderId="10" fillId="2" fontId="1" numFmtId="0" xfId="0" applyAlignment="1" applyBorder="1" applyFont="1">
      <alignment horizontal="center" vertical="center"/>
    </xf>
    <xf borderId="15" fillId="2" fontId="2" numFmtId="0" xfId="0" applyAlignment="1" applyBorder="1" applyFont="1">
      <alignment horizontal="center" vertical="center"/>
    </xf>
    <xf borderId="16" fillId="2" fontId="1" numFmtId="0" xfId="0" applyAlignment="1" applyBorder="1" applyFont="1">
      <alignment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16" fillId="2" fontId="1" numFmtId="0" xfId="0" applyAlignment="1" applyBorder="1" applyFont="1">
      <alignment horizontal="center" vertical="center"/>
    </xf>
    <xf borderId="20" fillId="2" fontId="2" numFmtId="0" xfId="0" applyAlignment="1" applyBorder="1" applyFont="1">
      <alignment horizontal="left" readingOrder="0" vertical="center"/>
    </xf>
    <xf borderId="0" fillId="3" fontId="1" numFmtId="0" xfId="0" applyAlignment="1" applyFont="1">
      <alignment readingOrder="0" shrinkToFit="0" vertical="top" wrapText="1"/>
    </xf>
    <xf borderId="21" fillId="0" fontId="3" numFmtId="0" xfId="0" applyBorder="1" applyFont="1"/>
    <xf borderId="20" fillId="2" fontId="2" numFmtId="0" xfId="0" applyAlignment="1" applyBorder="1" applyFont="1">
      <alignment horizontal="left" vertical="center"/>
    </xf>
    <xf borderId="22" fillId="0" fontId="3" numFmtId="0" xfId="0" applyBorder="1" applyFont="1"/>
    <xf borderId="23" fillId="0" fontId="3" numFmtId="0" xfId="0" applyBorder="1" applyFont="1"/>
    <xf borderId="20" fillId="2" fontId="1" numFmtId="164" xfId="0" applyAlignment="1" applyBorder="1" applyFont="1" applyNumberFormat="1">
      <alignment horizontal="left" vertical="center"/>
    </xf>
    <xf borderId="24" fillId="2" fontId="1" numFmtId="0" xfId="0" applyAlignment="1" applyBorder="1" applyFont="1">
      <alignment vertical="center"/>
    </xf>
    <xf borderId="25" fillId="2" fontId="1" numFmtId="0" xfId="0" applyAlignment="1" applyBorder="1" applyFont="1">
      <alignment vertical="center"/>
    </xf>
    <xf borderId="26" fillId="3" fontId="1" numFmtId="165" xfId="0" applyAlignment="1" applyBorder="1" applyFont="1" applyNumberFormat="1">
      <alignment horizontal="left" readingOrder="0" shrinkToFit="0" vertical="center" wrapText="1"/>
    </xf>
    <xf borderId="27" fillId="0" fontId="3" numFmtId="0" xfId="0" applyBorder="1" applyFont="1"/>
    <xf borderId="21" fillId="3" fontId="1" numFmtId="0" xfId="0" applyAlignment="1" applyBorder="1" applyFont="1">
      <alignment readingOrder="0" shrinkToFit="0" vertical="center" wrapText="1"/>
    </xf>
    <xf borderId="24" fillId="2" fontId="1" numFmtId="0" xfId="0" applyBorder="1" applyFont="1"/>
    <xf borderId="28" fillId="2" fontId="1" numFmtId="0" xfId="0" applyBorder="1" applyFont="1"/>
    <xf borderId="17" fillId="3" fontId="1" numFmtId="0" xfId="0" applyAlignment="1" applyBorder="1" applyFont="1">
      <alignment readingOrder="0" shrinkToFit="0" vertical="center" wrapText="1"/>
    </xf>
    <xf borderId="18" fillId="3" fontId="1" numFmtId="0" xfId="0" applyAlignment="1" applyBorder="1" applyFont="1">
      <alignment readingOrder="0" shrinkToFit="0" vertical="center" wrapText="1"/>
    </xf>
    <xf borderId="13" fillId="3" fontId="1" numFmtId="0" xfId="0" applyAlignment="1" applyBorder="1" applyFont="1">
      <alignment readingOrder="0" shrinkToFit="0" vertical="center" wrapText="1"/>
    </xf>
    <xf borderId="29" fillId="2" fontId="1" numFmtId="0" xfId="0" applyAlignment="1" applyBorder="1" applyFont="1">
      <alignment horizontal="center" vertical="center"/>
    </xf>
    <xf borderId="30" fillId="2" fontId="1" numFmtId="0" xfId="0" applyAlignment="1" applyBorder="1" applyFont="1">
      <alignment horizontal="center" vertical="center"/>
    </xf>
    <xf borderId="31" fillId="0" fontId="3" numFmtId="0" xfId="0" applyBorder="1" applyFont="1"/>
    <xf borderId="32" fillId="0" fontId="3" numFmtId="0" xfId="0" applyBorder="1" applyFont="1"/>
    <xf borderId="33" fillId="2" fontId="1" numFmtId="0" xfId="0" applyAlignment="1" applyBorder="1" applyFont="1">
      <alignment horizontal="center" vertical="center"/>
    </xf>
    <xf borderId="32" fillId="2" fontId="1" numFmtId="0" xfId="0" applyAlignment="1" applyBorder="1" applyFont="1">
      <alignment horizontal="center" vertical="center"/>
    </xf>
    <xf borderId="11" fillId="2" fontId="1" numFmtId="0" xfId="0" applyAlignment="1" applyBorder="1" applyFont="1">
      <alignment horizontal="center" vertical="center"/>
    </xf>
    <xf borderId="34" fillId="2" fontId="1" numFmtId="0" xfId="0" applyAlignment="1" applyBorder="1" applyFont="1">
      <alignment horizontal="center" vertical="center"/>
    </xf>
    <xf borderId="35" fillId="2" fontId="1" numFmtId="0" xfId="0" applyAlignment="1" applyBorder="1" applyFont="1">
      <alignment horizontal="center" vertical="center"/>
    </xf>
    <xf borderId="36" fillId="0" fontId="3" numFmtId="0" xfId="0" applyBorder="1" applyFont="1"/>
    <xf borderId="37" fillId="0" fontId="3" numFmtId="0" xfId="0" applyBorder="1" applyFont="1"/>
    <xf borderId="38" fillId="2" fontId="1" numFmtId="0" xfId="0" applyAlignment="1" applyBorder="1" applyFont="1">
      <alignment horizontal="center" vertical="center"/>
    </xf>
    <xf borderId="37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39" fillId="2" fontId="1" numFmtId="0" xfId="0" applyAlignment="1" applyBorder="1" applyFont="1">
      <alignment horizontal="center" vertical="center"/>
    </xf>
    <xf borderId="40" fillId="3" fontId="1" numFmtId="0" xfId="0" applyAlignment="1" applyBorder="1" applyFont="1">
      <alignment horizontal="center" vertical="bottom"/>
    </xf>
    <xf borderId="40" fillId="0" fontId="3" numFmtId="0" xfId="0" applyBorder="1" applyFont="1"/>
    <xf borderId="41" fillId="0" fontId="3" numFmtId="0" xfId="0" applyBorder="1" applyFont="1"/>
    <xf borderId="40" fillId="3" fontId="1" numFmtId="166" xfId="0" applyAlignment="1" applyBorder="1" applyFont="1" applyNumberFormat="1">
      <alignment horizontal="center" readingOrder="0" vertical="bottom"/>
    </xf>
    <xf borderId="0" fillId="3" fontId="1" numFmtId="2" xfId="0" applyAlignment="1" applyFont="1" applyNumberFormat="1">
      <alignment horizontal="center" readingOrder="0" vertical="bottom"/>
    </xf>
    <xf borderId="42" fillId="3" fontId="1" numFmtId="166" xfId="0" applyAlignment="1" applyBorder="1" applyFont="1" applyNumberFormat="1">
      <alignment horizontal="right" vertical="bottom"/>
    </xf>
    <xf borderId="39" fillId="2" fontId="1" numFmtId="0" xfId="0" applyAlignment="1" applyBorder="1" applyFont="1">
      <alignment horizontal="center" readingOrder="0" vertical="center"/>
    </xf>
    <xf borderId="40" fillId="3" fontId="1" numFmtId="166" xfId="0" applyAlignment="1" applyBorder="1" applyFont="1" applyNumberFormat="1">
      <alignment horizontal="center" vertical="bottom"/>
    </xf>
    <xf borderId="0" fillId="3" fontId="1" numFmtId="2" xfId="0" applyAlignment="1" applyFont="1" applyNumberFormat="1">
      <alignment horizontal="center" vertical="bottom"/>
    </xf>
    <xf borderId="16" fillId="2" fontId="1" numFmtId="0" xfId="0" applyAlignment="1" applyBorder="1" applyFont="1">
      <alignment horizontal="left" vertical="center"/>
    </xf>
    <xf borderId="20" fillId="2" fontId="1" numFmtId="0" xfId="0" applyAlignment="1" applyBorder="1" applyFont="1">
      <alignment horizontal="left" vertical="center"/>
    </xf>
    <xf borderId="16" fillId="2" fontId="1" numFmtId="166" xfId="0" applyAlignment="1" applyBorder="1" applyFont="1" applyNumberFormat="1">
      <alignment horizontal="center" vertical="center"/>
    </xf>
    <xf borderId="20" fillId="2" fontId="1" numFmtId="166" xfId="0" applyAlignment="1" applyBorder="1" applyFont="1" applyNumberFormat="1">
      <alignment horizontal="center" vertical="center"/>
    </xf>
    <xf borderId="1" fillId="2" fontId="1" numFmtId="2" xfId="0" applyAlignment="1" applyBorder="1" applyFont="1" applyNumberFormat="1">
      <alignment horizontal="center" vertical="center"/>
    </xf>
    <xf borderId="39" fillId="2" fontId="1" numFmtId="166" xfId="0" applyAlignment="1" applyBorder="1" applyFont="1" applyNumberFormat="1">
      <alignment vertical="center"/>
    </xf>
    <xf borderId="16" fillId="2" fontId="1" numFmtId="0" xfId="0" applyAlignment="1" applyBorder="1" applyFont="1">
      <alignment horizontal="right" vertical="center"/>
    </xf>
    <xf borderId="5" fillId="2" fontId="1" numFmtId="164" xfId="0" applyAlignment="1" applyBorder="1" applyFont="1" applyNumberFormat="1">
      <alignment horizontal="center" readingOrder="0" vertical="center"/>
    </xf>
    <xf borderId="8" fillId="0" fontId="3" numFmtId="0" xfId="0" applyBorder="1" applyFont="1"/>
    <xf borderId="20" fillId="2" fontId="1" numFmtId="0" xfId="0" applyAlignment="1" applyBorder="1" applyFont="1">
      <alignment vertical="center"/>
    </xf>
    <xf borderId="43" fillId="2" fontId="1" numFmtId="166" xfId="0" applyAlignment="1" applyBorder="1" applyFont="1" applyNumberFormat="1">
      <alignment horizontal="center" vertical="center"/>
    </xf>
    <xf borderId="44" fillId="0" fontId="3" numFmtId="0" xfId="0" applyBorder="1" applyFont="1"/>
    <xf borderId="5" fillId="2" fontId="1" numFmtId="164" xfId="0" applyAlignment="1" applyBorder="1" applyFont="1" applyNumberFormat="1">
      <alignment horizontal="center" vertical="center"/>
    </xf>
    <xf borderId="43" fillId="2" fontId="1" numFmtId="0" xfId="0" applyAlignment="1" applyBorder="1" applyFont="1">
      <alignment horizontal="left" vertical="center"/>
    </xf>
    <xf borderId="45" fillId="0" fontId="3" numFmtId="0" xfId="0" applyBorder="1" applyFont="1"/>
    <xf borderId="46" fillId="2" fontId="1" numFmtId="0" xfId="0" applyAlignment="1" applyBorder="1" applyFont="1">
      <alignment horizontal="left" vertical="center"/>
    </xf>
    <xf borderId="47" fillId="0" fontId="3" numFmtId="0" xfId="0" applyBorder="1" applyFont="1"/>
    <xf borderId="48" fillId="0" fontId="3" numFmtId="0" xfId="0" applyBorder="1" applyFont="1"/>
    <xf borderId="35" fillId="2" fontId="1" numFmtId="0" xfId="0" applyAlignment="1" applyBorder="1" applyFont="1">
      <alignment horizontal="left" vertical="center"/>
    </xf>
    <xf borderId="35" fillId="2" fontId="1" numFmtId="166" xfId="0" applyAlignment="1" applyBorder="1" applyFont="1" applyNumberFormat="1">
      <alignment horizontal="center" vertical="center"/>
    </xf>
    <xf borderId="25" fillId="2" fontId="1" numFmtId="2" xfId="0" applyAlignment="1" applyBorder="1" applyFont="1" applyNumberFormat="1">
      <alignment horizontal="center" vertical="center"/>
    </xf>
    <xf borderId="34" fillId="2" fontId="1" numFmtId="166" xfId="0" applyAlignment="1" applyBorder="1" applyFont="1" applyNumberFormat="1">
      <alignment vertical="center"/>
    </xf>
    <xf borderId="10" fillId="2" fontId="6" numFmtId="0" xfId="0" applyAlignment="1" applyBorder="1" applyFont="1">
      <alignment vertical="center"/>
    </xf>
    <xf borderId="49" fillId="2" fontId="1" numFmtId="0" xfId="0" applyAlignment="1" applyBorder="1" applyFont="1">
      <alignment vertical="center"/>
    </xf>
    <xf borderId="15" fillId="2" fontId="6" numFmtId="0" xfId="0" applyAlignment="1" applyBorder="1" applyFont="1">
      <alignment vertical="center"/>
    </xf>
    <xf borderId="49" fillId="2" fontId="1" numFmtId="0" xfId="0" applyAlignment="1" applyBorder="1" applyFont="1">
      <alignment horizontal="center" vertical="center"/>
    </xf>
    <xf borderId="50" fillId="0" fontId="3" numFmtId="0" xfId="0" applyBorder="1" applyFont="1"/>
    <xf borderId="8" fillId="2" fontId="1" numFmtId="0" xfId="0" applyAlignment="1" applyBorder="1" applyFont="1">
      <alignment horizontal="right" vertical="center"/>
    </xf>
    <xf borderId="51" fillId="2" fontId="1" numFmtId="0" xfId="0" applyAlignment="1" applyBorder="1" applyFont="1">
      <alignment horizontal="center" vertical="center"/>
    </xf>
    <xf borderId="52" fillId="0" fontId="3" numFmtId="0" xfId="0" applyBorder="1" applyFont="1"/>
    <xf borderId="53" fillId="0" fontId="3" numFmtId="0" xfId="0" applyBorder="1" applyFont="1"/>
    <xf borderId="1" fillId="2" fontId="1" numFmtId="0" xfId="0" applyAlignment="1" applyBorder="1" applyFont="1">
      <alignment horizontal="right" vertical="center"/>
    </xf>
    <xf borderId="5" fillId="2" fontId="1" numFmtId="0" xfId="0" applyAlignment="1" applyBorder="1" applyFont="1">
      <alignment horizontal="left" vertical="center"/>
    </xf>
    <xf borderId="16" fillId="2" fontId="7" numFmtId="0" xfId="0" applyAlignment="1" applyBorder="1" applyFont="1">
      <alignment vertical="top"/>
    </xf>
    <xf borderId="5" fillId="4" fontId="1" numFmtId="0" xfId="0" applyAlignment="1" applyBorder="1" applyFill="1" applyFont="1">
      <alignment horizontal="center" shrinkToFit="1" vertical="center" wrapText="0"/>
    </xf>
    <xf borderId="33" fillId="0" fontId="1" numFmtId="0" xfId="0" applyAlignment="1" applyBorder="1" applyFont="1">
      <alignment horizontal="center" vertical="center"/>
    </xf>
    <xf borderId="25" fillId="2" fontId="1" numFmtId="0" xfId="0" applyBorder="1" applyFont="1"/>
    <xf borderId="38" fillId="0" fontId="3" numFmtId="0" xfId="0" applyBorder="1" applyFont="1"/>
    <xf borderId="5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0</xdr:row>
      <xdr:rowOff>123825</xdr:rowOff>
    </xdr:from>
    <xdr:ext cx="1095375" cy="704850"/>
    <xdr:pic>
      <xdr:nvPicPr>
        <xdr:cNvPr id="0" name="image1.png" title="รูปภาพ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9.25"/>
    <col customWidth="1" min="2" max="2" width="12.0"/>
    <col customWidth="1" min="3" max="3" width="3.75"/>
    <col customWidth="1" min="4" max="4" width="8.0"/>
    <col customWidth="1" min="5" max="5" width="8.63"/>
    <col customWidth="1" min="6" max="6" width="15.25"/>
    <col customWidth="1" min="7" max="7" width="14.63"/>
    <col customWidth="1" min="8" max="8" width="0.63"/>
    <col customWidth="1" min="9" max="9" width="12.75"/>
    <col customWidth="1" min="10" max="10" width="14.13"/>
  </cols>
  <sheetData>
    <row r="1" ht="27.0" customHeight="1">
      <c r="A1" s="1"/>
      <c r="B1" s="1"/>
      <c r="C1" s="2"/>
      <c r="D1" s="3"/>
      <c r="E1" s="3"/>
      <c r="F1" s="3"/>
      <c r="G1" s="3"/>
      <c r="H1" s="3"/>
      <c r="I1" s="4"/>
      <c r="J1" s="5"/>
    </row>
    <row r="2" ht="30.75" customHeight="1">
      <c r="B2" s="6"/>
      <c r="C2" s="7" t="s">
        <v>0</v>
      </c>
      <c r="H2" s="7"/>
      <c r="I2" s="7"/>
      <c r="J2" s="8"/>
    </row>
    <row r="3" ht="29.25" customHeight="1">
      <c r="A3" s="1"/>
      <c r="B3" s="1"/>
      <c r="C3" s="9"/>
      <c r="D3" s="10"/>
      <c r="E3" s="10"/>
      <c r="F3" s="10"/>
      <c r="G3" s="11"/>
      <c r="H3" s="11"/>
      <c r="I3" s="11"/>
      <c r="J3" s="12"/>
    </row>
    <row r="4" ht="29.25" customHeight="1">
      <c r="A4" s="1" t="s">
        <v>1</v>
      </c>
      <c r="B4" s="1"/>
      <c r="C4" s="1"/>
      <c r="D4" s="1"/>
      <c r="E4" s="1"/>
      <c r="F4" s="1"/>
      <c r="G4" s="1"/>
      <c r="H4" s="1"/>
      <c r="I4" s="13" t="s">
        <v>2</v>
      </c>
      <c r="J4" s="14"/>
    </row>
    <row r="5" ht="29.25" customHeight="1">
      <c r="A5" s="15" t="s">
        <v>3</v>
      </c>
      <c r="B5" s="1"/>
      <c r="C5" s="1"/>
      <c r="D5" s="1"/>
      <c r="E5" s="1"/>
      <c r="F5" s="1"/>
      <c r="G5" s="1"/>
      <c r="H5" s="1"/>
      <c r="I5" s="16"/>
      <c r="J5" s="16"/>
    </row>
    <row r="6" ht="26.25" customHeight="1">
      <c r="A6" s="17" t="s">
        <v>4</v>
      </c>
      <c r="B6" s="18"/>
      <c r="C6" s="18"/>
      <c r="D6" s="18"/>
      <c r="E6" s="18"/>
      <c r="F6" s="18"/>
      <c r="G6" s="18"/>
      <c r="H6" s="18"/>
      <c r="I6" s="18"/>
      <c r="J6" s="18"/>
    </row>
    <row r="7" ht="9.0" customHeight="1">
      <c r="A7" s="17"/>
      <c r="B7" s="18"/>
      <c r="C7" s="18"/>
      <c r="D7" s="3"/>
      <c r="E7" s="3"/>
      <c r="F7" s="3"/>
      <c r="G7" s="3"/>
      <c r="H7" s="18"/>
      <c r="I7" s="18"/>
      <c r="J7" s="18"/>
    </row>
    <row r="8" ht="29.25" customHeight="1">
      <c r="A8" s="19" t="s">
        <v>5</v>
      </c>
      <c r="B8" s="20"/>
      <c r="C8" s="20"/>
      <c r="D8" s="21" t="s">
        <v>6</v>
      </c>
      <c r="E8" s="22"/>
      <c r="F8" s="22"/>
      <c r="G8" s="23"/>
      <c r="H8" s="24"/>
      <c r="I8" s="25"/>
      <c r="J8" s="26"/>
    </row>
    <row r="9" ht="26.25" customHeight="1">
      <c r="A9" s="27"/>
      <c r="B9" s="1"/>
      <c r="C9" s="1"/>
      <c r="D9" s="28"/>
      <c r="E9" s="29"/>
      <c r="F9" s="29"/>
      <c r="G9" s="30"/>
      <c r="H9" s="24"/>
      <c r="I9" s="31" t="s">
        <v>7</v>
      </c>
      <c r="J9" s="32" t="s">
        <v>8</v>
      </c>
    </row>
    <row r="10" ht="38.25" customHeight="1">
      <c r="A10" s="27" t="s">
        <v>9</v>
      </c>
      <c r="B10" s="1"/>
      <c r="C10" s="6"/>
      <c r="D10" s="33" t="s">
        <v>10</v>
      </c>
      <c r="G10" s="34"/>
      <c r="H10" s="24"/>
      <c r="I10" s="31"/>
      <c r="J10" s="35"/>
    </row>
    <row r="11" ht="33.75" customHeight="1">
      <c r="A11" s="27"/>
      <c r="B11" s="1"/>
      <c r="C11" s="6"/>
      <c r="D11" s="36"/>
      <c r="E11" s="36"/>
      <c r="F11" s="36"/>
      <c r="G11" s="37"/>
      <c r="H11" s="24"/>
      <c r="I11" s="31" t="s">
        <v>11</v>
      </c>
      <c r="J11" s="38">
        <f>C20</f>
        <v>244279</v>
      </c>
    </row>
    <row r="12" ht="29.25" customHeight="1">
      <c r="A12" s="39" t="s">
        <v>12</v>
      </c>
      <c r="B12" s="40"/>
      <c r="C12" s="40"/>
      <c r="D12" s="41">
        <v>1.05549067284E11</v>
      </c>
      <c r="E12" s="42"/>
      <c r="F12" s="42"/>
      <c r="G12" s="43"/>
      <c r="H12" s="12"/>
      <c r="I12" s="44"/>
      <c r="J12" s="45"/>
    </row>
    <row r="13" ht="10.5" customHeight="1">
      <c r="A13" s="1"/>
      <c r="B13" s="1"/>
      <c r="C13" s="1"/>
      <c r="D13" s="46"/>
      <c r="E13" s="47"/>
      <c r="F13" s="47"/>
      <c r="G13" s="48"/>
      <c r="H13" s="12"/>
      <c r="I13" s="18"/>
      <c r="J13" s="18"/>
    </row>
    <row r="14" ht="29.25" customHeight="1">
      <c r="A14" s="49" t="s">
        <v>13</v>
      </c>
      <c r="B14" s="50" t="s">
        <v>14</v>
      </c>
      <c r="C14" s="51"/>
      <c r="D14" s="51"/>
      <c r="E14" s="51"/>
      <c r="F14" s="52"/>
      <c r="G14" s="53" t="s">
        <v>15</v>
      </c>
      <c r="H14" s="54"/>
      <c r="I14" s="55" t="s">
        <v>16</v>
      </c>
      <c r="J14" s="49" t="s">
        <v>17</v>
      </c>
    </row>
    <row r="15">
      <c r="A15" s="56" t="s">
        <v>18</v>
      </c>
      <c r="B15" s="57" t="s">
        <v>19</v>
      </c>
      <c r="C15" s="58"/>
      <c r="D15" s="58"/>
      <c r="E15" s="58"/>
      <c r="F15" s="59"/>
      <c r="G15" s="60" t="s">
        <v>20</v>
      </c>
      <c r="H15" s="61"/>
      <c r="I15" s="62" t="s">
        <v>21</v>
      </c>
      <c r="J15" s="56" t="s">
        <v>22</v>
      </c>
    </row>
    <row r="16">
      <c r="A16" s="63">
        <v>1.0</v>
      </c>
      <c r="B16" s="64" t="s">
        <v>23</v>
      </c>
      <c r="C16" s="65"/>
      <c r="D16" s="65"/>
      <c r="E16" s="65"/>
      <c r="F16" s="66"/>
      <c r="G16" s="67">
        <v>1.0</v>
      </c>
      <c r="H16" s="66"/>
      <c r="I16" s="68">
        <v>400.0</v>
      </c>
      <c r="J16" s="69">
        <f t="shared" ref="J16:J17" si="1">I16*G16</f>
        <v>400</v>
      </c>
    </row>
    <row r="17" ht="22.5" customHeight="1">
      <c r="A17" s="70"/>
      <c r="B17" s="64"/>
      <c r="C17" s="65"/>
      <c r="D17" s="65"/>
      <c r="E17" s="65"/>
      <c r="F17" s="66"/>
      <c r="G17" s="71"/>
      <c r="H17" s="66"/>
      <c r="I17" s="72"/>
      <c r="J17" s="69">
        <f t="shared" si="1"/>
        <v>0</v>
      </c>
    </row>
    <row r="18" ht="22.5" customHeight="1">
      <c r="A18" s="63"/>
      <c r="B18" s="73"/>
      <c r="C18" s="17"/>
      <c r="D18" s="17"/>
      <c r="E18" s="17"/>
      <c r="F18" s="74"/>
      <c r="G18" s="75"/>
      <c r="H18" s="76"/>
      <c r="I18" s="77"/>
      <c r="J18" s="78"/>
    </row>
    <row r="19">
      <c r="A19" s="63"/>
      <c r="B19" s="79" t="s">
        <v>24</v>
      </c>
      <c r="C19" s="80">
        <v>244278.0</v>
      </c>
      <c r="D19" s="81"/>
      <c r="E19" s="1"/>
      <c r="F19" s="82"/>
      <c r="G19" s="83"/>
      <c r="H19" s="84"/>
      <c r="I19" s="77"/>
      <c r="J19" s="78">
        <f t="shared" ref="J19:J28" si="2">ROUND(G19*I19,2)</f>
        <v>0</v>
      </c>
    </row>
    <row r="20">
      <c r="A20" s="63"/>
      <c r="B20" s="79" t="s">
        <v>25</v>
      </c>
      <c r="C20" s="85">
        <f>C19+G16</f>
        <v>244279</v>
      </c>
      <c r="D20" s="81"/>
      <c r="E20" s="1"/>
      <c r="F20" s="82"/>
      <c r="G20" s="83"/>
      <c r="H20" s="84"/>
      <c r="I20" s="77"/>
      <c r="J20" s="78">
        <f t="shared" si="2"/>
        <v>0</v>
      </c>
    </row>
    <row r="21" ht="22.5" customHeight="1">
      <c r="A21" s="63"/>
      <c r="B21" s="86"/>
      <c r="C21" s="87"/>
      <c r="D21" s="87"/>
      <c r="E21" s="87"/>
      <c r="F21" s="84"/>
      <c r="G21" s="83"/>
      <c r="H21" s="84"/>
      <c r="I21" s="77"/>
      <c r="J21" s="78">
        <f t="shared" si="2"/>
        <v>0</v>
      </c>
    </row>
    <row r="22" ht="22.5" customHeight="1">
      <c r="A22" s="63"/>
      <c r="B22" s="88"/>
      <c r="C22" s="89"/>
      <c r="D22" s="89"/>
      <c r="E22" s="89"/>
      <c r="F22" s="90"/>
      <c r="G22" s="83"/>
      <c r="H22" s="84"/>
      <c r="I22" s="77"/>
      <c r="J22" s="78">
        <f t="shared" si="2"/>
        <v>0</v>
      </c>
    </row>
    <row r="23" ht="21.75" customHeight="1">
      <c r="A23" s="63"/>
      <c r="B23" s="88"/>
      <c r="C23" s="89"/>
      <c r="D23" s="89"/>
      <c r="E23" s="89"/>
      <c r="F23" s="90"/>
      <c r="G23" s="83"/>
      <c r="H23" s="84"/>
      <c r="I23" s="77"/>
      <c r="J23" s="78">
        <f t="shared" si="2"/>
        <v>0</v>
      </c>
    </row>
    <row r="24" ht="23.25" customHeight="1">
      <c r="A24" s="63"/>
      <c r="B24" s="88"/>
      <c r="C24" s="89"/>
      <c r="D24" s="89"/>
      <c r="E24" s="89"/>
      <c r="F24" s="90"/>
      <c r="G24" s="83"/>
      <c r="H24" s="84"/>
      <c r="I24" s="77"/>
      <c r="J24" s="78">
        <f t="shared" si="2"/>
        <v>0</v>
      </c>
    </row>
    <row r="25" ht="23.25" customHeight="1">
      <c r="A25" s="63"/>
      <c r="B25" s="88"/>
      <c r="C25" s="89"/>
      <c r="D25" s="89"/>
      <c r="E25" s="89"/>
      <c r="F25" s="90"/>
      <c r="G25" s="83"/>
      <c r="H25" s="84"/>
      <c r="I25" s="77"/>
      <c r="J25" s="78">
        <f t="shared" si="2"/>
        <v>0</v>
      </c>
    </row>
    <row r="26" ht="18.75" customHeight="1">
      <c r="A26" s="63"/>
      <c r="B26" s="88"/>
      <c r="C26" s="89"/>
      <c r="D26" s="89"/>
      <c r="E26" s="89"/>
      <c r="F26" s="90"/>
      <c r="G26" s="83"/>
      <c r="H26" s="84"/>
      <c r="I26" s="77"/>
      <c r="J26" s="78">
        <f t="shared" si="2"/>
        <v>0</v>
      </c>
    </row>
    <row r="27" ht="22.5" customHeight="1">
      <c r="A27" s="63"/>
      <c r="B27" s="88"/>
      <c r="C27" s="89"/>
      <c r="D27" s="89"/>
      <c r="E27" s="89"/>
      <c r="F27" s="90"/>
      <c r="G27" s="83"/>
      <c r="H27" s="84"/>
      <c r="I27" s="77"/>
      <c r="J27" s="78">
        <f t="shared" si="2"/>
        <v>0</v>
      </c>
    </row>
    <row r="28" ht="22.5" customHeight="1">
      <c r="A28" s="56"/>
      <c r="B28" s="91"/>
      <c r="C28" s="58"/>
      <c r="D28" s="58"/>
      <c r="E28" s="58"/>
      <c r="F28" s="59"/>
      <c r="G28" s="92"/>
      <c r="H28" s="59"/>
      <c r="I28" s="93"/>
      <c r="J28" s="94">
        <f t="shared" si="2"/>
        <v>0</v>
      </c>
    </row>
    <row r="29">
      <c r="A29" s="95" t="s">
        <v>26</v>
      </c>
      <c r="B29" s="96"/>
      <c r="C29" s="10"/>
      <c r="D29" s="9"/>
      <c r="F29" s="97"/>
      <c r="G29" s="98" t="s">
        <v>27</v>
      </c>
      <c r="H29" s="51"/>
      <c r="I29" s="99"/>
      <c r="J29" s="69">
        <f>SUM(J16:J28)*100/107</f>
        <v>373.8317757</v>
      </c>
    </row>
    <row r="30" ht="29.25" customHeight="1">
      <c r="A30" s="27"/>
      <c r="B30" s="6"/>
      <c r="C30" s="10"/>
      <c r="D30" s="9"/>
      <c r="E30" s="100"/>
      <c r="F30" s="74"/>
      <c r="G30" s="101" t="s">
        <v>28</v>
      </c>
      <c r="H30" s="58"/>
      <c r="I30" s="102"/>
      <c r="J30" s="103"/>
    </row>
    <row r="31">
      <c r="A31" s="27"/>
      <c r="B31" s="1"/>
      <c r="C31" s="10"/>
      <c r="D31" s="9"/>
      <c r="E31" s="104"/>
      <c r="F31" s="82"/>
      <c r="G31" s="98" t="s">
        <v>29</v>
      </c>
      <c r="H31" s="51"/>
      <c r="I31" s="99"/>
      <c r="J31" s="69">
        <f>ROUND(J29*7%,2)</f>
        <v>26.17</v>
      </c>
    </row>
    <row r="32">
      <c r="A32" s="27"/>
      <c r="B32" s="1"/>
      <c r="C32" s="105"/>
      <c r="D32" s="81"/>
      <c r="E32" s="104"/>
      <c r="F32" s="38"/>
      <c r="G32" s="101" t="s">
        <v>30</v>
      </c>
      <c r="H32" s="58"/>
      <c r="I32" s="102"/>
      <c r="J32" s="103"/>
    </row>
    <row r="33">
      <c r="A33" s="106" t="s">
        <v>31</v>
      </c>
      <c r="B33" s="107" t="str">
        <f>CONCATENATE("( ",BAHTTEXT(J33)," )")</f>
        <v>( สี่ร้อยบาทถ้วน )</v>
      </c>
      <c r="C33" s="87"/>
      <c r="D33" s="87"/>
      <c r="E33" s="87"/>
      <c r="F33" s="84"/>
      <c r="G33" s="108" t="s">
        <v>32</v>
      </c>
      <c r="H33" s="22"/>
      <c r="I33" s="23"/>
      <c r="J33" s="69">
        <f>J29+J31</f>
        <v>400.0017757</v>
      </c>
    </row>
    <row r="34" ht="29.25" customHeight="1">
      <c r="A34" s="44"/>
      <c r="B34" s="109"/>
      <c r="C34" s="109"/>
      <c r="D34" s="109"/>
      <c r="E34" s="109"/>
      <c r="F34" s="45"/>
      <c r="G34" s="110"/>
      <c r="H34" s="42"/>
      <c r="I34" s="111"/>
      <c r="J34" s="103"/>
    </row>
    <row r="35" ht="6.75" customHeight="1">
      <c r="A35" s="1"/>
      <c r="B35" s="18"/>
      <c r="C35" s="18"/>
      <c r="D35" s="18"/>
      <c r="E35" s="18"/>
      <c r="F35" s="18"/>
      <c r="G35" s="18"/>
      <c r="H35" s="18"/>
      <c r="I35" s="18"/>
      <c r="J35" s="10"/>
    </row>
    <row r="36" ht="29.25" customHeight="1">
      <c r="A36" s="1"/>
      <c r="B36" s="18"/>
      <c r="C36" s="18"/>
      <c r="D36" s="18"/>
      <c r="E36" s="18"/>
      <c r="F36" s="18"/>
      <c r="G36" s="18"/>
      <c r="H36" s="18"/>
      <c r="I36" s="18"/>
      <c r="J36" s="18"/>
    </row>
    <row r="37" ht="29.25" customHeight="1">
      <c r="A37" s="1"/>
      <c r="B37" s="18"/>
      <c r="C37" s="18"/>
      <c r="D37" s="18"/>
      <c r="E37" s="18"/>
      <c r="F37" s="18"/>
      <c r="G37" s="18"/>
      <c r="H37" s="18"/>
      <c r="I37" s="18"/>
      <c r="J37" s="18"/>
    </row>
    <row r="38" ht="29.25" customHeight="1">
      <c r="A38" s="1"/>
      <c r="B38" s="18"/>
      <c r="C38" s="18"/>
      <c r="D38" s="18"/>
      <c r="E38" s="18"/>
      <c r="F38" s="18"/>
      <c r="G38" s="18"/>
      <c r="H38" s="18"/>
      <c r="I38" s="18"/>
      <c r="J38" s="18"/>
    </row>
    <row r="39" ht="29.25" customHeight="1">
      <c r="A39" s="18" t="s">
        <v>33</v>
      </c>
      <c r="B39" s="18"/>
      <c r="C39" s="18"/>
      <c r="D39" s="18"/>
      <c r="E39" s="18"/>
      <c r="F39" s="18"/>
      <c r="G39" s="18" t="s">
        <v>34</v>
      </c>
      <c r="H39" s="18"/>
      <c r="I39" s="18"/>
      <c r="J39" s="18"/>
    </row>
    <row r="40" ht="29.25" customHeight="1">
      <c r="A40" s="18" t="s">
        <v>35</v>
      </c>
      <c r="B40" s="18"/>
      <c r="C40" s="18"/>
      <c r="D40" s="18"/>
      <c r="E40" s="18"/>
      <c r="F40" s="18"/>
      <c r="G40" s="18" t="s">
        <v>36</v>
      </c>
      <c r="H40" s="18"/>
      <c r="I40" s="18"/>
      <c r="J40" s="18"/>
    </row>
  </sheetData>
  <mergeCells count="42">
    <mergeCell ref="I1:J1"/>
    <mergeCell ref="C2:G2"/>
    <mergeCell ref="I4:J4"/>
    <mergeCell ref="D8:G9"/>
    <mergeCell ref="D10:G11"/>
    <mergeCell ref="D12:F12"/>
    <mergeCell ref="B14:F14"/>
    <mergeCell ref="G19:H19"/>
    <mergeCell ref="G20:H20"/>
    <mergeCell ref="B15:F15"/>
    <mergeCell ref="B16:F16"/>
    <mergeCell ref="G16:H16"/>
    <mergeCell ref="B17:F17"/>
    <mergeCell ref="G17:H17"/>
    <mergeCell ref="C19:D19"/>
    <mergeCell ref="C20:D20"/>
    <mergeCell ref="B21:F21"/>
    <mergeCell ref="G21:H21"/>
    <mergeCell ref="B22:F22"/>
    <mergeCell ref="G22:H22"/>
    <mergeCell ref="B23:F23"/>
    <mergeCell ref="G23:H23"/>
    <mergeCell ref="G24:H24"/>
    <mergeCell ref="B24:F24"/>
    <mergeCell ref="B25:F25"/>
    <mergeCell ref="G25:H25"/>
    <mergeCell ref="B26:F26"/>
    <mergeCell ref="G26:H26"/>
    <mergeCell ref="B27:F27"/>
    <mergeCell ref="G27:H27"/>
    <mergeCell ref="G31:I31"/>
    <mergeCell ref="G32:I32"/>
    <mergeCell ref="G33:I34"/>
    <mergeCell ref="J33:J34"/>
    <mergeCell ref="B28:F28"/>
    <mergeCell ref="G28:H28"/>
    <mergeCell ref="G29:I29"/>
    <mergeCell ref="J29:J30"/>
    <mergeCell ref="G30:I30"/>
    <mergeCell ref="J31:J32"/>
    <mergeCell ref="C32:D32"/>
    <mergeCell ref="B33:F33"/>
  </mergeCells>
  <printOptions horizontalCentered="1"/>
  <pageMargins bottom="0.25" footer="0.0" header="0.0" left="0.28" right="0.25" top="0.39991916114138254"/>
  <pageSetup paperSize="9" orientation="portrait"/>
  <drawing r:id="rId1"/>
</worksheet>
</file>
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ดชบอร์ด" sheetId="1" r:id="rId5"/>
    <sheet state="visible" name="การทำธุรกรรม" sheetId="2" r:id="rId6"/>
    <sheet state="visible" name="หมวดหมู่" sheetId="3" r:id="rId7"/>
    <sheet state="visible" name="โครงการ" sheetId="4" r:id="rId8"/>
  </sheets>
  <definedNames/>
  <calcPr/>
</workbook>
</file>

<file path=xl/sharedStrings.xml><?xml version="1.0" encoding="utf-8"?>
<sst xmlns="http://schemas.openxmlformats.org/spreadsheetml/2006/main" count="126" uniqueCount="73">
  <si>
    <t>เลือกปี</t>
  </si>
  <si>
    <t>รายรับ</t>
  </si>
  <si>
    <t>ค่าใช้จ่าย</t>
  </si>
  <si>
    <t>สรุปปี</t>
  </si>
  <si>
    <t>เลือกเดือน</t>
  </si>
  <si>
    <t>โปรเจค</t>
  </si>
  <si>
    <t>🟢 รายรับรวมประจำเดือน</t>
  </si>
  <si>
    <t>🔺 รายจ่ายรวมประจำเดือน</t>
  </si>
  <si>
    <t>💰 รายรับรวม</t>
  </si>
  <si>
    <t>💸​ รายจ่ายรวม</t>
  </si>
  <si>
    <t>คงเหลือ</t>
  </si>
  <si>
    <t>รายรับทั้งปี</t>
  </si>
  <si>
    <t>รายจ่ายทั้งปี</t>
  </si>
  <si>
    <t>ลำดับ</t>
  </si>
  <si>
    <t>เดือนที่</t>
  </si>
  <si>
    <t>รายจ่าย</t>
  </si>
  <si>
    <t>คงเหลือสะสม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</si>
  <si>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</si>
  <si>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</si>
  <si>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</si>
  <si>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</si>
  <si>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</si>
  <si>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</si>
  <si>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</si>
  <si>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</si>
  <si>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</si>
  <si>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</si>
  <si>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</si>
  <si>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</si>
  <si>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รวมทั้งปี</t>
  </si>
  <si>
    <t>วันที่</t>
  </si>
  <si>
    <t>ประเภท</t>
  </si>
  <si>
    <t>รายการ</t>
  </si>
  <si>
    <t>หมวดหมู่</t>
  </si>
  <si>
    <t>จำนวนเงิน</t>
  </si>
  <si>
    <t>โครงการ</t>
  </si>
  <si>
    <t>เงินเดือน</t>
  </si>
  <si>
    <t>เงินเดือนหลัก</t>
  </si>
  <si>
    <t>ตัดผม</t>
  </si>
  <si>
    <t>สุขภาพ</t>
  </si>
  <si>
    <t>โบนัส</t>
  </si>
  <si>
    <t>Affiliate</t>
  </si>
  <si>
    <t>มัดจำงาน</t>
  </si>
  <si>
    <t>งานพี่เอ</t>
  </si>
  <si>
    <t>ซื้อเสื้อ</t>
  </si>
  <si>
    <t>วัตถุดิบ</t>
  </si>
  <si>
    <t>ค่าขนส่ง</t>
  </si>
  <si>
    <t>ค่าเดินทาง</t>
  </si>
  <si>
    <t>เงิน Youtube</t>
  </si>
  <si>
    <t>เงินจาก Youtube</t>
  </si>
  <si>
    <t>ดอกเบี้ย</t>
  </si>
  <si>
    <t>ค่าอาหาร</t>
  </si>
  <si>
    <t>ค่าเช่า</t>
  </si>
  <si>
    <t>ซื้อหวย</t>
  </si>
  <si>
    <t>บันเทิง</t>
  </si>
  <si>
    <t>ค่าเรียนพิเศษ</t>
  </si>
  <si>
    <t>เกี่ยวกับลูก</t>
  </si>
  <si>
    <t>ซื้อของใช้ในบ้าน</t>
  </si>
  <si>
    <t>เกี่ยวกับครอบครัว</t>
  </si>
  <si>
    <t>ทอดผ้าป่า</t>
  </si>
  <si>
    <t>ทำบุญ</t>
  </si>
  <si>
    <t>เงินเดือนประจำ</t>
  </si>
  <si>
    <t>ฟิตเนส</t>
  </si>
  <si>
    <t>รับจ้างทั่วไป</t>
  </si>
  <si>
    <t>CategoryName</t>
  </si>
  <si>
    <t>Type</t>
  </si>
  <si>
    <t>ProjectName</t>
  </si>
  <si>
    <t>รวมรายรับ</t>
  </si>
  <si>
    <t>รวมรายจ่าย</t>
  </si>
  <si>
    <t>กำไร/ขาดทุน</t>
  </si>
  <si>
    <t>โปรเจกต์ A</t>
  </si>
  <si>
    <t>โปรเจกต์ B</t>
  </si>
  <si>
    <t>โปรเจกต์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</si>
</sst>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"/>
    <numFmt numFmtId="165" formatCode="[$฿-41E]#,##0.00"/>
    <numFmt numFmtId="166" formatCode="dd/mm/yyyy"/>
    <numFmt numFmtId="167" formatCode="_([$฿-41E]* #,##0.00_);_([$฿-41E]* \(#,##0.00\);_([$฿-41E]* &quot;-&quot;??_);_(@_)"/>
  </numFmts>
  <fonts count="7">
    <font>
      <sz val="10.0"/>
      <color rgb="FF000000"/>
      <name val="Arial"/>
      <scheme val="minor"/>
    </font>
    <font>
      <b/>
      <color theme="1"/>
      <name val="Noto Sans Thai"/>
    </font>
    <font>
      <color theme="1"/>
      <name val="Noto Sans Thai"/>
    </font>
    <font>
      <b/>
      <sz val="14.0"/>
      <color theme="1"/>
      <name val="Noto Sans Thai"/>
    </font>
    <font>
      <color theme="1"/>
      <name val="Arial"/>
      <scheme val="minor"/>
    </font>
    <font>
      <color theme="1"/>
      <name val="Arial"/>
    </font>
    <font>
      <b/>
      <color rgb="FFFFFFFF"/>
      <name val="Noto Sans Tha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2" numFmtId="0" xfId="0" applyFill="1" applyFont="1"/>
    <xf borderId="0" fillId="3" fontId="3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3" fontId="2" numFmtId="165" xfId="0" applyAlignment="1" applyFont="1" applyNumberFormat="1">
      <alignment horizontal="right" vertical="bottom"/>
    </xf>
    <xf borderId="0" fillId="0" fontId="4" numFmtId="165" xfId="0" applyFont="1" applyNumberFormat="1"/>
    <xf borderId="0" fillId="6" fontId="1" numFmtId="0" xfId="0" applyAlignment="1" applyFill="1" applyFont="1">
      <alignment horizontal="center"/>
    </xf>
    <xf borderId="0" fillId="6" fontId="1" numFmtId="49" xfId="0" applyAlignment="1" applyFont="1" applyNumberFormat="1">
      <alignment horizontal="center" vertical="bottom"/>
    </xf>
    <xf borderId="0" fillId="6" fontId="1" numFmtId="49" xfId="0" applyAlignment="1" applyFont="1" applyNumberFormat="1">
      <alignment horizontal="center" readingOrder="0" vertical="bottom"/>
    </xf>
    <xf borderId="0" fillId="0" fontId="2" numFmtId="166" xfId="0" applyAlignment="1" applyFont="1" applyNumberFormat="1">
      <alignment horizont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0" xfId="0" applyFont="1"/>
    <xf borderId="0" fillId="3" fontId="5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4" xfId="0" applyAlignment="1" applyFont="1" applyNumberFormat="1">
      <alignment horizontal="center" vertical="bottom"/>
    </xf>
    <xf borderId="0" fillId="3" fontId="2" numFmtId="0" xfId="0" applyAlignment="1" applyFont="1">
      <alignment horizontal="center"/>
    </xf>
    <xf borderId="0" fillId="7" fontId="6" numFmtId="49" xfId="0" applyAlignment="1" applyFill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3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1" numFmtId="167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'แดชบอร์ด'!$P$15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'แดชบอร์ด'!$N$16:$N$27</c:f>
            </c:strRef>
          </c:cat>
          <c:val>
            <c:numRef>
              <c:f>'แดชบอร์ด'!$P$16:$P$27</c:f>
              <c:numCache/>
            </c:numRef>
          </c:val>
        </c:ser>
        <c:ser>
          <c:idx val="1"/>
          <c:order val="1"/>
          <c:tx>
            <c:strRef>
              <c:f>'แดชบอร์ด'!$Q$15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'แดชบอร์ด'!$N$16:$N$27</c:f>
            </c:strRef>
          </c:cat>
          <c:val>
            <c:numRef>
              <c:f>'แดชบอร์ด'!$Q$16:$Q$27</c:f>
              <c:numCache/>
            </c:numRef>
          </c:val>
        </c:ser>
        <c:axId val="1532473511"/>
        <c:axId val="1232719"/>
      </c:barChart>
      <c:catAx>
        <c:axId val="1532473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719"/>
      </c:catAx>
      <c:valAx>
        <c:axId val="1232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473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4</xdr:row>
      <xdr:rowOff>19050</xdr:rowOff>
    </xdr:from>
    <xdr:ext cx="3590925" cy="1781175"/>
    <xdr:pic>
      <xdr:nvPicPr>
        <xdr:cNvPr id="941031426" name="Chart1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3</xdr:row>
      <xdr:rowOff>171450</xdr:rowOff>
    </xdr:from>
    <xdr:ext cx="3590925" cy="1781175"/>
    <xdr:pic>
      <xdr:nvPicPr>
        <xdr:cNvPr id="223757231" name="Chart2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1</xdr:row>
      <xdr:rowOff>38100</xdr:rowOff>
    </xdr:from>
    <xdr:ext cx="5715000" cy="2419350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2.63"/>
    <col customWidth="1" min="3" max="3" width="5.38"/>
    <col customWidth="1" min="5" max="5" width="18.63"/>
    <col customWidth="1" min="8" max="8" width="5.13"/>
    <col customWidth="1" min="10" max="10" width="18.88"/>
    <col customWidth="1" min="13" max="13" width="5.13"/>
  </cols>
  <sheetData>
    <row r="1" ht="36.0" customHeight="1">
      <c r="A1" s="1" t="s">
        <v>0</v>
      </c>
      <c r="B1" s="2">
        <v>2025.0</v>
      </c>
      <c r="C1" s="3"/>
      <c r="D1" s="4" t="s">
        <v>1</v>
      </c>
      <c r="H1" s="3"/>
      <c r="I1" s="5" t="s">
        <v>2</v>
      </c>
      <c r="M1" s="3"/>
      <c r="N1" s="6" t="s">
        <v>3</v>
      </c>
    </row>
    <row r="2">
      <c r="A2" s="7" t="s">
        <v>4</v>
      </c>
      <c r="B2" s="2">
        <v>6.0</v>
      </c>
      <c r="C2" s="3"/>
      <c r="D2" s="8"/>
      <c r="E2" s="8"/>
      <c r="F2" s="8"/>
      <c r="G2" s="8"/>
      <c r="H2" s="3"/>
      <c r="I2" s="8"/>
      <c r="J2" s="8"/>
      <c r="K2" s="8"/>
      <c r="L2" s="8"/>
      <c r="M2" s="3"/>
      <c r="N2" s="8"/>
      <c r="O2" s="8"/>
      <c r="P2" s="8"/>
      <c r="Q2" s="8"/>
      <c r="R2" s="8"/>
      <c r="S2" s="8"/>
    </row>
    <row r="3">
      <c r="A3" s="1" t="s">
        <v>5</v>
      </c>
      <c r="B3" s="2"/>
      <c r="C3" s="3"/>
      <c r="D3" s="8"/>
      <c r="E3" s="9" t="s">
        <v>6</v>
      </c>
      <c r="F3" s="10">
        <f>SUM(G16:G28)</f>
        <v>20150</v>
      </c>
      <c r="G3" s="8"/>
      <c r="H3" s="3"/>
      <c r="I3" s="8"/>
      <c r="J3" s="9" t="s">
        <v>7</v>
      </c>
      <c r="K3" s="10">
        <f>SUM(L16:L28)</f>
        <v>11950</v>
      </c>
      <c r="L3" s="8"/>
      <c r="M3" s="3"/>
      <c r="N3" s="8"/>
      <c r="O3" s="8"/>
      <c r="P3" s="8"/>
      <c r="Q3" s="8"/>
      <c r="R3" s="8"/>
      <c r="S3" s="8"/>
    </row>
    <row r="4">
      <c r="A4" s="11"/>
      <c r="B4" s="11"/>
      <c r="C4" s="3"/>
      <c r="D4" s="8"/>
      <c r="E4" s="8"/>
      <c r="F4" s="8"/>
      <c r="G4" s="8"/>
      <c r="H4" s="3"/>
      <c r="I4" s="8"/>
      <c r="J4" s="8"/>
      <c r="K4" s="8"/>
      <c r="L4" s="8"/>
      <c r="M4" s="3"/>
      <c r="N4" s="8"/>
      <c r="O4" s="8"/>
      <c r="P4" s="8"/>
      <c r="Q4" s="8"/>
      <c r="R4" s="8"/>
      <c r="S4" s="8"/>
    </row>
    <row r="5">
      <c r="A5" s="11"/>
      <c r="B5" s="11"/>
      <c r="C5" s="3"/>
      <c r="D5" s="8"/>
      <c r="E5" s="8"/>
      <c r="F5" s="8"/>
      <c r="G5" s="8"/>
      <c r="H5" s="3"/>
      <c r="I5" s="8"/>
      <c r="J5" s="8"/>
      <c r="K5" s="8"/>
      <c r="L5" s="8"/>
      <c r="M5" s="3"/>
      <c r="N5" s="8"/>
      <c r="O5" s="8"/>
      <c r="P5" s="8"/>
      <c r="Q5" s="8"/>
      <c r="R5" s="8"/>
      <c r="S5" s="8"/>
    </row>
    <row r="6">
      <c r="A6" s="1" t="s">
        <v>8</v>
      </c>
      <c r="B6" s="12">
        <f>F3</f>
        <v>20150</v>
      </c>
      <c r="C6" s="3"/>
      <c r="D6" s="8"/>
      <c r="E6" s="8"/>
      <c r="F6" s="8"/>
      <c r="G6" s="8"/>
      <c r="H6" s="3"/>
      <c r="I6" s="8"/>
      <c r="J6" s="8"/>
      <c r="K6" s="8"/>
      <c r="L6" s="8"/>
      <c r="M6" s="3"/>
      <c r="N6" s="8"/>
      <c r="O6" s="8"/>
      <c r="P6" s="8"/>
      <c r="Q6" s="8"/>
      <c r="R6" s="8"/>
      <c r="S6" s="8"/>
    </row>
    <row r="7">
      <c r="A7" s="1" t="s">
        <v>9</v>
      </c>
      <c r="B7" s="12">
        <f>K3</f>
        <v>11950</v>
      </c>
      <c r="C7" s="3"/>
      <c r="D7" s="8"/>
      <c r="E7" s="8"/>
      <c r="F7" s="8"/>
      <c r="G7" s="8"/>
      <c r="H7" s="3"/>
      <c r="I7" s="8"/>
      <c r="J7" s="8"/>
      <c r="K7" s="8"/>
      <c r="L7" s="8"/>
      <c r="M7" s="3"/>
      <c r="N7" s="8"/>
      <c r="O7" s="8"/>
      <c r="P7" s="8"/>
      <c r="Q7" s="8"/>
      <c r="R7" s="8"/>
      <c r="S7" s="8"/>
    </row>
    <row r="8">
      <c r="A8" s="13" t="s">
        <v>10</v>
      </c>
      <c r="B8" s="14">
        <f>B6-B7</f>
        <v>8200</v>
      </c>
      <c r="C8" s="3"/>
      <c r="D8" s="8"/>
      <c r="E8" s="8"/>
      <c r="F8" s="8"/>
      <c r="G8" s="8"/>
      <c r="H8" s="3"/>
      <c r="I8" s="8"/>
      <c r="J8" s="8"/>
      <c r="K8" s="8"/>
      <c r="L8" s="8"/>
      <c r="M8" s="3"/>
      <c r="N8" s="8"/>
      <c r="O8" s="8"/>
      <c r="P8" s="8"/>
      <c r="Q8" s="8"/>
      <c r="R8" s="8"/>
      <c r="S8" s="8"/>
    </row>
    <row r="9">
      <c r="B9" s="15"/>
      <c r="C9" s="3"/>
      <c r="D9" s="8"/>
      <c r="E9" s="8"/>
      <c r="F9" s="8"/>
      <c r="G9" s="8"/>
      <c r="H9" s="3"/>
      <c r="I9" s="8"/>
      <c r="J9" s="8"/>
      <c r="K9" s="8"/>
      <c r="L9" s="8"/>
      <c r="M9" s="3"/>
      <c r="N9" s="8"/>
      <c r="O9" s="8"/>
      <c r="P9" s="8"/>
      <c r="Q9" s="8"/>
      <c r="R9" s="8"/>
      <c r="S9" s="8"/>
    </row>
    <row r="10">
      <c r="B10" s="15"/>
      <c r="C10" s="3"/>
      <c r="D10" s="8"/>
      <c r="E10" s="8"/>
      <c r="F10" s="8"/>
      <c r="G10" s="8"/>
      <c r="H10" s="3"/>
      <c r="I10" s="8"/>
      <c r="J10" s="8"/>
      <c r="K10" s="8"/>
      <c r="L10" s="8"/>
      <c r="M10" s="3"/>
      <c r="N10" s="8"/>
      <c r="O10" s="8"/>
      <c r="P10" s="8"/>
      <c r="Q10" s="8"/>
      <c r="R10" s="8"/>
      <c r="S10" s="8"/>
    </row>
    <row r="11">
      <c r="A11" s="7" t="s">
        <v>11</v>
      </c>
      <c r="B11" s="12">
        <f>IFERROR(__xludf.DUMMYFUNCTION("IFERROR(SUM(FILTER('การทำธุรกรรม'!E:E,YEAR('การทำธุรกรรม'!A:A)=B1,'การทำธุรกรรม'!F:F=B3,'การทำธุรกรรม'!B:B=""รายรับ"")),""-"")"),39830.0)</f>
        <v>39830</v>
      </c>
      <c r="C11" s="3"/>
      <c r="D11" s="8"/>
      <c r="E11" s="8"/>
      <c r="F11" s="8"/>
      <c r="G11" s="8"/>
      <c r="H11" s="3"/>
      <c r="I11" s="8"/>
      <c r="J11" s="8"/>
      <c r="K11" s="8"/>
      <c r="L11" s="8"/>
      <c r="M11" s="3"/>
      <c r="N11" s="8"/>
      <c r="O11" s="8"/>
      <c r="P11" s="8"/>
      <c r="Q11" s="8"/>
      <c r="R11" s="8"/>
      <c r="S11" s="8"/>
    </row>
    <row r="12">
      <c r="A12" s="7" t="s">
        <v>12</v>
      </c>
      <c r="B12" s="12">
        <f>IFERROR(__xludf.DUMMYFUNCTION("IFERROR(SUM(FILTER('การทำธุรกรรม'!E:E,YEAR('การทำธุรกรรม'!A:A)=B1,'การทำธุรกรรม'!F:F=B3,'การทำธุรกรรม'!B:B=""รายจ่าย"")),""-"")"),21920.0)</f>
        <v>21920</v>
      </c>
      <c r="C12" s="3"/>
      <c r="D12" s="8"/>
      <c r="E12" s="8"/>
      <c r="F12" s="8"/>
      <c r="G12" s="8"/>
      <c r="H12" s="3"/>
      <c r="I12" s="8"/>
      <c r="J12" s="8"/>
      <c r="K12" s="8"/>
      <c r="L12" s="8"/>
      <c r="M12" s="3"/>
      <c r="N12" s="8"/>
      <c r="O12" s="8"/>
      <c r="P12" s="8"/>
      <c r="Q12" s="8"/>
      <c r="R12" s="8"/>
      <c r="S12" s="8"/>
    </row>
    <row r="13">
      <c r="A13" s="13" t="s">
        <v>10</v>
      </c>
      <c r="B13" s="14">
        <f>IFERROR(B11-B12,"-")</f>
        <v>17910</v>
      </c>
      <c r="C13" s="3"/>
      <c r="D13" s="8"/>
      <c r="E13" s="8"/>
      <c r="F13" s="8"/>
      <c r="G13" s="8"/>
      <c r="H13" s="3"/>
      <c r="I13" s="8"/>
      <c r="J13" s="8"/>
      <c r="K13" s="8"/>
      <c r="L13" s="8"/>
      <c r="M13" s="3"/>
      <c r="N13" s="8"/>
      <c r="O13" s="8"/>
      <c r="P13" s="8"/>
      <c r="Q13" s="8"/>
      <c r="R13" s="8"/>
      <c r="S13" s="8"/>
    </row>
    <row r="14">
      <c r="C14" s="3"/>
      <c r="D14" s="8"/>
      <c r="E14" s="8"/>
      <c r="F14" s="8"/>
      <c r="G14" s="8"/>
      <c r="H14" s="3"/>
      <c r="I14" s="8"/>
      <c r="J14" s="8"/>
      <c r="K14" s="8"/>
      <c r="L14" s="8"/>
      <c r="M14" s="3"/>
      <c r="N14" s="8"/>
      <c r="O14" s="8"/>
      <c r="P14" s="8"/>
      <c r="Q14" s="8"/>
      <c r="R14" s="8"/>
      <c r="S14" s="8"/>
    </row>
    <row r="15">
      <c r="C15" s="3"/>
      <c r="D15" s="16" t="str">
        <f>IFERROR(__xludf.DUMMYFUNCTION("IF(B3&lt;&gt;"""",QUERY('การทำธุรกรรม'!A:F,""SELECT A,C,D,E WHERE B = 'รายรับ' AND A &gt;= date '""&amp;TEXT(DATE(B1,B2,1),""yyyy-mm-dd"")&amp;""'AND A &lt;= date '""&amp;TEXT(EOMONTH(DATE(B1,B2,1),0),""yyyy-mm-dd"")&amp;""' AND F='""&amp;B3&amp;""'"",1),QUERY('การทำธุรกรรม'!A:F,""SELECT A,"&amp;"C,D,E WHERE B = 'รายรับ' AND A &gt;= date '""&amp;TEXT(DATE(B1,B2,1),""yyyy-mm-dd"")&amp;""'AND A &lt;= date '""&amp;TEXT(EOMONTH(DATE(B1,B2,1),0),""yyyy-mm-dd"")&amp;""'"",1))"),"วันที่")</f>
        <v>วันที่</v>
      </c>
      <c r="E15" s="16" t="str">
        <f>IFERROR(__xludf.DUMMYFUNCTION("""COMPUTED_VALUE"""),"รายการ")</f>
        <v>รายการ</v>
      </c>
      <c r="F15" s="16" t="str">
        <f>IFERROR(__xludf.DUMMYFUNCTION("""COMPUTED_VALUE"""),"หมวดหมู่")</f>
        <v>หมวดหมู่</v>
      </c>
      <c r="G15" s="16" t="str">
        <f>IFERROR(__xludf.DUMMYFUNCTION("""COMPUTED_VALUE"""),"จำนวนเงิน")</f>
        <v>จำนวนเงิน</v>
      </c>
      <c r="H15" s="3"/>
      <c r="I15" s="16" t="str">
        <f>IFERROR(__xludf.DUMMYFUNCTION("ArrayFormula(IF(B3&lt;&gt;"""",QUERY('การทำธุรกรรม'!A:F,""SELECT A,C,D,E WHERE B = 'รายจ่าย' AND A &gt;= date '""&amp;TEXT(DATE(B1,B2,1),""yyyy-mm-dd"")&amp;""'AND A &lt;= date '""&amp;TEXT(EOMONTH(DATE(B1,B2,1),0),""yyyy-mm-dd"")&amp;""' AND F='""&amp;B3&amp;""'"",1),QUERY('การทำธุรกรรม'!A"&amp;":F,""SELECT A,C,D,E WHERE B = 'รายจ่าย' AND A &gt;= date '""&amp;TEXT(DATE(B1,B2,1),""yyyy-mm-dd"")&amp;""'AND A &lt;= date '""&amp;TEXT(EOMONTH(DATE(B1,B2,1),0),""yyyy-mm-dd"")&amp;""'"",1)))"),"วันที่")</f>
        <v>วันที่</v>
      </c>
      <c r="J15" s="16" t="str">
        <f>IFERROR(__xludf.DUMMYFUNCTION("""COMPUTED_VALUE"""),"รายการ")</f>
        <v>รายการ</v>
      </c>
      <c r="K15" s="16" t="str">
        <f>IFERROR(__xludf.DUMMYFUNCTION("""COMPUTED_VALUE"""),"หมวดหมู่")</f>
        <v>หมวดหมู่</v>
      </c>
      <c r="L15" s="16" t="str">
        <f>IFERROR(__xludf.DUMMYFUNCTION("""COMPUTED_VALUE"""),"จำนวนเงิน")</f>
        <v>จำนวนเงิน</v>
      </c>
      <c r="M15" s="3"/>
      <c r="N15" s="17" t="s">
        <v>13</v>
      </c>
      <c r="O15" s="17" t="s">
        <v>14</v>
      </c>
      <c r="P15" s="17" t="s">
        <v>1</v>
      </c>
      <c r="Q15" s="17" t="s">
        <v>15</v>
      </c>
      <c r="R15" s="18" t="s">
        <v>10</v>
      </c>
      <c r="S15" s="18" t="s">
        <v>16</v>
      </c>
    </row>
    <row r="16">
      <c r="C16" s="3"/>
      <c r="D16" s="19">
        <f>IFERROR(__xludf.DUMMYFUNCTION("""COMPUTED_VALUE"""),45809.0)</f>
        <v>45809</v>
      </c>
      <c r="E16" s="8" t="str">
        <f>IFERROR(__xludf.DUMMYFUNCTION("""COMPUTED_VALUE"""),"เงินเดือน")</f>
        <v>เงินเดือน</v>
      </c>
      <c r="F16" s="8" t="str">
        <f>IFERROR(__xludf.DUMMYFUNCTION("""COMPUTED_VALUE"""),"เงินเดือนหลัก")</f>
        <v>เงินเดือนหลัก</v>
      </c>
      <c r="G16" s="10">
        <f>IFERROR(__xludf.DUMMYFUNCTION("""COMPUTED_VALUE"""),10000.0)</f>
        <v>10000</v>
      </c>
      <c r="H16" s="3"/>
      <c r="I16" s="19">
        <f>IFERROR(__xludf.DUMMYFUNCTION("""COMPUTED_VALUE"""),45811.0)</f>
        <v>45811</v>
      </c>
      <c r="J16" s="8" t="str">
        <f>IFERROR(__xludf.DUMMYFUNCTION("""COMPUTED_VALUE"""),"ตัดผม")</f>
        <v>ตัดผม</v>
      </c>
      <c r="K16" s="8" t="str">
        <f>IFERROR(__xludf.DUMMYFUNCTION("""COMPUTED_VALUE"""),"สุขภาพ")</f>
        <v>สุขภาพ</v>
      </c>
      <c r="L16" s="10">
        <f>IFERROR(__xludf.DUMMYFUNCTION("""COMPUTED_VALUE"""),120.0)</f>
        <v>120</v>
      </c>
      <c r="M16" s="3"/>
      <c r="N16" s="20">
        <v>1.0</v>
      </c>
      <c r="O16" s="21" t="s">
        <v>17</v>
      </c>
      <c r="P16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16),0)),IFERROR(SUM(FILTER('การทำธุรกรรม'!$E:$E,YEAR('การทำธุรกรรม'!$A:$A)=$B$1,'การทำธ"&amp;"ุรกรรม'!$B:$B=P$15,MONTH('การทำธุรกรรม'!$A:$A)=$N16),0)))"),"")</f>
        <v/>
      </c>
      <c r="Q16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16),0)),IFERROR(SUM(FILTER('การทำธุรกรรม'!$E:$E,YEAR('การทำธุรกรรม'!$A:$A)=$B$1,'การทำธ"&amp;"ุรกรรม'!$B:$B=Q$15,MONTH('การทำธุรกรรม'!$A:$A)=$N16),0)))"),"")</f>
        <v/>
      </c>
      <c r="R16" s="22">
        <f t="shared" ref="R16:R27" si="1">P16-Q16</f>
        <v>0</v>
      </c>
      <c r="S16" s="22">
        <f>R16</f>
        <v>0</v>
      </c>
    </row>
    <row r="17">
      <c r="A17" s="23"/>
      <c r="B17" s="23"/>
      <c r="C17" s="3"/>
      <c r="D17" s="19">
        <f>IFERROR(__xludf.DUMMYFUNCTION("""COMPUTED_VALUE"""),45811.0)</f>
        <v>45811</v>
      </c>
      <c r="E17" s="8" t="str">
        <f>IFERROR(__xludf.DUMMYFUNCTION("""COMPUTED_VALUE"""),"โบนัส")</f>
        <v>โบนัส</v>
      </c>
      <c r="F17" s="8" t="str">
        <f>IFERROR(__xludf.DUMMYFUNCTION("""COMPUTED_VALUE"""),"เงินเดือนหลัก")</f>
        <v>เงินเดือนหลัก</v>
      </c>
      <c r="G17" s="10">
        <f>IFERROR(__xludf.DUMMYFUNCTION("""COMPUTED_VALUE"""),2000.0)</f>
        <v>2000</v>
      </c>
      <c r="H17" s="3"/>
      <c r="I17" s="19">
        <f>IFERROR(__xludf.DUMMYFUNCTION("""COMPUTED_VALUE"""),45823.0)</f>
        <v>45823</v>
      </c>
      <c r="J17" s="8" t="str">
        <f>IFERROR(__xludf.DUMMYFUNCTION("""COMPUTED_VALUE"""),"ซื้อเสื้อ")</f>
        <v>ซื้อเสื้อ</v>
      </c>
      <c r="K17" s="8" t="str">
        <f>IFERROR(__xludf.DUMMYFUNCTION("""COMPUTED_VALUE"""),"วัตถุดิบ")</f>
        <v>วัตถุดิบ</v>
      </c>
      <c r="L17" s="10">
        <f>IFERROR(__xludf.DUMMYFUNCTION("""COMPUTED_VALUE"""),1500.0)</f>
        <v>1500</v>
      </c>
      <c r="M17" s="3"/>
      <c r="N17" s="20">
        <v>2.0</v>
      </c>
      <c r="O17" s="21" t="s">
        <v>18</v>
      </c>
      <c r="P17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17),0)),IFERROR(SUM(FILTER('การทำธุรกรรม'!$E:$E,YEAR('การทำธุรกรรม'!$A:$A)=$B$1,'การทำธ"&amp;"ุรกรรม'!$B:$B=P$15,MONTH('การทำธุรกรรม'!$A:$A)=$N17),0)))"),"")</f>
        <v/>
      </c>
      <c r="Q17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17),0)),IFERROR(SUM(FILTER('การทำธุรกรรม'!$E:$E,YEAR('การทำธุรกรรม'!$A:$A)=$B$1,'การทำธ"&amp;"ุรกรรม'!$B:$B=Q$15,MONTH('การทำธุรกรรม'!$A:$A)=$N17),0)))"),"")</f>
        <v/>
      </c>
      <c r="R17" s="22">
        <f t="shared" si="1"/>
        <v>0</v>
      </c>
      <c r="S17" s="22">
        <f t="shared" ref="S17:S27" si="2">R17+S16</f>
        <v>0</v>
      </c>
    </row>
    <row r="18">
      <c r="A18" s="23"/>
      <c r="B18" s="23"/>
      <c r="C18" s="3"/>
      <c r="D18" s="19">
        <f>IFERROR(__xludf.DUMMYFUNCTION("""COMPUTED_VALUE"""),45813.0)</f>
        <v>45813</v>
      </c>
      <c r="E18" s="8" t="str">
        <f>IFERROR(__xludf.DUMMYFUNCTION("""COMPUTED_VALUE"""),"โบนัส")</f>
        <v>โบนัส</v>
      </c>
      <c r="F18" s="8" t="str">
        <f>IFERROR(__xludf.DUMMYFUNCTION("""COMPUTED_VALUE"""),"Affiliate")</f>
        <v>Affiliate</v>
      </c>
      <c r="G18" s="10">
        <f>IFERROR(__xludf.DUMMYFUNCTION("""COMPUTED_VALUE"""),150.0)</f>
        <v>150</v>
      </c>
      <c r="H18" s="3"/>
      <c r="I18" s="19">
        <f>IFERROR(__xludf.DUMMYFUNCTION("""COMPUTED_VALUE"""),45824.0)</f>
        <v>45824</v>
      </c>
      <c r="J18" s="8"/>
      <c r="K18" s="8" t="str">
        <f>IFERROR(__xludf.DUMMYFUNCTION("""COMPUTED_VALUE"""),"ค่าขนส่ง")</f>
        <v>ค่าขนส่ง</v>
      </c>
      <c r="L18" s="10">
        <f>IFERROR(__xludf.DUMMYFUNCTION("""COMPUTED_VALUE"""),500.0)</f>
        <v>500</v>
      </c>
      <c r="M18" s="3"/>
      <c r="N18" s="20">
        <v>3.0</v>
      </c>
      <c r="O18" s="21" t="s">
        <v>19</v>
      </c>
      <c r="P18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18),0)),IFERROR(SUM(FILTER('การทำธุรกรรม'!$E:$E,YEAR('การทำธุรกรรม'!$A:$A)=$B$1,'การทำธ"&amp;"ุรกรรม'!$B:$B=P$15,MONTH('การทำธุรกรรม'!$A:$A)=$N18),0)))"),"")</f>
        <v/>
      </c>
      <c r="Q18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18),0)),IFERROR(SUM(FILTER('การทำธุรกรรม'!$E:$E,YEAR('การทำธุรกรรม'!$A:$A)=$B$1,'การทำธ"&amp;"ุรกรรม'!$B:$B=Q$15,MONTH('การทำธุรกรรม'!$A:$A)=$N18),0)))"),"")</f>
        <v/>
      </c>
      <c r="R18" s="22">
        <f t="shared" si="1"/>
        <v>0</v>
      </c>
      <c r="S18" s="22">
        <f t="shared" si="2"/>
        <v>0</v>
      </c>
    </row>
    <row r="19">
      <c r="A19" s="23"/>
      <c r="B19" s="23"/>
      <c r="C19" s="3"/>
      <c r="D19" s="19">
        <f>IFERROR(__xludf.DUMMYFUNCTION("""COMPUTED_VALUE"""),45823.0)</f>
        <v>45823</v>
      </c>
      <c r="E19" s="8"/>
      <c r="F19" s="8" t="str">
        <f>IFERROR(__xludf.DUMMYFUNCTION("""COMPUTED_VALUE"""),"มัดจำงาน")</f>
        <v>มัดจำงาน</v>
      </c>
      <c r="G19" s="10">
        <f>IFERROR(__xludf.DUMMYFUNCTION("""COMPUTED_VALUE"""),3800.0)</f>
        <v>3800</v>
      </c>
      <c r="H19" s="3"/>
      <c r="I19" s="19">
        <f>IFERROR(__xludf.DUMMYFUNCTION("""COMPUTED_VALUE"""),45825.0)</f>
        <v>45825</v>
      </c>
      <c r="J19" s="8"/>
      <c r="K19" s="8" t="str">
        <f>IFERROR(__xludf.DUMMYFUNCTION("""COMPUTED_VALUE"""),"ค่าเดินทาง")</f>
        <v>ค่าเดินทาง</v>
      </c>
      <c r="L19" s="10">
        <f>IFERROR(__xludf.DUMMYFUNCTION("""COMPUTED_VALUE"""),250.0)</f>
        <v>250</v>
      </c>
      <c r="M19" s="3"/>
      <c r="N19" s="20">
        <v>4.0</v>
      </c>
      <c r="O19" s="21" t="s">
        <v>20</v>
      </c>
      <c r="P19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19),0)),IFERROR(SUM(FILTER('การทำธุรกรรม'!$E:$E,YEAR('การทำธุรกรรม'!$A:$A)=$B$1,'การทำธ"&amp;"ุรกรรม'!$B:$B=P$15,MONTH('การทำธุรกรรม'!$A:$A)=$N19),0)))"),"")</f>
        <v/>
      </c>
      <c r="Q19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19),0)),IFERROR(SUM(FILTER('การทำธุรกรรม'!$E:$E,YEAR('การทำธุรกรรม'!$A:$A)=$B$1,'การทำธ"&amp;"ุรกรรม'!$B:$B=Q$15,MONTH('การทำธุรกรรม'!$A:$A)=$N19),0)))"),"")</f>
        <v/>
      </c>
      <c r="R19" s="22">
        <f t="shared" si="1"/>
        <v>0</v>
      </c>
      <c r="S19" s="22">
        <f t="shared" si="2"/>
        <v>0</v>
      </c>
    </row>
    <row r="20">
      <c r="A20" s="23"/>
      <c r="B20" s="23"/>
      <c r="C20" s="3"/>
      <c r="D20" s="19">
        <f>IFERROR(__xludf.DUMMYFUNCTION("""COMPUTED_VALUE"""),45828.0)</f>
        <v>45828</v>
      </c>
      <c r="E20" s="8" t="str">
        <f>IFERROR(__xludf.DUMMYFUNCTION("""COMPUTED_VALUE"""),"เงิน Youtube")</f>
        <v>เงิน Youtube</v>
      </c>
      <c r="F20" s="8" t="str">
        <f>IFERROR(__xludf.DUMMYFUNCTION("""COMPUTED_VALUE"""),"เงินจาก Youtube")</f>
        <v>เงินจาก Youtube</v>
      </c>
      <c r="G20" s="10">
        <f>IFERROR(__xludf.DUMMYFUNCTION("""COMPUTED_VALUE"""),4000.0)</f>
        <v>4000</v>
      </c>
      <c r="H20" s="3"/>
      <c r="I20" s="19">
        <f>IFERROR(__xludf.DUMMYFUNCTION("""COMPUTED_VALUE"""),45834.0)</f>
        <v>45834</v>
      </c>
      <c r="J20" s="8"/>
      <c r="K20" s="8" t="str">
        <f>IFERROR(__xludf.DUMMYFUNCTION("""COMPUTED_VALUE"""),"ค่าอาหาร")</f>
        <v>ค่าอาหาร</v>
      </c>
      <c r="L20" s="10">
        <f>IFERROR(__xludf.DUMMYFUNCTION("""COMPUTED_VALUE"""),4000.0)</f>
        <v>4000</v>
      </c>
      <c r="M20" s="3"/>
      <c r="N20" s="20">
        <v>5.0</v>
      </c>
      <c r="O20" s="21" t="s">
        <v>21</v>
      </c>
      <c r="P20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20),0)),IFERROR(SUM(FILTER('การทำธุรกรรม'!$E:$E,YEAR('การทำธุรกรรม'!$A:$A)=$B$1,'การทำธ"&amp;"ุรกรรม'!$B:$B=P$15,MONTH('การทำธุรกรรม'!$A:$A)=$N20),0)))"),"")</f>
        <v/>
      </c>
      <c r="Q20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20),0)),IFERROR(SUM(FILTER('การทำธุรกรรม'!$E:$E,YEAR('การทำธุรกรรม'!$A:$A)=$B$1,'การทำธ"&amp;"ุรกรรม'!$B:$B=Q$15,MONTH('การทำธุรกรรม'!$A:$A)=$N20),0)))"),"")</f>
        <v/>
      </c>
      <c r="R20" s="22">
        <f t="shared" si="1"/>
        <v>0</v>
      </c>
      <c r="S20" s="22">
        <f t="shared" si="2"/>
        <v>0</v>
      </c>
    </row>
    <row r="21">
      <c r="A21" s="23"/>
      <c r="B21" s="23"/>
      <c r="C21" s="3"/>
      <c r="D21" s="19">
        <f>IFERROR(__xludf.DUMMYFUNCTION("""COMPUTED_VALUE"""),45828.0)</f>
        <v>45828</v>
      </c>
      <c r="E21" s="8"/>
      <c r="F21" s="8" t="str">
        <f>IFERROR(__xludf.DUMMYFUNCTION("""COMPUTED_VALUE"""),"ดอกเบี้ย")</f>
        <v>ดอกเบี้ย</v>
      </c>
      <c r="G21" s="10">
        <f>IFERROR(__xludf.DUMMYFUNCTION("""COMPUTED_VALUE"""),200.0)</f>
        <v>200</v>
      </c>
      <c r="H21" s="3"/>
      <c r="I21" s="19">
        <f>IFERROR(__xludf.DUMMYFUNCTION("""COMPUTED_VALUE"""),45835.0)</f>
        <v>45835</v>
      </c>
      <c r="J21" s="8"/>
      <c r="K21" s="8" t="str">
        <f>IFERROR(__xludf.DUMMYFUNCTION("""COMPUTED_VALUE"""),"ค่าเช่า")</f>
        <v>ค่าเช่า</v>
      </c>
      <c r="L21" s="10">
        <f>IFERROR(__xludf.DUMMYFUNCTION("""COMPUTED_VALUE"""),2500.0)</f>
        <v>2500</v>
      </c>
      <c r="M21" s="3"/>
      <c r="N21" s="20">
        <v>6.0</v>
      </c>
      <c r="O21" s="21" t="s">
        <v>22</v>
      </c>
      <c r="P21" s="22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21),0)),IFERROR(SUM(FILTER('การทำธุรกรรม'!$E:$E,YEAR('การทำธุรกรรม'!$A:$A)=$B$1,'การทำธ"&amp;"ุรกรรม'!$B:$B=P$15,MONTH('การทำธุรกรรม'!$A:$A)=$N21),0)))"),20150.0)</f>
        <v>20150</v>
      </c>
      <c r="Q21" s="22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21),0)),IFERROR(SUM(FILTER('การทำธุรกรรม'!$E:$E,YEAR('การทำธุรกรรม'!$A:$A)=$B$1,'การทำธ"&amp;"ุรกรรม'!$B:$B=Q$15,MONTH('การทำธุรกรรม'!$A:$A)=$N21),0)))"),11950.0)</f>
        <v>11950</v>
      </c>
      <c r="R21" s="22">
        <f t="shared" si="1"/>
        <v>8200</v>
      </c>
      <c r="S21" s="22">
        <f t="shared" si="2"/>
        <v>8200</v>
      </c>
    </row>
    <row r="22">
      <c r="A22" s="23"/>
      <c r="B22" s="23"/>
      <c r="C22" s="3"/>
      <c r="D22" s="8"/>
      <c r="E22" s="8"/>
      <c r="F22" s="8"/>
      <c r="G22" s="8"/>
      <c r="H22" s="3"/>
      <c r="I22" s="19">
        <f>IFERROR(__xludf.DUMMYFUNCTION("""COMPUTED_VALUE"""),45838.0)</f>
        <v>45838</v>
      </c>
      <c r="J22" s="8" t="str">
        <f>IFERROR(__xludf.DUMMYFUNCTION("""COMPUTED_VALUE"""),"ซื้อหวย")</f>
        <v>ซื้อหวย</v>
      </c>
      <c r="K22" s="8" t="str">
        <f>IFERROR(__xludf.DUMMYFUNCTION("""COMPUTED_VALUE"""),"บันเทิง")</f>
        <v>บันเทิง</v>
      </c>
      <c r="L22" s="10">
        <f>IFERROR(__xludf.DUMMYFUNCTION("""COMPUTED_VALUE"""),300.0)</f>
        <v>300</v>
      </c>
      <c r="M22" s="3"/>
      <c r="N22" s="20">
        <v>7.0</v>
      </c>
      <c r="O22" s="21" t="s">
        <v>23</v>
      </c>
      <c r="P22" s="22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22),0)),IFERROR(SUM(FILTER('การทำธุรกรรม'!$E:$E,YEAR('การทำธุรกรรม'!$A:$A)=$B$1,'การทำธ"&amp;"ุรกรรม'!$B:$B=P$15,MONTH('การทำธุรกรรม'!$A:$A)=$N22),0)))"),23480.0)</f>
        <v>23480</v>
      </c>
      <c r="Q22" s="22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22),0)),IFERROR(SUM(FILTER('การทำธุรกรรม'!$E:$E,YEAR('การทำธุรกรรม'!$A:$A)=$B$1,'การทำธ"&amp;"ุรกรรม'!$B:$B=Q$15,MONTH('การทำธุรกรรม'!$A:$A)=$N22),0)))"),12220.0)</f>
        <v>12220</v>
      </c>
      <c r="R22" s="22">
        <f t="shared" si="1"/>
        <v>11260</v>
      </c>
      <c r="S22" s="22">
        <f t="shared" si="2"/>
        <v>19460</v>
      </c>
    </row>
    <row r="23">
      <c r="A23" s="23"/>
      <c r="B23" s="23"/>
      <c r="C23" s="3"/>
      <c r="D23" s="8"/>
      <c r="E23" s="8"/>
      <c r="F23" s="8"/>
      <c r="G23" s="8"/>
      <c r="H23" s="3"/>
      <c r="I23" s="19">
        <f>IFERROR(__xludf.DUMMYFUNCTION("""COMPUTED_VALUE"""),45838.0)</f>
        <v>45838</v>
      </c>
      <c r="J23" s="8" t="str">
        <f>IFERROR(__xludf.DUMMYFUNCTION("""COMPUTED_VALUE"""),"ค่าเรียนพิเศษ")</f>
        <v>ค่าเรียนพิเศษ</v>
      </c>
      <c r="K23" s="8" t="str">
        <f>IFERROR(__xludf.DUMMYFUNCTION("""COMPUTED_VALUE"""),"เกี่ยวกับลูก")</f>
        <v>เกี่ยวกับลูก</v>
      </c>
      <c r="L23" s="10">
        <f>IFERROR(__xludf.DUMMYFUNCTION("""COMPUTED_VALUE"""),2000.0)</f>
        <v>2000</v>
      </c>
      <c r="M23" s="3"/>
      <c r="N23" s="20">
        <v>8.0</v>
      </c>
      <c r="O23" s="21" t="s">
        <v>24</v>
      </c>
      <c r="P23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23),0)),IFERROR(SUM(FILTER('การทำธุรกรรม'!$E:$E,YEAR('การทำธุรกรรม'!$A:$A)=$B$1,'การทำธ"&amp;"ุรกรรม'!$B:$B=P$15,MONTH('การทำธุรกรรม'!$A:$A)=$N23),0)))"),"")</f>
        <v/>
      </c>
      <c r="Q23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23),0)),IFERROR(SUM(FILTER('การทำธุรกรรม'!$E:$E,YEAR('การทำธุรกรรม'!$A:$A)=$B$1,'การทำธ"&amp;"ุรกรรม'!$B:$B=Q$15,MONTH('การทำธุรกรรม'!$A:$A)=$N23),0)))"),"")</f>
        <v/>
      </c>
      <c r="R23" s="22">
        <f t="shared" si="1"/>
        <v>0</v>
      </c>
      <c r="S23" s="22">
        <f t="shared" si="2"/>
        <v>19460</v>
      </c>
    </row>
    <row r="24">
      <c r="A24" s="23"/>
      <c r="B24" s="23"/>
      <c r="C24" s="3"/>
      <c r="D24" s="8"/>
      <c r="E24" s="8"/>
      <c r="F24" s="8"/>
      <c r="G24" s="8"/>
      <c r="H24" s="3"/>
      <c r="I24" s="19">
        <f>IFERROR(__xludf.DUMMYFUNCTION("""COMPUTED_VALUE"""),45838.0)</f>
        <v>45838</v>
      </c>
      <c r="J24" s="8" t="str">
        <f>IFERROR(__xludf.DUMMYFUNCTION("""COMPUTED_VALUE"""),"ซื้อของใช้ในบ้าน")</f>
        <v>ซื้อของใช้ในบ้าน</v>
      </c>
      <c r="K24" s="8" t="str">
        <f>IFERROR(__xludf.DUMMYFUNCTION("""COMPUTED_VALUE"""),"เกี่ยวกับครอบครัว")</f>
        <v>เกี่ยวกับครอบครัว</v>
      </c>
      <c r="L24" s="10">
        <f>IFERROR(__xludf.DUMMYFUNCTION("""COMPUTED_VALUE"""),580.0)</f>
        <v>580</v>
      </c>
      <c r="M24" s="3"/>
      <c r="N24" s="20">
        <v>9.0</v>
      </c>
      <c r="O24" s="21" t="s">
        <v>25</v>
      </c>
      <c r="P24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24),0)),IFERROR(SUM(FILTER('การทำธุรกรรม'!$E:$E,YEAR('การทำธุรกรรม'!$A:$A)=$B$1,'การทำธ"&amp;"ุรกรรม'!$B:$B=P$15,MONTH('การทำธุรกรรม'!$A:$A)=$N24),0)))"),"")</f>
        <v/>
      </c>
      <c r="Q24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24),0)),IFERROR(SUM(FILTER('การทำธุรกรรม'!$E:$E,YEAR('การทำธุรกรรม'!$A:$A)=$B$1,'การทำธ"&amp;"ุรกรรม'!$B:$B=Q$15,MONTH('การทำธุรกรรม'!$A:$A)=$N24),0)))"),"")</f>
        <v/>
      </c>
      <c r="R24" s="22">
        <f t="shared" si="1"/>
        <v>0</v>
      </c>
      <c r="S24" s="22">
        <f t="shared" si="2"/>
        <v>19460</v>
      </c>
    </row>
    <row r="25">
      <c r="A25" s="23"/>
      <c r="B25" s="23"/>
      <c r="C25" s="3"/>
      <c r="D25" s="8"/>
      <c r="E25" s="8"/>
      <c r="F25" s="8"/>
      <c r="G25" s="8"/>
      <c r="H25" s="3"/>
      <c r="I25" s="19">
        <f>IFERROR(__xludf.DUMMYFUNCTION("""COMPUTED_VALUE"""),45838.0)</f>
        <v>45838</v>
      </c>
      <c r="J25" s="8" t="str">
        <f>IFERROR(__xludf.DUMMYFUNCTION("""COMPUTED_VALUE"""),"ทอดผ้าป่า")</f>
        <v>ทอดผ้าป่า</v>
      </c>
      <c r="K25" s="8" t="str">
        <f>IFERROR(__xludf.DUMMYFUNCTION("""COMPUTED_VALUE"""),"ทำบุญ")</f>
        <v>ทำบุญ</v>
      </c>
      <c r="L25" s="10">
        <f>IFERROR(__xludf.DUMMYFUNCTION("""COMPUTED_VALUE"""),200.0)</f>
        <v>200</v>
      </c>
      <c r="M25" s="3"/>
      <c r="N25" s="20">
        <v>10.0</v>
      </c>
      <c r="O25" s="21" t="s">
        <v>26</v>
      </c>
      <c r="P25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25),0)),IFERROR(SUM(FILTER('การทำธุรกรรม'!$E:$E,YEAR('การทำธุรกรรม'!$A:$A)=$B$1,'การทำธ"&amp;"ุรกรรม'!$B:$B=P$15,MONTH('การทำธุรกรรม'!$A:$A)=$N25),0)))"),"")</f>
        <v/>
      </c>
      <c r="Q25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25),0)),IFERROR(SUM(FILTER('การทำธุรกรรม'!$E:$E,YEAR('การทำธุรกรรม'!$A:$A)=$B$1,'การทำธ"&amp;"ุรกรรม'!$B:$B=Q$15,MONTH('การทำธุรกรรม'!$A:$A)=$N25),0)))"),"")</f>
        <v/>
      </c>
      <c r="R25" s="22">
        <f t="shared" si="1"/>
        <v>0</v>
      </c>
      <c r="S25" s="22">
        <f t="shared" si="2"/>
        <v>19460</v>
      </c>
    </row>
    <row r="26">
      <c r="A26" s="23"/>
      <c r="B26" s="23"/>
      <c r="C26" s="3"/>
      <c r="D26" s="8"/>
      <c r="E26" s="8"/>
      <c r="F26" s="8"/>
      <c r="G26" s="8"/>
      <c r="H26" s="3"/>
      <c r="I26" s="8"/>
      <c r="J26" s="8"/>
      <c r="K26" s="8"/>
      <c r="L26" s="8"/>
      <c r="M26" s="3"/>
      <c r="N26" s="20">
        <v>11.0</v>
      </c>
      <c r="O26" s="21" t="s">
        <v>27</v>
      </c>
      <c r="P26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26),0)),IFERROR(SUM(FILTER('การทำธุรกรรม'!$E:$E,YEAR('การทำธุรกรรม'!$A:$A)=$B$1,'การทำธ"&amp;"ุรกรรม'!$B:$B=P$15,MONTH('การทำธุรกรรม'!$A:$A)=$N26),0)))"),"")</f>
        <v/>
      </c>
      <c r="Q26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26),0)),IFERROR(SUM(FILTER('การทำธุรกรรม'!$E:$E,YEAR('การทำธุรกรรม'!$A:$A)=$B$1,'การทำธ"&amp;"ุรกรรม'!$B:$B=Q$15,MONTH('การทำธุรกรรม'!$A:$A)=$N26),0)))"),"")</f>
        <v/>
      </c>
      <c r="R26" s="22">
        <f t="shared" si="1"/>
        <v>0</v>
      </c>
      <c r="S26" s="22">
        <f t="shared" si="2"/>
        <v>19460</v>
      </c>
    </row>
    <row r="27">
      <c r="A27" s="23"/>
      <c r="B27" s="23"/>
      <c r="C27" s="3"/>
      <c r="D27" s="8"/>
      <c r="E27" s="8"/>
      <c r="F27" s="8"/>
      <c r="G27" s="8"/>
      <c r="H27" s="3"/>
      <c r="I27" s="8"/>
      <c r="J27" s="8"/>
      <c r="K27" s="8"/>
      <c r="L27" s="8"/>
      <c r="M27" s="3"/>
      <c r="N27" s="20">
        <v>12.0</v>
      </c>
      <c r="O27" s="21" t="s">
        <v>28</v>
      </c>
      <c r="P27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P$15,MONTH('การทำธุรกรรม'!$A:$A)=$N27),0)),IFERROR(SUM(FILTER('การทำธุรกรรม'!$E:$E,YEAR('การทำธุรกรรม'!$A:$A)=$B$1,'การทำธ"&amp;"ุรกรรม'!$B:$B=P$15,MONTH('การทำธุรกรรม'!$A:$A)=$N27),0)))"),"")</f>
        <v/>
      </c>
      <c r="Q27" s="22" t="str">
        <f>IFERROR(__xludf.DUMMYFUNCTION("IF($B$3&lt;&gt;"""",IFERROR(SUM(FILTER('การทำธุรกรรม'!$E:$E,YEAR('การทำธุรกรรม'!$A:$A)=$B$1,'การทำธุรกรรม'!$F:$F=$B$3,'การทำธุรกรรม'!$B:$B=Q$15,MONTH('การทำธุรกรรม'!$A:$A)=$N27),0)),IFERROR(SUM(FILTER('การทำธุรกรรม'!$E:$E,YEAR('การทำธุรกรรม'!$A:$A)=$B$1,'การทำธ"&amp;"ุรกรรม'!$B:$B=Q$15,MONTH('การทำธุรกรรม'!$A:$A)=$N27),0)))"),"")</f>
        <v/>
      </c>
      <c r="R27" s="22">
        <f t="shared" si="1"/>
        <v>0</v>
      </c>
      <c r="S27" s="22">
        <f t="shared" si="2"/>
        <v>19460</v>
      </c>
    </row>
    <row r="28">
      <c r="A28" s="23"/>
      <c r="B28" s="23"/>
      <c r="C28" s="3"/>
      <c r="D28" s="8"/>
      <c r="E28" s="8"/>
      <c r="F28" s="8"/>
      <c r="G28" s="8"/>
      <c r="H28" s="3"/>
      <c r="I28" s="8"/>
      <c r="J28" s="8"/>
      <c r="K28" s="8"/>
      <c r="L28" s="8"/>
      <c r="M28" s="3"/>
      <c r="N28" s="24"/>
      <c r="O28" s="25" t="s">
        <v>29</v>
      </c>
      <c r="P28" s="26">
        <f t="shared" ref="P28:R28" si="3">SUM(P16:P27)</f>
        <v>43630</v>
      </c>
      <c r="Q28" s="26">
        <f t="shared" si="3"/>
        <v>24170</v>
      </c>
      <c r="R28" s="26">
        <f t="shared" si="3"/>
        <v>19460</v>
      </c>
      <c r="S28" s="27"/>
    </row>
  </sheetData>
  <mergeCells count="3">
    <mergeCell ref="D1:G1"/>
    <mergeCell ref="I1:L1"/>
    <mergeCell ref="N1:S1"/>
  </mergeCells>
  <dataValidations>
    <dataValidation type="list" allowBlank="1" showErrorMessage="1" sqref="B3">
      <formula1>'โครงการ'!$A$2:$A28</formula1>
    </dataValidation>
    <dataValidation type="list" allowBlank="1" showErrorMessage="1" sqref="B2">
      <formula1>"1,2,3,4,5,6,7,8,9,10,11,12"</formula1>
    </dataValidation>
    <dataValidation type="list" allowBlank="1" showErrorMessage="1" sqref="B1">
      <formula1>"2025,2026,2027,2028,2029"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2.25"/>
    <col customWidth="1" min="4" max="4" width="16.75"/>
    <col customWidth="1" min="6" max="6" width="16.25"/>
  </cols>
  <sheetData>
    <row r="1">
      <c r="A1" s="28" t="s">
        <v>30</v>
      </c>
      <c r="B1" s="28" t="s">
        <v>31</v>
      </c>
      <c r="C1" s="28" t="s">
        <v>32</v>
      </c>
      <c r="D1" s="28" t="s">
        <v>33</v>
      </c>
      <c r="E1" s="28" t="s">
        <v>34</v>
      </c>
      <c r="F1" s="28" t="s">
        <v>35</v>
      </c>
    </row>
    <row r="2">
      <c r="A2" s="29">
        <v>45809.0</v>
      </c>
      <c r="B2" s="9" t="s">
        <v>1</v>
      </c>
      <c r="C2" s="9" t="s">
        <v>36</v>
      </c>
      <c r="D2" s="9" t="s">
        <v>37</v>
      </c>
      <c r="E2" s="30">
        <v>10000.0</v>
      </c>
      <c r="F2" s="9"/>
    </row>
    <row r="3">
      <c r="A3" s="29">
        <v>45811.0</v>
      </c>
      <c r="B3" s="9" t="s">
        <v>15</v>
      </c>
      <c r="C3" s="9" t="s">
        <v>38</v>
      </c>
      <c r="D3" s="9" t="s">
        <v>39</v>
      </c>
      <c r="E3" s="30">
        <v>120.0</v>
      </c>
      <c r="F3" s="9"/>
    </row>
    <row r="4">
      <c r="A4" s="29">
        <v>45811.0</v>
      </c>
      <c r="B4" s="9" t="s">
        <v>1</v>
      </c>
      <c r="C4" s="9" t="s">
        <v>40</v>
      </c>
      <c r="D4" s="9" t="s">
        <v>37</v>
      </c>
      <c r="E4" s="30">
        <v>2000.0</v>
      </c>
      <c r="F4" s="9"/>
    </row>
    <row r="5">
      <c r="A5" s="29">
        <v>45813.0</v>
      </c>
      <c r="B5" s="9" t="s">
        <v>1</v>
      </c>
      <c r="C5" s="9" t="s">
        <v>40</v>
      </c>
      <c r="D5" s="9" t="s">
        <v>41</v>
      </c>
      <c r="E5" s="30">
        <v>150.0</v>
      </c>
      <c r="F5" s="9"/>
    </row>
    <row r="6">
      <c r="A6" s="29">
        <v>45823.0</v>
      </c>
      <c r="B6" s="9" t="s">
        <v>1</v>
      </c>
      <c r="C6" s="8"/>
      <c r="D6" s="9" t="s">
        <v>42</v>
      </c>
      <c r="E6" s="30">
        <v>3800.0</v>
      </c>
      <c r="F6" s="9" t="s">
        <v>43</v>
      </c>
    </row>
    <row r="7">
      <c r="A7" s="29">
        <v>45823.0</v>
      </c>
      <c r="B7" s="9" t="s">
        <v>15</v>
      </c>
      <c r="C7" s="9" t="s">
        <v>44</v>
      </c>
      <c r="D7" s="9" t="s">
        <v>45</v>
      </c>
      <c r="E7" s="30">
        <v>1500.0</v>
      </c>
      <c r="F7" s="9" t="s">
        <v>43</v>
      </c>
    </row>
    <row r="8">
      <c r="A8" s="29">
        <v>45824.0</v>
      </c>
      <c r="B8" s="9" t="s">
        <v>15</v>
      </c>
      <c r="C8" s="8"/>
      <c r="D8" s="9" t="s">
        <v>46</v>
      </c>
      <c r="E8" s="30">
        <v>500.0</v>
      </c>
      <c r="F8" s="9" t="s">
        <v>43</v>
      </c>
    </row>
    <row r="9">
      <c r="A9" s="29">
        <v>45825.0</v>
      </c>
      <c r="B9" s="9" t="s">
        <v>15</v>
      </c>
      <c r="C9" s="8"/>
      <c r="D9" s="9" t="s">
        <v>47</v>
      </c>
      <c r="E9" s="30">
        <v>250.0</v>
      </c>
      <c r="F9" s="9" t="s">
        <v>43</v>
      </c>
    </row>
    <row r="10">
      <c r="A10" s="29">
        <v>45828.0</v>
      </c>
      <c r="B10" s="9" t="s">
        <v>1</v>
      </c>
      <c r="C10" s="9" t="s">
        <v>48</v>
      </c>
      <c r="D10" s="9" t="s">
        <v>49</v>
      </c>
      <c r="E10" s="30">
        <v>4000.0</v>
      </c>
      <c r="F10" s="8"/>
    </row>
    <row r="11">
      <c r="A11" s="29">
        <v>45828.0</v>
      </c>
      <c r="B11" s="9" t="s">
        <v>1</v>
      </c>
      <c r="C11" s="8"/>
      <c r="D11" s="9" t="s">
        <v>50</v>
      </c>
      <c r="E11" s="30">
        <v>200.0</v>
      </c>
      <c r="F11" s="8"/>
    </row>
    <row r="12">
      <c r="A12" s="29">
        <v>45834.0</v>
      </c>
      <c r="B12" s="9" t="s">
        <v>15</v>
      </c>
      <c r="C12" s="8"/>
      <c r="D12" s="9" t="s">
        <v>51</v>
      </c>
      <c r="E12" s="30">
        <v>4000.0</v>
      </c>
      <c r="F12" s="8"/>
    </row>
    <row r="13">
      <c r="A13" s="29">
        <v>45835.0</v>
      </c>
      <c r="B13" s="9" t="s">
        <v>15</v>
      </c>
      <c r="C13" s="8"/>
      <c r="D13" s="9" t="s">
        <v>52</v>
      </c>
      <c r="E13" s="30">
        <v>2500.0</v>
      </c>
      <c r="F13" s="8"/>
    </row>
    <row r="14">
      <c r="A14" s="29">
        <v>45838.0</v>
      </c>
      <c r="B14" s="9" t="s">
        <v>15</v>
      </c>
      <c r="C14" s="9" t="s">
        <v>53</v>
      </c>
      <c r="D14" s="9" t="s">
        <v>54</v>
      </c>
      <c r="E14" s="30">
        <v>300.0</v>
      </c>
      <c r="F14" s="8"/>
    </row>
    <row r="15">
      <c r="A15" s="29">
        <v>45838.0</v>
      </c>
      <c r="B15" s="9" t="s">
        <v>15</v>
      </c>
      <c r="C15" s="9" t="s">
        <v>55</v>
      </c>
      <c r="D15" s="9" t="s">
        <v>56</v>
      </c>
      <c r="E15" s="30">
        <v>2000.0</v>
      </c>
      <c r="F15" s="8"/>
    </row>
    <row r="16">
      <c r="A16" s="29">
        <v>45838.0</v>
      </c>
      <c r="B16" s="9" t="s">
        <v>15</v>
      </c>
      <c r="C16" s="9" t="s">
        <v>57</v>
      </c>
      <c r="D16" s="9" t="s">
        <v>58</v>
      </c>
      <c r="E16" s="30">
        <v>580.0</v>
      </c>
      <c r="F16" s="8"/>
    </row>
    <row r="17">
      <c r="A17" s="29">
        <v>45838.0</v>
      </c>
      <c r="B17" s="9" t="s">
        <v>15</v>
      </c>
      <c r="C17" s="9" t="s">
        <v>59</v>
      </c>
      <c r="D17" s="9" t="s">
        <v>60</v>
      </c>
      <c r="E17" s="30">
        <v>200.0</v>
      </c>
      <c r="F17" s="8"/>
    </row>
    <row r="18">
      <c r="A18" s="29">
        <v>45839.0</v>
      </c>
      <c r="B18" s="9" t="s">
        <v>1</v>
      </c>
      <c r="C18" s="9" t="s">
        <v>36</v>
      </c>
      <c r="D18" s="9" t="s">
        <v>37</v>
      </c>
      <c r="E18" s="30">
        <v>10000.0</v>
      </c>
      <c r="F18" s="8"/>
    </row>
    <row r="19">
      <c r="A19" s="29">
        <v>45841.29166666667</v>
      </c>
      <c r="B19" s="9" t="s">
        <v>1</v>
      </c>
      <c r="C19" s="9" t="s">
        <v>61</v>
      </c>
      <c r="D19" s="9" t="s">
        <v>37</v>
      </c>
      <c r="E19" s="30">
        <v>9000.0</v>
      </c>
      <c r="F19" s="8"/>
    </row>
    <row r="20">
      <c r="A20" s="29">
        <v>45846.0</v>
      </c>
      <c r="B20" s="9" t="s">
        <v>1</v>
      </c>
      <c r="C20" s="9" t="s">
        <v>40</v>
      </c>
      <c r="D20" s="9" t="s">
        <v>41</v>
      </c>
      <c r="E20" s="30">
        <v>120.0</v>
      </c>
      <c r="F20" s="8"/>
    </row>
    <row r="21">
      <c r="A21" s="29">
        <v>45848.0</v>
      </c>
      <c r="B21" s="9" t="s">
        <v>1</v>
      </c>
      <c r="C21" s="9" t="s">
        <v>48</v>
      </c>
      <c r="D21" s="9" t="s">
        <v>49</v>
      </c>
      <c r="E21" s="30">
        <v>3800.0</v>
      </c>
      <c r="F21" s="8"/>
    </row>
    <row r="22">
      <c r="A22" s="29">
        <v>45850.0</v>
      </c>
      <c r="B22" s="9" t="s">
        <v>15</v>
      </c>
      <c r="C22" s="8"/>
      <c r="D22" s="9" t="s">
        <v>51</v>
      </c>
      <c r="E22" s="30">
        <v>3870.0</v>
      </c>
      <c r="F22" s="8"/>
    </row>
    <row r="23">
      <c r="A23" s="29">
        <v>45851.0</v>
      </c>
      <c r="B23" s="9" t="s">
        <v>15</v>
      </c>
      <c r="C23" s="8"/>
      <c r="D23" s="9" t="s">
        <v>52</v>
      </c>
      <c r="E23" s="30">
        <v>2500.0</v>
      </c>
      <c r="F23" s="8"/>
    </row>
    <row r="24">
      <c r="A24" s="29">
        <v>45852.0</v>
      </c>
      <c r="B24" s="9" t="s">
        <v>15</v>
      </c>
      <c r="C24" s="9" t="s">
        <v>53</v>
      </c>
      <c r="D24" s="9" t="s">
        <v>54</v>
      </c>
      <c r="E24" s="30">
        <v>350.0</v>
      </c>
      <c r="F24" s="8"/>
    </row>
    <row r="25">
      <c r="A25" s="29">
        <v>45853.0</v>
      </c>
      <c r="B25" s="9" t="s">
        <v>15</v>
      </c>
      <c r="C25" s="9" t="s">
        <v>55</v>
      </c>
      <c r="D25" s="9" t="s">
        <v>56</v>
      </c>
      <c r="E25" s="30">
        <v>2000.0</v>
      </c>
      <c r="F25" s="8"/>
    </row>
    <row r="26">
      <c r="A26" s="29">
        <v>45854.0</v>
      </c>
      <c r="B26" s="9" t="s">
        <v>15</v>
      </c>
      <c r="C26" s="9" t="s">
        <v>57</v>
      </c>
      <c r="D26" s="9" t="s">
        <v>58</v>
      </c>
      <c r="E26" s="30">
        <v>1000.0</v>
      </c>
      <c r="F26" s="8"/>
    </row>
    <row r="27">
      <c r="A27" s="29">
        <v>45855.0</v>
      </c>
      <c r="B27" s="9" t="s">
        <v>15</v>
      </c>
      <c r="C27" s="9" t="s">
        <v>62</v>
      </c>
      <c r="D27" s="9" t="s">
        <v>39</v>
      </c>
      <c r="E27" s="30">
        <v>2500.0</v>
      </c>
      <c r="F27" s="8"/>
    </row>
    <row r="28">
      <c r="A28" s="29">
        <v>45846.29166666667</v>
      </c>
      <c r="B28" s="9" t="s">
        <v>1</v>
      </c>
      <c r="C28" s="9" t="s">
        <v>63</v>
      </c>
      <c r="D28" s="9" t="s">
        <v>37</v>
      </c>
      <c r="E28" s="30">
        <v>560.0</v>
      </c>
      <c r="F28" s="8"/>
    </row>
    <row r="29">
      <c r="A29" s="31"/>
      <c r="B29" s="8"/>
      <c r="C29" s="8"/>
      <c r="D29" s="8"/>
      <c r="E29" s="32"/>
      <c r="F29" s="8"/>
    </row>
    <row r="30">
      <c r="A30" s="31"/>
      <c r="B30" s="8"/>
      <c r="C30" s="8"/>
      <c r="D30" s="8"/>
      <c r="E30" s="32"/>
      <c r="F30" s="8"/>
    </row>
    <row r="31">
      <c r="A31" s="31"/>
      <c r="B31" s="8"/>
      <c r="C31" s="8"/>
      <c r="D31" s="8"/>
      <c r="E31" s="32"/>
      <c r="F31" s="8"/>
    </row>
    <row r="32">
      <c r="A32" s="31"/>
      <c r="B32" s="8"/>
      <c r="C32" s="8"/>
      <c r="D32" s="8"/>
      <c r="E32" s="32"/>
      <c r="F32" s="8"/>
    </row>
    <row r="33">
      <c r="A33" s="31"/>
      <c r="B33" s="8"/>
      <c r="C33" s="8"/>
      <c r="D33" s="8"/>
      <c r="E33" s="32"/>
      <c r="F33" s="8"/>
    </row>
    <row r="34">
      <c r="A34" s="31"/>
      <c r="B34" s="8"/>
      <c r="C34" s="8"/>
      <c r="D34" s="8"/>
      <c r="E34" s="32"/>
      <c r="F34" s="8"/>
    </row>
    <row r="35">
      <c r="A35" s="31"/>
      <c r="B35" s="8"/>
      <c r="C35" s="8"/>
      <c r="D35" s="8"/>
      <c r="E35" s="32"/>
      <c r="F35" s="8"/>
    </row>
    <row r="36">
      <c r="A36" s="31"/>
      <c r="B36" s="8"/>
      <c r="C36" s="8"/>
      <c r="D36" s="8"/>
      <c r="E36" s="32"/>
      <c r="F36" s="8"/>
    </row>
    <row r="37">
      <c r="A37" s="31"/>
      <c r="B37" s="8"/>
      <c r="C37" s="8"/>
      <c r="D37" s="8"/>
      <c r="E37" s="32"/>
      <c r="F37" s="8"/>
    </row>
    <row r="38">
      <c r="A38" s="31"/>
      <c r="B38" s="8"/>
      <c r="C38" s="8"/>
      <c r="D38" s="8"/>
      <c r="E38" s="32"/>
      <c r="F38" s="8"/>
    </row>
    <row r="39">
      <c r="A39" s="31"/>
      <c r="B39" s="8"/>
      <c r="C39" s="8"/>
      <c r="D39" s="8"/>
      <c r="E39" s="32"/>
      <c r="F39" s="8"/>
    </row>
    <row r="40">
      <c r="A40" s="31"/>
      <c r="B40" s="8"/>
      <c r="C40" s="8"/>
      <c r="D40" s="8"/>
      <c r="E40" s="32"/>
      <c r="F40" s="8"/>
    </row>
    <row r="41">
      <c r="A41" s="31"/>
      <c r="B41" s="8"/>
      <c r="C41" s="8"/>
      <c r="D41" s="8"/>
      <c r="E41" s="32"/>
      <c r="F41" s="8"/>
    </row>
    <row r="42">
      <c r="A42" s="31"/>
      <c r="B42" s="8"/>
      <c r="C42" s="8"/>
      <c r="D42" s="8"/>
      <c r="E42" s="32"/>
      <c r="F42" s="8"/>
    </row>
    <row r="43">
      <c r="A43" s="31"/>
      <c r="B43" s="8"/>
      <c r="C43" s="8"/>
      <c r="D43" s="8"/>
      <c r="E43" s="32"/>
      <c r="F43" s="8"/>
    </row>
    <row r="44">
      <c r="A44" s="31"/>
      <c r="B44" s="8"/>
      <c r="C44" s="8"/>
      <c r="D44" s="8"/>
      <c r="E44" s="32"/>
      <c r="F44" s="8"/>
    </row>
    <row r="45">
      <c r="A45" s="31"/>
      <c r="B45" s="8"/>
      <c r="C45" s="8"/>
      <c r="D45" s="8"/>
      <c r="E45" s="32"/>
      <c r="F45" s="8"/>
    </row>
    <row r="46">
      <c r="A46" s="31"/>
      <c r="B46" s="8"/>
      <c r="C46" s="8"/>
      <c r="D46" s="8"/>
      <c r="E46" s="32"/>
      <c r="F46" s="8"/>
    </row>
    <row r="47">
      <c r="A47" s="31"/>
      <c r="B47" s="8"/>
      <c r="C47" s="8"/>
      <c r="D47" s="8"/>
      <c r="E47" s="32"/>
      <c r="F47" s="8"/>
    </row>
    <row r="48">
      <c r="A48" s="31"/>
      <c r="B48" s="8"/>
      <c r="C48" s="8"/>
      <c r="D48" s="8"/>
      <c r="E48" s="32"/>
      <c r="F48" s="8"/>
    </row>
    <row r="49">
      <c r="A49" s="31"/>
      <c r="B49" s="8"/>
      <c r="C49" s="8"/>
      <c r="D49" s="8"/>
      <c r="E49" s="32"/>
      <c r="F49" s="8"/>
    </row>
    <row r="50">
      <c r="A50" s="31"/>
      <c r="B50" s="8"/>
      <c r="C50" s="8"/>
      <c r="D50" s="8"/>
      <c r="E50" s="32"/>
      <c r="F50" s="8"/>
    </row>
    <row r="51">
      <c r="A51" s="31"/>
      <c r="B51" s="8"/>
      <c r="C51" s="8"/>
      <c r="D51" s="8"/>
      <c r="E51" s="32"/>
      <c r="F51" s="8"/>
    </row>
    <row r="52">
      <c r="A52" s="31"/>
      <c r="B52" s="8"/>
      <c r="C52" s="8"/>
      <c r="D52" s="8"/>
      <c r="E52" s="32"/>
      <c r="F52" s="8"/>
    </row>
    <row r="53">
      <c r="A53" s="31"/>
      <c r="B53" s="8"/>
      <c r="C53" s="8"/>
      <c r="D53" s="8"/>
      <c r="E53" s="32"/>
      <c r="F53" s="8"/>
    </row>
    <row r="54">
      <c r="A54" s="31"/>
      <c r="B54" s="8"/>
      <c r="C54" s="8"/>
      <c r="D54" s="8"/>
      <c r="E54" s="32"/>
      <c r="F54" s="8"/>
    </row>
    <row r="55">
      <c r="A55" s="31"/>
      <c r="B55" s="8"/>
      <c r="C55" s="8"/>
      <c r="D55" s="8"/>
      <c r="E55" s="32"/>
      <c r="F55" s="8"/>
    </row>
    <row r="56">
      <c r="A56" s="31"/>
      <c r="B56" s="8"/>
      <c r="C56" s="8"/>
      <c r="D56" s="8"/>
      <c r="E56" s="32"/>
      <c r="F56" s="8"/>
    </row>
    <row r="57">
      <c r="A57" s="31"/>
      <c r="B57" s="8"/>
      <c r="C57" s="8"/>
      <c r="D57" s="8"/>
      <c r="E57" s="32"/>
      <c r="F57" s="8"/>
    </row>
    <row r="58">
      <c r="A58" s="31"/>
      <c r="B58" s="8"/>
      <c r="C58" s="8"/>
      <c r="D58" s="8"/>
      <c r="E58" s="32"/>
      <c r="F58" s="8"/>
    </row>
    <row r="59">
      <c r="A59" s="31"/>
      <c r="B59" s="8"/>
      <c r="C59" s="8"/>
      <c r="D59" s="8"/>
      <c r="E59" s="32"/>
      <c r="F59" s="8"/>
    </row>
    <row r="60">
      <c r="A60" s="31"/>
      <c r="B60" s="8"/>
      <c r="C60" s="8"/>
      <c r="D60" s="8"/>
      <c r="E60" s="32"/>
      <c r="F60" s="8"/>
    </row>
    <row r="61">
      <c r="A61" s="31"/>
      <c r="B61" s="8"/>
      <c r="C61" s="8"/>
      <c r="D61" s="8"/>
      <c r="E61" s="32"/>
      <c r="F61" s="8"/>
    </row>
    <row r="62">
      <c r="A62" s="31"/>
      <c r="B62" s="8"/>
      <c r="C62" s="8"/>
      <c r="D62" s="8"/>
      <c r="E62" s="32"/>
      <c r="F62" s="8"/>
    </row>
    <row r="63">
      <c r="A63" s="31"/>
      <c r="B63" s="8"/>
      <c r="C63" s="8"/>
      <c r="D63" s="8"/>
      <c r="E63" s="32"/>
      <c r="F63" s="8"/>
    </row>
    <row r="64">
      <c r="A64" s="31"/>
      <c r="B64" s="8"/>
      <c r="C64" s="8"/>
      <c r="D64" s="8"/>
      <c r="E64" s="32"/>
      <c r="F64" s="8"/>
    </row>
    <row r="65">
      <c r="A65" s="31"/>
      <c r="B65" s="8"/>
      <c r="C65" s="8"/>
      <c r="D65" s="8"/>
      <c r="E65" s="32"/>
      <c r="F65" s="8"/>
    </row>
    <row r="66">
      <c r="A66" s="31"/>
      <c r="B66" s="8"/>
      <c r="C66" s="8"/>
      <c r="D66" s="8"/>
      <c r="E66" s="32"/>
      <c r="F66" s="8"/>
    </row>
    <row r="67">
      <c r="A67" s="31"/>
      <c r="B67" s="8"/>
      <c r="C67" s="8"/>
      <c r="D67" s="8"/>
      <c r="E67" s="32"/>
      <c r="F67" s="8"/>
    </row>
    <row r="68">
      <c r="A68" s="31"/>
      <c r="B68" s="8"/>
      <c r="C68" s="8"/>
      <c r="D68" s="8"/>
      <c r="E68" s="32"/>
      <c r="F68" s="8"/>
    </row>
    <row r="69">
      <c r="A69" s="31"/>
      <c r="B69" s="8"/>
      <c r="C69" s="8"/>
      <c r="D69" s="8"/>
      <c r="E69" s="32"/>
      <c r="F69" s="8"/>
    </row>
    <row r="70">
      <c r="A70" s="31"/>
      <c r="B70" s="8"/>
      <c r="C70" s="8"/>
      <c r="D70" s="8"/>
      <c r="E70" s="32"/>
      <c r="F70" s="8"/>
    </row>
    <row r="71">
      <c r="A71" s="31"/>
      <c r="B71" s="8"/>
      <c r="C71" s="8"/>
      <c r="D71" s="8"/>
      <c r="E71" s="32"/>
      <c r="F71" s="8"/>
    </row>
    <row r="72">
      <c r="A72" s="31"/>
      <c r="B72" s="8"/>
      <c r="C72" s="8"/>
      <c r="D72" s="8"/>
      <c r="E72" s="32"/>
      <c r="F72" s="8"/>
    </row>
    <row r="73">
      <c r="A73" s="31"/>
      <c r="B73" s="8"/>
      <c r="C73" s="8"/>
      <c r="D73" s="8"/>
      <c r="E73" s="32"/>
      <c r="F73" s="8"/>
    </row>
    <row r="74">
      <c r="A74" s="31"/>
      <c r="B74" s="8"/>
      <c r="C74" s="8"/>
      <c r="D74" s="8"/>
      <c r="E74" s="32"/>
      <c r="F74" s="8"/>
    </row>
    <row r="75">
      <c r="A75" s="31"/>
      <c r="B75" s="8"/>
      <c r="C75" s="8"/>
      <c r="D75" s="8"/>
      <c r="E75" s="32"/>
      <c r="F75" s="8"/>
    </row>
    <row r="76">
      <c r="A76" s="31"/>
      <c r="B76" s="8"/>
      <c r="C76" s="8"/>
      <c r="D76" s="8"/>
      <c r="E76" s="32"/>
      <c r="F76" s="8"/>
    </row>
    <row r="77">
      <c r="A77" s="31"/>
      <c r="B77" s="8"/>
      <c r="C77" s="8"/>
      <c r="D77" s="8"/>
      <c r="E77" s="32"/>
      <c r="F77" s="8"/>
    </row>
    <row r="78">
      <c r="A78" s="31"/>
      <c r="B78" s="8"/>
      <c r="C78" s="8"/>
      <c r="D78" s="8"/>
      <c r="E78" s="32"/>
      <c r="F78" s="8"/>
    </row>
    <row r="79">
      <c r="A79" s="31"/>
      <c r="B79" s="8"/>
      <c r="C79" s="8"/>
      <c r="D79" s="8"/>
      <c r="E79" s="32"/>
      <c r="F79" s="8"/>
    </row>
    <row r="80">
      <c r="A80" s="31"/>
      <c r="B80" s="8"/>
      <c r="C80" s="8"/>
      <c r="D80" s="8"/>
      <c r="E80" s="32"/>
      <c r="F80" s="8"/>
    </row>
    <row r="81">
      <c r="A81" s="31"/>
      <c r="B81" s="8"/>
      <c r="C81" s="8"/>
      <c r="D81" s="8"/>
      <c r="E81" s="32"/>
      <c r="F81" s="8"/>
    </row>
    <row r="82">
      <c r="A82" s="31"/>
      <c r="B82" s="8"/>
      <c r="C82" s="8"/>
      <c r="D82" s="8"/>
      <c r="E82" s="32"/>
      <c r="F82" s="8"/>
    </row>
    <row r="83">
      <c r="A83" s="31"/>
      <c r="B83" s="8"/>
      <c r="C83" s="8"/>
      <c r="D83" s="8"/>
      <c r="E83" s="32"/>
      <c r="F83" s="8"/>
    </row>
    <row r="84">
      <c r="A84" s="31"/>
      <c r="B84" s="8"/>
      <c r="C84" s="8"/>
      <c r="D84" s="8"/>
      <c r="E84" s="32"/>
      <c r="F84" s="8"/>
    </row>
    <row r="85">
      <c r="A85" s="31"/>
      <c r="B85" s="8"/>
      <c r="C85" s="8"/>
      <c r="D85" s="8"/>
      <c r="E85" s="32"/>
      <c r="F85" s="8"/>
    </row>
    <row r="86">
      <c r="A86" s="31"/>
      <c r="B86" s="8"/>
      <c r="C86" s="8"/>
      <c r="D86" s="8"/>
      <c r="E86" s="32"/>
      <c r="F86" s="8"/>
    </row>
    <row r="87">
      <c r="A87" s="31"/>
      <c r="B87" s="8"/>
      <c r="C87" s="8"/>
      <c r="D87" s="8"/>
      <c r="E87" s="32"/>
      <c r="F87" s="8"/>
    </row>
    <row r="88">
      <c r="A88" s="31"/>
      <c r="B88" s="8"/>
      <c r="C88" s="8"/>
      <c r="D88" s="8"/>
      <c r="E88" s="32"/>
      <c r="F88" s="8"/>
    </row>
    <row r="89">
      <c r="A89" s="31"/>
      <c r="B89" s="8"/>
      <c r="C89" s="8"/>
      <c r="D89" s="8"/>
      <c r="E89" s="32"/>
      <c r="F89" s="8"/>
    </row>
    <row r="90">
      <c r="A90" s="31"/>
      <c r="B90" s="8"/>
      <c r="C90" s="8"/>
      <c r="D90" s="8"/>
      <c r="E90" s="32"/>
      <c r="F90" s="8"/>
    </row>
    <row r="91">
      <c r="A91" s="31"/>
      <c r="B91" s="8"/>
      <c r="C91" s="8"/>
      <c r="D91" s="8"/>
      <c r="E91" s="32"/>
      <c r="F91" s="8"/>
    </row>
    <row r="92">
      <c r="A92" s="31"/>
      <c r="B92" s="8"/>
      <c r="C92" s="8"/>
      <c r="D92" s="8"/>
      <c r="E92" s="32"/>
      <c r="F92" s="8"/>
    </row>
    <row r="93">
      <c r="A93" s="31"/>
      <c r="B93" s="8"/>
      <c r="C93" s="8"/>
      <c r="D93" s="8"/>
      <c r="E93" s="32"/>
      <c r="F93" s="8"/>
    </row>
    <row r="94">
      <c r="A94" s="31"/>
      <c r="B94" s="8"/>
      <c r="C94" s="8"/>
      <c r="D94" s="8"/>
      <c r="E94" s="32"/>
      <c r="F94" s="8"/>
    </row>
    <row r="95">
      <c r="A95" s="31"/>
      <c r="B95" s="8"/>
      <c r="C95" s="8"/>
      <c r="D95" s="8"/>
      <c r="E95" s="32"/>
      <c r="F95" s="8"/>
    </row>
    <row r="96">
      <c r="A96" s="31"/>
      <c r="B96" s="8"/>
      <c r="C96" s="8"/>
      <c r="D96" s="8"/>
      <c r="E96" s="32"/>
      <c r="F96" s="8"/>
    </row>
    <row r="97">
      <c r="A97" s="31"/>
      <c r="B97" s="8"/>
      <c r="C97" s="8"/>
      <c r="D97" s="8"/>
      <c r="E97" s="32"/>
      <c r="F97" s="8"/>
    </row>
    <row r="98">
      <c r="A98" s="31"/>
      <c r="B98" s="8"/>
      <c r="C98" s="8"/>
      <c r="D98" s="8"/>
      <c r="E98" s="32"/>
      <c r="F98" s="8"/>
    </row>
    <row r="99">
      <c r="A99" s="31"/>
      <c r="B99" s="8"/>
      <c r="C99" s="8"/>
      <c r="D99" s="8"/>
      <c r="E99" s="32"/>
      <c r="F99" s="8"/>
    </row>
    <row r="100">
      <c r="A100" s="31"/>
      <c r="B100" s="8"/>
      <c r="C100" s="8"/>
      <c r="D100" s="8"/>
      <c r="E100" s="32"/>
      <c r="F100" s="8"/>
    </row>
    <row r="101">
      <c r="A101" s="31"/>
      <c r="B101" s="8"/>
      <c r="C101" s="8"/>
      <c r="D101" s="8"/>
      <c r="E101" s="32"/>
      <c r="F101" s="8"/>
    </row>
    <row r="102">
      <c r="A102" s="31"/>
      <c r="B102" s="8"/>
      <c r="C102" s="8"/>
      <c r="D102" s="8"/>
      <c r="E102" s="32"/>
      <c r="F102" s="8"/>
    </row>
    <row r="103">
      <c r="A103" s="31"/>
      <c r="B103" s="8"/>
      <c r="C103" s="8"/>
      <c r="D103" s="8"/>
      <c r="E103" s="32"/>
      <c r="F103" s="8"/>
    </row>
    <row r="104">
      <c r="A104" s="31"/>
      <c r="B104" s="8"/>
      <c r="C104" s="8"/>
      <c r="D104" s="8"/>
      <c r="E104" s="32"/>
      <c r="F104" s="8"/>
    </row>
    <row r="105">
      <c r="A105" s="31"/>
      <c r="B105" s="8"/>
      <c r="C105" s="8"/>
      <c r="D105" s="8"/>
      <c r="E105" s="32"/>
      <c r="F105" s="8"/>
    </row>
    <row r="106">
      <c r="A106" s="31"/>
      <c r="B106" s="8"/>
      <c r="C106" s="8"/>
      <c r="D106" s="8"/>
      <c r="E106" s="32"/>
      <c r="F106" s="8"/>
    </row>
    <row r="107">
      <c r="A107" s="31"/>
      <c r="B107" s="8"/>
      <c r="C107" s="8"/>
      <c r="D107" s="8"/>
      <c r="E107" s="32"/>
      <c r="F107" s="8"/>
    </row>
    <row r="108">
      <c r="A108" s="31"/>
      <c r="B108" s="8"/>
      <c r="C108" s="8"/>
      <c r="D108" s="8"/>
      <c r="E108" s="32"/>
      <c r="F108" s="8"/>
    </row>
    <row r="109">
      <c r="A109" s="31"/>
      <c r="B109" s="8"/>
      <c r="C109" s="8"/>
      <c r="D109" s="8"/>
      <c r="E109" s="32"/>
      <c r="F109" s="8"/>
    </row>
    <row r="110">
      <c r="A110" s="31"/>
      <c r="B110" s="8"/>
      <c r="C110" s="8"/>
      <c r="D110" s="8"/>
      <c r="E110" s="32"/>
      <c r="F110" s="8"/>
    </row>
    <row r="111">
      <c r="A111" s="31"/>
      <c r="B111" s="8"/>
      <c r="C111" s="8"/>
      <c r="D111" s="8"/>
      <c r="E111" s="32"/>
      <c r="F111" s="8"/>
    </row>
    <row r="112">
      <c r="A112" s="31"/>
      <c r="B112" s="8"/>
      <c r="C112" s="8"/>
      <c r="D112" s="8"/>
      <c r="E112" s="32"/>
      <c r="F112" s="8"/>
    </row>
    <row r="113">
      <c r="A113" s="31"/>
      <c r="B113" s="8"/>
      <c r="C113" s="8"/>
      <c r="D113" s="8"/>
      <c r="E113" s="32"/>
      <c r="F113" s="8"/>
    </row>
    <row r="114">
      <c r="A114" s="31"/>
      <c r="B114" s="8"/>
      <c r="C114" s="8"/>
      <c r="D114" s="8"/>
      <c r="E114" s="32"/>
      <c r="F114" s="8"/>
    </row>
    <row r="115">
      <c r="A115" s="31"/>
      <c r="B115" s="8"/>
      <c r="C115" s="8"/>
      <c r="D115" s="8"/>
      <c r="E115" s="32"/>
      <c r="F115" s="8"/>
    </row>
    <row r="116">
      <c r="A116" s="31"/>
      <c r="B116" s="8"/>
      <c r="C116" s="8"/>
      <c r="D116" s="8"/>
      <c r="E116" s="32"/>
      <c r="F116" s="8"/>
    </row>
    <row r="117">
      <c r="A117" s="31"/>
      <c r="B117" s="8"/>
      <c r="C117" s="8"/>
      <c r="D117" s="8"/>
      <c r="E117" s="32"/>
      <c r="F117" s="8"/>
    </row>
    <row r="118">
      <c r="A118" s="31"/>
      <c r="B118" s="8"/>
      <c r="C118" s="8"/>
      <c r="D118" s="8"/>
      <c r="E118" s="32"/>
      <c r="F118" s="8"/>
    </row>
    <row r="119">
      <c r="A119" s="31"/>
      <c r="B119" s="8"/>
      <c r="C119" s="8"/>
      <c r="D119" s="8"/>
      <c r="E119" s="32"/>
      <c r="F119" s="8"/>
    </row>
    <row r="120">
      <c r="A120" s="31"/>
      <c r="B120" s="8"/>
      <c r="C120" s="8"/>
      <c r="D120" s="8"/>
      <c r="E120" s="32"/>
      <c r="F120" s="8"/>
    </row>
    <row r="121">
      <c r="A121" s="31"/>
      <c r="B121" s="8"/>
      <c r="C121" s="8"/>
      <c r="D121" s="8"/>
      <c r="E121" s="32"/>
      <c r="F121" s="8"/>
    </row>
    <row r="122">
      <c r="A122" s="31"/>
      <c r="B122" s="8"/>
      <c r="C122" s="8"/>
      <c r="D122" s="8"/>
      <c r="E122" s="32"/>
      <c r="F122" s="8"/>
    </row>
    <row r="123">
      <c r="A123" s="31"/>
      <c r="B123" s="8"/>
      <c r="C123" s="8"/>
      <c r="D123" s="8"/>
      <c r="E123" s="32"/>
      <c r="F123" s="8"/>
    </row>
    <row r="124">
      <c r="A124" s="31"/>
      <c r="B124" s="8"/>
      <c r="C124" s="8"/>
      <c r="D124" s="8"/>
      <c r="E124" s="32"/>
      <c r="F124" s="8"/>
    </row>
    <row r="125">
      <c r="A125" s="31"/>
      <c r="B125" s="8"/>
      <c r="C125" s="8"/>
      <c r="D125" s="8"/>
      <c r="E125" s="32"/>
      <c r="F125" s="8"/>
    </row>
    <row r="126">
      <c r="A126" s="31"/>
      <c r="B126" s="8"/>
      <c r="C126" s="8"/>
      <c r="D126" s="8"/>
      <c r="E126" s="32"/>
      <c r="F126" s="8"/>
    </row>
    <row r="127">
      <c r="A127" s="31"/>
      <c r="B127" s="8"/>
      <c r="C127" s="8"/>
      <c r="D127" s="8"/>
      <c r="E127" s="32"/>
      <c r="F127" s="8"/>
    </row>
    <row r="128">
      <c r="A128" s="31"/>
      <c r="B128" s="8"/>
      <c r="C128" s="8"/>
      <c r="D128" s="8"/>
      <c r="E128" s="32"/>
      <c r="F128" s="8"/>
    </row>
    <row r="129">
      <c r="A129" s="31"/>
      <c r="B129" s="8"/>
      <c r="C129" s="8"/>
      <c r="D129" s="8"/>
      <c r="E129" s="32"/>
      <c r="F129" s="8"/>
    </row>
    <row r="130">
      <c r="A130" s="31"/>
      <c r="B130" s="8"/>
      <c r="C130" s="8"/>
      <c r="D130" s="8"/>
      <c r="E130" s="32"/>
      <c r="F130" s="8"/>
    </row>
    <row r="131">
      <c r="A131" s="31"/>
      <c r="B131" s="8"/>
      <c r="C131" s="8"/>
      <c r="D131" s="8"/>
      <c r="E131" s="32"/>
      <c r="F131" s="8"/>
    </row>
    <row r="132">
      <c r="A132" s="31"/>
      <c r="B132" s="8"/>
      <c r="C132" s="8"/>
      <c r="D132" s="8"/>
      <c r="E132" s="32"/>
      <c r="F132" s="8"/>
    </row>
    <row r="133">
      <c r="A133" s="31"/>
      <c r="B133" s="8"/>
      <c r="C133" s="8"/>
      <c r="D133" s="8"/>
      <c r="E133" s="32"/>
      <c r="F133" s="8"/>
    </row>
    <row r="134">
      <c r="A134" s="31"/>
      <c r="B134" s="8"/>
      <c r="C134" s="8"/>
      <c r="D134" s="8"/>
      <c r="E134" s="32"/>
      <c r="F134" s="8"/>
    </row>
    <row r="135">
      <c r="A135" s="31"/>
      <c r="B135" s="8"/>
      <c r="C135" s="8"/>
      <c r="D135" s="8"/>
      <c r="E135" s="32"/>
      <c r="F135" s="8"/>
    </row>
    <row r="136">
      <c r="A136" s="31"/>
      <c r="B136" s="8"/>
      <c r="C136" s="8"/>
      <c r="D136" s="8"/>
      <c r="E136" s="32"/>
      <c r="F136" s="8"/>
    </row>
    <row r="137">
      <c r="A137" s="31"/>
      <c r="B137" s="8"/>
      <c r="C137" s="8"/>
      <c r="D137" s="8"/>
      <c r="E137" s="32"/>
      <c r="F137" s="8"/>
    </row>
    <row r="138">
      <c r="A138" s="31"/>
      <c r="B138" s="8"/>
      <c r="C138" s="8"/>
      <c r="D138" s="8"/>
      <c r="E138" s="32"/>
      <c r="F138" s="8"/>
    </row>
    <row r="139">
      <c r="A139" s="31"/>
      <c r="B139" s="8"/>
      <c r="C139" s="8"/>
      <c r="D139" s="8"/>
      <c r="E139" s="32"/>
      <c r="F139" s="8"/>
    </row>
    <row r="140">
      <c r="A140" s="31"/>
      <c r="B140" s="8"/>
      <c r="C140" s="8"/>
      <c r="D140" s="8"/>
      <c r="E140" s="32"/>
      <c r="F140" s="8"/>
    </row>
    <row r="141">
      <c r="A141" s="31"/>
      <c r="B141" s="8"/>
      <c r="C141" s="8"/>
      <c r="D141" s="8"/>
      <c r="E141" s="32"/>
      <c r="F141" s="8"/>
    </row>
    <row r="142">
      <c r="A142" s="31"/>
      <c r="B142" s="8"/>
      <c r="C142" s="8"/>
      <c r="D142" s="8"/>
      <c r="E142" s="32"/>
      <c r="F142" s="8"/>
    </row>
    <row r="143">
      <c r="A143" s="31"/>
      <c r="B143" s="8"/>
      <c r="C143" s="8"/>
      <c r="D143" s="8"/>
      <c r="E143" s="32"/>
      <c r="F143" s="8"/>
    </row>
    <row r="144">
      <c r="A144" s="31"/>
      <c r="B144" s="8"/>
      <c r="C144" s="8"/>
      <c r="D144" s="8"/>
      <c r="E144" s="32"/>
      <c r="F144" s="8"/>
    </row>
    <row r="145">
      <c r="A145" s="31"/>
      <c r="B145" s="8"/>
      <c r="C145" s="8"/>
      <c r="D145" s="8"/>
      <c r="E145" s="32"/>
      <c r="F145" s="8"/>
    </row>
    <row r="146">
      <c r="A146" s="31"/>
      <c r="B146" s="8"/>
      <c r="C146" s="8"/>
      <c r="D146" s="8"/>
      <c r="E146" s="32"/>
      <c r="F146" s="8"/>
    </row>
    <row r="147">
      <c r="A147" s="31"/>
      <c r="B147" s="8"/>
      <c r="C147" s="8"/>
      <c r="D147" s="8"/>
      <c r="E147" s="32"/>
      <c r="F147" s="8"/>
    </row>
    <row r="148">
      <c r="A148" s="31"/>
      <c r="B148" s="8"/>
      <c r="C148" s="8"/>
      <c r="D148" s="8"/>
      <c r="E148" s="32"/>
      <c r="F148" s="8"/>
    </row>
    <row r="149">
      <c r="A149" s="31"/>
      <c r="B149" s="8"/>
      <c r="C149" s="8"/>
      <c r="D149" s="8"/>
      <c r="E149" s="32"/>
      <c r="F149" s="8"/>
    </row>
    <row r="150">
      <c r="A150" s="31"/>
      <c r="B150" s="8"/>
      <c r="C150" s="8"/>
      <c r="D150" s="8"/>
      <c r="E150" s="32"/>
      <c r="F150" s="8"/>
    </row>
    <row r="151">
      <c r="A151" s="31"/>
      <c r="B151" s="8"/>
      <c r="C151" s="8"/>
      <c r="D151" s="8"/>
      <c r="E151" s="32"/>
      <c r="F151" s="8"/>
    </row>
    <row r="152">
      <c r="A152" s="31"/>
      <c r="B152" s="8"/>
      <c r="C152" s="8"/>
      <c r="D152" s="8"/>
      <c r="E152" s="32"/>
      <c r="F152" s="8"/>
    </row>
    <row r="153">
      <c r="A153" s="31"/>
      <c r="B153" s="8"/>
      <c r="C153" s="8"/>
      <c r="D153" s="8"/>
      <c r="E153" s="32"/>
      <c r="F153" s="8"/>
    </row>
    <row r="154">
      <c r="A154" s="31"/>
      <c r="B154" s="8"/>
      <c r="C154" s="8"/>
      <c r="D154" s="8"/>
      <c r="E154" s="32"/>
      <c r="F154" s="8"/>
    </row>
    <row r="155">
      <c r="A155" s="31"/>
      <c r="B155" s="8"/>
      <c r="C155" s="8"/>
      <c r="D155" s="8"/>
      <c r="E155" s="32"/>
      <c r="F155" s="8"/>
    </row>
    <row r="156">
      <c r="A156" s="31"/>
      <c r="B156" s="8"/>
      <c r="C156" s="8"/>
      <c r="D156" s="8"/>
      <c r="E156" s="32"/>
      <c r="F156" s="8"/>
    </row>
    <row r="157">
      <c r="A157" s="31"/>
      <c r="B157" s="8"/>
      <c r="C157" s="8"/>
      <c r="D157" s="8"/>
      <c r="E157" s="32"/>
      <c r="F157" s="8"/>
    </row>
    <row r="158">
      <c r="A158" s="31"/>
      <c r="B158" s="8"/>
      <c r="C158" s="8"/>
      <c r="D158" s="8"/>
      <c r="E158" s="32"/>
      <c r="F158" s="8"/>
    </row>
    <row r="159">
      <c r="A159" s="31"/>
      <c r="B159" s="8"/>
      <c r="C159" s="8"/>
      <c r="D159" s="8"/>
      <c r="E159" s="32"/>
      <c r="F159" s="8"/>
    </row>
    <row r="160">
      <c r="A160" s="31"/>
      <c r="B160" s="8"/>
      <c r="C160" s="8"/>
      <c r="D160" s="8"/>
      <c r="E160" s="32"/>
      <c r="F160" s="8"/>
    </row>
    <row r="161">
      <c r="A161" s="31"/>
      <c r="B161" s="8"/>
      <c r="C161" s="8"/>
      <c r="D161" s="8"/>
      <c r="E161" s="32"/>
      <c r="F161" s="8"/>
    </row>
    <row r="162">
      <c r="A162" s="31"/>
      <c r="B162" s="8"/>
      <c r="C162" s="8"/>
      <c r="D162" s="8"/>
      <c r="E162" s="32"/>
      <c r="F162" s="8"/>
    </row>
    <row r="163">
      <c r="A163" s="31"/>
      <c r="B163" s="8"/>
      <c r="C163" s="8"/>
      <c r="D163" s="8"/>
      <c r="E163" s="32"/>
      <c r="F163" s="8"/>
    </row>
    <row r="164">
      <c r="A164" s="31"/>
      <c r="B164" s="8"/>
      <c r="C164" s="8"/>
      <c r="D164" s="8"/>
      <c r="E164" s="32"/>
      <c r="F164" s="8"/>
    </row>
    <row r="165">
      <c r="A165" s="31"/>
      <c r="B165" s="8"/>
      <c r="C165" s="8"/>
      <c r="D165" s="8"/>
      <c r="E165" s="32"/>
      <c r="F165" s="8"/>
    </row>
    <row r="166">
      <c r="A166" s="31"/>
      <c r="B166" s="8"/>
      <c r="C166" s="8"/>
      <c r="D166" s="8"/>
      <c r="E166" s="32"/>
      <c r="F166" s="8"/>
    </row>
    <row r="167">
      <c r="A167" s="31"/>
      <c r="B167" s="8"/>
      <c r="C167" s="8"/>
      <c r="D167" s="8"/>
      <c r="E167" s="32"/>
      <c r="F167" s="8"/>
    </row>
    <row r="168">
      <c r="A168" s="31"/>
      <c r="B168" s="8"/>
      <c r="C168" s="8"/>
      <c r="D168" s="8"/>
      <c r="E168" s="32"/>
      <c r="F168" s="8"/>
    </row>
    <row r="169">
      <c r="A169" s="31"/>
      <c r="B169" s="8"/>
      <c r="C169" s="8"/>
      <c r="D169" s="8"/>
      <c r="E169" s="32"/>
      <c r="F169" s="8"/>
    </row>
    <row r="170">
      <c r="A170" s="31"/>
      <c r="B170" s="8"/>
      <c r="C170" s="8"/>
      <c r="D170" s="8"/>
      <c r="E170" s="32"/>
      <c r="F170" s="8"/>
    </row>
    <row r="171">
      <c r="A171" s="31"/>
      <c r="B171" s="8"/>
      <c r="C171" s="8"/>
      <c r="D171" s="8"/>
      <c r="E171" s="32"/>
      <c r="F171" s="8"/>
    </row>
    <row r="172">
      <c r="A172" s="31"/>
      <c r="B172" s="8"/>
      <c r="C172" s="8"/>
      <c r="D172" s="8"/>
      <c r="E172" s="32"/>
      <c r="F172" s="8"/>
    </row>
    <row r="173">
      <c r="A173" s="31"/>
      <c r="B173" s="8"/>
      <c r="C173" s="8"/>
      <c r="D173" s="8"/>
      <c r="E173" s="32"/>
      <c r="F173" s="8"/>
    </row>
    <row r="174">
      <c r="A174" s="31"/>
      <c r="B174" s="8"/>
      <c r="C174" s="8"/>
      <c r="D174" s="8"/>
      <c r="E174" s="32"/>
      <c r="F174" s="8"/>
    </row>
    <row r="175">
      <c r="A175" s="31"/>
      <c r="B175" s="8"/>
      <c r="C175" s="8"/>
      <c r="D175" s="8"/>
      <c r="E175" s="32"/>
      <c r="F175" s="8"/>
    </row>
    <row r="176">
      <c r="A176" s="31"/>
      <c r="B176" s="8"/>
      <c r="C176" s="8"/>
      <c r="D176" s="8"/>
      <c r="E176" s="32"/>
      <c r="F176" s="8"/>
    </row>
    <row r="177">
      <c r="A177" s="31"/>
      <c r="B177" s="8"/>
      <c r="C177" s="8"/>
      <c r="D177" s="8"/>
      <c r="E177" s="32"/>
      <c r="F177" s="8"/>
    </row>
    <row r="178">
      <c r="A178" s="31"/>
      <c r="B178" s="8"/>
      <c r="C178" s="8"/>
      <c r="D178" s="8"/>
      <c r="E178" s="32"/>
      <c r="F178" s="8"/>
    </row>
    <row r="179">
      <c r="A179" s="31"/>
      <c r="B179" s="8"/>
      <c r="C179" s="8"/>
      <c r="D179" s="8"/>
      <c r="E179" s="32"/>
      <c r="F179" s="8"/>
    </row>
    <row r="180">
      <c r="A180" s="31"/>
      <c r="B180" s="8"/>
      <c r="C180" s="8"/>
      <c r="D180" s="8"/>
      <c r="E180" s="32"/>
      <c r="F180" s="8"/>
    </row>
    <row r="181">
      <c r="A181" s="31"/>
      <c r="B181" s="8"/>
      <c r="C181" s="8"/>
      <c r="D181" s="8"/>
      <c r="E181" s="32"/>
      <c r="F181" s="8"/>
    </row>
    <row r="182">
      <c r="A182" s="31"/>
      <c r="B182" s="8"/>
      <c r="C182" s="8"/>
      <c r="D182" s="8"/>
      <c r="E182" s="32"/>
      <c r="F182" s="8"/>
    </row>
    <row r="183">
      <c r="A183" s="31"/>
      <c r="B183" s="8"/>
      <c r="C183" s="8"/>
      <c r="D183" s="8"/>
      <c r="E183" s="32"/>
      <c r="F183" s="8"/>
    </row>
    <row r="184">
      <c r="A184" s="31"/>
      <c r="B184" s="8"/>
      <c r="C184" s="8"/>
      <c r="D184" s="8"/>
      <c r="E184" s="32"/>
      <c r="F184" s="8"/>
    </row>
    <row r="185">
      <c r="A185" s="31"/>
      <c r="B185" s="8"/>
      <c r="C185" s="8"/>
      <c r="D185" s="8"/>
      <c r="E185" s="32"/>
      <c r="F185" s="8"/>
    </row>
    <row r="186">
      <c r="A186" s="31"/>
      <c r="B186" s="8"/>
      <c r="C186" s="8"/>
      <c r="D186" s="8"/>
      <c r="E186" s="32"/>
      <c r="F186" s="8"/>
    </row>
    <row r="187">
      <c r="A187" s="31"/>
      <c r="B187" s="8"/>
      <c r="C187" s="8"/>
      <c r="D187" s="8"/>
      <c r="E187" s="32"/>
      <c r="F187" s="8"/>
    </row>
    <row r="188">
      <c r="A188" s="31"/>
      <c r="B188" s="8"/>
      <c r="C188" s="8"/>
      <c r="D188" s="8"/>
      <c r="E188" s="32"/>
      <c r="F188" s="8"/>
    </row>
    <row r="189">
      <c r="A189" s="31"/>
      <c r="B189" s="8"/>
      <c r="C189" s="8"/>
      <c r="D189" s="8"/>
      <c r="E189" s="32"/>
      <c r="F189" s="8"/>
    </row>
    <row r="190">
      <c r="A190" s="31"/>
      <c r="B190" s="8"/>
      <c r="C190" s="8"/>
      <c r="D190" s="8"/>
      <c r="E190" s="32"/>
      <c r="F190" s="8"/>
    </row>
    <row r="191">
      <c r="A191" s="31"/>
      <c r="B191" s="8"/>
      <c r="C191" s="8"/>
      <c r="D191" s="8"/>
      <c r="E191" s="32"/>
      <c r="F191" s="8"/>
    </row>
    <row r="192">
      <c r="A192" s="31"/>
      <c r="B192" s="8"/>
      <c r="C192" s="8"/>
      <c r="D192" s="8"/>
      <c r="E192" s="32"/>
      <c r="F192" s="8"/>
    </row>
    <row r="193">
      <c r="A193" s="31"/>
      <c r="B193" s="8"/>
      <c r="C193" s="8"/>
      <c r="D193" s="8"/>
      <c r="E193" s="32"/>
      <c r="F193" s="8"/>
    </row>
    <row r="194">
      <c r="A194" s="31"/>
      <c r="B194" s="8"/>
      <c r="C194" s="8"/>
      <c r="D194" s="8"/>
      <c r="E194" s="32"/>
      <c r="F194" s="8"/>
    </row>
    <row r="195">
      <c r="A195" s="31"/>
      <c r="B195" s="8"/>
      <c r="C195" s="8"/>
      <c r="D195" s="8"/>
      <c r="E195" s="32"/>
      <c r="F195" s="8"/>
    </row>
    <row r="196">
      <c r="A196" s="31"/>
      <c r="B196" s="8"/>
      <c r="C196" s="8"/>
      <c r="D196" s="8"/>
      <c r="E196" s="32"/>
      <c r="F196" s="8"/>
    </row>
    <row r="197">
      <c r="A197" s="31"/>
      <c r="B197" s="8"/>
      <c r="C197" s="8"/>
      <c r="D197" s="8"/>
      <c r="E197" s="32"/>
      <c r="F197" s="8"/>
    </row>
    <row r="198">
      <c r="A198" s="31"/>
      <c r="B198" s="8"/>
      <c r="C198" s="8"/>
      <c r="D198" s="8"/>
      <c r="E198" s="32"/>
      <c r="F198" s="8"/>
    </row>
    <row r="199">
      <c r="A199" s="31"/>
      <c r="B199" s="8"/>
      <c r="C199" s="8"/>
      <c r="D199" s="8"/>
      <c r="E199" s="32"/>
      <c r="F199" s="8"/>
    </row>
    <row r="200">
      <c r="A200" s="31"/>
      <c r="B200" s="8"/>
      <c r="C200" s="8"/>
      <c r="D200" s="8"/>
      <c r="E200" s="32"/>
      <c r="F200" s="8"/>
    </row>
    <row r="201">
      <c r="A201" s="31"/>
      <c r="B201" s="8"/>
      <c r="C201" s="8"/>
      <c r="D201" s="8"/>
      <c r="E201" s="32"/>
      <c r="F201" s="8"/>
    </row>
    <row r="202">
      <c r="A202" s="31"/>
      <c r="B202" s="8"/>
      <c r="C202" s="8"/>
      <c r="D202" s="8"/>
      <c r="E202" s="32"/>
      <c r="F202" s="8"/>
    </row>
    <row r="203">
      <c r="A203" s="31"/>
      <c r="B203" s="8"/>
      <c r="C203" s="8"/>
      <c r="D203" s="8"/>
      <c r="E203" s="32"/>
      <c r="F203" s="8"/>
    </row>
    <row r="204">
      <c r="A204" s="31"/>
      <c r="B204" s="8"/>
      <c r="C204" s="8"/>
      <c r="D204" s="8"/>
      <c r="E204" s="32"/>
      <c r="F204" s="8"/>
    </row>
    <row r="205">
      <c r="A205" s="31"/>
      <c r="B205" s="8"/>
      <c r="C205" s="8"/>
      <c r="D205" s="8"/>
      <c r="E205" s="32"/>
      <c r="F205" s="8"/>
    </row>
    <row r="206">
      <c r="A206" s="31"/>
      <c r="B206" s="8"/>
      <c r="C206" s="8"/>
      <c r="D206" s="8"/>
      <c r="E206" s="32"/>
      <c r="F206" s="8"/>
    </row>
    <row r="207">
      <c r="A207" s="31"/>
      <c r="B207" s="8"/>
      <c r="C207" s="8"/>
      <c r="D207" s="8"/>
      <c r="E207" s="32"/>
      <c r="F207" s="8"/>
    </row>
    <row r="208">
      <c r="A208" s="31"/>
      <c r="B208" s="8"/>
      <c r="C208" s="8"/>
      <c r="D208" s="8"/>
      <c r="E208" s="32"/>
      <c r="F208" s="8"/>
    </row>
    <row r="209">
      <c r="A209" s="31"/>
      <c r="B209" s="8"/>
      <c r="C209" s="8"/>
      <c r="D209" s="8"/>
      <c r="E209" s="32"/>
      <c r="F209" s="8"/>
    </row>
    <row r="210">
      <c r="A210" s="31"/>
      <c r="B210" s="8"/>
      <c r="C210" s="8"/>
      <c r="D210" s="8"/>
      <c r="E210" s="32"/>
      <c r="F210" s="8"/>
    </row>
    <row r="211">
      <c r="A211" s="31"/>
      <c r="B211" s="8"/>
      <c r="C211" s="8"/>
      <c r="D211" s="8"/>
      <c r="E211" s="32"/>
      <c r="F211" s="8"/>
    </row>
    <row r="212">
      <c r="A212" s="31"/>
      <c r="B212" s="8"/>
      <c r="C212" s="8"/>
      <c r="D212" s="8"/>
      <c r="E212" s="32"/>
      <c r="F212" s="8"/>
    </row>
    <row r="213">
      <c r="A213" s="31"/>
      <c r="B213" s="8"/>
      <c r="C213" s="8"/>
      <c r="D213" s="8"/>
      <c r="E213" s="32"/>
      <c r="F213" s="8"/>
    </row>
    <row r="214">
      <c r="A214" s="31"/>
      <c r="B214" s="8"/>
      <c r="C214" s="8"/>
      <c r="D214" s="8"/>
      <c r="E214" s="32"/>
      <c r="F214" s="8"/>
    </row>
    <row r="215">
      <c r="A215" s="31"/>
      <c r="B215" s="8"/>
      <c r="C215" s="8"/>
      <c r="D215" s="8"/>
      <c r="E215" s="32"/>
      <c r="F215" s="8"/>
    </row>
    <row r="216">
      <c r="A216" s="31"/>
      <c r="B216" s="8"/>
      <c r="C216" s="8"/>
      <c r="D216" s="8"/>
      <c r="E216" s="32"/>
      <c r="F216" s="8"/>
    </row>
    <row r="217">
      <c r="A217" s="31"/>
      <c r="B217" s="8"/>
      <c r="C217" s="8"/>
      <c r="D217" s="8"/>
      <c r="E217" s="32"/>
      <c r="F217" s="8"/>
    </row>
    <row r="218">
      <c r="A218" s="31"/>
      <c r="B218" s="8"/>
      <c r="C218" s="8"/>
      <c r="D218" s="8"/>
      <c r="E218" s="32"/>
      <c r="F218" s="8"/>
    </row>
    <row r="219">
      <c r="A219" s="31"/>
      <c r="B219" s="8"/>
      <c r="C219" s="8"/>
      <c r="D219" s="8"/>
      <c r="E219" s="32"/>
      <c r="F219" s="8"/>
    </row>
    <row r="220">
      <c r="A220" s="31"/>
      <c r="B220" s="8"/>
      <c r="C220" s="8"/>
      <c r="D220" s="8"/>
      <c r="E220" s="32"/>
      <c r="F220" s="8"/>
    </row>
    <row r="221">
      <c r="A221" s="31"/>
      <c r="B221" s="8"/>
      <c r="C221" s="8"/>
      <c r="D221" s="8"/>
      <c r="E221" s="32"/>
      <c r="F221" s="8"/>
    </row>
    <row r="222">
      <c r="A222" s="31"/>
      <c r="B222" s="8"/>
      <c r="C222" s="8"/>
      <c r="D222" s="8"/>
      <c r="E222" s="32"/>
      <c r="F222" s="8"/>
    </row>
    <row r="223">
      <c r="A223" s="31"/>
      <c r="B223" s="8"/>
      <c r="C223" s="8"/>
      <c r="D223" s="8"/>
      <c r="E223" s="32"/>
      <c r="F223" s="8"/>
    </row>
    <row r="224">
      <c r="A224" s="31"/>
      <c r="B224" s="8"/>
      <c r="C224" s="8"/>
      <c r="D224" s="8"/>
      <c r="E224" s="32"/>
      <c r="F224" s="8"/>
    </row>
    <row r="225">
      <c r="A225" s="31"/>
      <c r="B225" s="8"/>
      <c r="C225" s="8"/>
      <c r="D225" s="8"/>
      <c r="E225" s="32"/>
      <c r="F225" s="8"/>
    </row>
    <row r="226">
      <c r="A226" s="31"/>
      <c r="B226" s="8"/>
      <c r="C226" s="8"/>
      <c r="D226" s="8"/>
      <c r="E226" s="32"/>
      <c r="F226" s="8"/>
    </row>
    <row r="227">
      <c r="A227" s="31"/>
      <c r="B227" s="8"/>
      <c r="C227" s="8"/>
      <c r="D227" s="8"/>
      <c r="E227" s="32"/>
      <c r="F227" s="8"/>
    </row>
    <row r="228">
      <c r="A228" s="31"/>
      <c r="B228" s="8"/>
      <c r="C228" s="8"/>
      <c r="D228" s="8"/>
      <c r="E228" s="32"/>
      <c r="F228" s="8"/>
    </row>
    <row r="229">
      <c r="A229" s="31"/>
      <c r="B229" s="8"/>
      <c r="C229" s="8"/>
      <c r="D229" s="8"/>
      <c r="E229" s="32"/>
      <c r="F229" s="8"/>
    </row>
    <row r="230">
      <c r="A230" s="31"/>
      <c r="B230" s="8"/>
      <c r="C230" s="8"/>
      <c r="D230" s="8"/>
      <c r="E230" s="32"/>
      <c r="F230" s="8"/>
    </row>
    <row r="231">
      <c r="A231" s="31"/>
      <c r="B231" s="8"/>
      <c r="C231" s="8"/>
      <c r="D231" s="8"/>
      <c r="E231" s="32"/>
      <c r="F231" s="8"/>
    </row>
    <row r="232">
      <c r="A232" s="31"/>
      <c r="B232" s="8"/>
      <c r="C232" s="8"/>
      <c r="D232" s="8"/>
      <c r="E232" s="32"/>
      <c r="F232" s="8"/>
    </row>
    <row r="233">
      <c r="A233" s="31"/>
      <c r="B233" s="8"/>
      <c r="C233" s="8"/>
      <c r="D233" s="8"/>
      <c r="E233" s="32"/>
      <c r="F233" s="8"/>
    </row>
    <row r="234">
      <c r="A234" s="31"/>
      <c r="B234" s="8"/>
      <c r="C234" s="8"/>
      <c r="D234" s="8"/>
      <c r="E234" s="32"/>
      <c r="F234" s="8"/>
    </row>
    <row r="235">
      <c r="A235" s="31"/>
      <c r="B235" s="8"/>
      <c r="C235" s="8"/>
      <c r="D235" s="8"/>
      <c r="E235" s="32"/>
      <c r="F235" s="8"/>
    </row>
    <row r="236">
      <c r="A236" s="31"/>
      <c r="B236" s="8"/>
      <c r="C236" s="8"/>
      <c r="D236" s="8"/>
      <c r="E236" s="32"/>
      <c r="F236" s="8"/>
    </row>
    <row r="237">
      <c r="A237" s="31"/>
      <c r="B237" s="8"/>
      <c r="C237" s="8"/>
      <c r="D237" s="8"/>
      <c r="E237" s="32"/>
      <c r="F237" s="8"/>
    </row>
    <row r="238">
      <c r="A238" s="31"/>
      <c r="B238" s="8"/>
      <c r="C238" s="8"/>
      <c r="D238" s="8"/>
      <c r="E238" s="32"/>
      <c r="F238" s="8"/>
    </row>
    <row r="239">
      <c r="A239" s="31"/>
      <c r="B239" s="8"/>
      <c r="C239" s="8"/>
      <c r="D239" s="8"/>
      <c r="E239" s="32"/>
      <c r="F239" s="8"/>
    </row>
    <row r="240">
      <c r="A240" s="31"/>
      <c r="B240" s="8"/>
      <c r="C240" s="8"/>
      <c r="D240" s="8"/>
      <c r="E240" s="32"/>
      <c r="F240" s="8"/>
    </row>
    <row r="241">
      <c r="A241" s="31"/>
      <c r="B241" s="8"/>
      <c r="C241" s="8"/>
      <c r="D241" s="8"/>
      <c r="E241" s="32"/>
      <c r="F241" s="8"/>
    </row>
    <row r="242">
      <c r="A242" s="31"/>
      <c r="B242" s="8"/>
      <c r="C242" s="8"/>
      <c r="D242" s="8"/>
      <c r="E242" s="32"/>
      <c r="F242" s="8"/>
    </row>
    <row r="243">
      <c r="A243" s="31"/>
      <c r="B243" s="8"/>
      <c r="C243" s="8"/>
      <c r="D243" s="8"/>
      <c r="E243" s="32"/>
      <c r="F243" s="8"/>
    </row>
    <row r="244">
      <c r="A244" s="31"/>
      <c r="B244" s="8"/>
      <c r="C244" s="8"/>
      <c r="D244" s="8"/>
      <c r="E244" s="32"/>
      <c r="F244" s="8"/>
    </row>
    <row r="245">
      <c r="A245" s="31"/>
      <c r="B245" s="8"/>
      <c r="C245" s="8"/>
      <c r="D245" s="8"/>
      <c r="E245" s="32"/>
      <c r="F245" s="8"/>
    </row>
    <row r="246">
      <c r="A246" s="31"/>
      <c r="B246" s="8"/>
      <c r="C246" s="8"/>
      <c r="D246" s="8"/>
      <c r="E246" s="32"/>
      <c r="F246" s="8"/>
    </row>
    <row r="247">
      <c r="A247" s="31"/>
      <c r="B247" s="8"/>
      <c r="C247" s="8"/>
      <c r="D247" s="8"/>
      <c r="E247" s="32"/>
      <c r="F247" s="8"/>
    </row>
    <row r="248">
      <c r="A248" s="31"/>
      <c r="B248" s="8"/>
      <c r="C248" s="8"/>
      <c r="D248" s="8"/>
      <c r="E248" s="32"/>
      <c r="F248" s="8"/>
    </row>
    <row r="249">
      <c r="A249" s="31"/>
      <c r="B249" s="8"/>
      <c r="C249" s="8"/>
      <c r="D249" s="8"/>
      <c r="E249" s="32"/>
      <c r="F249" s="8"/>
    </row>
    <row r="250">
      <c r="A250" s="31"/>
      <c r="B250" s="8"/>
      <c r="C250" s="8"/>
      <c r="D250" s="8"/>
      <c r="E250" s="32"/>
      <c r="F250" s="8"/>
    </row>
    <row r="251">
      <c r="A251" s="31"/>
      <c r="B251" s="8"/>
      <c r="C251" s="8"/>
      <c r="D251" s="8"/>
      <c r="E251" s="32"/>
      <c r="F251" s="8"/>
    </row>
    <row r="252">
      <c r="A252" s="31"/>
      <c r="B252" s="8"/>
      <c r="C252" s="8"/>
      <c r="D252" s="8"/>
      <c r="E252" s="32"/>
      <c r="F252" s="8"/>
    </row>
    <row r="253">
      <c r="A253" s="31"/>
      <c r="B253" s="8"/>
      <c r="C253" s="8"/>
      <c r="D253" s="8"/>
      <c r="E253" s="32"/>
      <c r="F253" s="8"/>
    </row>
    <row r="254">
      <c r="A254" s="31"/>
      <c r="B254" s="8"/>
      <c r="C254" s="8"/>
      <c r="D254" s="8"/>
      <c r="E254" s="32"/>
      <c r="F254" s="8"/>
    </row>
    <row r="255">
      <c r="A255" s="31"/>
      <c r="B255" s="8"/>
      <c r="C255" s="8"/>
      <c r="D255" s="8"/>
      <c r="E255" s="32"/>
      <c r="F255" s="8"/>
    </row>
    <row r="256">
      <c r="A256" s="31"/>
      <c r="B256" s="8"/>
      <c r="C256" s="8"/>
      <c r="D256" s="8"/>
      <c r="E256" s="32"/>
      <c r="F256" s="8"/>
    </row>
    <row r="257">
      <c r="A257" s="31"/>
      <c r="B257" s="8"/>
      <c r="C257" s="8"/>
      <c r="D257" s="8"/>
      <c r="E257" s="32"/>
      <c r="F257" s="8"/>
    </row>
    <row r="258">
      <c r="A258" s="31"/>
      <c r="B258" s="8"/>
      <c r="C258" s="8"/>
      <c r="D258" s="8"/>
      <c r="E258" s="32"/>
      <c r="F258" s="8"/>
    </row>
    <row r="259">
      <c r="A259" s="31"/>
      <c r="B259" s="8"/>
      <c r="C259" s="8"/>
      <c r="D259" s="8"/>
      <c r="E259" s="32"/>
      <c r="F259" s="8"/>
    </row>
    <row r="260">
      <c r="A260" s="31"/>
      <c r="B260" s="8"/>
      <c r="C260" s="8"/>
      <c r="D260" s="8"/>
      <c r="E260" s="32"/>
      <c r="F260" s="8"/>
    </row>
    <row r="261">
      <c r="A261" s="31"/>
      <c r="B261" s="8"/>
      <c r="C261" s="8"/>
      <c r="D261" s="8"/>
      <c r="E261" s="32"/>
      <c r="F261" s="8"/>
    </row>
    <row r="262">
      <c r="A262" s="31"/>
      <c r="B262" s="8"/>
      <c r="C262" s="8"/>
      <c r="D262" s="8"/>
      <c r="E262" s="32"/>
      <c r="F262" s="8"/>
    </row>
    <row r="263">
      <c r="A263" s="31"/>
      <c r="B263" s="8"/>
      <c r="C263" s="8"/>
      <c r="D263" s="8"/>
      <c r="E263" s="32"/>
      <c r="F263" s="8"/>
    </row>
    <row r="264">
      <c r="A264" s="31"/>
      <c r="B264" s="8"/>
      <c r="C264" s="8"/>
      <c r="D264" s="8"/>
      <c r="E264" s="32"/>
      <c r="F264" s="8"/>
    </row>
    <row r="265">
      <c r="A265" s="31"/>
      <c r="B265" s="8"/>
      <c r="C265" s="8"/>
      <c r="D265" s="8"/>
      <c r="E265" s="32"/>
      <c r="F265" s="8"/>
    </row>
    <row r="266">
      <c r="A266" s="31"/>
      <c r="B266" s="8"/>
      <c r="C266" s="8"/>
      <c r="D266" s="8"/>
      <c r="E266" s="32"/>
      <c r="F266" s="8"/>
    </row>
    <row r="267">
      <c r="A267" s="31"/>
      <c r="B267" s="8"/>
      <c r="C267" s="8"/>
      <c r="D267" s="8"/>
      <c r="E267" s="32"/>
      <c r="F267" s="8"/>
    </row>
    <row r="268">
      <c r="A268" s="31"/>
      <c r="B268" s="8"/>
      <c r="C268" s="8"/>
      <c r="D268" s="8"/>
      <c r="E268" s="32"/>
      <c r="F268" s="8"/>
    </row>
    <row r="269">
      <c r="A269" s="31"/>
      <c r="B269" s="8"/>
      <c r="C269" s="8"/>
      <c r="D269" s="8"/>
      <c r="E269" s="32"/>
      <c r="F269" s="8"/>
    </row>
    <row r="270">
      <c r="A270" s="31"/>
      <c r="B270" s="8"/>
      <c r="C270" s="8"/>
      <c r="D270" s="8"/>
      <c r="E270" s="32"/>
      <c r="F270" s="8"/>
    </row>
    <row r="271">
      <c r="A271" s="31"/>
      <c r="B271" s="8"/>
      <c r="C271" s="8"/>
      <c r="D271" s="8"/>
      <c r="E271" s="32"/>
      <c r="F271" s="8"/>
    </row>
    <row r="272">
      <c r="A272" s="31"/>
      <c r="B272" s="8"/>
      <c r="C272" s="8"/>
      <c r="D272" s="8"/>
      <c r="E272" s="32"/>
      <c r="F272" s="8"/>
    </row>
    <row r="273">
      <c r="A273" s="31"/>
      <c r="B273" s="8"/>
      <c r="C273" s="8"/>
      <c r="D273" s="8"/>
      <c r="E273" s="32"/>
      <c r="F273" s="8"/>
    </row>
    <row r="274">
      <c r="A274" s="31"/>
      <c r="B274" s="8"/>
      <c r="C274" s="8"/>
      <c r="D274" s="8"/>
      <c r="E274" s="32"/>
      <c r="F274" s="8"/>
    </row>
    <row r="275">
      <c r="A275" s="31"/>
      <c r="B275" s="8"/>
      <c r="C275" s="8"/>
      <c r="D275" s="8"/>
      <c r="E275" s="32"/>
      <c r="F275" s="8"/>
    </row>
    <row r="276">
      <c r="A276" s="31"/>
      <c r="B276" s="8"/>
      <c r="C276" s="8"/>
      <c r="D276" s="8"/>
      <c r="E276" s="32"/>
      <c r="F276" s="8"/>
    </row>
    <row r="277">
      <c r="A277" s="31"/>
      <c r="B277" s="8"/>
      <c r="C277" s="8"/>
      <c r="D277" s="8"/>
      <c r="E277" s="32"/>
      <c r="F277" s="8"/>
    </row>
    <row r="278">
      <c r="A278" s="31"/>
      <c r="B278" s="8"/>
      <c r="C278" s="8"/>
      <c r="D278" s="8"/>
      <c r="E278" s="32"/>
      <c r="F278" s="8"/>
    </row>
    <row r="279">
      <c r="A279" s="31"/>
      <c r="B279" s="8"/>
      <c r="C279" s="8"/>
      <c r="D279" s="8"/>
      <c r="E279" s="32"/>
      <c r="F279" s="8"/>
    </row>
    <row r="280">
      <c r="A280" s="31"/>
      <c r="B280" s="8"/>
      <c r="C280" s="8"/>
      <c r="D280" s="8"/>
      <c r="E280" s="32"/>
      <c r="F280" s="8"/>
    </row>
    <row r="281">
      <c r="A281" s="31"/>
      <c r="B281" s="8"/>
      <c r="C281" s="8"/>
      <c r="D281" s="8"/>
      <c r="E281" s="32"/>
      <c r="F281" s="8"/>
    </row>
    <row r="282">
      <c r="A282" s="31"/>
      <c r="B282" s="8"/>
      <c r="C282" s="8"/>
      <c r="D282" s="8"/>
      <c r="E282" s="32"/>
      <c r="F282" s="8"/>
    </row>
    <row r="283">
      <c r="A283" s="31"/>
      <c r="B283" s="8"/>
      <c r="C283" s="8"/>
      <c r="D283" s="8"/>
      <c r="E283" s="32"/>
      <c r="F283" s="8"/>
    </row>
    <row r="284">
      <c r="A284" s="31"/>
      <c r="B284" s="8"/>
      <c r="C284" s="8"/>
      <c r="D284" s="8"/>
      <c r="E284" s="32"/>
      <c r="F284" s="8"/>
    </row>
    <row r="285">
      <c r="A285" s="31"/>
      <c r="B285" s="8"/>
      <c r="C285" s="8"/>
      <c r="D285" s="8"/>
      <c r="E285" s="32"/>
      <c r="F285" s="8"/>
    </row>
    <row r="286">
      <c r="A286" s="31"/>
      <c r="B286" s="8"/>
      <c r="C286" s="8"/>
      <c r="D286" s="8"/>
      <c r="E286" s="32"/>
      <c r="F286" s="8"/>
    </row>
    <row r="287">
      <c r="A287" s="31"/>
      <c r="B287" s="8"/>
      <c r="C287" s="8"/>
      <c r="D287" s="8"/>
      <c r="E287" s="32"/>
      <c r="F287" s="8"/>
    </row>
    <row r="288">
      <c r="A288" s="31"/>
      <c r="B288" s="8"/>
      <c r="C288" s="8"/>
      <c r="D288" s="8"/>
      <c r="E288" s="32"/>
      <c r="F288" s="8"/>
    </row>
    <row r="289">
      <c r="A289" s="31"/>
      <c r="B289" s="8"/>
      <c r="C289" s="8"/>
      <c r="D289" s="8"/>
      <c r="E289" s="32"/>
      <c r="F289" s="8"/>
    </row>
    <row r="290">
      <c r="A290" s="31"/>
      <c r="B290" s="8"/>
      <c r="C290" s="8"/>
      <c r="D290" s="8"/>
      <c r="E290" s="32"/>
      <c r="F290" s="8"/>
    </row>
    <row r="291">
      <c r="A291" s="31"/>
      <c r="B291" s="8"/>
      <c r="C291" s="8"/>
      <c r="D291" s="8"/>
      <c r="E291" s="32"/>
      <c r="F291" s="8"/>
    </row>
    <row r="292">
      <c r="A292" s="31"/>
      <c r="B292" s="8"/>
      <c r="C292" s="8"/>
      <c r="D292" s="8"/>
      <c r="E292" s="32"/>
      <c r="F292" s="8"/>
    </row>
    <row r="293">
      <c r="A293" s="31"/>
      <c r="B293" s="8"/>
      <c r="C293" s="8"/>
      <c r="D293" s="8"/>
      <c r="E293" s="32"/>
      <c r="F293" s="8"/>
    </row>
    <row r="294">
      <c r="A294" s="31"/>
      <c r="B294" s="8"/>
      <c r="C294" s="8"/>
      <c r="D294" s="8"/>
      <c r="E294" s="32"/>
      <c r="F294" s="8"/>
    </row>
    <row r="295">
      <c r="A295" s="31"/>
      <c r="B295" s="8"/>
      <c r="C295" s="8"/>
      <c r="D295" s="8"/>
      <c r="E295" s="32"/>
      <c r="F295" s="8"/>
    </row>
    <row r="296">
      <c r="A296" s="31"/>
      <c r="B296" s="8"/>
      <c r="C296" s="8"/>
      <c r="D296" s="8"/>
      <c r="E296" s="32"/>
      <c r="F296" s="8"/>
    </row>
    <row r="297">
      <c r="A297" s="31"/>
      <c r="B297" s="8"/>
      <c r="C297" s="8"/>
      <c r="D297" s="8"/>
      <c r="E297" s="32"/>
      <c r="F297" s="8"/>
    </row>
    <row r="298">
      <c r="A298" s="31"/>
      <c r="B298" s="8"/>
      <c r="C298" s="8"/>
      <c r="D298" s="8"/>
      <c r="E298" s="32"/>
      <c r="F298" s="8"/>
    </row>
    <row r="299">
      <c r="A299" s="31"/>
      <c r="B299" s="8"/>
      <c r="C299" s="8"/>
      <c r="D299" s="8"/>
      <c r="E299" s="32"/>
      <c r="F299" s="8"/>
    </row>
    <row r="300">
      <c r="A300" s="31"/>
      <c r="B300" s="8"/>
      <c r="C300" s="8"/>
      <c r="D300" s="8"/>
      <c r="E300" s="32"/>
      <c r="F300" s="8"/>
    </row>
    <row r="301">
      <c r="A301" s="31"/>
      <c r="B301" s="8"/>
      <c r="C301" s="8"/>
      <c r="D301" s="8"/>
      <c r="E301" s="32"/>
      <c r="F301" s="8"/>
    </row>
    <row r="302">
      <c r="A302" s="31"/>
      <c r="B302" s="8"/>
      <c r="C302" s="8"/>
      <c r="D302" s="8"/>
      <c r="E302" s="32"/>
      <c r="F302" s="8"/>
    </row>
    <row r="303">
      <c r="A303" s="31"/>
      <c r="B303" s="8"/>
      <c r="C303" s="8"/>
      <c r="D303" s="8"/>
      <c r="E303" s="32"/>
      <c r="F303" s="8"/>
    </row>
    <row r="304">
      <c r="A304" s="31"/>
      <c r="B304" s="8"/>
      <c r="C304" s="8"/>
      <c r="D304" s="8"/>
      <c r="E304" s="32"/>
      <c r="F304" s="8"/>
    </row>
    <row r="305">
      <c r="A305" s="31"/>
      <c r="B305" s="8"/>
      <c r="C305" s="8"/>
      <c r="D305" s="8"/>
      <c r="E305" s="32"/>
      <c r="F305" s="8"/>
    </row>
    <row r="306">
      <c r="A306" s="31"/>
      <c r="B306" s="8"/>
      <c r="C306" s="8"/>
      <c r="D306" s="8"/>
      <c r="E306" s="32"/>
      <c r="F306" s="8"/>
    </row>
    <row r="307">
      <c r="A307" s="31"/>
      <c r="B307" s="8"/>
      <c r="C307" s="8"/>
      <c r="D307" s="8"/>
      <c r="E307" s="32"/>
      <c r="F307" s="8"/>
    </row>
    <row r="308">
      <c r="A308" s="31"/>
      <c r="B308" s="8"/>
      <c r="C308" s="8"/>
      <c r="D308" s="8"/>
      <c r="E308" s="32"/>
      <c r="F308" s="8"/>
    </row>
    <row r="309">
      <c r="A309" s="31"/>
      <c r="B309" s="8"/>
      <c r="C309" s="8"/>
      <c r="D309" s="8"/>
      <c r="E309" s="32"/>
      <c r="F309" s="8"/>
    </row>
    <row r="310">
      <c r="A310" s="31"/>
      <c r="B310" s="8"/>
      <c r="C310" s="8"/>
      <c r="D310" s="8"/>
      <c r="E310" s="32"/>
      <c r="F310" s="8"/>
    </row>
    <row r="311">
      <c r="A311" s="31"/>
      <c r="B311" s="8"/>
      <c r="C311" s="8"/>
      <c r="D311" s="8"/>
      <c r="E311" s="32"/>
      <c r="F311" s="8"/>
    </row>
    <row r="312">
      <c r="A312" s="31"/>
      <c r="B312" s="8"/>
      <c r="C312" s="8"/>
      <c r="D312" s="8"/>
      <c r="E312" s="32"/>
      <c r="F312" s="8"/>
    </row>
    <row r="313">
      <c r="A313" s="31"/>
      <c r="B313" s="8"/>
      <c r="C313" s="8"/>
      <c r="D313" s="8"/>
      <c r="E313" s="32"/>
      <c r="F313" s="8"/>
    </row>
    <row r="314">
      <c r="A314" s="31"/>
      <c r="B314" s="8"/>
      <c r="C314" s="8"/>
      <c r="D314" s="8"/>
      <c r="E314" s="32"/>
      <c r="F314" s="8"/>
    </row>
    <row r="315">
      <c r="A315" s="31"/>
      <c r="B315" s="8"/>
      <c r="C315" s="8"/>
      <c r="D315" s="8"/>
      <c r="E315" s="32"/>
      <c r="F315" s="8"/>
    </row>
    <row r="316">
      <c r="A316" s="31"/>
      <c r="B316" s="8"/>
      <c r="C316" s="8"/>
      <c r="D316" s="8"/>
      <c r="E316" s="32"/>
      <c r="F316" s="8"/>
    </row>
    <row r="317">
      <c r="A317" s="31"/>
      <c r="B317" s="8"/>
      <c r="C317" s="8"/>
      <c r="D317" s="8"/>
      <c r="E317" s="32"/>
      <c r="F317" s="8"/>
    </row>
    <row r="318">
      <c r="A318" s="31"/>
      <c r="B318" s="8"/>
      <c r="C318" s="8"/>
      <c r="D318" s="8"/>
      <c r="E318" s="32"/>
      <c r="F318" s="8"/>
    </row>
    <row r="319">
      <c r="A319" s="31"/>
      <c r="B319" s="8"/>
      <c r="C319" s="8"/>
      <c r="D319" s="8"/>
      <c r="E319" s="32"/>
      <c r="F319" s="8"/>
    </row>
    <row r="320">
      <c r="A320" s="31"/>
      <c r="B320" s="8"/>
      <c r="C320" s="8"/>
      <c r="D320" s="8"/>
      <c r="E320" s="32"/>
      <c r="F320" s="8"/>
    </row>
    <row r="321">
      <c r="A321" s="31"/>
      <c r="B321" s="8"/>
      <c r="C321" s="8"/>
      <c r="D321" s="8"/>
      <c r="E321" s="32"/>
      <c r="F321" s="8"/>
    </row>
    <row r="322">
      <c r="A322" s="31"/>
      <c r="B322" s="8"/>
      <c r="C322" s="8"/>
      <c r="D322" s="8"/>
      <c r="E322" s="32"/>
      <c r="F322" s="8"/>
    </row>
    <row r="323">
      <c r="A323" s="31"/>
      <c r="B323" s="8"/>
      <c r="C323" s="8"/>
      <c r="D323" s="8"/>
      <c r="E323" s="32"/>
      <c r="F323" s="8"/>
    </row>
    <row r="324">
      <c r="A324" s="31"/>
      <c r="B324" s="8"/>
      <c r="C324" s="8"/>
      <c r="D324" s="8"/>
      <c r="E324" s="32"/>
      <c r="F324" s="8"/>
    </row>
    <row r="325">
      <c r="A325" s="31"/>
      <c r="B325" s="8"/>
      <c r="C325" s="8"/>
      <c r="D325" s="8"/>
      <c r="E325" s="32"/>
      <c r="F325" s="8"/>
    </row>
    <row r="326">
      <c r="A326" s="31"/>
      <c r="B326" s="8"/>
      <c r="C326" s="8"/>
      <c r="D326" s="8"/>
      <c r="E326" s="32"/>
      <c r="F326" s="8"/>
    </row>
    <row r="327">
      <c r="A327" s="31"/>
      <c r="B327" s="8"/>
      <c r="C327" s="8"/>
      <c r="D327" s="8"/>
      <c r="E327" s="32"/>
      <c r="F327" s="8"/>
    </row>
    <row r="328">
      <c r="A328" s="31"/>
      <c r="B328" s="8"/>
      <c r="C328" s="8"/>
      <c r="D328" s="8"/>
      <c r="E328" s="32"/>
      <c r="F328" s="8"/>
    </row>
    <row r="329">
      <c r="A329" s="31"/>
      <c r="B329" s="8"/>
      <c r="C329" s="8"/>
      <c r="D329" s="8"/>
      <c r="E329" s="32"/>
      <c r="F329" s="8"/>
    </row>
    <row r="330">
      <c r="A330" s="31"/>
      <c r="B330" s="8"/>
      <c r="C330" s="8"/>
      <c r="D330" s="8"/>
      <c r="E330" s="32"/>
      <c r="F330" s="8"/>
    </row>
    <row r="331">
      <c r="A331" s="31"/>
      <c r="B331" s="8"/>
      <c r="C331" s="8"/>
      <c r="D331" s="8"/>
      <c r="E331" s="32"/>
      <c r="F331" s="8"/>
    </row>
    <row r="332">
      <c r="A332" s="31"/>
      <c r="B332" s="8"/>
      <c r="C332" s="8"/>
      <c r="D332" s="8"/>
      <c r="E332" s="32"/>
      <c r="F332" s="8"/>
    </row>
    <row r="333">
      <c r="A333" s="31"/>
      <c r="B333" s="8"/>
      <c r="C333" s="8"/>
      <c r="D333" s="8"/>
      <c r="E333" s="32"/>
      <c r="F333" s="8"/>
    </row>
    <row r="334">
      <c r="A334" s="31"/>
      <c r="B334" s="8"/>
      <c r="C334" s="8"/>
      <c r="D334" s="8"/>
      <c r="E334" s="32"/>
      <c r="F334" s="8"/>
    </row>
    <row r="335">
      <c r="A335" s="31"/>
      <c r="B335" s="8"/>
      <c r="C335" s="8"/>
      <c r="D335" s="8"/>
      <c r="E335" s="32"/>
      <c r="F335" s="8"/>
    </row>
    <row r="336">
      <c r="A336" s="31"/>
      <c r="B336" s="8"/>
      <c r="C336" s="8"/>
      <c r="D336" s="8"/>
      <c r="E336" s="32"/>
      <c r="F336" s="8"/>
    </row>
    <row r="337">
      <c r="A337" s="31"/>
      <c r="B337" s="8"/>
      <c r="C337" s="8"/>
      <c r="D337" s="8"/>
      <c r="E337" s="32"/>
      <c r="F337" s="8"/>
    </row>
    <row r="338">
      <c r="A338" s="31"/>
      <c r="B338" s="8"/>
      <c r="C338" s="8"/>
      <c r="D338" s="8"/>
      <c r="E338" s="32"/>
      <c r="F338" s="8"/>
    </row>
    <row r="339">
      <c r="A339" s="31"/>
      <c r="B339" s="8"/>
      <c r="C339" s="8"/>
      <c r="D339" s="8"/>
      <c r="E339" s="32"/>
      <c r="F339" s="8"/>
    </row>
    <row r="340">
      <c r="A340" s="31"/>
      <c r="B340" s="8"/>
      <c r="C340" s="8"/>
      <c r="D340" s="8"/>
      <c r="E340" s="32"/>
      <c r="F340" s="8"/>
    </row>
    <row r="341">
      <c r="A341" s="31"/>
      <c r="B341" s="8"/>
      <c r="C341" s="8"/>
      <c r="D341" s="8"/>
      <c r="E341" s="32"/>
      <c r="F341" s="8"/>
    </row>
    <row r="342">
      <c r="A342" s="31"/>
      <c r="B342" s="8"/>
      <c r="C342" s="8"/>
      <c r="D342" s="8"/>
      <c r="E342" s="32"/>
      <c r="F342" s="8"/>
    </row>
    <row r="343">
      <c r="A343" s="31"/>
      <c r="B343" s="8"/>
      <c r="C343" s="8"/>
      <c r="D343" s="8"/>
      <c r="E343" s="32"/>
      <c r="F343" s="8"/>
    </row>
    <row r="344">
      <c r="A344" s="31"/>
      <c r="B344" s="8"/>
      <c r="C344" s="8"/>
      <c r="D344" s="8"/>
      <c r="E344" s="32"/>
      <c r="F344" s="8"/>
    </row>
    <row r="345">
      <c r="A345" s="31"/>
      <c r="B345" s="8"/>
      <c r="C345" s="8"/>
      <c r="D345" s="8"/>
      <c r="E345" s="32"/>
      <c r="F345" s="8"/>
    </row>
    <row r="346">
      <c r="A346" s="31"/>
      <c r="B346" s="8"/>
      <c r="C346" s="8"/>
      <c r="D346" s="8"/>
      <c r="E346" s="32"/>
      <c r="F346" s="8"/>
    </row>
    <row r="347">
      <c r="A347" s="31"/>
      <c r="B347" s="8"/>
      <c r="C347" s="8"/>
      <c r="D347" s="8"/>
      <c r="E347" s="32"/>
      <c r="F347" s="8"/>
    </row>
    <row r="348">
      <c r="A348" s="31"/>
      <c r="B348" s="8"/>
      <c r="C348" s="8"/>
      <c r="D348" s="8"/>
      <c r="E348" s="32"/>
      <c r="F348" s="8"/>
    </row>
    <row r="349">
      <c r="A349" s="31"/>
      <c r="B349" s="8"/>
      <c r="C349" s="8"/>
      <c r="D349" s="8"/>
      <c r="E349" s="32"/>
      <c r="F349" s="8"/>
    </row>
    <row r="350">
      <c r="A350" s="31"/>
      <c r="B350" s="8"/>
      <c r="C350" s="8"/>
      <c r="D350" s="8"/>
      <c r="E350" s="32"/>
      <c r="F350" s="8"/>
    </row>
    <row r="351">
      <c r="A351" s="31"/>
      <c r="B351" s="8"/>
      <c r="C351" s="8"/>
      <c r="D351" s="8"/>
      <c r="E351" s="32"/>
      <c r="F351" s="8"/>
    </row>
    <row r="352">
      <c r="A352" s="31"/>
      <c r="B352" s="8"/>
      <c r="C352" s="8"/>
      <c r="D352" s="8"/>
      <c r="E352" s="32"/>
      <c r="F352" s="8"/>
    </row>
    <row r="353">
      <c r="A353" s="31"/>
      <c r="B353" s="8"/>
      <c r="C353" s="8"/>
      <c r="D353" s="8"/>
      <c r="E353" s="32"/>
      <c r="F353" s="8"/>
    </row>
    <row r="354">
      <c r="A354" s="31"/>
      <c r="B354" s="8"/>
      <c r="C354" s="8"/>
      <c r="D354" s="8"/>
      <c r="E354" s="32"/>
      <c r="F354" s="8"/>
    </row>
    <row r="355">
      <c r="A355" s="31"/>
      <c r="B355" s="8"/>
      <c r="C355" s="8"/>
      <c r="D355" s="8"/>
      <c r="E355" s="32"/>
      <c r="F355" s="8"/>
    </row>
    <row r="356">
      <c r="A356" s="31"/>
      <c r="B356" s="8"/>
      <c r="C356" s="8"/>
      <c r="D356" s="8"/>
      <c r="E356" s="32"/>
      <c r="F356" s="8"/>
    </row>
    <row r="357">
      <c r="A357" s="31"/>
      <c r="B357" s="8"/>
      <c r="C357" s="8"/>
      <c r="D357" s="8"/>
      <c r="E357" s="32"/>
      <c r="F357" s="8"/>
    </row>
    <row r="358">
      <c r="A358" s="31"/>
      <c r="B358" s="8"/>
      <c r="C358" s="8"/>
      <c r="D358" s="8"/>
      <c r="E358" s="32"/>
      <c r="F358" s="8"/>
    </row>
    <row r="359">
      <c r="A359" s="31"/>
      <c r="B359" s="8"/>
      <c r="C359" s="8"/>
      <c r="D359" s="8"/>
      <c r="E359" s="32"/>
      <c r="F359" s="8"/>
    </row>
    <row r="360">
      <c r="A360" s="31"/>
      <c r="B360" s="8"/>
      <c r="C360" s="8"/>
      <c r="D360" s="8"/>
      <c r="E360" s="32"/>
      <c r="F360" s="8"/>
    </row>
    <row r="361">
      <c r="A361" s="31"/>
      <c r="B361" s="8"/>
      <c r="C361" s="8"/>
      <c r="D361" s="8"/>
      <c r="E361" s="32"/>
      <c r="F361" s="8"/>
    </row>
    <row r="362">
      <c r="A362" s="31"/>
      <c r="B362" s="8"/>
      <c r="C362" s="8"/>
      <c r="D362" s="8"/>
      <c r="E362" s="32"/>
      <c r="F362" s="8"/>
    </row>
    <row r="363">
      <c r="A363" s="31"/>
      <c r="B363" s="8"/>
      <c r="C363" s="8"/>
      <c r="D363" s="8"/>
      <c r="E363" s="32"/>
      <c r="F363" s="8"/>
    </row>
    <row r="364">
      <c r="A364" s="31"/>
      <c r="B364" s="8"/>
      <c r="C364" s="8"/>
      <c r="D364" s="8"/>
      <c r="E364" s="32"/>
      <c r="F364" s="8"/>
    </row>
    <row r="365">
      <c r="A365" s="31"/>
      <c r="B365" s="8"/>
      <c r="C365" s="8"/>
      <c r="D365" s="8"/>
      <c r="E365" s="32"/>
      <c r="F365" s="8"/>
    </row>
    <row r="366">
      <c r="A366" s="31"/>
      <c r="B366" s="8"/>
      <c r="C366" s="8"/>
      <c r="D366" s="8"/>
      <c r="E366" s="32"/>
      <c r="F366" s="8"/>
    </row>
    <row r="367">
      <c r="A367" s="31"/>
      <c r="B367" s="8"/>
      <c r="C367" s="8"/>
      <c r="D367" s="8"/>
      <c r="E367" s="32"/>
      <c r="F367" s="8"/>
    </row>
    <row r="368">
      <c r="A368" s="31"/>
      <c r="B368" s="8"/>
      <c r="C368" s="8"/>
      <c r="D368" s="8"/>
      <c r="E368" s="32"/>
      <c r="F368" s="8"/>
    </row>
    <row r="369">
      <c r="A369" s="31"/>
      <c r="B369" s="8"/>
      <c r="C369" s="8"/>
      <c r="D369" s="8"/>
      <c r="E369" s="32"/>
      <c r="F369" s="8"/>
    </row>
    <row r="370">
      <c r="A370" s="31"/>
      <c r="B370" s="8"/>
      <c r="C370" s="8"/>
      <c r="D370" s="8"/>
      <c r="E370" s="32"/>
      <c r="F370" s="8"/>
    </row>
    <row r="371">
      <c r="A371" s="31"/>
      <c r="B371" s="8"/>
      <c r="C371" s="8"/>
      <c r="D371" s="8"/>
      <c r="E371" s="32"/>
      <c r="F371" s="8"/>
    </row>
    <row r="372">
      <c r="A372" s="31"/>
      <c r="B372" s="8"/>
      <c r="C372" s="8"/>
      <c r="D372" s="8"/>
      <c r="E372" s="32"/>
      <c r="F372" s="8"/>
    </row>
    <row r="373">
      <c r="A373" s="31"/>
      <c r="B373" s="8"/>
      <c r="C373" s="8"/>
      <c r="D373" s="8"/>
      <c r="E373" s="32"/>
      <c r="F373" s="8"/>
    </row>
    <row r="374">
      <c r="A374" s="31"/>
      <c r="B374" s="8"/>
      <c r="C374" s="8"/>
      <c r="D374" s="8"/>
      <c r="E374" s="32"/>
      <c r="F374" s="8"/>
    </row>
    <row r="375">
      <c r="A375" s="31"/>
      <c r="B375" s="8"/>
      <c r="C375" s="8"/>
      <c r="D375" s="8"/>
      <c r="E375" s="32"/>
      <c r="F375" s="8"/>
    </row>
    <row r="376">
      <c r="A376" s="31"/>
      <c r="B376" s="8"/>
      <c r="C376" s="8"/>
      <c r="D376" s="8"/>
      <c r="E376" s="32"/>
      <c r="F376" s="8"/>
    </row>
    <row r="377">
      <c r="A377" s="31"/>
      <c r="B377" s="8"/>
      <c r="C377" s="8"/>
      <c r="D377" s="8"/>
      <c r="E377" s="32"/>
      <c r="F377" s="8"/>
    </row>
    <row r="378">
      <c r="A378" s="31"/>
      <c r="B378" s="8"/>
      <c r="C378" s="8"/>
      <c r="D378" s="8"/>
      <c r="E378" s="32"/>
      <c r="F378" s="8"/>
    </row>
    <row r="379">
      <c r="A379" s="31"/>
      <c r="B379" s="8"/>
      <c r="C379" s="8"/>
      <c r="D379" s="8"/>
      <c r="E379" s="32"/>
      <c r="F379" s="8"/>
    </row>
    <row r="380">
      <c r="A380" s="31"/>
      <c r="B380" s="8"/>
      <c r="C380" s="8"/>
      <c r="D380" s="8"/>
      <c r="E380" s="32"/>
      <c r="F380" s="8"/>
    </row>
    <row r="381">
      <c r="A381" s="31"/>
      <c r="B381" s="8"/>
      <c r="C381" s="8"/>
      <c r="D381" s="8"/>
      <c r="E381" s="32"/>
      <c r="F381" s="8"/>
    </row>
    <row r="382">
      <c r="A382" s="31"/>
      <c r="B382" s="8"/>
      <c r="C382" s="8"/>
      <c r="D382" s="8"/>
      <c r="E382" s="32"/>
      <c r="F382" s="8"/>
    </row>
    <row r="383">
      <c r="A383" s="31"/>
      <c r="B383" s="8"/>
      <c r="C383" s="8"/>
      <c r="D383" s="8"/>
      <c r="E383" s="32"/>
      <c r="F383" s="8"/>
    </row>
    <row r="384">
      <c r="A384" s="31"/>
      <c r="B384" s="8"/>
      <c r="C384" s="8"/>
      <c r="D384" s="8"/>
      <c r="E384" s="32"/>
      <c r="F384" s="8"/>
    </row>
    <row r="385">
      <c r="A385" s="31"/>
      <c r="B385" s="8"/>
      <c r="C385" s="8"/>
      <c r="D385" s="8"/>
      <c r="E385" s="32"/>
      <c r="F385" s="8"/>
    </row>
    <row r="386">
      <c r="A386" s="31"/>
      <c r="B386" s="8"/>
      <c r="C386" s="8"/>
      <c r="D386" s="8"/>
      <c r="E386" s="32"/>
      <c r="F386" s="8"/>
    </row>
    <row r="387">
      <c r="A387" s="31"/>
      <c r="B387" s="8"/>
      <c r="C387" s="8"/>
      <c r="D387" s="8"/>
      <c r="E387" s="32"/>
      <c r="F387" s="8"/>
    </row>
    <row r="388">
      <c r="A388" s="31"/>
      <c r="B388" s="8"/>
      <c r="C388" s="8"/>
      <c r="D388" s="8"/>
      <c r="E388" s="32"/>
      <c r="F388" s="8"/>
    </row>
    <row r="389">
      <c r="A389" s="31"/>
      <c r="B389" s="8"/>
      <c r="C389" s="8"/>
      <c r="D389" s="8"/>
      <c r="E389" s="32"/>
      <c r="F389" s="8"/>
    </row>
    <row r="390">
      <c r="A390" s="31"/>
      <c r="B390" s="8"/>
      <c r="C390" s="8"/>
      <c r="D390" s="8"/>
      <c r="E390" s="32"/>
      <c r="F390" s="8"/>
    </row>
    <row r="391">
      <c r="A391" s="31"/>
      <c r="B391" s="8"/>
      <c r="C391" s="8"/>
      <c r="D391" s="8"/>
      <c r="E391" s="32"/>
      <c r="F391" s="8"/>
    </row>
    <row r="392">
      <c r="A392" s="31"/>
      <c r="B392" s="8"/>
      <c r="C392" s="8"/>
      <c r="D392" s="8"/>
      <c r="E392" s="32"/>
      <c r="F392" s="8"/>
    </row>
    <row r="393">
      <c r="A393" s="31"/>
      <c r="B393" s="8"/>
      <c r="C393" s="8"/>
      <c r="D393" s="8"/>
      <c r="E393" s="32"/>
      <c r="F393" s="8"/>
    </row>
    <row r="394">
      <c r="A394" s="31"/>
      <c r="B394" s="8"/>
      <c r="C394" s="8"/>
      <c r="D394" s="8"/>
      <c r="E394" s="32"/>
      <c r="F394" s="8"/>
    </row>
    <row r="395">
      <c r="A395" s="31"/>
      <c r="B395" s="8"/>
      <c r="C395" s="8"/>
      <c r="D395" s="8"/>
      <c r="E395" s="32"/>
      <c r="F395" s="8"/>
    </row>
    <row r="396">
      <c r="A396" s="31"/>
      <c r="B396" s="8"/>
      <c r="C396" s="8"/>
      <c r="D396" s="8"/>
      <c r="E396" s="32"/>
      <c r="F396" s="8"/>
    </row>
    <row r="397">
      <c r="A397" s="31"/>
      <c r="B397" s="8"/>
      <c r="C397" s="8"/>
      <c r="D397" s="8"/>
      <c r="E397" s="32"/>
      <c r="F397" s="8"/>
    </row>
    <row r="398">
      <c r="A398" s="31"/>
      <c r="B398" s="8"/>
      <c r="C398" s="8"/>
      <c r="D398" s="8"/>
      <c r="E398" s="32"/>
      <c r="F398" s="8"/>
    </row>
    <row r="399">
      <c r="A399" s="31"/>
      <c r="B399" s="8"/>
      <c r="C399" s="8"/>
      <c r="D399" s="8"/>
      <c r="E399" s="32"/>
      <c r="F399" s="8"/>
    </row>
    <row r="400">
      <c r="A400" s="31"/>
      <c r="B400" s="8"/>
      <c r="C400" s="8"/>
      <c r="D400" s="8"/>
      <c r="E400" s="32"/>
      <c r="F400" s="8"/>
    </row>
    <row r="401">
      <c r="A401" s="31"/>
      <c r="B401" s="8"/>
      <c r="C401" s="8"/>
      <c r="D401" s="8"/>
      <c r="E401" s="32"/>
      <c r="F401" s="8"/>
    </row>
    <row r="402">
      <c r="A402" s="31"/>
      <c r="B402" s="8"/>
      <c r="C402" s="8"/>
      <c r="D402" s="8"/>
      <c r="E402" s="32"/>
      <c r="F402" s="8"/>
    </row>
    <row r="403">
      <c r="A403" s="31"/>
      <c r="B403" s="8"/>
      <c r="C403" s="8"/>
      <c r="D403" s="8"/>
      <c r="E403" s="32"/>
      <c r="F403" s="8"/>
    </row>
    <row r="404">
      <c r="A404" s="31"/>
      <c r="B404" s="8"/>
      <c r="C404" s="8"/>
      <c r="D404" s="8"/>
      <c r="E404" s="32"/>
      <c r="F404" s="8"/>
    </row>
    <row r="405">
      <c r="A405" s="31"/>
      <c r="B405" s="8"/>
      <c r="C405" s="8"/>
      <c r="D405" s="8"/>
      <c r="E405" s="32"/>
      <c r="F405" s="8"/>
    </row>
    <row r="406">
      <c r="A406" s="31"/>
      <c r="B406" s="8"/>
      <c r="C406" s="8"/>
      <c r="D406" s="8"/>
      <c r="E406" s="32"/>
      <c r="F406" s="8"/>
    </row>
    <row r="407">
      <c r="A407" s="31"/>
      <c r="B407" s="8"/>
      <c r="C407" s="8"/>
      <c r="D407" s="8"/>
      <c r="E407" s="32"/>
      <c r="F407" s="8"/>
    </row>
    <row r="408">
      <c r="A408" s="31"/>
      <c r="B408" s="8"/>
      <c r="C408" s="8"/>
      <c r="D408" s="8"/>
      <c r="E408" s="32"/>
      <c r="F408" s="8"/>
    </row>
    <row r="409">
      <c r="A409" s="31"/>
      <c r="B409" s="8"/>
      <c r="C409" s="8"/>
      <c r="D409" s="8"/>
      <c r="E409" s="32"/>
      <c r="F409" s="8"/>
    </row>
    <row r="410">
      <c r="A410" s="31"/>
      <c r="B410" s="8"/>
      <c r="C410" s="8"/>
      <c r="D410" s="8"/>
      <c r="E410" s="32"/>
      <c r="F410" s="8"/>
    </row>
    <row r="411">
      <c r="A411" s="31"/>
      <c r="B411" s="8"/>
      <c r="C411" s="8"/>
      <c r="D411" s="8"/>
      <c r="E411" s="32"/>
      <c r="F411" s="8"/>
    </row>
    <row r="412">
      <c r="A412" s="31"/>
      <c r="B412" s="8"/>
      <c r="C412" s="8"/>
      <c r="D412" s="8"/>
      <c r="E412" s="32"/>
      <c r="F412" s="8"/>
    </row>
    <row r="413">
      <c r="A413" s="31"/>
      <c r="B413" s="8"/>
      <c r="C413" s="8"/>
      <c r="D413" s="8"/>
      <c r="E413" s="32"/>
      <c r="F413" s="8"/>
    </row>
    <row r="414">
      <c r="A414" s="31"/>
      <c r="B414" s="8"/>
      <c r="C414" s="8"/>
      <c r="D414" s="8"/>
      <c r="E414" s="32"/>
      <c r="F414" s="8"/>
    </row>
    <row r="415">
      <c r="A415" s="31"/>
      <c r="B415" s="8"/>
      <c r="C415" s="8"/>
      <c r="D415" s="8"/>
      <c r="E415" s="32"/>
      <c r="F415" s="8"/>
    </row>
    <row r="416">
      <c r="A416" s="31"/>
      <c r="B416" s="8"/>
      <c r="C416" s="8"/>
      <c r="D416" s="8"/>
      <c r="E416" s="32"/>
      <c r="F416" s="8"/>
    </row>
    <row r="417">
      <c r="A417" s="31"/>
      <c r="B417" s="8"/>
      <c r="C417" s="8"/>
      <c r="D417" s="8"/>
      <c r="E417" s="32"/>
      <c r="F417" s="8"/>
    </row>
    <row r="418">
      <c r="A418" s="31"/>
      <c r="B418" s="8"/>
      <c r="C418" s="8"/>
      <c r="D418" s="8"/>
      <c r="E418" s="32"/>
      <c r="F418" s="8"/>
    </row>
    <row r="419">
      <c r="A419" s="31"/>
      <c r="B419" s="8"/>
      <c r="C419" s="8"/>
      <c r="D419" s="8"/>
      <c r="E419" s="32"/>
      <c r="F419" s="8"/>
    </row>
    <row r="420">
      <c r="A420" s="31"/>
      <c r="B420" s="8"/>
      <c r="C420" s="8"/>
      <c r="D420" s="8"/>
      <c r="E420" s="32"/>
      <c r="F420" s="8"/>
    </row>
    <row r="421">
      <c r="A421" s="31"/>
      <c r="B421" s="8"/>
      <c r="C421" s="8"/>
      <c r="D421" s="8"/>
      <c r="E421" s="32"/>
      <c r="F421" s="8"/>
    </row>
    <row r="422">
      <c r="A422" s="31"/>
      <c r="B422" s="8"/>
      <c r="C422" s="8"/>
      <c r="D422" s="8"/>
      <c r="E422" s="32"/>
      <c r="F422" s="8"/>
    </row>
    <row r="423">
      <c r="A423" s="31"/>
      <c r="B423" s="8"/>
      <c r="C423" s="8"/>
      <c r="D423" s="8"/>
      <c r="E423" s="32"/>
      <c r="F423" s="8"/>
    </row>
    <row r="424">
      <c r="A424" s="31"/>
      <c r="B424" s="8"/>
      <c r="C424" s="8"/>
      <c r="D424" s="8"/>
      <c r="E424" s="32"/>
      <c r="F424" s="8"/>
    </row>
    <row r="425">
      <c r="A425" s="31"/>
      <c r="B425" s="8"/>
      <c r="C425" s="8"/>
      <c r="D425" s="8"/>
      <c r="E425" s="32"/>
      <c r="F425" s="8"/>
    </row>
    <row r="426">
      <c r="A426" s="31"/>
      <c r="B426" s="8"/>
      <c r="C426" s="8"/>
      <c r="D426" s="8"/>
      <c r="E426" s="32"/>
      <c r="F426" s="8"/>
    </row>
    <row r="427">
      <c r="A427" s="31"/>
      <c r="B427" s="8"/>
      <c r="C427" s="8"/>
      <c r="D427" s="8"/>
      <c r="E427" s="32"/>
      <c r="F427" s="8"/>
    </row>
    <row r="428">
      <c r="A428" s="31"/>
      <c r="B428" s="8"/>
      <c r="C428" s="8"/>
      <c r="D428" s="8"/>
      <c r="E428" s="32"/>
      <c r="F428" s="8"/>
    </row>
    <row r="429">
      <c r="A429" s="31"/>
      <c r="B429" s="8"/>
      <c r="C429" s="8"/>
      <c r="D429" s="8"/>
      <c r="E429" s="32"/>
      <c r="F429" s="8"/>
    </row>
    <row r="430">
      <c r="A430" s="31"/>
      <c r="B430" s="8"/>
      <c r="C430" s="8"/>
      <c r="D430" s="8"/>
      <c r="E430" s="32"/>
      <c r="F430" s="8"/>
    </row>
    <row r="431">
      <c r="A431" s="31"/>
      <c r="B431" s="8"/>
      <c r="C431" s="8"/>
      <c r="D431" s="8"/>
      <c r="E431" s="32"/>
      <c r="F431" s="8"/>
    </row>
    <row r="432">
      <c r="A432" s="31"/>
      <c r="B432" s="8"/>
      <c r="C432" s="8"/>
      <c r="D432" s="8"/>
      <c r="E432" s="32"/>
      <c r="F432" s="8"/>
    </row>
    <row r="433">
      <c r="A433" s="31"/>
      <c r="B433" s="8"/>
      <c r="C433" s="8"/>
      <c r="D433" s="8"/>
      <c r="E433" s="32"/>
      <c r="F433" s="8"/>
    </row>
    <row r="434">
      <c r="A434" s="31"/>
      <c r="B434" s="8"/>
      <c r="C434" s="8"/>
      <c r="D434" s="8"/>
      <c r="E434" s="32"/>
      <c r="F434" s="8"/>
    </row>
    <row r="435">
      <c r="A435" s="31"/>
      <c r="B435" s="8"/>
      <c r="C435" s="8"/>
      <c r="D435" s="8"/>
      <c r="E435" s="32"/>
      <c r="F435" s="8"/>
    </row>
    <row r="436">
      <c r="A436" s="31"/>
      <c r="B436" s="8"/>
      <c r="C436" s="8"/>
      <c r="D436" s="8"/>
      <c r="E436" s="32"/>
      <c r="F436" s="8"/>
    </row>
    <row r="437">
      <c r="A437" s="31"/>
      <c r="B437" s="8"/>
      <c r="C437" s="8"/>
      <c r="D437" s="8"/>
      <c r="E437" s="32"/>
      <c r="F437" s="8"/>
    </row>
    <row r="438">
      <c r="A438" s="31"/>
      <c r="B438" s="8"/>
      <c r="C438" s="8"/>
      <c r="D438" s="8"/>
      <c r="E438" s="32"/>
      <c r="F438" s="8"/>
    </row>
    <row r="439">
      <c r="A439" s="31"/>
      <c r="B439" s="8"/>
      <c r="C439" s="8"/>
      <c r="D439" s="8"/>
      <c r="E439" s="32"/>
      <c r="F439" s="8"/>
    </row>
    <row r="440">
      <c r="A440" s="31"/>
      <c r="B440" s="8"/>
      <c r="C440" s="8"/>
      <c r="D440" s="8"/>
      <c r="E440" s="32"/>
      <c r="F440" s="8"/>
    </row>
    <row r="441">
      <c r="A441" s="31"/>
      <c r="B441" s="8"/>
      <c r="C441" s="8"/>
      <c r="D441" s="8"/>
      <c r="E441" s="32"/>
      <c r="F441" s="8"/>
    </row>
    <row r="442">
      <c r="A442" s="31"/>
      <c r="B442" s="8"/>
      <c r="C442" s="8"/>
      <c r="D442" s="8"/>
      <c r="E442" s="32"/>
      <c r="F442" s="8"/>
    </row>
    <row r="443">
      <c r="A443" s="31"/>
      <c r="B443" s="8"/>
      <c r="C443" s="8"/>
      <c r="D443" s="8"/>
      <c r="E443" s="32"/>
      <c r="F443" s="8"/>
    </row>
    <row r="444">
      <c r="A444" s="31"/>
      <c r="B444" s="8"/>
      <c r="C444" s="8"/>
      <c r="D444" s="8"/>
      <c r="E444" s="32"/>
      <c r="F444" s="8"/>
    </row>
    <row r="445">
      <c r="A445" s="31"/>
      <c r="B445" s="8"/>
      <c r="C445" s="8"/>
      <c r="D445" s="8"/>
      <c r="E445" s="32"/>
      <c r="F445" s="8"/>
    </row>
    <row r="446">
      <c r="A446" s="31"/>
      <c r="B446" s="8"/>
      <c r="C446" s="8"/>
      <c r="D446" s="8"/>
      <c r="E446" s="32"/>
      <c r="F446" s="8"/>
    </row>
    <row r="447">
      <c r="A447" s="31"/>
      <c r="B447" s="8"/>
      <c r="C447" s="8"/>
      <c r="D447" s="8"/>
      <c r="E447" s="32"/>
      <c r="F447" s="8"/>
    </row>
    <row r="448">
      <c r="A448" s="31"/>
      <c r="B448" s="8"/>
      <c r="C448" s="8"/>
      <c r="D448" s="8"/>
      <c r="E448" s="32"/>
      <c r="F448" s="8"/>
    </row>
    <row r="449">
      <c r="A449" s="31"/>
      <c r="B449" s="8"/>
      <c r="C449" s="8"/>
      <c r="D449" s="8"/>
      <c r="E449" s="32"/>
      <c r="F449" s="8"/>
    </row>
    <row r="450">
      <c r="A450" s="31"/>
      <c r="B450" s="8"/>
      <c r="C450" s="8"/>
      <c r="D450" s="8"/>
      <c r="E450" s="32"/>
      <c r="F450" s="8"/>
    </row>
    <row r="451">
      <c r="A451" s="31"/>
      <c r="B451" s="8"/>
      <c r="C451" s="8"/>
      <c r="D451" s="8"/>
      <c r="E451" s="32"/>
      <c r="F451" s="8"/>
    </row>
    <row r="452">
      <c r="A452" s="31"/>
      <c r="B452" s="8"/>
      <c r="C452" s="8"/>
      <c r="D452" s="8"/>
      <c r="E452" s="32"/>
      <c r="F452" s="8"/>
    </row>
    <row r="453">
      <c r="A453" s="31"/>
      <c r="B453" s="8"/>
      <c r="C453" s="8"/>
      <c r="D453" s="8"/>
      <c r="E453" s="32"/>
      <c r="F453" s="8"/>
    </row>
    <row r="454">
      <c r="A454" s="31"/>
      <c r="B454" s="8"/>
      <c r="C454" s="8"/>
      <c r="D454" s="8"/>
      <c r="E454" s="32"/>
      <c r="F454" s="8"/>
    </row>
    <row r="455">
      <c r="A455" s="31"/>
      <c r="B455" s="8"/>
      <c r="C455" s="8"/>
      <c r="D455" s="8"/>
      <c r="E455" s="32"/>
      <c r="F455" s="8"/>
    </row>
    <row r="456">
      <c r="A456" s="31"/>
      <c r="B456" s="8"/>
      <c r="C456" s="8"/>
      <c r="D456" s="8"/>
      <c r="E456" s="32"/>
      <c r="F456" s="8"/>
    </row>
    <row r="457">
      <c r="A457" s="31"/>
      <c r="B457" s="8"/>
      <c r="C457" s="8"/>
      <c r="D457" s="8"/>
      <c r="E457" s="32"/>
      <c r="F457" s="8"/>
    </row>
    <row r="458">
      <c r="A458" s="31"/>
      <c r="B458" s="8"/>
      <c r="C458" s="8"/>
      <c r="D458" s="8"/>
      <c r="E458" s="32"/>
      <c r="F458" s="8"/>
    </row>
    <row r="459">
      <c r="A459" s="31"/>
      <c r="B459" s="8"/>
      <c r="C459" s="8"/>
      <c r="D459" s="8"/>
      <c r="E459" s="32"/>
      <c r="F459" s="8"/>
    </row>
    <row r="460">
      <c r="A460" s="31"/>
      <c r="B460" s="8"/>
      <c r="C460" s="8"/>
      <c r="D460" s="8"/>
      <c r="E460" s="32"/>
      <c r="F460" s="8"/>
    </row>
    <row r="461">
      <c r="A461" s="31"/>
      <c r="B461" s="8"/>
      <c r="C461" s="8"/>
      <c r="D461" s="8"/>
      <c r="E461" s="32"/>
      <c r="F461" s="8"/>
    </row>
    <row r="462">
      <c r="A462" s="31"/>
      <c r="B462" s="8"/>
      <c r="C462" s="8"/>
      <c r="D462" s="8"/>
      <c r="E462" s="32"/>
      <c r="F462" s="8"/>
    </row>
    <row r="463">
      <c r="A463" s="31"/>
      <c r="B463" s="8"/>
      <c r="C463" s="8"/>
      <c r="D463" s="8"/>
      <c r="E463" s="32"/>
      <c r="F463" s="8"/>
    </row>
    <row r="464">
      <c r="A464" s="31"/>
      <c r="B464" s="8"/>
      <c r="C464" s="8"/>
      <c r="D464" s="8"/>
      <c r="E464" s="32"/>
      <c r="F464" s="8"/>
    </row>
    <row r="465">
      <c r="A465" s="31"/>
      <c r="B465" s="8"/>
      <c r="C465" s="8"/>
      <c r="D465" s="8"/>
      <c r="E465" s="32"/>
      <c r="F465" s="8"/>
    </row>
    <row r="466">
      <c r="A466" s="31"/>
      <c r="B466" s="8"/>
      <c r="C466" s="8"/>
      <c r="D466" s="8"/>
      <c r="E466" s="32"/>
      <c r="F466" s="8"/>
    </row>
    <row r="467">
      <c r="A467" s="31"/>
      <c r="B467" s="8"/>
      <c r="C467" s="8"/>
      <c r="D467" s="8"/>
      <c r="E467" s="32"/>
      <c r="F467" s="8"/>
    </row>
    <row r="468">
      <c r="A468" s="31"/>
      <c r="B468" s="8"/>
      <c r="C468" s="8"/>
      <c r="D468" s="8"/>
      <c r="E468" s="32"/>
      <c r="F468" s="8"/>
    </row>
    <row r="469">
      <c r="A469" s="31"/>
      <c r="B469" s="8"/>
      <c r="C469" s="8"/>
      <c r="D469" s="8"/>
      <c r="E469" s="32"/>
      <c r="F469" s="8"/>
    </row>
    <row r="470">
      <c r="A470" s="31"/>
      <c r="B470" s="8"/>
      <c r="C470" s="8"/>
      <c r="D470" s="8"/>
      <c r="E470" s="32"/>
      <c r="F470" s="8"/>
    </row>
    <row r="471">
      <c r="A471" s="31"/>
      <c r="B471" s="8"/>
      <c r="C471" s="8"/>
      <c r="D471" s="8"/>
      <c r="E471" s="32"/>
      <c r="F471" s="8"/>
    </row>
    <row r="472">
      <c r="A472" s="31"/>
      <c r="B472" s="8"/>
      <c r="C472" s="8"/>
      <c r="D472" s="8"/>
      <c r="E472" s="32"/>
      <c r="F472" s="8"/>
    </row>
    <row r="473">
      <c r="A473" s="31"/>
      <c r="B473" s="8"/>
      <c r="C473" s="8"/>
      <c r="D473" s="8"/>
      <c r="E473" s="32"/>
      <c r="F473" s="8"/>
    </row>
    <row r="474">
      <c r="A474" s="31"/>
      <c r="B474" s="8"/>
      <c r="C474" s="8"/>
      <c r="D474" s="8"/>
      <c r="E474" s="32"/>
      <c r="F474" s="8"/>
    </row>
    <row r="475">
      <c r="A475" s="31"/>
      <c r="B475" s="8"/>
      <c r="C475" s="8"/>
      <c r="D475" s="8"/>
      <c r="E475" s="32"/>
      <c r="F475" s="8"/>
    </row>
    <row r="476">
      <c r="A476" s="31"/>
      <c r="B476" s="8"/>
      <c r="C476" s="8"/>
      <c r="D476" s="8"/>
      <c r="E476" s="32"/>
      <c r="F476" s="8"/>
    </row>
    <row r="477">
      <c r="A477" s="31"/>
      <c r="B477" s="8"/>
      <c r="C477" s="8"/>
      <c r="D477" s="8"/>
      <c r="E477" s="32"/>
      <c r="F477" s="8"/>
    </row>
    <row r="478">
      <c r="A478" s="31"/>
      <c r="B478" s="8"/>
      <c r="C478" s="8"/>
      <c r="D478" s="8"/>
      <c r="E478" s="32"/>
      <c r="F478" s="8"/>
    </row>
    <row r="479">
      <c r="A479" s="31"/>
      <c r="B479" s="8"/>
      <c r="C479" s="8"/>
      <c r="D479" s="8"/>
      <c r="E479" s="32"/>
      <c r="F479" s="8"/>
    </row>
    <row r="480">
      <c r="A480" s="31"/>
      <c r="B480" s="8"/>
      <c r="C480" s="8"/>
      <c r="D480" s="8"/>
      <c r="E480" s="32"/>
      <c r="F480" s="8"/>
    </row>
    <row r="481">
      <c r="A481" s="31"/>
      <c r="B481" s="8"/>
      <c r="C481" s="8"/>
      <c r="D481" s="8"/>
      <c r="E481" s="32"/>
      <c r="F481" s="8"/>
    </row>
    <row r="482">
      <c r="A482" s="31"/>
      <c r="B482" s="8"/>
      <c r="C482" s="8"/>
      <c r="D482" s="8"/>
      <c r="E482" s="32"/>
      <c r="F482" s="8"/>
    </row>
    <row r="483">
      <c r="A483" s="31"/>
      <c r="B483" s="8"/>
      <c r="C483" s="8"/>
      <c r="D483" s="8"/>
      <c r="E483" s="32"/>
      <c r="F483" s="8"/>
    </row>
    <row r="484">
      <c r="A484" s="31"/>
      <c r="B484" s="8"/>
      <c r="C484" s="8"/>
      <c r="D484" s="8"/>
      <c r="E484" s="32"/>
      <c r="F484" s="8"/>
    </row>
    <row r="485">
      <c r="A485" s="31"/>
      <c r="B485" s="8"/>
      <c r="C485" s="8"/>
      <c r="D485" s="8"/>
      <c r="E485" s="32"/>
      <c r="F485" s="8"/>
    </row>
    <row r="486">
      <c r="A486" s="31"/>
      <c r="B486" s="8"/>
      <c r="C486" s="8"/>
      <c r="D486" s="8"/>
      <c r="E486" s="32"/>
      <c r="F486" s="8"/>
    </row>
    <row r="487">
      <c r="A487" s="31"/>
      <c r="B487" s="8"/>
      <c r="C487" s="8"/>
      <c r="D487" s="8"/>
      <c r="E487" s="32"/>
      <c r="F487" s="8"/>
    </row>
    <row r="488">
      <c r="A488" s="31"/>
      <c r="B488" s="8"/>
      <c r="C488" s="8"/>
      <c r="D488" s="8"/>
      <c r="E488" s="32"/>
      <c r="F488" s="8"/>
    </row>
    <row r="489">
      <c r="A489" s="31"/>
      <c r="B489" s="8"/>
      <c r="C489" s="8"/>
      <c r="D489" s="8"/>
      <c r="E489" s="32"/>
      <c r="F489" s="8"/>
    </row>
    <row r="490">
      <c r="A490" s="31"/>
      <c r="B490" s="8"/>
      <c r="C490" s="8"/>
      <c r="D490" s="8"/>
      <c r="E490" s="32"/>
      <c r="F490" s="8"/>
    </row>
    <row r="491">
      <c r="A491" s="31"/>
      <c r="B491" s="8"/>
      <c r="C491" s="8"/>
      <c r="D491" s="8"/>
      <c r="E491" s="32"/>
      <c r="F491" s="8"/>
    </row>
    <row r="492">
      <c r="A492" s="31"/>
      <c r="B492" s="8"/>
      <c r="C492" s="8"/>
      <c r="D492" s="8"/>
      <c r="E492" s="32"/>
      <c r="F492" s="8"/>
    </row>
    <row r="493">
      <c r="A493" s="31"/>
      <c r="B493" s="8"/>
      <c r="C493" s="8"/>
      <c r="D493" s="8"/>
      <c r="E493" s="32"/>
      <c r="F493" s="8"/>
    </row>
    <row r="494">
      <c r="A494" s="31"/>
      <c r="B494" s="8"/>
      <c r="C494" s="8"/>
      <c r="D494" s="8"/>
      <c r="E494" s="32"/>
      <c r="F494" s="8"/>
    </row>
    <row r="495">
      <c r="A495" s="31"/>
      <c r="B495" s="8"/>
      <c r="C495" s="8"/>
      <c r="D495" s="8"/>
      <c r="E495" s="32"/>
      <c r="F495" s="8"/>
    </row>
    <row r="496">
      <c r="A496" s="31"/>
      <c r="B496" s="8"/>
      <c r="C496" s="8"/>
      <c r="D496" s="8"/>
      <c r="E496" s="32"/>
      <c r="F496" s="8"/>
    </row>
    <row r="497">
      <c r="A497" s="31"/>
      <c r="B497" s="8"/>
      <c r="C497" s="8"/>
      <c r="D497" s="8"/>
      <c r="E497" s="32"/>
      <c r="F497" s="8"/>
    </row>
    <row r="498">
      <c r="A498" s="31"/>
      <c r="B498" s="8"/>
      <c r="C498" s="8"/>
      <c r="D498" s="8"/>
      <c r="E498" s="32"/>
      <c r="F498" s="8"/>
    </row>
    <row r="499">
      <c r="A499" s="31"/>
      <c r="B499" s="8"/>
      <c r="C499" s="8"/>
      <c r="D499" s="8"/>
      <c r="E499" s="32"/>
      <c r="F499" s="8"/>
    </row>
    <row r="500">
      <c r="A500" s="31"/>
      <c r="B500" s="8"/>
      <c r="C500" s="8"/>
      <c r="D500" s="8"/>
      <c r="E500" s="32"/>
      <c r="F500" s="8"/>
    </row>
    <row r="501">
      <c r="A501" s="31"/>
      <c r="B501" s="8"/>
      <c r="C501" s="8"/>
      <c r="D501" s="8"/>
      <c r="E501" s="32"/>
      <c r="F501" s="8"/>
    </row>
    <row r="502">
      <c r="A502" s="31"/>
      <c r="B502" s="8"/>
      <c r="C502" s="8"/>
      <c r="D502" s="8"/>
      <c r="E502" s="32"/>
      <c r="F502" s="8"/>
    </row>
    <row r="503">
      <c r="A503" s="31"/>
      <c r="B503" s="8"/>
      <c r="C503" s="8"/>
      <c r="D503" s="8"/>
      <c r="E503" s="32"/>
      <c r="F503" s="8"/>
    </row>
    <row r="504">
      <c r="A504" s="31"/>
      <c r="B504" s="8"/>
      <c r="C504" s="8"/>
      <c r="D504" s="8"/>
      <c r="E504" s="32"/>
      <c r="F504" s="8"/>
    </row>
    <row r="505">
      <c r="A505" s="31"/>
      <c r="B505" s="8"/>
      <c r="C505" s="8"/>
      <c r="D505" s="8"/>
      <c r="E505" s="32"/>
      <c r="F505" s="8"/>
    </row>
    <row r="506">
      <c r="A506" s="31"/>
      <c r="B506" s="8"/>
      <c r="C506" s="8"/>
      <c r="D506" s="8"/>
      <c r="E506" s="32"/>
      <c r="F506" s="8"/>
    </row>
    <row r="507">
      <c r="A507" s="31"/>
      <c r="B507" s="8"/>
      <c r="C507" s="8"/>
      <c r="D507" s="8"/>
      <c r="E507" s="32"/>
      <c r="F507" s="8"/>
    </row>
    <row r="508">
      <c r="A508" s="31"/>
      <c r="B508" s="8"/>
      <c r="C508" s="8"/>
      <c r="D508" s="8"/>
      <c r="E508" s="32"/>
      <c r="F508" s="8"/>
    </row>
    <row r="509">
      <c r="A509" s="31"/>
      <c r="B509" s="8"/>
      <c r="C509" s="8"/>
      <c r="D509" s="8"/>
      <c r="E509" s="32"/>
      <c r="F509" s="8"/>
    </row>
    <row r="510">
      <c r="A510" s="31"/>
      <c r="B510" s="8"/>
      <c r="C510" s="8"/>
      <c r="D510" s="8"/>
      <c r="E510" s="32"/>
      <c r="F510" s="8"/>
    </row>
    <row r="511">
      <c r="A511" s="31"/>
      <c r="B511" s="8"/>
      <c r="C511" s="8"/>
      <c r="D511" s="8"/>
      <c r="E511" s="32"/>
      <c r="F511" s="8"/>
    </row>
    <row r="512">
      <c r="A512" s="31"/>
      <c r="B512" s="8"/>
      <c r="C512" s="8"/>
      <c r="D512" s="8"/>
      <c r="E512" s="32"/>
      <c r="F512" s="8"/>
    </row>
    <row r="513">
      <c r="A513" s="31"/>
      <c r="B513" s="8"/>
      <c r="C513" s="8"/>
      <c r="D513" s="8"/>
      <c r="E513" s="32"/>
      <c r="F513" s="8"/>
    </row>
    <row r="514">
      <c r="A514" s="31"/>
      <c r="B514" s="8"/>
      <c r="C514" s="8"/>
      <c r="D514" s="8"/>
      <c r="E514" s="32"/>
      <c r="F514" s="8"/>
    </row>
    <row r="515">
      <c r="A515" s="31"/>
      <c r="B515" s="8"/>
      <c r="C515" s="8"/>
      <c r="D515" s="8"/>
      <c r="E515" s="32"/>
      <c r="F515" s="8"/>
    </row>
    <row r="516">
      <c r="A516" s="31"/>
      <c r="B516" s="8"/>
      <c r="C516" s="8"/>
      <c r="D516" s="8"/>
      <c r="E516" s="32"/>
      <c r="F516" s="8"/>
    </row>
    <row r="517">
      <c r="A517" s="31"/>
      <c r="B517" s="8"/>
      <c r="C517" s="8"/>
      <c r="D517" s="8"/>
      <c r="E517" s="32"/>
      <c r="F517" s="8"/>
    </row>
    <row r="518">
      <c r="A518" s="31"/>
      <c r="B518" s="8"/>
      <c r="C518" s="8"/>
      <c r="D518" s="8"/>
      <c r="E518" s="32"/>
      <c r="F518" s="8"/>
    </row>
    <row r="519">
      <c r="A519" s="31"/>
      <c r="B519" s="8"/>
      <c r="C519" s="8"/>
      <c r="D519" s="8"/>
      <c r="E519" s="32"/>
      <c r="F519" s="8"/>
    </row>
    <row r="520">
      <c r="A520" s="31"/>
      <c r="B520" s="8"/>
      <c r="C520" s="8"/>
      <c r="D520" s="8"/>
      <c r="E520" s="32"/>
      <c r="F520" s="8"/>
    </row>
    <row r="521">
      <c r="A521" s="31"/>
      <c r="B521" s="8"/>
      <c r="C521" s="8"/>
      <c r="D521" s="8"/>
      <c r="E521" s="32"/>
      <c r="F521" s="8"/>
    </row>
    <row r="522">
      <c r="A522" s="31"/>
      <c r="B522" s="8"/>
      <c r="C522" s="8"/>
      <c r="D522" s="8"/>
      <c r="E522" s="32"/>
      <c r="F522" s="8"/>
    </row>
    <row r="523">
      <c r="A523" s="31"/>
      <c r="B523" s="8"/>
      <c r="C523" s="8"/>
      <c r="D523" s="8"/>
      <c r="E523" s="32"/>
      <c r="F523" s="8"/>
    </row>
    <row r="524">
      <c r="A524" s="31"/>
      <c r="B524" s="8"/>
      <c r="C524" s="8"/>
      <c r="D524" s="8"/>
      <c r="E524" s="32"/>
      <c r="F524" s="8"/>
    </row>
    <row r="525">
      <c r="A525" s="31"/>
      <c r="B525" s="8"/>
      <c r="C525" s="8"/>
      <c r="D525" s="8"/>
      <c r="E525" s="32"/>
      <c r="F525" s="8"/>
    </row>
    <row r="526">
      <c r="A526" s="31"/>
      <c r="B526" s="8"/>
      <c r="C526" s="8"/>
      <c r="D526" s="8"/>
      <c r="E526" s="32"/>
      <c r="F526" s="8"/>
    </row>
    <row r="527">
      <c r="A527" s="31"/>
      <c r="B527" s="8"/>
      <c r="C527" s="8"/>
      <c r="D527" s="8"/>
      <c r="E527" s="32"/>
      <c r="F527" s="8"/>
    </row>
    <row r="528">
      <c r="A528" s="31"/>
      <c r="B528" s="8"/>
      <c r="C528" s="8"/>
      <c r="D528" s="8"/>
      <c r="E528" s="32"/>
      <c r="F528" s="8"/>
    </row>
    <row r="529">
      <c r="A529" s="31"/>
      <c r="B529" s="8"/>
      <c r="C529" s="8"/>
      <c r="D529" s="8"/>
      <c r="E529" s="32"/>
      <c r="F529" s="8"/>
    </row>
    <row r="530">
      <c r="A530" s="31"/>
      <c r="B530" s="8"/>
      <c r="C530" s="8"/>
      <c r="D530" s="8"/>
      <c r="E530" s="32"/>
      <c r="F530" s="8"/>
    </row>
    <row r="531">
      <c r="A531" s="31"/>
      <c r="B531" s="8"/>
      <c r="C531" s="8"/>
      <c r="D531" s="8"/>
      <c r="E531" s="32"/>
      <c r="F531" s="8"/>
    </row>
    <row r="532">
      <c r="A532" s="31"/>
      <c r="B532" s="8"/>
      <c r="C532" s="8"/>
      <c r="D532" s="8"/>
      <c r="E532" s="32"/>
      <c r="F532" s="8"/>
    </row>
    <row r="533">
      <c r="A533" s="31"/>
      <c r="B533" s="8"/>
      <c r="C533" s="8"/>
      <c r="D533" s="8"/>
      <c r="E533" s="32"/>
      <c r="F533" s="8"/>
    </row>
    <row r="534">
      <c r="A534" s="31"/>
      <c r="B534" s="8"/>
      <c r="C534" s="8"/>
      <c r="D534" s="8"/>
      <c r="E534" s="32"/>
      <c r="F534" s="8"/>
    </row>
    <row r="535">
      <c r="A535" s="31"/>
      <c r="B535" s="8"/>
      <c r="C535" s="8"/>
      <c r="D535" s="8"/>
      <c r="E535" s="32"/>
      <c r="F535" s="8"/>
    </row>
    <row r="536">
      <c r="A536" s="31"/>
      <c r="B536" s="8"/>
      <c r="C536" s="8"/>
      <c r="D536" s="8"/>
      <c r="E536" s="32"/>
      <c r="F536" s="8"/>
    </row>
    <row r="537">
      <c r="A537" s="31"/>
      <c r="B537" s="8"/>
      <c r="C537" s="8"/>
      <c r="D537" s="8"/>
      <c r="E537" s="32"/>
      <c r="F537" s="8"/>
    </row>
    <row r="538">
      <c r="A538" s="31"/>
      <c r="B538" s="8"/>
      <c r="C538" s="8"/>
      <c r="D538" s="8"/>
      <c r="E538" s="32"/>
      <c r="F538" s="8"/>
    </row>
    <row r="539">
      <c r="A539" s="31"/>
      <c r="B539" s="8"/>
      <c r="C539" s="8"/>
      <c r="D539" s="8"/>
      <c r="E539" s="32"/>
      <c r="F539" s="8"/>
    </row>
    <row r="540">
      <c r="A540" s="31"/>
      <c r="B540" s="8"/>
      <c r="C540" s="8"/>
      <c r="D540" s="8"/>
      <c r="E540" s="32"/>
      <c r="F540" s="8"/>
    </row>
    <row r="541">
      <c r="A541" s="31"/>
      <c r="B541" s="8"/>
      <c r="C541" s="8"/>
      <c r="D541" s="8"/>
      <c r="E541" s="32"/>
      <c r="F541" s="8"/>
    </row>
    <row r="542">
      <c r="A542" s="31"/>
      <c r="B542" s="8"/>
      <c r="C542" s="8"/>
      <c r="D542" s="8"/>
      <c r="E542" s="32"/>
      <c r="F542" s="8"/>
    </row>
    <row r="543">
      <c r="A543" s="31"/>
      <c r="B543" s="8"/>
      <c r="C543" s="8"/>
      <c r="D543" s="8"/>
      <c r="E543" s="32"/>
      <c r="F543" s="8"/>
    </row>
    <row r="544">
      <c r="A544" s="31"/>
      <c r="B544" s="8"/>
      <c r="C544" s="8"/>
      <c r="D544" s="8"/>
      <c r="E544" s="32"/>
      <c r="F544" s="8"/>
    </row>
    <row r="545">
      <c r="A545" s="31"/>
      <c r="B545" s="8"/>
      <c r="C545" s="8"/>
      <c r="D545" s="8"/>
      <c r="E545" s="32"/>
      <c r="F545" s="8"/>
    </row>
    <row r="546">
      <c r="A546" s="31"/>
      <c r="B546" s="8"/>
      <c r="C546" s="8"/>
      <c r="D546" s="8"/>
      <c r="E546" s="32"/>
      <c r="F546" s="8"/>
    </row>
    <row r="547">
      <c r="A547" s="31"/>
      <c r="B547" s="8"/>
      <c r="C547" s="8"/>
      <c r="D547" s="8"/>
      <c r="E547" s="32"/>
      <c r="F547" s="8"/>
    </row>
    <row r="548">
      <c r="A548" s="31"/>
      <c r="B548" s="8"/>
      <c r="C548" s="8"/>
      <c r="D548" s="8"/>
      <c r="E548" s="32"/>
      <c r="F548" s="8"/>
    </row>
    <row r="549">
      <c r="A549" s="31"/>
      <c r="B549" s="8"/>
      <c r="C549" s="8"/>
      <c r="D549" s="8"/>
      <c r="E549" s="32"/>
      <c r="F549" s="8"/>
    </row>
    <row r="550">
      <c r="A550" s="31"/>
      <c r="B550" s="8"/>
      <c r="C550" s="8"/>
      <c r="D550" s="8"/>
      <c r="E550" s="32"/>
      <c r="F550" s="8"/>
    </row>
    <row r="551">
      <c r="A551" s="31"/>
      <c r="B551" s="8"/>
      <c r="C551" s="8"/>
      <c r="D551" s="8"/>
      <c r="E551" s="32"/>
      <c r="F551" s="8"/>
    </row>
    <row r="552">
      <c r="A552" s="31"/>
      <c r="B552" s="8"/>
      <c r="C552" s="8"/>
      <c r="D552" s="8"/>
      <c r="E552" s="32"/>
      <c r="F552" s="8"/>
    </row>
    <row r="553">
      <c r="A553" s="31"/>
      <c r="B553" s="8"/>
      <c r="C553" s="8"/>
      <c r="D553" s="8"/>
      <c r="E553" s="32"/>
      <c r="F553" s="8"/>
    </row>
    <row r="554">
      <c r="A554" s="31"/>
      <c r="B554" s="8"/>
      <c r="C554" s="8"/>
      <c r="D554" s="8"/>
      <c r="E554" s="32"/>
      <c r="F554" s="8"/>
    </row>
    <row r="555">
      <c r="A555" s="31"/>
      <c r="B555" s="8"/>
      <c r="C555" s="8"/>
      <c r="D555" s="8"/>
      <c r="E555" s="32"/>
      <c r="F555" s="8"/>
    </row>
    <row r="556">
      <c r="A556" s="31"/>
      <c r="B556" s="8"/>
      <c r="C556" s="8"/>
      <c r="D556" s="8"/>
      <c r="E556" s="32"/>
      <c r="F556" s="8"/>
    </row>
    <row r="557">
      <c r="A557" s="31"/>
      <c r="B557" s="8"/>
      <c r="C557" s="8"/>
      <c r="D557" s="8"/>
      <c r="E557" s="32"/>
      <c r="F557" s="8"/>
    </row>
    <row r="558">
      <c r="A558" s="31"/>
      <c r="B558" s="8"/>
      <c r="C558" s="8"/>
      <c r="D558" s="8"/>
      <c r="E558" s="32"/>
      <c r="F558" s="8"/>
    </row>
    <row r="559">
      <c r="A559" s="31"/>
      <c r="B559" s="8"/>
      <c r="C559" s="8"/>
      <c r="D559" s="8"/>
      <c r="E559" s="32"/>
      <c r="F559" s="8"/>
    </row>
    <row r="560">
      <c r="A560" s="31"/>
      <c r="B560" s="8"/>
      <c r="C560" s="8"/>
      <c r="D560" s="8"/>
      <c r="E560" s="32"/>
      <c r="F560" s="8"/>
    </row>
    <row r="561">
      <c r="A561" s="31"/>
      <c r="B561" s="8"/>
      <c r="C561" s="8"/>
      <c r="D561" s="8"/>
      <c r="E561" s="32"/>
      <c r="F561" s="8"/>
    </row>
    <row r="562">
      <c r="A562" s="31"/>
      <c r="B562" s="8"/>
      <c r="C562" s="8"/>
      <c r="D562" s="8"/>
      <c r="E562" s="32"/>
      <c r="F562" s="8"/>
    </row>
    <row r="563">
      <c r="A563" s="31"/>
      <c r="B563" s="8"/>
      <c r="C563" s="8"/>
      <c r="D563" s="8"/>
      <c r="E563" s="32"/>
      <c r="F563" s="8"/>
    </row>
    <row r="564">
      <c r="A564" s="31"/>
      <c r="B564" s="8"/>
      <c r="C564" s="8"/>
      <c r="D564" s="8"/>
      <c r="E564" s="32"/>
      <c r="F564" s="8"/>
    </row>
    <row r="565">
      <c r="A565" s="31"/>
      <c r="B565" s="8"/>
      <c r="C565" s="8"/>
      <c r="D565" s="8"/>
      <c r="E565" s="32"/>
      <c r="F565" s="8"/>
    </row>
    <row r="566">
      <c r="A566" s="31"/>
      <c r="B566" s="8"/>
      <c r="C566" s="8"/>
      <c r="D566" s="8"/>
      <c r="E566" s="32"/>
      <c r="F566" s="8"/>
    </row>
    <row r="567">
      <c r="A567" s="31"/>
      <c r="B567" s="8"/>
      <c r="C567" s="8"/>
      <c r="D567" s="8"/>
      <c r="E567" s="32"/>
      <c r="F567" s="8"/>
    </row>
    <row r="568">
      <c r="A568" s="31"/>
      <c r="B568" s="8"/>
      <c r="C568" s="8"/>
      <c r="D568" s="8"/>
      <c r="E568" s="32"/>
      <c r="F568" s="8"/>
    </row>
    <row r="569">
      <c r="A569" s="31"/>
      <c r="B569" s="8"/>
      <c r="C569" s="8"/>
      <c r="D569" s="8"/>
      <c r="E569" s="32"/>
      <c r="F569" s="8"/>
    </row>
    <row r="570">
      <c r="A570" s="31"/>
      <c r="B570" s="8"/>
      <c r="C570" s="8"/>
      <c r="D570" s="8"/>
      <c r="E570" s="32"/>
      <c r="F570" s="8"/>
    </row>
    <row r="571">
      <c r="A571" s="31"/>
      <c r="B571" s="8"/>
      <c r="C571" s="8"/>
      <c r="D571" s="8"/>
      <c r="E571" s="32"/>
      <c r="F571" s="8"/>
    </row>
    <row r="572">
      <c r="A572" s="31"/>
      <c r="B572" s="8"/>
      <c r="C572" s="8"/>
      <c r="D572" s="8"/>
      <c r="E572" s="32"/>
      <c r="F572" s="8"/>
    </row>
    <row r="573">
      <c r="A573" s="31"/>
      <c r="B573" s="8"/>
      <c r="C573" s="8"/>
      <c r="D573" s="8"/>
      <c r="E573" s="32"/>
      <c r="F573" s="8"/>
    </row>
    <row r="574">
      <c r="A574" s="31"/>
      <c r="B574" s="8"/>
      <c r="C574" s="8"/>
      <c r="D574" s="8"/>
      <c r="E574" s="32"/>
      <c r="F574" s="8"/>
    </row>
    <row r="575">
      <c r="A575" s="31"/>
      <c r="B575" s="8"/>
      <c r="C575" s="8"/>
      <c r="D575" s="8"/>
      <c r="E575" s="32"/>
      <c r="F575" s="8"/>
    </row>
    <row r="576">
      <c r="A576" s="31"/>
      <c r="B576" s="8"/>
      <c r="C576" s="8"/>
      <c r="D576" s="8"/>
      <c r="E576" s="32"/>
      <c r="F576" s="8"/>
    </row>
    <row r="577">
      <c r="A577" s="31"/>
      <c r="B577" s="8"/>
      <c r="C577" s="8"/>
      <c r="D577" s="8"/>
      <c r="E577" s="32"/>
      <c r="F577" s="8"/>
    </row>
    <row r="578">
      <c r="A578" s="31"/>
      <c r="B578" s="8"/>
      <c r="C578" s="8"/>
      <c r="D578" s="8"/>
      <c r="E578" s="32"/>
      <c r="F578" s="8"/>
    </row>
    <row r="579">
      <c r="A579" s="31"/>
      <c r="B579" s="8"/>
      <c r="C579" s="8"/>
      <c r="D579" s="8"/>
      <c r="E579" s="32"/>
      <c r="F579" s="8"/>
    </row>
    <row r="580">
      <c r="A580" s="31"/>
      <c r="B580" s="8"/>
      <c r="C580" s="8"/>
      <c r="D580" s="8"/>
      <c r="E580" s="32"/>
      <c r="F580" s="8"/>
    </row>
    <row r="581">
      <c r="A581" s="31"/>
      <c r="B581" s="8"/>
      <c r="C581" s="8"/>
      <c r="D581" s="8"/>
      <c r="E581" s="32"/>
      <c r="F581" s="8"/>
    </row>
    <row r="582">
      <c r="A582" s="31"/>
      <c r="B582" s="8"/>
      <c r="C582" s="8"/>
      <c r="D582" s="8"/>
      <c r="E582" s="32"/>
      <c r="F582" s="8"/>
    </row>
    <row r="583">
      <c r="A583" s="31"/>
      <c r="B583" s="8"/>
      <c r="C583" s="8"/>
      <c r="D583" s="8"/>
      <c r="E583" s="32"/>
      <c r="F583" s="8"/>
    </row>
    <row r="584">
      <c r="A584" s="31"/>
      <c r="B584" s="8"/>
      <c r="C584" s="8"/>
      <c r="D584" s="8"/>
      <c r="E584" s="32"/>
      <c r="F584" s="8"/>
    </row>
    <row r="585">
      <c r="A585" s="31"/>
      <c r="B585" s="8"/>
      <c r="C585" s="8"/>
      <c r="D585" s="8"/>
      <c r="E585" s="32"/>
      <c r="F585" s="8"/>
    </row>
    <row r="586">
      <c r="A586" s="31"/>
      <c r="B586" s="8"/>
      <c r="C586" s="8"/>
      <c r="D586" s="8"/>
      <c r="E586" s="32"/>
      <c r="F586" s="8"/>
    </row>
    <row r="587">
      <c r="A587" s="31"/>
      <c r="B587" s="8"/>
      <c r="C587" s="8"/>
      <c r="D587" s="8"/>
      <c r="E587" s="32"/>
      <c r="F587" s="8"/>
    </row>
    <row r="588">
      <c r="A588" s="31"/>
      <c r="B588" s="8"/>
      <c r="C588" s="8"/>
      <c r="D588" s="8"/>
      <c r="E588" s="32"/>
      <c r="F588" s="8"/>
    </row>
    <row r="589">
      <c r="A589" s="31"/>
      <c r="B589" s="8"/>
      <c r="C589" s="8"/>
      <c r="D589" s="8"/>
      <c r="E589" s="32"/>
      <c r="F589" s="8"/>
    </row>
    <row r="590">
      <c r="A590" s="31"/>
      <c r="B590" s="8"/>
      <c r="C590" s="8"/>
      <c r="D590" s="8"/>
      <c r="E590" s="32"/>
      <c r="F590" s="8"/>
    </row>
    <row r="591">
      <c r="A591" s="31"/>
      <c r="B591" s="8"/>
      <c r="C591" s="8"/>
      <c r="D591" s="8"/>
      <c r="E591" s="32"/>
      <c r="F591" s="8"/>
    </row>
    <row r="592">
      <c r="A592" s="31"/>
      <c r="B592" s="8"/>
      <c r="C592" s="8"/>
      <c r="D592" s="8"/>
      <c r="E592" s="32"/>
      <c r="F592" s="8"/>
    </row>
    <row r="593">
      <c r="A593" s="31"/>
      <c r="B593" s="8"/>
      <c r="C593" s="8"/>
      <c r="D593" s="8"/>
      <c r="E593" s="32"/>
      <c r="F593" s="8"/>
    </row>
    <row r="594">
      <c r="A594" s="31"/>
      <c r="B594" s="8"/>
      <c r="C594" s="8"/>
      <c r="D594" s="8"/>
      <c r="E594" s="32"/>
      <c r="F594" s="8"/>
    </row>
    <row r="595">
      <c r="A595" s="31"/>
      <c r="B595" s="8"/>
      <c r="C595" s="8"/>
      <c r="D595" s="8"/>
      <c r="E595" s="32"/>
      <c r="F595" s="8"/>
    </row>
    <row r="596">
      <c r="A596" s="31"/>
      <c r="B596" s="8"/>
      <c r="C596" s="8"/>
      <c r="D596" s="8"/>
      <c r="E596" s="32"/>
      <c r="F596" s="8"/>
    </row>
    <row r="597">
      <c r="A597" s="31"/>
      <c r="B597" s="8"/>
      <c r="C597" s="8"/>
      <c r="D597" s="8"/>
      <c r="E597" s="32"/>
      <c r="F597" s="8"/>
    </row>
    <row r="598">
      <c r="A598" s="31"/>
      <c r="B598" s="8"/>
      <c r="C598" s="8"/>
      <c r="D598" s="8"/>
      <c r="E598" s="32"/>
      <c r="F598" s="8"/>
    </row>
    <row r="599">
      <c r="A599" s="31"/>
      <c r="B599" s="8"/>
      <c r="C599" s="8"/>
      <c r="D599" s="8"/>
      <c r="E599" s="32"/>
      <c r="F599" s="8"/>
    </row>
    <row r="600">
      <c r="A600" s="31"/>
      <c r="B600" s="8"/>
      <c r="C600" s="8"/>
      <c r="D600" s="8"/>
      <c r="E600" s="32"/>
      <c r="F600" s="8"/>
    </row>
    <row r="601">
      <c r="A601" s="31"/>
      <c r="B601" s="8"/>
      <c r="C601" s="8"/>
      <c r="D601" s="8"/>
      <c r="E601" s="32"/>
      <c r="F601" s="8"/>
    </row>
    <row r="602">
      <c r="A602" s="31"/>
      <c r="B602" s="8"/>
      <c r="C602" s="8"/>
      <c r="D602" s="8"/>
      <c r="E602" s="32"/>
      <c r="F602" s="8"/>
    </row>
    <row r="603">
      <c r="A603" s="31"/>
      <c r="B603" s="8"/>
      <c r="C603" s="8"/>
      <c r="D603" s="8"/>
      <c r="E603" s="32"/>
      <c r="F603" s="8"/>
    </row>
    <row r="604">
      <c r="A604" s="31"/>
      <c r="B604" s="8"/>
      <c r="C604" s="8"/>
      <c r="D604" s="8"/>
      <c r="E604" s="32"/>
      <c r="F604" s="8"/>
    </row>
    <row r="605">
      <c r="A605" s="31"/>
      <c r="B605" s="8"/>
      <c r="C605" s="8"/>
      <c r="D605" s="8"/>
      <c r="E605" s="32"/>
      <c r="F605" s="8"/>
    </row>
    <row r="606">
      <c r="A606" s="31"/>
      <c r="B606" s="8"/>
      <c r="C606" s="8"/>
      <c r="D606" s="8"/>
      <c r="E606" s="32"/>
      <c r="F606" s="8"/>
    </row>
    <row r="607">
      <c r="A607" s="31"/>
      <c r="B607" s="8"/>
      <c r="C607" s="8"/>
      <c r="D607" s="8"/>
      <c r="E607" s="32"/>
      <c r="F607" s="8"/>
    </row>
    <row r="608">
      <c r="A608" s="31"/>
      <c r="B608" s="8"/>
      <c r="C608" s="8"/>
      <c r="D608" s="8"/>
      <c r="E608" s="32"/>
      <c r="F608" s="8"/>
    </row>
    <row r="609">
      <c r="A609" s="31"/>
      <c r="B609" s="8"/>
      <c r="C609" s="8"/>
      <c r="D609" s="8"/>
      <c r="E609" s="32"/>
      <c r="F609" s="8"/>
    </row>
    <row r="610">
      <c r="A610" s="31"/>
      <c r="B610" s="8"/>
      <c r="C610" s="8"/>
      <c r="D610" s="8"/>
      <c r="E610" s="32"/>
      <c r="F610" s="8"/>
    </row>
    <row r="611">
      <c r="A611" s="31"/>
      <c r="B611" s="8"/>
      <c r="C611" s="8"/>
      <c r="D611" s="8"/>
      <c r="E611" s="32"/>
      <c r="F611" s="8"/>
    </row>
    <row r="612">
      <c r="A612" s="31"/>
      <c r="B612" s="8"/>
      <c r="C612" s="8"/>
      <c r="D612" s="8"/>
      <c r="E612" s="32"/>
      <c r="F612" s="8"/>
    </row>
    <row r="613">
      <c r="A613" s="31"/>
      <c r="B613" s="8"/>
      <c r="C613" s="8"/>
      <c r="D613" s="8"/>
      <c r="E613" s="32"/>
      <c r="F613" s="8"/>
    </row>
    <row r="614">
      <c r="A614" s="31"/>
      <c r="B614" s="8"/>
      <c r="C614" s="8"/>
      <c r="D614" s="8"/>
      <c r="E614" s="32"/>
      <c r="F614" s="8"/>
    </row>
    <row r="615">
      <c r="A615" s="31"/>
      <c r="B615" s="8"/>
      <c r="C615" s="8"/>
      <c r="D615" s="8"/>
      <c r="E615" s="32"/>
      <c r="F615" s="8"/>
    </row>
    <row r="616">
      <c r="A616" s="31"/>
      <c r="B616" s="8"/>
      <c r="C616" s="8"/>
      <c r="D616" s="8"/>
      <c r="E616" s="32"/>
      <c r="F616" s="8"/>
    </row>
    <row r="617">
      <c r="A617" s="31"/>
      <c r="B617" s="8"/>
      <c r="C617" s="8"/>
      <c r="D617" s="8"/>
      <c r="E617" s="32"/>
      <c r="F617" s="8"/>
    </row>
    <row r="618">
      <c r="A618" s="31"/>
      <c r="B618" s="8"/>
      <c r="C618" s="8"/>
      <c r="D618" s="8"/>
      <c r="E618" s="32"/>
      <c r="F618" s="8"/>
    </row>
    <row r="619">
      <c r="A619" s="31"/>
      <c r="B619" s="8"/>
      <c r="C619" s="8"/>
      <c r="D619" s="8"/>
      <c r="E619" s="32"/>
      <c r="F619" s="8"/>
    </row>
    <row r="620">
      <c r="A620" s="31"/>
      <c r="B620" s="8"/>
      <c r="C620" s="8"/>
      <c r="D620" s="8"/>
      <c r="E620" s="32"/>
      <c r="F620" s="8"/>
    </row>
    <row r="621">
      <c r="A621" s="31"/>
      <c r="B621" s="8"/>
      <c r="C621" s="8"/>
      <c r="D621" s="8"/>
      <c r="E621" s="32"/>
      <c r="F621" s="8"/>
    </row>
    <row r="622">
      <c r="A622" s="31"/>
      <c r="B622" s="8"/>
      <c r="C622" s="8"/>
      <c r="D622" s="8"/>
      <c r="E622" s="32"/>
      <c r="F622" s="8"/>
    </row>
    <row r="623">
      <c r="A623" s="31"/>
      <c r="B623" s="8"/>
      <c r="C623" s="8"/>
      <c r="D623" s="8"/>
      <c r="E623" s="32"/>
      <c r="F623" s="8"/>
    </row>
    <row r="624">
      <c r="A624" s="31"/>
      <c r="B624" s="8"/>
      <c r="C624" s="8"/>
      <c r="D624" s="8"/>
      <c r="E624" s="32"/>
      <c r="F624" s="8"/>
    </row>
    <row r="625">
      <c r="A625" s="31"/>
      <c r="B625" s="8"/>
      <c r="C625" s="8"/>
      <c r="D625" s="8"/>
      <c r="E625" s="32"/>
      <c r="F625" s="8"/>
    </row>
    <row r="626">
      <c r="A626" s="31"/>
      <c r="B626" s="8"/>
      <c r="C626" s="8"/>
      <c r="D626" s="8"/>
      <c r="E626" s="32"/>
      <c r="F626" s="8"/>
    </row>
    <row r="627">
      <c r="A627" s="31"/>
      <c r="B627" s="8"/>
      <c r="C627" s="8"/>
      <c r="D627" s="8"/>
      <c r="E627" s="32"/>
      <c r="F627" s="8"/>
    </row>
    <row r="628">
      <c r="A628" s="31"/>
      <c r="B628" s="8"/>
      <c r="C628" s="8"/>
      <c r="D628" s="8"/>
      <c r="E628" s="32"/>
      <c r="F628" s="8"/>
    </row>
    <row r="629">
      <c r="A629" s="31"/>
      <c r="B629" s="8"/>
      <c r="C629" s="8"/>
      <c r="D629" s="8"/>
      <c r="E629" s="32"/>
      <c r="F629" s="8"/>
    </row>
    <row r="630">
      <c r="A630" s="31"/>
      <c r="B630" s="8"/>
      <c r="C630" s="8"/>
      <c r="D630" s="8"/>
      <c r="E630" s="32"/>
      <c r="F630" s="8"/>
    </row>
    <row r="631">
      <c r="A631" s="31"/>
      <c r="B631" s="8"/>
      <c r="C631" s="8"/>
      <c r="D631" s="8"/>
      <c r="E631" s="32"/>
      <c r="F631" s="8"/>
    </row>
    <row r="632">
      <c r="A632" s="31"/>
      <c r="B632" s="8"/>
      <c r="C632" s="8"/>
      <c r="D632" s="8"/>
      <c r="E632" s="32"/>
      <c r="F632" s="8"/>
    </row>
    <row r="633">
      <c r="A633" s="31"/>
      <c r="B633" s="8"/>
      <c r="C633" s="8"/>
      <c r="D633" s="8"/>
      <c r="E633" s="32"/>
      <c r="F633" s="8"/>
    </row>
    <row r="634">
      <c r="A634" s="31"/>
      <c r="B634" s="8"/>
      <c r="C634" s="8"/>
      <c r="D634" s="8"/>
      <c r="E634" s="32"/>
      <c r="F634" s="8"/>
    </row>
    <row r="635">
      <c r="A635" s="31"/>
      <c r="B635" s="8"/>
      <c r="C635" s="8"/>
      <c r="D635" s="8"/>
      <c r="E635" s="32"/>
      <c r="F635" s="8"/>
    </row>
    <row r="636">
      <c r="A636" s="31"/>
      <c r="B636" s="8"/>
      <c r="C636" s="8"/>
      <c r="D636" s="8"/>
      <c r="E636" s="32"/>
      <c r="F636" s="8"/>
    </row>
    <row r="637">
      <c r="A637" s="31"/>
      <c r="B637" s="8"/>
      <c r="C637" s="8"/>
      <c r="D637" s="8"/>
      <c r="E637" s="32"/>
      <c r="F637" s="8"/>
    </row>
    <row r="638">
      <c r="A638" s="31"/>
      <c r="B638" s="8"/>
      <c r="C638" s="8"/>
      <c r="D638" s="8"/>
      <c r="E638" s="32"/>
      <c r="F638" s="8"/>
    </row>
    <row r="639">
      <c r="A639" s="31"/>
      <c r="B639" s="8"/>
      <c r="C639" s="8"/>
      <c r="D639" s="8"/>
      <c r="E639" s="32"/>
      <c r="F639" s="8"/>
    </row>
    <row r="640">
      <c r="A640" s="31"/>
      <c r="B640" s="8"/>
      <c r="C640" s="8"/>
      <c r="D640" s="8"/>
      <c r="E640" s="32"/>
      <c r="F640" s="8"/>
    </row>
    <row r="641">
      <c r="A641" s="31"/>
      <c r="B641" s="8"/>
      <c r="C641" s="8"/>
      <c r="D641" s="8"/>
      <c r="E641" s="32"/>
      <c r="F641" s="8"/>
    </row>
    <row r="642">
      <c r="A642" s="31"/>
      <c r="B642" s="8"/>
      <c r="C642" s="8"/>
      <c r="D642" s="8"/>
      <c r="E642" s="32"/>
      <c r="F642" s="8"/>
    </row>
    <row r="643">
      <c r="A643" s="31"/>
      <c r="B643" s="8"/>
      <c r="C643" s="8"/>
      <c r="D643" s="8"/>
      <c r="E643" s="32"/>
      <c r="F643" s="8"/>
    </row>
    <row r="644">
      <c r="A644" s="31"/>
      <c r="B644" s="8"/>
      <c r="C644" s="8"/>
      <c r="D644" s="8"/>
      <c r="E644" s="32"/>
      <c r="F644" s="8"/>
    </row>
    <row r="645">
      <c r="A645" s="31"/>
      <c r="B645" s="8"/>
      <c r="C645" s="8"/>
      <c r="D645" s="8"/>
      <c r="E645" s="32"/>
      <c r="F645" s="8"/>
    </row>
    <row r="646">
      <c r="A646" s="31"/>
      <c r="B646" s="8"/>
      <c r="C646" s="8"/>
      <c r="D646" s="8"/>
      <c r="E646" s="32"/>
      <c r="F646" s="8"/>
    </row>
    <row r="647">
      <c r="A647" s="31"/>
      <c r="B647" s="8"/>
      <c r="C647" s="8"/>
      <c r="D647" s="8"/>
      <c r="E647" s="32"/>
      <c r="F647" s="8"/>
    </row>
    <row r="648">
      <c r="A648" s="31"/>
      <c r="B648" s="8"/>
      <c r="C648" s="8"/>
      <c r="D648" s="8"/>
      <c r="E648" s="32"/>
      <c r="F648" s="8"/>
    </row>
    <row r="649">
      <c r="A649" s="31"/>
      <c r="B649" s="8"/>
      <c r="C649" s="8"/>
      <c r="D649" s="8"/>
      <c r="E649" s="32"/>
      <c r="F649" s="8"/>
    </row>
    <row r="650">
      <c r="A650" s="31"/>
      <c r="B650" s="8"/>
      <c r="C650" s="8"/>
      <c r="D650" s="8"/>
      <c r="E650" s="32"/>
      <c r="F650" s="8"/>
    </row>
    <row r="651">
      <c r="A651" s="31"/>
      <c r="B651" s="8"/>
      <c r="C651" s="8"/>
      <c r="D651" s="8"/>
      <c r="E651" s="32"/>
      <c r="F651" s="8"/>
    </row>
    <row r="652">
      <c r="A652" s="31"/>
      <c r="B652" s="8"/>
      <c r="C652" s="8"/>
      <c r="D652" s="8"/>
      <c r="E652" s="32"/>
      <c r="F652" s="8"/>
    </row>
    <row r="653">
      <c r="A653" s="31"/>
      <c r="B653" s="8"/>
      <c r="C653" s="8"/>
      <c r="D653" s="8"/>
      <c r="E653" s="32"/>
      <c r="F653" s="8"/>
    </row>
    <row r="654">
      <c r="A654" s="31"/>
      <c r="B654" s="8"/>
      <c r="C654" s="8"/>
      <c r="D654" s="8"/>
      <c r="E654" s="32"/>
      <c r="F654" s="8"/>
    </row>
    <row r="655">
      <c r="A655" s="31"/>
      <c r="B655" s="8"/>
      <c r="C655" s="8"/>
      <c r="D655" s="8"/>
      <c r="E655" s="32"/>
      <c r="F655" s="8"/>
    </row>
    <row r="656">
      <c r="A656" s="31"/>
      <c r="B656" s="8"/>
      <c r="C656" s="8"/>
      <c r="D656" s="8"/>
      <c r="E656" s="32"/>
      <c r="F656" s="8"/>
    </row>
    <row r="657">
      <c r="A657" s="31"/>
      <c r="B657" s="8"/>
      <c r="C657" s="8"/>
      <c r="D657" s="8"/>
      <c r="E657" s="32"/>
      <c r="F657" s="8"/>
    </row>
    <row r="658">
      <c r="A658" s="31"/>
      <c r="B658" s="8"/>
      <c r="C658" s="8"/>
      <c r="D658" s="8"/>
      <c r="E658" s="32"/>
      <c r="F658" s="8"/>
    </row>
    <row r="659">
      <c r="A659" s="31"/>
      <c r="B659" s="8"/>
      <c r="C659" s="8"/>
      <c r="D659" s="8"/>
      <c r="E659" s="32"/>
      <c r="F659" s="8"/>
    </row>
    <row r="660">
      <c r="A660" s="31"/>
      <c r="B660" s="8"/>
      <c r="C660" s="8"/>
      <c r="D660" s="8"/>
      <c r="E660" s="32"/>
      <c r="F660" s="8"/>
    </row>
    <row r="661">
      <c r="A661" s="31"/>
      <c r="B661" s="8"/>
      <c r="C661" s="8"/>
      <c r="D661" s="8"/>
      <c r="E661" s="32"/>
      <c r="F661" s="8"/>
    </row>
    <row r="662">
      <c r="A662" s="31"/>
      <c r="B662" s="8"/>
      <c r="C662" s="8"/>
      <c r="D662" s="8"/>
      <c r="E662" s="32"/>
      <c r="F662" s="8"/>
    </row>
    <row r="663">
      <c r="A663" s="31"/>
      <c r="B663" s="8"/>
      <c r="C663" s="8"/>
      <c r="D663" s="8"/>
      <c r="E663" s="32"/>
      <c r="F663" s="8"/>
    </row>
    <row r="664">
      <c r="A664" s="31"/>
      <c r="B664" s="8"/>
      <c r="C664" s="8"/>
      <c r="D664" s="8"/>
      <c r="E664" s="32"/>
      <c r="F664" s="8"/>
    </row>
    <row r="665">
      <c r="A665" s="31"/>
      <c r="B665" s="8"/>
      <c r="C665" s="8"/>
      <c r="D665" s="8"/>
      <c r="E665" s="32"/>
      <c r="F665" s="8"/>
    </row>
    <row r="666">
      <c r="A666" s="31"/>
      <c r="B666" s="8"/>
      <c r="C666" s="8"/>
      <c r="D666" s="8"/>
      <c r="E666" s="32"/>
      <c r="F666" s="8"/>
    </row>
    <row r="667">
      <c r="A667" s="31"/>
      <c r="B667" s="8"/>
      <c r="C667" s="8"/>
      <c r="D667" s="8"/>
      <c r="E667" s="32"/>
      <c r="F667" s="8"/>
    </row>
    <row r="668">
      <c r="A668" s="31"/>
      <c r="B668" s="8"/>
      <c r="C668" s="8"/>
      <c r="D668" s="8"/>
      <c r="E668" s="32"/>
      <c r="F668" s="8"/>
    </row>
    <row r="669">
      <c r="A669" s="31"/>
      <c r="B669" s="8"/>
      <c r="C669" s="8"/>
      <c r="D669" s="8"/>
      <c r="E669" s="32"/>
      <c r="F669" s="8"/>
    </row>
    <row r="670">
      <c r="A670" s="31"/>
      <c r="B670" s="8"/>
      <c r="C670" s="8"/>
      <c r="D670" s="8"/>
      <c r="E670" s="32"/>
      <c r="F670" s="8"/>
    </row>
    <row r="671">
      <c r="A671" s="31"/>
      <c r="B671" s="8"/>
      <c r="C671" s="8"/>
      <c r="D671" s="8"/>
      <c r="E671" s="32"/>
      <c r="F671" s="8"/>
    </row>
    <row r="672">
      <c r="A672" s="31"/>
      <c r="B672" s="8"/>
      <c r="C672" s="8"/>
      <c r="D672" s="8"/>
      <c r="E672" s="32"/>
      <c r="F672" s="8"/>
    </row>
    <row r="673">
      <c r="A673" s="31"/>
      <c r="B673" s="8"/>
      <c r="C673" s="8"/>
      <c r="D673" s="8"/>
      <c r="E673" s="32"/>
      <c r="F673" s="8"/>
    </row>
    <row r="674">
      <c r="A674" s="31"/>
      <c r="B674" s="8"/>
      <c r="C674" s="8"/>
      <c r="D674" s="8"/>
      <c r="E674" s="32"/>
      <c r="F674" s="8"/>
    </row>
    <row r="675">
      <c r="A675" s="31"/>
      <c r="B675" s="8"/>
      <c r="C675" s="8"/>
      <c r="D675" s="8"/>
      <c r="E675" s="32"/>
      <c r="F675" s="8"/>
    </row>
    <row r="676">
      <c r="A676" s="31"/>
      <c r="B676" s="8"/>
      <c r="C676" s="8"/>
      <c r="D676" s="8"/>
      <c r="E676" s="32"/>
      <c r="F676" s="8"/>
    </row>
    <row r="677">
      <c r="A677" s="31"/>
      <c r="B677" s="8"/>
      <c r="C677" s="8"/>
      <c r="D677" s="8"/>
      <c r="E677" s="32"/>
      <c r="F677" s="8"/>
    </row>
    <row r="678">
      <c r="A678" s="31"/>
      <c r="B678" s="8"/>
      <c r="C678" s="8"/>
      <c r="D678" s="8"/>
      <c r="E678" s="32"/>
      <c r="F678" s="8"/>
    </row>
    <row r="679">
      <c r="A679" s="31"/>
      <c r="B679" s="8"/>
      <c r="C679" s="8"/>
      <c r="D679" s="8"/>
      <c r="E679" s="32"/>
      <c r="F679" s="8"/>
    </row>
    <row r="680">
      <c r="A680" s="31"/>
      <c r="B680" s="8"/>
      <c r="C680" s="8"/>
      <c r="D680" s="8"/>
      <c r="E680" s="32"/>
      <c r="F680" s="8"/>
    </row>
    <row r="681">
      <c r="A681" s="31"/>
      <c r="B681" s="8"/>
      <c r="C681" s="8"/>
      <c r="D681" s="8"/>
      <c r="E681" s="32"/>
      <c r="F681" s="8"/>
    </row>
    <row r="682">
      <c r="A682" s="31"/>
      <c r="B682" s="8"/>
      <c r="C682" s="8"/>
      <c r="D682" s="8"/>
      <c r="E682" s="32"/>
      <c r="F682" s="8"/>
    </row>
    <row r="683">
      <c r="A683" s="31"/>
      <c r="B683" s="8"/>
      <c r="C683" s="8"/>
      <c r="D683" s="8"/>
      <c r="E683" s="32"/>
      <c r="F683" s="8"/>
    </row>
    <row r="684">
      <c r="A684" s="31"/>
      <c r="B684" s="8"/>
      <c r="C684" s="8"/>
      <c r="D684" s="8"/>
      <c r="E684" s="32"/>
      <c r="F684" s="8"/>
    </row>
    <row r="685">
      <c r="A685" s="31"/>
      <c r="B685" s="8"/>
      <c r="C685" s="8"/>
      <c r="D685" s="8"/>
      <c r="E685" s="32"/>
      <c r="F685" s="8"/>
    </row>
    <row r="686">
      <c r="A686" s="31"/>
      <c r="B686" s="8"/>
      <c r="C686" s="8"/>
      <c r="D686" s="8"/>
      <c r="E686" s="32"/>
      <c r="F686" s="8"/>
    </row>
    <row r="687">
      <c r="A687" s="31"/>
      <c r="B687" s="8"/>
      <c r="C687" s="8"/>
      <c r="D687" s="8"/>
      <c r="E687" s="32"/>
      <c r="F687" s="8"/>
    </row>
    <row r="688">
      <c r="A688" s="31"/>
      <c r="B688" s="8"/>
      <c r="C688" s="8"/>
      <c r="D688" s="8"/>
      <c r="E688" s="32"/>
      <c r="F688" s="8"/>
    </row>
    <row r="689">
      <c r="A689" s="31"/>
      <c r="B689" s="8"/>
      <c r="C689" s="8"/>
      <c r="D689" s="8"/>
      <c r="E689" s="32"/>
      <c r="F689" s="8"/>
    </row>
    <row r="690">
      <c r="A690" s="31"/>
      <c r="B690" s="8"/>
      <c r="C690" s="8"/>
      <c r="D690" s="8"/>
      <c r="E690" s="32"/>
      <c r="F690" s="8"/>
    </row>
    <row r="691">
      <c r="A691" s="31"/>
      <c r="B691" s="8"/>
      <c r="C691" s="8"/>
      <c r="D691" s="8"/>
      <c r="E691" s="32"/>
      <c r="F691" s="8"/>
    </row>
    <row r="692">
      <c r="A692" s="31"/>
      <c r="B692" s="8"/>
      <c r="C692" s="8"/>
      <c r="D692" s="8"/>
      <c r="E692" s="32"/>
      <c r="F692" s="8"/>
    </row>
    <row r="693">
      <c r="A693" s="31"/>
      <c r="B693" s="8"/>
      <c r="C693" s="8"/>
      <c r="D693" s="8"/>
      <c r="E693" s="32"/>
      <c r="F693" s="8"/>
    </row>
    <row r="694">
      <c r="A694" s="31"/>
      <c r="B694" s="8"/>
      <c r="C694" s="8"/>
      <c r="D694" s="8"/>
      <c r="E694" s="32"/>
      <c r="F694" s="8"/>
    </row>
    <row r="695">
      <c r="A695" s="31"/>
      <c r="B695" s="8"/>
      <c r="C695" s="8"/>
      <c r="D695" s="8"/>
      <c r="E695" s="32"/>
      <c r="F695" s="8"/>
    </row>
    <row r="696">
      <c r="A696" s="31"/>
      <c r="B696" s="8"/>
      <c r="C696" s="8"/>
      <c r="D696" s="8"/>
      <c r="E696" s="32"/>
      <c r="F696" s="8"/>
    </row>
    <row r="697">
      <c r="A697" s="31"/>
      <c r="B697" s="8"/>
      <c r="C697" s="8"/>
      <c r="D697" s="8"/>
      <c r="E697" s="32"/>
      <c r="F697" s="8"/>
    </row>
    <row r="698">
      <c r="A698" s="31"/>
      <c r="B698" s="8"/>
      <c r="C698" s="8"/>
      <c r="D698" s="8"/>
      <c r="E698" s="32"/>
      <c r="F698" s="8"/>
    </row>
    <row r="699">
      <c r="A699" s="31"/>
      <c r="B699" s="8"/>
      <c r="C699" s="8"/>
      <c r="D699" s="8"/>
      <c r="E699" s="32"/>
      <c r="F699" s="8"/>
    </row>
    <row r="700">
      <c r="A700" s="31"/>
      <c r="B700" s="8"/>
      <c r="C700" s="8"/>
      <c r="D700" s="8"/>
      <c r="E700" s="32"/>
      <c r="F700" s="8"/>
    </row>
    <row r="701">
      <c r="A701" s="31"/>
      <c r="B701" s="8"/>
      <c r="C701" s="8"/>
      <c r="D701" s="8"/>
      <c r="E701" s="32"/>
      <c r="F701" s="8"/>
    </row>
    <row r="702">
      <c r="A702" s="31"/>
      <c r="B702" s="8"/>
      <c r="C702" s="8"/>
      <c r="D702" s="8"/>
      <c r="E702" s="32"/>
      <c r="F702" s="8"/>
    </row>
    <row r="703">
      <c r="A703" s="31"/>
      <c r="B703" s="8"/>
      <c r="C703" s="8"/>
      <c r="D703" s="8"/>
      <c r="E703" s="32"/>
      <c r="F703" s="8"/>
    </row>
    <row r="704">
      <c r="A704" s="31"/>
      <c r="B704" s="8"/>
      <c r="C704" s="8"/>
      <c r="D704" s="8"/>
      <c r="E704" s="32"/>
      <c r="F704" s="8"/>
    </row>
    <row r="705">
      <c r="A705" s="31"/>
      <c r="B705" s="8"/>
      <c r="C705" s="8"/>
      <c r="D705" s="8"/>
      <c r="E705" s="32"/>
      <c r="F705" s="8"/>
    </row>
    <row r="706">
      <c r="A706" s="31"/>
      <c r="B706" s="8"/>
      <c r="C706" s="8"/>
      <c r="D706" s="8"/>
      <c r="E706" s="32"/>
      <c r="F706" s="8"/>
    </row>
    <row r="707">
      <c r="A707" s="31"/>
      <c r="B707" s="8"/>
      <c r="C707" s="8"/>
      <c r="D707" s="8"/>
      <c r="E707" s="32"/>
      <c r="F707" s="8"/>
    </row>
    <row r="708">
      <c r="A708" s="31"/>
      <c r="B708" s="8"/>
      <c r="C708" s="8"/>
      <c r="D708" s="8"/>
      <c r="E708" s="32"/>
      <c r="F708" s="8"/>
    </row>
    <row r="709">
      <c r="A709" s="31"/>
      <c r="B709" s="8"/>
      <c r="C709" s="8"/>
      <c r="D709" s="8"/>
      <c r="E709" s="32"/>
      <c r="F709" s="8"/>
    </row>
    <row r="710">
      <c r="A710" s="31"/>
      <c r="B710" s="8"/>
      <c r="C710" s="8"/>
      <c r="D710" s="8"/>
      <c r="E710" s="32"/>
      <c r="F710" s="8"/>
    </row>
    <row r="711">
      <c r="A711" s="31"/>
      <c r="B711" s="8"/>
      <c r="C711" s="8"/>
      <c r="D711" s="8"/>
      <c r="E711" s="32"/>
      <c r="F711" s="8"/>
    </row>
    <row r="712">
      <c r="A712" s="31"/>
      <c r="B712" s="8"/>
      <c r="C712" s="8"/>
      <c r="D712" s="8"/>
      <c r="E712" s="32"/>
      <c r="F712" s="8"/>
    </row>
    <row r="713">
      <c r="A713" s="31"/>
      <c r="B713" s="8"/>
      <c r="C713" s="8"/>
      <c r="D713" s="8"/>
      <c r="E713" s="32"/>
      <c r="F713" s="8"/>
    </row>
    <row r="714">
      <c r="A714" s="31"/>
      <c r="B714" s="8"/>
      <c r="C714" s="8"/>
      <c r="D714" s="8"/>
      <c r="E714" s="32"/>
      <c r="F714" s="8"/>
    </row>
    <row r="715">
      <c r="A715" s="31"/>
      <c r="B715" s="8"/>
      <c r="C715" s="8"/>
      <c r="D715" s="8"/>
      <c r="E715" s="32"/>
      <c r="F715" s="8"/>
    </row>
    <row r="716">
      <c r="A716" s="31"/>
      <c r="B716" s="8"/>
      <c r="C716" s="8"/>
      <c r="D716" s="8"/>
      <c r="E716" s="32"/>
      <c r="F716" s="8"/>
    </row>
    <row r="717">
      <c r="A717" s="31"/>
      <c r="B717" s="8"/>
      <c r="C717" s="8"/>
      <c r="D717" s="8"/>
      <c r="E717" s="32"/>
      <c r="F717" s="8"/>
    </row>
    <row r="718">
      <c r="A718" s="31"/>
      <c r="B718" s="8"/>
      <c r="C718" s="8"/>
      <c r="D718" s="8"/>
      <c r="E718" s="32"/>
      <c r="F718" s="8"/>
    </row>
    <row r="719">
      <c r="A719" s="31"/>
      <c r="B719" s="8"/>
      <c r="C719" s="8"/>
      <c r="D719" s="8"/>
      <c r="E719" s="32"/>
      <c r="F719" s="8"/>
    </row>
    <row r="720">
      <c r="A720" s="31"/>
      <c r="B720" s="8"/>
      <c r="C720" s="8"/>
      <c r="D720" s="8"/>
      <c r="E720" s="32"/>
      <c r="F720" s="8"/>
    </row>
    <row r="721">
      <c r="A721" s="31"/>
      <c r="B721" s="8"/>
      <c r="C721" s="8"/>
      <c r="D721" s="8"/>
      <c r="E721" s="32"/>
      <c r="F721" s="8"/>
    </row>
    <row r="722">
      <c r="A722" s="31"/>
      <c r="B722" s="8"/>
      <c r="C722" s="8"/>
      <c r="D722" s="8"/>
      <c r="E722" s="32"/>
      <c r="F722" s="8"/>
    </row>
    <row r="723">
      <c r="A723" s="31"/>
      <c r="B723" s="8"/>
      <c r="C723" s="8"/>
      <c r="D723" s="8"/>
      <c r="E723" s="32"/>
      <c r="F723" s="8"/>
    </row>
    <row r="724">
      <c r="A724" s="31"/>
      <c r="B724" s="8"/>
      <c r="C724" s="8"/>
      <c r="D724" s="8"/>
      <c r="E724" s="32"/>
      <c r="F724" s="8"/>
    </row>
    <row r="725">
      <c r="A725" s="31"/>
      <c r="B725" s="8"/>
      <c r="C725" s="8"/>
      <c r="D725" s="8"/>
      <c r="E725" s="32"/>
      <c r="F725" s="8"/>
    </row>
    <row r="726">
      <c r="A726" s="31"/>
      <c r="B726" s="8"/>
      <c r="C726" s="8"/>
      <c r="D726" s="8"/>
      <c r="E726" s="32"/>
      <c r="F726" s="8"/>
    </row>
    <row r="727">
      <c r="A727" s="31"/>
      <c r="B727" s="8"/>
      <c r="C727" s="8"/>
      <c r="D727" s="8"/>
      <c r="E727" s="32"/>
      <c r="F727" s="8"/>
    </row>
    <row r="728">
      <c r="A728" s="31"/>
      <c r="B728" s="8"/>
      <c r="C728" s="8"/>
      <c r="D728" s="8"/>
      <c r="E728" s="32"/>
      <c r="F728" s="8"/>
    </row>
    <row r="729">
      <c r="A729" s="31"/>
      <c r="B729" s="8"/>
      <c r="C729" s="8"/>
      <c r="D729" s="8"/>
      <c r="E729" s="32"/>
      <c r="F729" s="8"/>
    </row>
    <row r="730">
      <c r="A730" s="31"/>
      <c r="B730" s="8"/>
      <c r="C730" s="8"/>
      <c r="D730" s="8"/>
      <c r="E730" s="32"/>
      <c r="F730" s="8"/>
    </row>
    <row r="731">
      <c r="A731" s="31"/>
      <c r="B731" s="8"/>
      <c r="C731" s="8"/>
      <c r="D731" s="8"/>
      <c r="E731" s="32"/>
      <c r="F731" s="8"/>
    </row>
    <row r="732">
      <c r="A732" s="31"/>
      <c r="B732" s="8"/>
      <c r="C732" s="8"/>
      <c r="D732" s="8"/>
      <c r="E732" s="32"/>
      <c r="F732" s="8"/>
    </row>
    <row r="733">
      <c r="A733" s="31"/>
      <c r="B733" s="8"/>
      <c r="C733" s="8"/>
      <c r="D733" s="8"/>
      <c r="E733" s="32"/>
      <c r="F733" s="8"/>
    </row>
    <row r="734">
      <c r="A734" s="31"/>
      <c r="B734" s="8"/>
      <c r="C734" s="8"/>
      <c r="D734" s="8"/>
      <c r="E734" s="32"/>
      <c r="F734" s="8"/>
    </row>
    <row r="735">
      <c r="A735" s="31"/>
      <c r="B735" s="8"/>
      <c r="C735" s="8"/>
      <c r="D735" s="8"/>
      <c r="E735" s="32"/>
      <c r="F735" s="8"/>
    </row>
    <row r="736">
      <c r="A736" s="31"/>
      <c r="B736" s="8"/>
      <c r="C736" s="8"/>
      <c r="D736" s="8"/>
      <c r="E736" s="32"/>
      <c r="F736" s="8"/>
    </row>
    <row r="737">
      <c r="A737" s="31"/>
      <c r="B737" s="8"/>
      <c r="C737" s="8"/>
      <c r="D737" s="8"/>
      <c r="E737" s="32"/>
      <c r="F737" s="8"/>
    </row>
    <row r="738">
      <c r="A738" s="31"/>
      <c r="B738" s="8"/>
      <c r="C738" s="8"/>
      <c r="D738" s="8"/>
      <c r="E738" s="32"/>
      <c r="F738" s="8"/>
    </row>
    <row r="739">
      <c r="A739" s="31"/>
      <c r="B739" s="8"/>
      <c r="C739" s="8"/>
      <c r="D739" s="8"/>
      <c r="E739" s="32"/>
      <c r="F739" s="8"/>
    </row>
    <row r="740">
      <c r="A740" s="31"/>
      <c r="B740" s="8"/>
      <c r="C740" s="8"/>
      <c r="D740" s="8"/>
      <c r="E740" s="32"/>
      <c r="F740" s="8"/>
    </row>
    <row r="741">
      <c r="A741" s="31"/>
      <c r="B741" s="8"/>
      <c r="C741" s="8"/>
      <c r="D741" s="8"/>
      <c r="E741" s="32"/>
      <c r="F741" s="8"/>
    </row>
    <row r="742">
      <c r="A742" s="31"/>
      <c r="B742" s="8"/>
      <c r="C742" s="8"/>
      <c r="D742" s="8"/>
      <c r="E742" s="32"/>
      <c r="F742" s="8"/>
    </row>
    <row r="743">
      <c r="A743" s="31"/>
      <c r="B743" s="8"/>
      <c r="C743" s="8"/>
      <c r="D743" s="8"/>
      <c r="E743" s="32"/>
      <c r="F743" s="8"/>
    </row>
    <row r="744">
      <c r="A744" s="31"/>
      <c r="B744" s="8"/>
      <c r="C744" s="8"/>
      <c r="D744" s="8"/>
      <c r="E744" s="32"/>
      <c r="F744" s="8"/>
    </row>
    <row r="745">
      <c r="A745" s="31"/>
      <c r="B745" s="8"/>
      <c r="C745" s="8"/>
      <c r="D745" s="8"/>
      <c r="E745" s="32"/>
      <c r="F745" s="8"/>
    </row>
    <row r="746">
      <c r="A746" s="31"/>
      <c r="B746" s="8"/>
      <c r="C746" s="8"/>
      <c r="D746" s="8"/>
      <c r="E746" s="32"/>
      <c r="F746" s="8"/>
    </row>
    <row r="747">
      <c r="A747" s="31"/>
      <c r="B747" s="8"/>
      <c r="C747" s="8"/>
      <c r="D747" s="8"/>
      <c r="E747" s="32"/>
      <c r="F747" s="8"/>
    </row>
    <row r="748">
      <c r="A748" s="31"/>
      <c r="B748" s="8"/>
      <c r="C748" s="8"/>
      <c r="D748" s="8"/>
      <c r="E748" s="32"/>
      <c r="F748" s="8"/>
    </row>
    <row r="749">
      <c r="A749" s="31"/>
      <c r="B749" s="8"/>
      <c r="C749" s="8"/>
      <c r="D749" s="8"/>
      <c r="E749" s="32"/>
      <c r="F749" s="8"/>
    </row>
    <row r="750">
      <c r="A750" s="31"/>
      <c r="B750" s="8"/>
      <c r="C750" s="8"/>
      <c r="D750" s="8"/>
      <c r="E750" s="32"/>
      <c r="F750" s="8"/>
    </row>
    <row r="751">
      <c r="A751" s="31"/>
      <c r="B751" s="8"/>
      <c r="C751" s="8"/>
      <c r="D751" s="8"/>
      <c r="E751" s="32"/>
      <c r="F751" s="8"/>
    </row>
    <row r="752">
      <c r="A752" s="31"/>
      <c r="B752" s="8"/>
      <c r="C752" s="8"/>
      <c r="D752" s="8"/>
      <c r="E752" s="32"/>
      <c r="F752" s="8"/>
    </row>
    <row r="753">
      <c r="A753" s="31"/>
      <c r="B753" s="8"/>
      <c r="C753" s="8"/>
      <c r="D753" s="8"/>
      <c r="E753" s="32"/>
      <c r="F753" s="8"/>
    </row>
    <row r="754">
      <c r="A754" s="31"/>
      <c r="B754" s="8"/>
      <c r="C754" s="8"/>
      <c r="D754" s="8"/>
      <c r="E754" s="32"/>
      <c r="F754" s="8"/>
    </row>
    <row r="755">
      <c r="A755" s="31"/>
      <c r="B755" s="8"/>
      <c r="C755" s="8"/>
      <c r="D755" s="8"/>
      <c r="E755" s="32"/>
      <c r="F755" s="8"/>
    </row>
    <row r="756">
      <c r="A756" s="31"/>
      <c r="B756" s="8"/>
      <c r="C756" s="8"/>
      <c r="D756" s="8"/>
      <c r="E756" s="32"/>
      <c r="F756" s="8"/>
    </row>
    <row r="757">
      <c r="A757" s="31"/>
      <c r="B757" s="8"/>
      <c r="C757" s="8"/>
      <c r="D757" s="8"/>
      <c r="E757" s="32"/>
      <c r="F757" s="8"/>
    </row>
    <row r="758">
      <c r="A758" s="31"/>
      <c r="B758" s="8"/>
      <c r="C758" s="8"/>
      <c r="D758" s="8"/>
      <c r="E758" s="32"/>
      <c r="F758" s="8"/>
    </row>
    <row r="759">
      <c r="A759" s="31"/>
      <c r="B759" s="8"/>
      <c r="C759" s="8"/>
      <c r="D759" s="8"/>
      <c r="E759" s="32"/>
      <c r="F759" s="8"/>
    </row>
    <row r="760">
      <c r="A760" s="31"/>
      <c r="B760" s="8"/>
      <c r="C760" s="8"/>
      <c r="D760" s="8"/>
      <c r="E760" s="32"/>
      <c r="F760" s="8"/>
    </row>
    <row r="761">
      <c r="A761" s="31"/>
      <c r="B761" s="8"/>
      <c r="C761" s="8"/>
      <c r="D761" s="8"/>
      <c r="E761" s="32"/>
      <c r="F761" s="8"/>
    </row>
    <row r="762">
      <c r="A762" s="31"/>
      <c r="B762" s="8"/>
      <c r="C762" s="8"/>
      <c r="D762" s="8"/>
      <c r="E762" s="32"/>
      <c r="F762" s="8"/>
    </row>
    <row r="763">
      <c r="A763" s="31"/>
      <c r="B763" s="8"/>
      <c r="C763" s="8"/>
      <c r="D763" s="8"/>
      <c r="E763" s="32"/>
      <c r="F763" s="8"/>
    </row>
    <row r="764">
      <c r="A764" s="31"/>
      <c r="B764" s="8"/>
      <c r="C764" s="8"/>
      <c r="D764" s="8"/>
      <c r="E764" s="32"/>
      <c r="F764" s="8"/>
    </row>
    <row r="765">
      <c r="A765" s="31"/>
      <c r="B765" s="8"/>
      <c r="C765" s="8"/>
      <c r="D765" s="8"/>
      <c r="E765" s="32"/>
      <c r="F765" s="8"/>
    </row>
    <row r="766">
      <c r="A766" s="31"/>
      <c r="B766" s="8"/>
      <c r="C766" s="8"/>
      <c r="D766" s="8"/>
      <c r="E766" s="32"/>
      <c r="F766" s="8"/>
    </row>
    <row r="767">
      <c r="A767" s="31"/>
      <c r="B767" s="8"/>
      <c r="C767" s="8"/>
      <c r="D767" s="8"/>
      <c r="E767" s="32"/>
      <c r="F767" s="8"/>
    </row>
    <row r="768">
      <c r="A768" s="31"/>
      <c r="B768" s="8"/>
      <c r="C768" s="8"/>
      <c r="D768" s="8"/>
      <c r="E768" s="32"/>
      <c r="F768" s="8"/>
    </row>
    <row r="769">
      <c r="A769" s="31"/>
      <c r="B769" s="8"/>
      <c r="C769" s="8"/>
      <c r="D769" s="8"/>
      <c r="E769" s="32"/>
      <c r="F769" s="8"/>
    </row>
    <row r="770">
      <c r="A770" s="31"/>
      <c r="B770" s="8"/>
      <c r="C770" s="8"/>
      <c r="D770" s="8"/>
      <c r="E770" s="32"/>
      <c r="F770" s="8"/>
    </row>
    <row r="771">
      <c r="A771" s="31"/>
      <c r="B771" s="8"/>
      <c r="C771" s="8"/>
      <c r="D771" s="8"/>
      <c r="E771" s="32"/>
      <c r="F771" s="8"/>
    </row>
    <row r="772">
      <c r="A772" s="31"/>
      <c r="B772" s="8"/>
      <c r="C772" s="8"/>
      <c r="D772" s="8"/>
      <c r="E772" s="32"/>
      <c r="F772" s="8"/>
    </row>
    <row r="773">
      <c r="A773" s="31"/>
      <c r="B773" s="8"/>
      <c r="C773" s="8"/>
      <c r="D773" s="8"/>
      <c r="E773" s="32"/>
      <c r="F773" s="8"/>
    </row>
    <row r="774">
      <c r="A774" s="31"/>
      <c r="B774" s="8"/>
      <c r="C774" s="8"/>
      <c r="D774" s="8"/>
      <c r="E774" s="32"/>
      <c r="F774" s="8"/>
    </row>
    <row r="775">
      <c r="A775" s="31"/>
      <c r="B775" s="8"/>
      <c r="C775" s="8"/>
      <c r="D775" s="8"/>
      <c r="E775" s="32"/>
      <c r="F775" s="8"/>
    </row>
    <row r="776">
      <c r="A776" s="31"/>
      <c r="B776" s="8"/>
      <c r="C776" s="8"/>
      <c r="D776" s="8"/>
      <c r="E776" s="32"/>
      <c r="F776" s="8"/>
    </row>
    <row r="777">
      <c r="A777" s="31"/>
      <c r="B777" s="8"/>
      <c r="C777" s="8"/>
      <c r="D777" s="8"/>
      <c r="E777" s="32"/>
      <c r="F777" s="8"/>
    </row>
    <row r="778">
      <c r="A778" s="31"/>
      <c r="B778" s="8"/>
      <c r="C778" s="8"/>
      <c r="D778" s="8"/>
      <c r="E778" s="32"/>
      <c r="F778" s="8"/>
    </row>
    <row r="779">
      <c r="A779" s="31"/>
      <c r="B779" s="8"/>
      <c r="C779" s="8"/>
      <c r="D779" s="8"/>
      <c r="E779" s="32"/>
      <c r="F779" s="8"/>
    </row>
    <row r="780">
      <c r="A780" s="31"/>
      <c r="B780" s="8"/>
      <c r="C780" s="8"/>
      <c r="D780" s="8"/>
      <c r="E780" s="32"/>
      <c r="F780" s="8"/>
    </row>
    <row r="781">
      <c r="A781" s="31"/>
      <c r="B781" s="8"/>
      <c r="C781" s="8"/>
      <c r="D781" s="8"/>
      <c r="E781" s="32"/>
      <c r="F781" s="8"/>
    </row>
    <row r="782">
      <c r="A782" s="31"/>
      <c r="B782" s="8"/>
      <c r="C782" s="8"/>
      <c r="D782" s="8"/>
      <c r="E782" s="32"/>
      <c r="F782" s="8"/>
    </row>
    <row r="783">
      <c r="A783" s="31"/>
      <c r="B783" s="8"/>
      <c r="C783" s="8"/>
      <c r="D783" s="8"/>
      <c r="E783" s="32"/>
      <c r="F783" s="8"/>
    </row>
    <row r="784">
      <c r="A784" s="31"/>
      <c r="B784" s="8"/>
      <c r="C784" s="8"/>
      <c r="D784" s="8"/>
      <c r="E784" s="32"/>
      <c r="F784" s="8"/>
    </row>
    <row r="785">
      <c r="A785" s="31"/>
      <c r="B785" s="8"/>
      <c r="C785" s="8"/>
      <c r="D785" s="8"/>
      <c r="E785" s="32"/>
      <c r="F785" s="8"/>
    </row>
    <row r="786">
      <c r="A786" s="31"/>
      <c r="B786" s="8"/>
      <c r="C786" s="8"/>
      <c r="D786" s="8"/>
      <c r="E786" s="32"/>
      <c r="F786" s="8"/>
    </row>
    <row r="787">
      <c r="A787" s="31"/>
      <c r="B787" s="8"/>
      <c r="C787" s="8"/>
      <c r="D787" s="8"/>
      <c r="E787" s="32"/>
      <c r="F787" s="8"/>
    </row>
    <row r="788">
      <c r="A788" s="31"/>
      <c r="B788" s="8"/>
      <c r="C788" s="8"/>
      <c r="D788" s="8"/>
      <c r="E788" s="32"/>
      <c r="F788" s="8"/>
    </row>
    <row r="789">
      <c r="A789" s="31"/>
      <c r="B789" s="8"/>
      <c r="C789" s="8"/>
      <c r="D789" s="8"/>
      <c r="E789" s="32"/>
      <c r="F789" s="8"/>
    </row>
    <row r="790">
      <c r="A790" s="31"/>
      <c r="B790" s="8"/>
      <c r="C790" s="8"/>
      <c r="D790" s="8"/>
      <c r="E790" s="32"/>
      <c r="F790" s="8"/>
    </row>
    <row r="791">
      <c r="A791" s="31"/>
      <c r="B791" s="8"/>
      <c r="C791" s="8"/>
      <c r="D791" s="8"/>
      <c r="E791" s="32"/>
      <c r="F791" s="8"/>
    </row>
    <row r="792">
      <c r="A792" s="31"/>
      <c r="B792" s="8"/>
      <c r="C792" s="8"/>
      <c r="D792" s="8"/>
      <c r="E792" s="32"/>
      <c r="F792" s="8"/>
    </row>
    <row r="793">
      <c r="A793" s="31"/>
      <c r="B793" s="8"/>
      <c r="C793" s="8"/>
      <c r="D793" s="8"/>
      <c r="E793" s="32"/>
      <c r="F793" s="8"/>
    </row>
    <row r="794">
      <c r="A794" s="31"/>
      <c r="B794" s="8"/>
      <c r="C794" s="8"/>
      <c r="D794" s="8"/>
      <c r="E794" s="32"/>
      <c r="F794" s="8"/>
    </row>
    <row r="795">
      <c r="A795" s="31"/>
      <c r="B795" s="8"/>
      <c r="C795" s="8"/>
      <c r="D795" s="8"/>
      <c r="E795" s="32"/>
      <c r="F795" s="8"/>
    </row>
    <row r="796">
      <c r="A796" s="31"/>
      <c r="B796" s="8"/>
      <c r="C796" s="8"/>
      <c r="D796" s="8"/>
      <c r="E796" s="32"/>
      <c r="F796" s="8"/>
    </row>
    <row r="797">
      <c r="A797" s="31"/>
      <c r="B797" s="8"/>
      <c r="C797" s="8"/>
      <c r="D797" s="8"/>
      <c r="E797" s="32"/>
      <c r="F797" s="8"/>
    </row>
    <row r="798">
      <c r="A798" s="31"/>
      <c r="B798" s="8"/>
      <c r="C798" s="8"/>
      <c r="D798" s="8"/>
      <c r="E798" s="32"/>
      <c r="F798" s="8"/>
    </row>
    <row r="799">
      <c r="A799" s="31"/>
      <c r="B799" s="8"/>
      <c r="C799" s="8"/>
      <c r="D799" s="8"/>
      <c r="E799" s="32"/>
      <c r="F799" s="8"/>
    </row>
    <row r="800">
      <c r="A800" s="31"/>
      <c r="B800" s="8"/>
      <c r="C800" s="8"/>
      <c r="D800" s="8"/>
      <c r="E800" s="32"/>
      <c r="F800" s="8"/>
    </row>
    <row r="801">
      <c r="A801" s="31"/>
      <c r="B801" s="8"/>
      <c r="C801" s="8"/>
      <c r="D801" s="8"/>
      <c r="E801" s="32"/>
      <c r="F801" s="8"/>
    </row>
    <row r="802">
      <c r="A802" s="31"/>
      <c r="B802" s="8"/>
      <c r="C802" s="8"/>
      <c r="D802" s="8"/>
      <c r="E802" s="32"/>
      <c r="F802" s="8"/>
    </row>
    <row r="803">
      <c r="A803" s="31"/>
      <c r="B803" s="8"/>
      <c r="C803" s="8"/>
      <c r="D803" s="8"/>
      <c r="E803" s="32"/>
      <c r="F803" s="8"/>
    </row>
    <row r="804">
      <c r="A804" s="31"/>
      <c r="B804" s="8"/>
      <c r="C804" s="8"/>
      <c r="D804" s="8"/>
      <c r="E804" s="32"/>
      <c r="F804" s="8"/>
    </row>
    <row r="805">
      <c r="A805" s="31"/>
      <c r="B805" s="8"/>
      <c r="C805" s="8"/>
      <c r="D805" s="8"/>
      <c r="E805" s="32"/>
      <c r="F805" s="8"/>
    </row>
    <row r="806">
      <c r="A806" s="31"/>
      <c r="B806" s="8"/>
      <c r="C806" s="8"/>
      <c r="D806" s="8"/>
      <c r="E806" s="32"/>
      <c r="F806" s="8"/>
    </row>
    <row r="807">
      <c r="A807" s="31"/>
      <c r="B807" s="8"/>
      <c r="C807" s="8"/>
      <c r="D807" s="8"/>
      <c r="E807" s="32"/>
      <c r="F807" s="8"/>
    </row>
    <row r="808">
      <c r="A808" s="31"/>
      <c r="B808" s="8"/>
      <c r="C808" s="8"/>
      <c r="D808" s="8"/>
      <c r="E808" s="32"/>
      <c r="F808" s="8"/>
    </row>
    <row r="809">
      <c r="A809" s="31"/>
      <c r="B809" s="8"/>
      <c r="C809" s="8"/>
      <c r="D809" s="8"/>
      <c r="E809" s="32"/>
      <c r="F809" s="8"/>
    </row>
    <row r="810">
      <c r="A810" s="31"/>
      <c r="B810" s="8"/>
      <c r="C810" s="8"/>
      <c r="D810" s="8"/>
      <c r="E810" s="32"/>
      <c r="F810" s="8"/>
    </row>
    <row r="811">
      <c r="A811" s="31"/>
      <c r="B811" s="8"/>
      <c r="C811" s="8"/>
      <c r="D811" s="8"/>
      <c r="E811" s="32"/>
      <c r="F811" s="8"/>
    </row>
    <row r="812">
      <c r="A812" s="31"/>
      <c r="B812" s="8"/>
      <c r="C812" s="8"/>
      <c r="D812" s="8"/>
      <c r="E812" s="32"/>
      <c r="F812" s="8"/>
    </row>
    <row r="813">
      <c r="A813" s="31"/>
      <c r="B813" s="8"/>
      <c r="C813" s="8"/>
      <c r="D813" s="8"/>
      <c r="E813" s="32"/>
      <c r="F813" s="8"/>
    </row>
    <row r="814">
      <c r="A814" s="31"/>
      <c r="B814" s="8"/>
      <c r="C814" s="8"/>
      <c r="D814" s="8"/>
      <c r="E814" s="32"/>
      <c r="F814" s="8"/>
    </row>
    <row r="815">
      <c r="A815" s="31"/>
      <c r="B815" s="8"/>
      <c r="C815" s="8"/>
      <c r="D815" s="8"/>
      <c r="E815" s="32"/>
      <c r="F815" s="8"/>
    </row>
    <row r="816">
      <c r="A816" s="31"/>
      <c r="B816" s="8"/>
      <c r="C816" s="8"/>
      <c r="D816" s="8"/>
      <c r="E816" s="32"/>
      <c r="F816" s="8"/>
    </row>
    <row r="817">
      <c r="A817" s="31"/>
      <c r="B817" s="8"/>
      <c r="C817" s="8"/>
      <c r="D817" s="8"/>
      <c r="E817" s="32"/>
      <c r="F817" s="8"/>
    </row>
    <row r="818">
      <c r="A818" s="31"/>
      <c r="B818" s="8"/>
      <c r="C818" s="8"/>
      <c r="D818" s="8"/>
      <c r="E818" s="32"/>
      <c r="F818" s="8"/>
    </row>
    <row r="819">
      <c r="A819" s="31"/>
      <c r="B819" s="8"/>
      <c r="C819" s="8"/>
      <c r="D819" s="8"/>
      <c r="E819" s="32"/>
      <c r="F819" s="8"/>
    </row>
    <row r="820">
      <c r="A820" s="31"/>
      <c r="B820" s="8"/>
      <c r="C820" s="8"/>
      <c r="D820" s="8"/>
      <c r="E820" s="32"/>
      <c r="F820" s="8"/>
    </row>
    <row r="821">
      <c r="A821" s="31"/>
      <c r="B821" s="8"/>
      <c r="C821" s="8"/>
      <c r="D821" s="8"/>
      <c r="E821" s="32"/>
      <c r="F821" s="8"/>
    </row>
    <row r="822">
      <c r="A822" s="31"/>
      <c r="B822" s="8"/>
      <c r="C822" s="8"/>
      <c r="D822" s="8"/>
      <c r="E822" s="32"/>
      <c r="F822" s="8"/>
    </row>
    <row r="823">
      <c r="A823" s="31"/>
      <c r="B823" s="8"/>
      <c r="C823" s="8"/>
      <c r="D823" s="8"/>
      <c r="E823" s="32"/>
      <c r="F823" s="8"/>
    </row>
    <row r="824">
      <c r="A824" s="31"/>
      <c r="B824" s="8"/>
      <c r="C824" s="8"/>
      <c r="D824" s="8"/>
      <c r="E824" s="32"/>
      <c r="F824" s="8"/>
    </row>
    <row r="825">
      <c r="A825" s="31"/>
      <c r="B825" s="8"/>
      <c r="C825" s="8"/>
      <c r="D825" s="8"/>
      <c r="E825" s="32"/>
      <c r="F825" s="8"/>
    </row>
    <row r="826">
      <c r="A826" s="31"/>
      <c r="B826" s="8"/>
      <c r="C826" s="8"/>
      <c r="D826" s="8"/>
      <c r="E826" s="32"/>
      <c r="F826" s="8"/>
    </row>
    <row r="827">
      <c r="A827" s="31"/>
      <c r="B827" s="8"/>
      <c r="C827" s="8"/>
      <c r="D827" s="8"/>
      <c r="E827" s="32"/>
      <c r="F827" s="8"/>
    </row>
    <row r="828">
      <c r="A828" s="31"/>
      <c r="B828" s="8"/>
      <c r="C828" s="8"/>
      <c r="D828" s="8"/>
      <c r="E828" s="32"/>
      <c r="F828" s="8"/>
    </row>
    <row r="829">
      <c r="A829" s="31"/>
      <c r="B829" s="8"/>
      <c r="C829" s="8"/>
      <c r="D829" s="8"/>
      <c r="E829" s="32"/>
      <c r="F829" s="8"/>
    </row>
    <row r="830">
      <c r="A830" s="31"/>
      <c r="B830" s="8"/>
      <c r="C830" s="8"/>
      <c r="D830" s="8"/>
      <c r="E830" s="32"/>
      <c r="F830" s="8"/>
    </row>
    <row r="831">
      <c r="A831" s="31"/>
      <c r="B831" s="8"/>
      <c r="C831" s="8"/>
      <c r="D831" s="8"/>
      <c r="E831" s="32"/>
      <c r="F831" s="8"/>
    </row>
    <row r="832">
      <c r="A832" s="31"/>
      <c r="B832" s="8"/>
      <c r="C832" s="8"/>
      <c r="D832" s="8"/>
      <c r="E832" s="32"/>
      <c r="F832" s="8"/>
    </row>
    <row r="833">
      <c r="A833" s="31"/>
      <c r="B833" s="8"/>
      <c r="C833" s="8"/>
      <c r="D833" s="8"/>
      <c r="E833" s="32"/>
      <c r="F833" s="8"/>
    </row>
    <row r="834">
      <c r="A834" s="31"/>
      <c r="B834" s="8"/>
      <c r="C834" s="8"/>
      <c r="D834" s="8"/>
      <c r="E834" s="32"/>
      <c r="F834" s="8"/>
    </row>
    <row r="835">
      <c r="A835" s="31"/>
      <c r="B835" s="8"/>
      <c r="C835" s="8"/>
      <c r="D835" s="8"/>
      <c r="E835" s="32"/>
      <c r="F835" s="8"/>
    </row>
    <row r="836">
      <c r="A836" s="31"/>
      <c r="B836" s="8"/>
      <c r="C836" s="8"/>
      <c r="D836" s="8"/>
      <c r="E836" s="32"/>
      <c r="F836" s="8"/>
    </row>
    <row r="837">
      <c r="A837" s="31"/>
      <c r="B837" s="8"/>
      <c r="C837" s="8"/>
      <c r="D837" s="8"/>
      <c r="E837" s="32"/>
      <c r="F837" s="8"/>
    </row>
    <row r="838">
      <c r="A838" s="31"/>
      <c r="B838" s="8"/>
      <c r="C838" s="8"/>
      <c r="D838" s="8"/>
      <c r="E838" s="32"/>
      <c r="F838" s="8"/>
    </row>
    <row r="839">
      <c r="A839" s="31"/>
      <c r="B839" s="8"/>
      <c r="C839" s="8"/>
      <c r="D839" s="8"/>
      <c r="E839" s="32"/>
      <c r="F839" s="8"/>
    </row>
    <row r="840">
      <c r="A840" s="31"/>
      <c r="B840" s="8"/>
      <c r="C840" s="8"/>
      <c r="D840" s="8"/>
      <c r="E840" s="32"/>
      <c r="F840" s="8"/>
    </row>
    <row r="841">
      <c r="A841" s="31"/>
      <c r="B841" s="8"/>
      <c r="C841" s="8"/>
      <c r="D841" s="8"/>
      <c r="E841" s="32"/>
      <c r="F841" s="8"/>
    </row>
    <row r="842">
      <c r="A842" s="31"/>
      <c r="B842" s="8"/>
      <c r="C842" s="8"/>
      <c r="D842" s="8"/>
      <c r="E842" s="32"/>
      <c r="F842" s="8"/>
    </row>
    <row r="843">
      <c r="A843" s="31"/>
      <c r="B843" s="8"/>
      <c r="C843" s="8"/>
      <c r="D843" s="8"/>
      <c r="E843" s="32"/>
      <c r="F843" s="8"/>
    </row>
    <row r="844">
      <c r="A844" s="31"/>
      <c r="B844" s="8"/>
      <c r="C844" s="8"/>
      <c r="D844" s="8"/>
      <c r="E844" s="32"/>
      <c r="F844" s="8"/>
    </row>
    <row r="845">
      <c r="A845" s="31"/>
      <c r="B845" s="8"/>
      <c r="C845" s="8"/>
      <c r="D845" s="8"/>
      <c r="E845" s="32"/>
      <c r="F845" s="8"/>
    </row>
    <row r="846">
      <c r="A846" s="31"/>
      <c r="B846" s="8"/>
      <c r="C846" s="8"/>
      <c r="D846" s="8"/>
      <c r="E846" s="32"/>
      <c r="F846" s="8"/>
    </row>
    <row r="847">
      <c r="A847" s="31"/>
      <c r="B847" s="8"/>
      <c r="C847" s="8"/>
      <c r="D847" s="8"/>
      <c r="E847" s="32"/>
      <c r="F847" s="8"/>
    </row>
    <row r="848">
      <c r="A848" s="31"/>
      <c r="B848" s="8"/>
      <c r="C848" s="8"/>
      <c r="D848" s="8"/>
      <c r="E848" s="32"/>
      <c r="F848" s="8"/>
    </row>
    <row r="849">
      <c r="A849" s="31"/>
      <c r="B849" s="8"/>
      <c r="C849" s="8"/>
      <c r="D849" s="8"/>
      <c r="E849" s="32"/>
      <c r="F849" s="8"/>
    </row>
    <row r="850">
      <c r="A850" s="31"/>
      <c r="B850" s="8"/>
      <c r="C850" s="8"/>
      <c r="D850" s="8"/>
      <c r="E850" s="32"/>
      <c r="F850" s="8"/>
    </row>
    <row r="851">
      <c r="A851" s="31"/>
      <c r="B851" s="8"/>
      <c r="C851" s="8"/>
      <c r="D851" s="8"/>
      <c r="E851" s="32"/>
      <c r="F851" s="8"/>
    </row>
    <row r="852">
      <c r="A852" s="31"/>
      <c r="B852" s="8"/>
      <c r="C852" s="8"/>
      <c r="D852" s="8"/>
      <c r="E852" s="32"/>
      <c r="F852" s="8"/>
    </row>
    <row r="853">
      <c r="A853" s="31"/>
      <c r="B853" s="8"/>
      <c r="C853" s="8"/>
      <c r="D853" s="8"/>
      <c r="E853" s="32"/>
      <c r="F853" s="8"/>
    </row>
    <row r="854">
      <c r="A854" s="31"/>
      <c r="B854" s="8"/>
      <c r="C854" s="8"/>
      <c r="D854" s="8"/>
      <c r="E854" s="32"/>
      <c r="F854" s="8"/>
    </row>
    <row r="855">
      <c r="A855" s="31"/>
      <c r="B855" s="8"/>
      <c r="C855" s="8"/>
      <c r="D855" s="8"/>
      <c r="E855" s="32"/>
      <c r="F855" s="8"/>
    </row>
    <row r="856">
      <c r="A856" s="31"/>
      <c r="B856" s="8"/>
      <c r="C856" s="8"/>
      <c r="D856" s="8"/>
      <c r="E856" s="32"/>
      <c r="F856" s="8"/>
    </row>
    <row r="857">
      <c r="A857" s="31"/>
      <c r="B857" s="8"/>
      <c r="C857" s="8"/>
      <c r="D857" s="8"/>
      <c r="E857" s="32"/>
      <c r="F857" s="8"/>
    </row>
    <row r="858">
      <c r="A858" s="31"/>
      <c r="B858" s="8"/>
      <c r="C858" s="8"/>
      <c r="D858" s="8"/>
      <c r="E858" s="32"/>
      <c r="F858" s="8"/>
    </row>
    <row r="859">
      <c r="A859" s="31"/>
      <c r="B859" s="8"/>
      <c r="C859" s="8"/>
      <c r="D859" s="8"/>
      <c r="E859" s="32"/>
      <c r="F859" s="8"/>
    </row>
    <row r="860">
      <c r="A860" s="31"/>
      <c r="B860" s="8"/>
      <c r="C860" s="8"/>
      <c r="D860" s="8"/>
      <c r="E860" s="32"/>
      <c r="F860" s="8"/>
    </row>
    <row r="861">
      <c r="A861" s="31"/>
      <c r="B861" s="8"/>
      <c r="C861" s="8"/>
      <c r="D861" s="8"/>
      <c r="E861" s="32"/>
      <c r="F861" s="8"/>
    </row>
    <row r="862">
      <c r="A862" s="31"/>
      <c r="B862" s="8"/>
      <c r="C862" s="8"/>
      <c r="D862" s="8"/>
      <c r="E862" s="32"/>
      <c r="F862" s="8"/>
    </row>
    <row r="863">
      <c r="A863" s="31"/>
      <c r="B863" s="8"/>
      <c r="C863" s="8"/>
      <c r="D863" s="8"/>
      <c r="E863" s="32"/>
      <c r="F863" s="8"/>
    </row>
    <row r="864">
      <c r="A864" s="31"/>
      <c r="B864" s="8"/>
      <c r="C864" s="8"/>
      <c r="D864" s="8"/>
      <c r="E864" s="32"/>
      <c r="F864" s="8"/>
    </row>
    <row r="865">
      <c r="A865" s="31"/>
      <c r="B865" s="8"/>
      <c r="C865" s="8"/>
      <c r="D865" s="8"/>
      <c r="E865" s="32"/>
      <c r="F865" s="8"/>
    </row>
    <row r="866">
      <c r="A866" s="31"/>
      <c r="B866" s="8"/>
      <c r="C866" s="8"/>
      <c r="D866" s="8"/>
      <c r="E866" s="32"/>
      <c r="F866" s="8"/>
    </row>
    <row r="867">
      <c r="A867" s="31"/>
      <c r="B867" s="8"/>
      <c r="C867" s="8"/>
      <c r="D867" s="8"/>
      <c r="E867" s="32"/>
      <c r="F867" s="8"/>
    </row>
    <row r="868">
      <c r="A868" s="31"/>
      <c r="B868" s="8"/>
      <c r="C868" s="8"/>
      <c r="D868" s="8"/>
      <c r="E868" s="32"/>
      <c r="F868" s="8"/>
    </row>
    <row r="869">
      <c r="A869" s="31"/>
      <c r="B869" s="8"/>
      <c r="C869" s="8"/>
      <c r="D869" s="8"/>
      <c r="E869" s="32"/>
      <c r="F869" s="8"/>
    </row>
    <row r="870">
      <c r="A870" s="31"/>
      <c r="B870" s="8"/>
      <c r="C870" s="8"/>
      <c r="D870" s="8"/>
      <c r="E870" s="32"/>
      <c r="F870" s="8"/>
    </row>
    <row r="871">
      <c r="A871" s="31"/>
      <c r="B871" s="8"/>
      <c r="C871" s="8"/>
      <c r="D871" s="8"/>
      <c r="E871" s="32"/>
      <c r="F871" s="8"/>
    </row>
    <row r="872">
      <c r="A872" s="31"/>
      <c r="B872" s="8"/>
      <c r="C872" s="8"/>
      <c r="D872" s="8"/>
      <c r="E872" s="32"/>
      <c r="F872" s="8"/>
    </row>
    <row r="873">
      <c r="A873" s="31"/>
      <c r="B873" s="8"/>
      <c r="C873" s="8"/>
      <c r="D873" s="8"/>
      <c r="E873" s="32"/>
      <c r="F873" s="8"/>
    </row>
    <row r="874">
      <c r="A874" s="31"/>
      <c r="B874" s="8"/>
      <c r="C874" s="8"/>
      <c r="D874" s="8"/>
      <c r="E874" s="32"/>
      <c r="F874" s="8"/>
    </row>
    <row r="875">
      <c r="A875" s="31"/>
      <c r="B875" s="8"/>
      <c r="C875" s="8"/>
      <c r="D875" s="8"/>
      <c r="E875" s="32"/>
      <c r="F875" s="8"/>
    </row>
    <row r="876">
      <c r="A876" s="31"/>
      <c r="B876" s="8"/>
      <c r="C876" s="8"/>
      <c r="D876" s="8"/>
      <c r="E876" s="32"/>
      <c r="F876" s="8"/>
    </row>
    <row r="877">
      <c r="A877" s="31"/>
      <c r="B877" s="8"/>
      <c r="C877" s="8"/>
      <c r="D877" s="8"/>
      <c r="E877" s="32"/>
      <c r="F877" s="8"/>
    </row>
    <row r="878">
      <c r="A878" s="31"/>
      <c r="B878" s="8"/>
      <c r="C878" s="8"/>
      <c r="D878" s="8"/>
      <c r="E878" s="32"/>
      <c r="F878" s="8"/>
    </row>
    <row r="879">
      <c r="A879" s="31"/>
      <c r="B879" s="8"/>
      <c r="C879" s="8"/>
      <c r="D879" s="8"/>
      <c r="E879" s="32"/>
      <c r="F879" s="8"/>
    </row>
    <row r="880">
      <c r="A880" s="31"/>
      <c r="B880" s="8"/>
      <c r="C880" s="8"/>
      <c r="D880" s="8"/>
      <c r="E880" s="32"/>
      <c r="F880" s="8"/>
    </row>
    <row r="881">
      <c r="A881" s="31"/>
      <c r="B881" s="8"/>
      <c r="C881" s="8"/>
      <c r="D881" s="8"/>
      <c r="E881" s="32"/>
      <c r="F881" s="8"/>
    </row>
    <row r="882">
      <c r="A882" s="31"/>
      <c r="B882" s="8"/>
      <c r="C882" s="8"/>
      <c r="D882" s="8"/>
      <c r="E882" s="32"/>
      <c r="F882" s="8"/>
    </row>
    <row r="883">
      <c r="A883" s="31"/>
      <c r="B883" s="8"/>
      <c r="C883" s="8"/>
      <c r="D883" s="8"/>
      <c r="E883" s="32"/>
      <c r="F883" s="8"/>
    </row>
    <row r="884">
      <c r="A884" s="31"/>
      <c r="B884" s="8"/>
      <c r="C884" s="8"/>
      <c r="D884" s="8"/>
      <c r="E884" s="32"/>
      <c r="F884" s="8"/>
    </row>
    <row r="885">
      <c r="A885" s="31"/>
      <c r="B885" s="8"/>
      <c r="C885" s="8"/>
      <c r="D885" s="8"/>
      <c r="E885" s="32"/>
      <c r="F885" s="8"/>
    </row>
    <row r="886">
      <c r="A886" s="31"/>
      <c r="B886" s="8"/>
      <c r="C886" s="8"/>
      <c r="D886" s="8"/>
      <c r="E886" s="32"/>
      <c r="F886" s="8"/>
    </row>
    <row r="887">
      <c r="A887" s="31"/>
      <c r="B887" s="8"/>
      <c r="C887" s="8"/>
      <c r="D887" s="8"/>
      <c r="E887" s="32"/>
      <c r="F887" s="8"/>
    </row>
    <row r="888">
      <c r="A888" s="31"/>
      <c r="B888" s="8"/>
      <c r="C888" s="8"/>
      <c r="D888" s="8"/>
      <c r="E888" s="32"/>
      <c r="F888" s="8"/>
    </row>
    <row r="889">
      <c r="A889" s="31"/>
      <c r="B889" s="8"/>
      <c r="C889" s="8"/>
      <c r="D889" s="8"/>
      <c r="E889" s="32"/>
      <c r="F889" s="8"/>
    </row>
    <row r="890">
      <c r="A890" s="31"/>
      <c r="B890" s="8"/>
      <c r="C890" s="8"/>
      <c r="D890" s="8"/>
      <c r="E890" s="32"/>
      <c r="F890" s="8"/>
    </row>
    <row r="891">
      <c r="A891" s="31"/>
      <c r="B891" s="8"/>
      <c r="C891" s="8"/>
      <c r="D891" s="8"/>
      <c r="E891" s="32"/>
      <c r="F891" s="8"/>
    </row>
    <row r="892">
      <c r="A892" s="31"/>
      <c r="B892" s="8"/>
      <c r="C892" s="8"/>
      <c r="D892" s="8"/>
      <c r="E892" s="32"/>
      <c r="F892" s="8"/>
    </row>
    <row r="893">
      <c r="A893" s="31"/>
      <c r="B893" s="8"/>
      <c r="C893" s="8"/>
      <c r="D893" s="8"/>
      <c r="E893" s="32"/>
      <c r="F893" s="8"/>
    </row>
    <row r="894">
      <c r="A894" s="31"/>
      <c r="B894" s="8"/>
      <c r="C894" s="8"/>
      <c r="D894" s="8"/>
      <c r="E894" s="32"/>
      <c r="F894" s="8"/>
    </row>
    <row r="895">
      <c r="A895" s="31"/>
      <c r="B895" s="8"/>
      <c r="C895" s="8"/>
      <c r="D895" s="8"/>
      <c r="E895" s="32"/>
      <c r="F895" s="8"/>
    </row>
    <row r="896">
      <c r="A896" s="31"/>
      <c r="B896" s="8"/>
      <c r="C896" s="8"/>
      <c r="D896" s="8"/>
      <c r="E896" s="32"/>
      <c r="F896" s="8"/>
    </row>
    <row r="897">
      <c r="A897" s="31"/>
      <c r="B897" s="8"/>
      <c r="C897" s="8"/>
      <c r="D897" s="8"/>
      <c r="E897" s="32"/>
      <c r="F897" s="8"/>
    </row>
    <row r="898">
      <c r="A898" s="31"/>
      <c r="B898" s="8"/>
      <c r="C898" s="8"/>
      <c r="D898" s="8"/>
      <c r="E898" s="32"/>
      <c r="F898" s="8"/>
    </row>
    <row r="899">
      <c r="A899" s="31"/>
      <c r="B899" s="8"/>
      <c r="C899" s="8"/>
      <c r="D899" s="8"/>
      <c r="E899" s="32"/>
      <c r="F899" s="8"/>
    </row>
    <row r="900">
      <c r="A900" s="31"/>
      <c r="B900" s="8"/>
      <c r="C900" s="8"/>
      <c r="D900" s="8"/>
      <c r="E900" s="32"/>
      <c r="F900" s="8"/>
    </row>
    <row r="901">
      <c r="A901" s="31"/>
      <c r="B901" s="8"/>
      <c r="C901" s="8"/>
      <c r="D901" s="8"/>
      <c r="E901" s="32"/>
      <c r="F901" s="8"/>
    </row>
    <row r="902">
      <c r="A902" s="31"/>
      <c r="B902" s="8"/>
      <c r="C902" s="8"/>
      <c r="D902" s="8"/>
      <c r="E902" s="32"/>
      <c r="F902" s="8"/>
    </row>
    <row r="903">
      <c r="A903" s="31"/>
      <c r="B903" s="8"/>
      <c r="C903" s="8"/>
      <c r="D903" s="8"/>
      <c r="E903" s="32"/>
      <c r="F903" s="8"/>
    </row>
    <row r="904">
      <c r="A904" s="31"/>
      <c r="B904" s="8"/>
      <c r="C904" s="8"/>
      <c r="D904" s="8"/>
      <c r="E904" s="32"/>
      <c r="F904" s="8"/>
    </row>
    <row r="905">
      <c r="A905" s="31"/>
      <c r="B905" s="8"/>
      <c r="C905" s="8"/>
      <c r="D905" s="8"/>
      <c r="E905" s="32"/>
      <c r="F905" s="8"/>
    </row>
    <row r="906">
      <c r="A906" s="31"/>
      <c r="B906" s="8"/>
      <c r="C906" s="8"/>
      <c r="D906" s="8"/>
      <c r="E906" s="32"/>
      <c r="F906" s="8"/>
    </row>
    <row r="907">
      <c r="A907" s="31"/>
      <c r="B907" s="8"/>
      <c r="C907" s="8"/>
      <c r="D907" s="8"/>
      <c r="E907" s="32"/>
      <c r="F907" s="8"/>
    </row>
    <row r="908">
      <c r="A908" s="31"/>
      <c r="B908" s="8"/>
      <c r="C908" s="8"/>
      <c r="D908" s="8"/>
      <c r="E908" s="32"/>
      <c r="F908" s="8"/>
    </row>
    <row r="909">
      <c r="A909" s="31"/>
      <c r="B909" s="8"/>
      <c r="C909" s="8"/>
      <c r="D909" s="8"/>
      <c r="E909" s="32"/>
      <c r="F909" s="8"/>
    </row>
    <row r="910">
      <c r="A910" s="31"/>
      <c r="B910" s="8"/>
      <c r="C910" s="8"/>
      <c r="D910" s="8"/>
      <c r="E910" s="32"/>
      <c r="F910" s="8"/>
    </row>
    <row r="911">
      <c r="A911" s="31"/>
      <c r="B911" s="8"/>
      <c r="C911" s="8"/>
      <c r="D911" s="8"/>
      <c r="E911" s="32"/>
      <c r="F911" s="8"/>
    </row>
    <row r="912">
      <c r="A912" s="31"/>
      <c r="B912" s="8"/>
      <c r="C912" s="8"/>
      <c r="D912" s="8"/>
      <c r="E912" s="32"/>
      <c r="F912" s="8"/>
    </row>
    <row r="913">
      <c r="A913" s="31"/>
      <c r="B913" s="8"/>
      <c r="C913" s="8"/>
      <c r="D913" s="8"/>
      <c r="E913" s="32"/>
      <c r="F913" s="8"/>
    </row>
    <row r="914">
      <c r="A914" s="31"/>
      <c r="B914" s="8"/>
      <c r="C914" s="8"/>
      <c r="D914" s="8"/>
      <c r="E914" s="32"/>
      <c r="F914" s="8"/>
    </row>
    <row r="915">
      <c r="A915" s="31"/>
      <c r="B915" s="8"/>
      <c r="C915" s="8"/>
      <c r="D915" s="8"/>
      <c r="E915" s="32"/>
      <c r="F915" s="8"/>
    </row>
    <row r="916">
      <c r="A916" s="31"/>
      <c r="B916" s="8"/>
      <c r="C916" s="8"/>
      <c r="D916" s="8"/>
      <c r="E916" s="32"/>
      <c r="F916" s="8"/>
    </row>
    <row r="917">
      <c r="A917" s="31"/>
      <c r="B917" s="8"/>
      <c r="C917" s="8"/>
      <c r="D917" s="8"/>
      <c r="E917" s="32"/>
      <c r="F917" s="8"/>
    </row>
    <row r="918">
      <c r="A918" s="31"/>
      <c r="B918" s="8"/>
      <c r="C918" s="8"/>
      <c r="D918" s="8"/>
      <c r="E918" s="32"/>
      <c r="F918" s="8"/>
    </row>
    <row r="919">
      <c r="A919" s="31"/>
      <c r="B919" s="8"/>
      <c r="C919" s="8"/>
      <c r="D919" s="8"/>
      <c r="E919" s="32"/>
      <c r="F919" s="8"/>
    </row>
    <row r="920">
      <c r="A920" s="31"/>
      <c r="B920" s="8"/>
      <c r="C920" s="8"/>
      <c r="D920" s="8"/>
      <c r="E920" s="32"/>
      <c r="F920" s="8"/>
    </row>
    <row r="921">
      <c r="A921" s="31"/>
      <c r="B921" s="8"/>
      <c r="C921" s="8"/>
      <c r="D921" s="8"/>
      <c r="E921" s="32"/>
      <c r="F921" s="8"/>
    </row>
    <row r="922">
      <c r="A922" s="31"/>
      <c r="B922" s="8"/>
      <c r="C922" s="8"/>
      <c r="D922" s="8"/>
      <c r="E922" s="32"/>
      <c r="F922" s="8"/>
    </row>
    <row r="923">
      <c r="A923" s="31"/>
      <c r="B923" s="8"/>
      <c r="C923" s="8"/>
      <c r="D923" s="8"/>
      <c r="E923" s="32"/>
      <c r="F923" s="8"/>
    </row>
    <row r="924">
      <c r="A924" s="31"/>
      <c r="B924" s="8"/>
      <c r="C924" s="8"/>
      <c r="D924" s="8"/>
      <c r="E924" s="32"/>
      <c r="F924" s="8"/>
    </row>
    <row r="925">
      <c r="A925" s="31"/>
      <c r="B925" s="8"/>
      <c r="C925" s="8"/>
      <c r="D925" s="8"/>
      <c r="E925" s="32"/>
      <c r="F925" s="8"/>
    </row>
    <row r="926">
      <c r="A926" s="31"/>
      <c r="B926" s="8"/>
      <c r="C926" s="8"/>
      <c r="D926" s="8"/>
      <c r="E926" s="32"/>
      <c r="F926" s="8"/>
    </row>
    <row r="927">
      <c r="A927" s="31"/>
      <c r="B927" s="8"/>
      <c r="C927" s="8"/>
      <c r="D927" s="8"/>
      <c r="E927" s="32"/>
      <c r="F927" s="8"/>
    </row>
    <row r="928">
      <c r="A928" s="31"/>
      <c r="B928" s="8"/>
      <c r="C928" s="8"/>
      <c r="D928" s="8"/>
      <c r="E928" s="32"/>
      <c r="F928" s="8"/>
    </row>
    <row r="929">
      <c r="A929" s="31"/>
      <c r="B929" s="8"/>
      <c r="C929" s="8"/>
      <c r="D929" s="8"/>
      <c r="E929" s="32"/>
      <c r="F929" s="8"/>
    </row>
    <row r="930">
      <c r="A930" s="31"/>
      <c r="B930" s="8"/>
      <c r="C930" s="8"/>
      <c r="D930" s="8"/>
      <c r="E930" s="32"/>
      <c r="F930" s="8"/>
    </row>
    <row r="931">
      <c r="A931" s="31"/>
      <c r="B931" s="8"/>
      <c r="C931" s="8"/>
      <c r="D931" s="8"/>
      <c r="E931" s="32"/>
      <c r="F931" s="8"/>
    </row>
    <row r="932">
      <c r="A932" s="31"/>
      <c r="B932" s="8"/>
      <c r="C932" s="8"/>
      <c r="D932" s="8"/>
      <c r="E932" s="32"/>
      <c r="F932" s="8"/>
    </row>
    <row r="933">
      <c r="A933" s="31"/>
      <c r="B933" s="8"/>
      <c r="C933" s="8"/>
      <c r="D933" s="8"/>
      <c r="E933" s="32"/>
      <c r="F933" s="8"/>
    </row>
    <row r="934">
      <c r="A934" s="31"/>
      <c r="B934" s="8"/>
      <c r="C934" s="8"/>
      <c r="D934" s="8"/>
      <c r="E934" s="32"/>
      <c r="F934" s="8"/>
    </row>
    <row r="935">
      <c r="A935" s="31"/>
      <c r="B935" s="8"/>
      <c r="C935" s="8"/>
      <c r="D935" s="8"/>
      <c r="E935" s="32"/>
      <c r="F935" s="8"/>
    </row>
    <row r="936">
      <c r="A936" s="31"/>
      <c r="B936" s="8"/>
      <c r="C936" s="8"/>
      <c r="D936" s="8"/>
      <c r="E936" s="32"/>
      <c r="F936" s="8"/>
    </row>
    <row r="937">
      <c r="A937" s="31"/>
      <c r="B937" s="8"/>
      <c r="C937" s="8"/>
      <c r="D937" s="8"/>
      <c r="E937" s="32"/>
      <c r="F937" s="8"/>
    </row>
    <row r="938">
      <c r="A938" s="31"/>
      <c r="B938" s="8"/>
      <c r="C938" s="8"/>
      <c r="D938" s="8"/>
      <c r="E938" s="32"/>
      <c r="F938" s="8"/>
    </row>
    <row r="939">
      <c r="A939" s="31"/>
      <c r="B939" s="8"/>
      <c r="C939" s="8"/>
      <c r="D939" s="8"/>
      <c r="E939" s="32"/>
      <c r="F939" s="8"/>
    </row>
    <row r="940">
      <c r="A940" s="31"/>
      <c r="B940" s="8"/>
      <c r="C940" s="8"/>
      <c r="D940" s="8"/>
      <c r="E940" s="32"/>
      <c r="F940" s="8"/>
    </row>
    <row r="941">
      <c r="A941" s="31"/>
      <c r="B941" s="8"/>
      <c r="C941" s="8"/>
      <c r="D941" s="8"/>
      <c r="E941" s="32"/>
      <c r="F941" s="8"/>
    </row>
    <row r="942">
      <c r="A942" s="31"/>
      <c r="B942" s="8"/>
      <c r="C942" s="8"/>
      <c r="D942" s="8"/>
      <c r="E942" s="32"/>
      <c r="F942" s="8"/>
    </row>
    <row r="943">
      <c r="A943" s="31"/>
      <c r="B943" s="8"/>
      <c r="C943" s="8"/>
      <c r="D943" s="8"/>
      <c r="E943" s="32"/>
      <c r="F943" s="8"/>
    </row>
    <row r="944">
      <c r="A944" s="31"/>
      <c r="B944" s="8"/>
      <c r="C944" s="8"/>
      <c r="D944" s="8"/>
      <c r="E944" s="32"/>
      <c r="F944" s="8"/>
    </row>
    <row r="945">
      <c r="A945" s="31"/>
      <c r="B945" s="8"/>
      <c r="C945" s="8"/>
      <c r="D945" s="8"/>
      <c r="E945" s="32"/>
      <c r="F945" s="8"/>
    </row>
    <row r="946">
      <c r="A946" s="31"/>
      <c r="B946" s="8"/>
      <c r="C946" s="8"/>
      <c r="D946" s="8"/>
      <c r="E946" s="32"/>
      <c r="F946" s="8"/>
    </row>
    <row r="947">
      <c r="A947" s="31"/>
      <c r="B947" s="8"/>
      <c r="C947" s="8"/>
      <c r="D947" s="8"/>
      <c r="E947" s="32"/>
      <c r="F947" s="8"/>
    </row>
    <row r="948">
      <c r="A948" s="31"/>
      <c r="B948" s="8"/>
      <c r="C948" s="8"/>
      <c r="D948" s="8"/>
      <c r="E948" s="32"/>
      <c r="F948" s="8"/>
    </row>
    <row r="949">
      <c r="A949" s="31"/>
      <c r="B949" s="8"/>
      <c r="C949" s="8"/>
      <c r="D949" s="8"/>
      <c r="E949" s="32"/>
      <c r="F949" s="8"/>
    </row>
    <row r="950">
      <c r="A950" s="31"/>
      <c r="B950" s="8"/>
      <c r="C950" s="8"/>
      <c r="D950" s="8"/>
      <c r="E950" s="32"/>
      <c r="F950" s="8"/>
    </row>
    <row r="951">
      <c r="A951" s="31"/>
      <c r="B951" s="8"/>
      <c r="C951" s="8"/>
      <c r="D951" s="8"/>
      <c r="E951" s="32"/>
      <c r="F951" s="8"/>
    </row>
    <row r="952">
      <c r="A952" s="31"/>
      <c r="B952" s="8"/>
      <c r="C952" s="8"/>
      <c r="D952" s="8"/>
      <c r="E952" s="32"/>
      <c r="F952" s="8"/>
    </row>
    <row r="953">
      <c r="A953" s="31"/>
      <c r="B953" s="8"/>
      <c r="C953" s="8"/>
      <c r="D953" s="8"/>
      <c r="E953" s="32"/>
      <c r="F953" s="8"/>
    </row>
    <row r="954">
      <c r="A954" s="31"/>
      <c r="B954" s="8"/>
      <c r="C954" s="8"/>
      <c r="D954" s="8"/>
      <c r="E954" s="32"/>
      <c r="F954" s="8"/>
    </row>
    <row r="955">
      <c r="A955" s="31"/>
      <c r="B955" s="8"/>
      <c r="C955" s="8"/>
      <c r="D955" s="8"/>
      <c r="E955" s="32"/>
      <c r="F955" s="8"/>
    </row>
    <row r="956">
      <c r="A956" s="31"/>
      <c r="B956" s="8"/>
      <c r="C956" s="8"/>
      <c r="D956" s="8"/>
      <c r="E956" s="32"/>
      <c r="F956" s="8"/>
    </row>
    <row r="957">
      <c r="A957" s="31"/>
      <c r="B957" s="8"/>
      <c r="C957" s="8"/>
      <c r="D957" s="8"/>
      <c r="E957" s="32"/>
      <c r="F957" s="8"/>
    </row>
  </sheetData>
  <dataValidations>
    <dataValidation type="list" allowBlank="1" showErrorMessage="1" sqref="F2:F957">
      <formula1>'โครงการ'!$A$2:$A957</formula1>
    </dataValidation>
    <dataValidation type="list" allowBlank="1" showErrorMessage="1" sqref="D2:D957">
      <formula1>'หมวดหมู่'!$A$2:$A957</formula1>
    </dataValidation>
    <dataValidation type="list" allowBlank="1" showErrorMessage="1" sqref="B2:B957">
      <formula1>"รายจ่าย,รายรับ"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75"/>
  </cols>
  <sheetData>
    <row r="1">
      <c r="A1" s="33" t="s">
        <v>64</v>
      </c>
      <c r="B1" s="33" t="s">
        <v>65</v>
      </c>
    </row>
    <row r="2">
      <c r="A2" s="34"/>
      <c r="B2" s="34"/>
    </row>
    <row r="3">
      <c r="A3" s="34"/>
      <c r="B3" s="34"/>
    </row>
    <row r="4">
      <c r="A4" s="34"/>
      <c r="B4" s="34"/>
    </row>
    <row r="5">
      <c r="A5" s="34"/>
      <c r="B5" s="34"/>
    </row>
    <row r="6">
      <c r="A6" s="34"/>
      <c r="B6" s="34"/>
    </row>
    <row r="7">
      <c r="A7" s="34"/>
      <c r="B7" s="34"/>
    </row>
    <row r="8">
      <c r="A8" s="34"/>
      <c r="B8" s="34"/>
    </row>
    <row r="9">
      <c r="A9" s="34"/>
      <c r="B9" s="34"/>
    </row>
    <row r="10">
      <c r="A10" s="34"/>
      <c r="B10" s="34"/>
    </row>
    <row r="11">
      <c r="A11" s="34"/>
      <c r="B11" s="34"/>
    </row>
    <row r="12">
      <c r="A12" s="34"/>
      <c r="B12" s="34"/>
    </row>
    <row r="13">
      <c r="A13" s="34"/>
      <c r="B13" s="34"/>
    </row>
    <row r="14">
      <c r="A14" s="34"/>
      <c r="B14" s="34"/>
    </row>
    <row r="15">
      <c r="A15" s="34"/>
      <c r="B15" s="34"/>
    </row>
    <row r="16">
      <c r="A16" s="34"/>
      <c r="B16" s="34"/>
    </row>
    <row r="17">
      <c r="A17" s="34"/>
      <c r="B17" s="34"/>
    </row>
    <row r="18">
      <c r="A18" s="34"/>
      <c r="B18" s="34"/>
    </row>
    <row r="19">
      <c r="A19" s="34"/>
      <c r="B19" s="34"/>
    </row>
    <row r="20">
      <c r="A20" s="34"/>
      <c r="B20" s="34"/>
    </row>
    <row r="21">
      <c r="A21" s="34"/>
      <c r="B21" s="34"/>
    </row>
    <row r="22">
      <c r="A22" s="23"/>
      <c r="B22" s="23"/>
    </row>
    <row r="23">
      <c r="A23" s="23"/>
      <c r="B23" s="23"/>
    </row>
    <row r="24">
      <c r="A24" s="23"/>
      <c r="B24" s="23"/>
    </row>
    <row r="25">
      <c r="A25" s="23"/>
      <c r="B25" s="23"/>
    </row>
    <row r="26">
      <c r="A26" s="23"/>
      <c r="B26" s="23"/>
    </row>
    <row r="27">
      <c r="A27" s="23"/>
      <c r="B27" s="23"/>
    </row>
    <row r="28">
      <c r="A28" s="23"/>
      <c r="B28" s="23"/>
    </row>
    <row r="29">
      <c r="A29" s="23"/>
      <c r="B29" s="23"/>
    </row>
    <row r="30">
      <c r="A30" s="23"/>
      <c r="B30" s="23"/>
    </row>
    <row r="31">
      <c r="A31" s="23"/>
      <c r="B31" s="23"/>
    </row>
    <row r="32">
      <c r="A32" s="23"/>
      <c r="B32" s="23"/>
    </row>
    <row r="33">
      <c r="A33" s="23"/>
      <c r="B33" s="23"/>
    </row>
    <row r="34">
      <c r="A34" s="23"/>
      <c r="B34" s="23"/>
    </row>
    <row r="35">
      <c r="A35" s="23"/>
      <c r="B35" s="23"/>
    </row>
    <row r="36">
      <c r="A36" s="23"/>
      <c r="B36" s="23"/>
    </row>
    <row r="37">
      <c r="A37" s="23"/>
      <c r="B37" s="23"/>
    </row>
    <row r="38">
      <c r="A38" s="23"/>
      <c r="B38" s="23"/>
    </row>
    <row r="39">
      <c r="A39" s="23"/>
      <c r="B39" s="23"/>
    </row>
    <row r="40">
      <c r="A40" s="23"/>
      <c r="B40" s="23"/>
    </row>
    <row r="41">
      <c r="A41" s="23"/>
      <c r="B41" s="23"/>
    </row>
    <row r="42">
      <c r="A42" s="23"/>
      <c r="B42" s="23"/>
    </row>
    <row r="43">
      <c r="A43" s="23"/>
      <c r="B43" s="23"/>
    </row>
    <row r="44">
      <c r="A44" s="23"/>
      <c r="B44" s="23"/>
    </row>
    <row r="45">
      <c r="A45" s="23"/>
      <c r="B45" s="23"/>
    </row>
    <row r="46">
      <c r="A46" s="23"/>
      <c r="B46" s="23"/>
    </row>
    <row r="47">
      <c r="A47" s="23"/>
      <c r="B47" s="23"/>
    </row>
    <row r="48">
      <c r="A48" s="23"/>
      <c r="B48" s="23"/>
    </row>
    <row r="49">
      <c r="A49" s="23"/>
      <c r="B49" s="23"/>
    </row>
    <row r="50">
      <c r="A50" s="23"/>
      <c r="B50" s="23"/>
    </row>
    <row r="51">
      <c r="A51" s="23"/>
      <c r="B51" s="23"/>
    </row>
    <row r="52">
      <c r="A52" s="23"/>
      <c r="B52" s="23"/>
    </row>
    <row r="53">
      <c r="A53" s="23"/>
      <c r="B53" s="23"/>
    </row>
    <row r="54">
      <c r="A54" s="23"/>
      <c r="B54" s="23"/>
    </row>
    <row r="55">
      <c r="A55" s="23"/>
      <c r="B55" s="23"/>
    </row>
    <row r="56">
      <c r="A56" s="23"/>
      <c r="B56" s="23"/>
    </row>
    <row r="57">
      <c r="A57" s="23"/>
      <c r="B57" s="23"/>
    </row>
    <row r="58">
      <c r="A58" s="23"/>
      <c r="B58" s="23"/>
    </row>
    <row r="59">
      <c r="A59" s="23"/>
      <c r="B59" s="23"/>
    </row>
    <row r="60">
      <c r="A60" s="23"/>
      <c r="B60" s="23"/>
    </row>
    <row r="61">
      <c r="A61" s="23"/>
      <c r="B61" s="23"/>
    </row>
    <row r="62">
      <c r="A62" s="23"/>
      <c r="B62" s="23"/>
    </row>
    <row r="63">
      <c r="A63" s="23"/>
      <c r="B63" s="23"/>
    </row>
    <row r="64">
      <c r="A64" s="23"/>
      <c r="B64" s="23"/>
    </row>
    <row r="65">
      <c r="A65" s="23"/>
      <c r="B65" s="23"/>
    </row>
    <row r="66">
      <c r="A66" s="23"/>
      <c r="B66" s="23"/>
    </row>
    <row r="67">
      <c r="A67" s="23"/>
      <c r="B67" s="23"/>
    </row>
    <row r="68">
      <c r="A68" s="23"/>
      <c r="B68" s="23"/>
    </row>
    <row r="69">
      <c r="A69" s="23"/>
      <c r="B69" s="23"/>
    </row>
    <row r="70">
      <c r="A70" s="23"/>
      <c r="B70" s="23"/>
    </row>
    <row r="71">
      <c r="A71" s="23"/>
      <c r="B71" s="23"/>
    </row>
    <row r="72">
      <c r="A72" s="23"/>
      <c r="B72" s="23"/>
    </row>
    <row r="73">
      <c r="A73" s="23"/>
      <c r="B73" s="23"/>
    </row>
    <row r="74">
      <c r="A74" s="23"/>
      <c r="B74" s="23"/>
    </row>
    <row r="75">
      <c r="A75" s="23"/>
      <c r="B75" s="23"/>
    </row>
    <row r="76">
      <c r="A76" s="23"/>
      <c r="B76" s="23"/>
    </row>
    <row r="77">
      <c r="A77" s="23"/>
      <c r="B77" s="23"/>
    </row>
    <row r="78">
      <c r="A78" s="23"/>
      <c r="B78" s="23"/>
    </row>
    <row r="79">
      <c r="A79" s="23"/>
      <c r="B79" s="23"/>
    </row>
    <row r="80">
      <c r="A80" s="23"/>
      <c r="B80" s="23"/>
    </row>
    <row r="81">
      <c r="A81" s="23"/>
      <c r="B81" s="23"/>
    </row>
    <row r="82">
      <c r="A82" s="23"/>
      <c r="B82" s="23"/>
    </row>
    <row r="83">
      <c r="A83" s="23"/>
      <c r="B83" s="23"/>
    </row>
    <row r="84">
      <c r="A84" s="23"/>
      <c r="B84" s="23"/>
    </row>
    <row r="85">
      <c r="A85" s="23"/>
      <c r="B85" s="23"/>
    </row>
    <row r="86">
      <c r="A86" s="23"/>
      <c r="B86" s="23"/>
    </row>
    <row r="87">
      <c r="A87" s="23"/>
      <c r="B87" s="23"/>
    </row>
    <row r="88">
      <c r="A88" s="23"/>
      <c r="B88" s="23"/>
    </row>
    <row r="89">
      <c r="A89" s="23"/>
      <c r="B89" s="23"/>
    </row>
    <row r="90">
      <c r="A90" s="23"/>
      <c r="B90" s="23"/>
    </row>
    <row r="91">
      <c r="A91" s="23"/>
      <c r="B91" s="23"/>
    </row>
    <row r="92">
      <c r="A92" s="23"/>
      <c r="B92" s="23"/>
    </row>
    <row r="93">
      <c r="A93" s="23"/>
      <c r="B93" s="23"/>
    </row>
    <row r="94">
      <c r="A94" s="23"/>
      <c r="B94" s="23"/>
    </row>
    <row r="95">
      <c r="A95" s="23"/>
      <c r="B95" s="23"/>
    </row>
    <row r="96">
      <c r="A96" s="23"/>
      <c r="B96" s="23"/>
    </row>
    <row r="97">
      <c r="A97" s="23"/>
      <c r="B97" s="23"/>
    </row>
    <row r="98">
      <c r="A98" s="23"/>
      <c r="B98" s="23"/>
    </row>
    <row r="99">
      <c r="A99" s="23"/>
      <c r="B99" s="23"/>
    </row>
    <row r="100">
      <c r="A100" s="23"/>
      <c r="B100" s="23"/>
    </row>
    <row r="101">
      <c r="A101" s="23"/>
      <c r="B101" s="23"/>
    </row>
    <row r="102">
      <c r="A102" s="23"/>
      <c r="B102" s="23"/>
    </row>
    <row r="103">
      <c r="A103" s="23"/>
      <c r="B103" s="23"/>
    </row>
    <row r="104">
      <c r="A104" s="23"/>
      <c r="B104" s="23"/>
    </row>
    <row r="105">
      <c r="A105" s="23"/>
      <c r="B105" s="23"/>
    </row>
    <row r="106">
      <c r="A106" s="23"/>
      <c r="B106" s="23"/>
    </row>
    <row r="107">
      <c r="A107" s="23"/>
      <c r="B107" s="23"/>
    </row>
    <row r="108">
      <c r="A108" s="23"/>
      <c r="B108" s="23"/>
    </row>
    <row r="109">
      <c r="A109" s="23"/>
      <c r="B109" s="23"/>
    </row>
    <row r="110">
      <c r="A110" s="23"/>
      <c r="B110" s="23"/>
    </row>
    <row r="111">
      <c r="A111" s="23"/>
      <c r="B111" s="23"/>
    </row>
    <row r="112">
      <c r="A112" s="23"/>
      <c r="B112" s="23"/>
    </row>
    <row r="113">
      <c r="A113" s="23"/>
      <c r="B113" s="23"/>
    </row>
    <row r="114">
      <c r="A114" s="23"/>
      <c r="B114" s="23"/>
    </row>
    <row r="115">
      <c r="A115" s="23"/>
      <c r="B115" s="23"/>
    </row>
    <row r="116">
      <c r="A116" s="23"/>
      <c r="B116" s="23"/>
    </row>
    <row r="117">
      <c r="A117" s="23"/>
      <c r="B117" s="23"/>
    </row>
    <row r="118">
      <c r="A118" s="23"/>
      <c r="B118" s="23"/>
    </row>
    <row r="119">
      <c r="A119" s="23"/>
      <c r="B119" s="23"/>
    </row>
    <row r="120">
      <c r="A120" s="23"/>
      <c r="B120" s="23"/>
    </row>
    <row r="121">
      <c r="A121" s="23"/>
      <c r="B121" s="23"/>
    </row>
    <row r="122">
      <c r="A122" s="23"/>
      <c r="B122" s="23"/>
    </row>
    <row r="123">
      <c r="A123" s="23"/>
      <c r="B123" s="23"/>
    </row>
    <row r="124">
      <c r="A124" s="23"/>
      <c r="B124" s="23"/>
    </row>
    <row r="125">
      <c r="A125" s="23"/>
      <c r="B125" s="23"/>
    </row>
    <row r="126">
      <c r="A126" s="23"/>
      <c r="B126" s="23"/>
    </row>
    <row r="127">
      <c r="A127" s="23"/>
      <c r="B127" s="23"/>
    </row>
    <row r="128">
      <c r="A128" s="23"/>
      <c r="B128" s="23"/>
    </row>
    <row r="129">
      <c r="A129" s="23"/>
      <c r="B129" s="23"/>
    </row>
    <row r="130">
      <c r="A130" s="23"/>
      <c r="B130" s="23"/>
    </row>
    <row r="131">
      <c r="A131" s="23"/>
      <c r="B131" s="23"/>
    </row>
    <row r="132">
      <c r="A132" s="23"/>
      <c r="B132" s="23"/>
    </row>
    <row r="133">
      <c r="A133" s="23"/>
      <c r="B133" s="23"/>
    </row>
    <row r="134">
      <c r="A134" s="23"/>
      <c r="B134" s="23"/>
    </row>
    <row r="135">
      <c r="A135" s="23"/>
      <c r="B135" s="23"/>
    </row>
    <row r="136">
      <c r="A136" s="23"/>
      <c r="B136" s="23"/>
    </row>
    <row r="137">
      <c r="A137" s="23"/>
      <c r="B137" s="23"/>
    </row>
    <row r="138">
      <c r="A138" s="23"/>
      <c r="B138" s="23"/>
    </row>
    <row r="139">
      <c r="A139" s="23"/>
      <c r="B139" s="23"/>
    </row>
    <row r="140">
      <c r="A140" s="23"/>
      <c r="B140" s="23"/>
    </row>
    <row r="141">
      <c r="A141" s="23"/>
      <c r="B141" s="23"/>
    </row>
    <row r="142">
      <c r="A142" s="23"/>
      <c r="B142" s="23"/>
    </row>
    <row r="143">
      <c r="A143" s="23"/>
      <c r="B143" s="23"/>
    </row>
    <row r="144">
      <c r="A144" s="23"/>
      <c r="B144" s="23"/>
    </row>
    <row r="145">
      <c r="A145" s="23"/>
      <c r="B145" s="23"/>
    </row>
    <row r="146">
      <c r="A146" s="23"/>
      <c r="B146" s="23"/>
    </row>
    <row r="147">
      <c r="A147" s="23"/>
      <c r="B147" s="23"/>
    </row>
    <row r="148">
      <c r="A148" s="23"/>
      <c r="B148" s="23"/>
    </row>
    <row r="149">
      <c r="A149" s="23"/>
      <c r="B149" s="23"/>
    </row>
    <row r="150">
      <c r="A150" s="23"/>
      <c r="B150" s="23"/>
    </row>
    <row r="151">
      <c r="A151" s="23"/>
      <c r="B151" s="23"/>
    </row>
    <row r="152">
      <c r="A152" s="23"/>
      <c r="B152" s="23"/>
    </row>
    <row r="153">
      <c r="A153" s="23"/>
      <c r="B153" s="23"/>
    </row>
    <row r="154">
      <c r="A154" s="23"/>
      <c r="B154" s="23"/>
    </row>
    <row r="155">
      <c r="A155" s="23"/>
      <c r="B155" s="23"/>
    </row>
    <row r="156">
      <c r="A156" s="23"/>
      <c r="B156" s="23"/>
    </row>
    <row r="157">
      <c r="A157" s="23"/>
      <c r="B157" s="23"/>
    </row>
    <row r="158">
      <c r="A158" s="23"/>
      <c r="B158" s="23"/>
    </row>
    <row r="159">
      <c r="A159" s="23"/>
      <c r="B159" s="23"/>
    </row>
    <row r="160">
      <c r="A160" s="23"/>
      <c r="B160" s="23"/>
    </row>
    <row r="161">
      <c r="A161" s="23"/>
      <c r="B161" s="23"/>
    </row>
    <row r="162">
      <c r="A162" s="23"/>
      <c r="B162" s="23"/>
    </row>
    <row r="163">
      <c r="A163" s="23"/>
      <c r="B163" s="23"/>
    </row>
    <row r="164">
      <c r="A164" s="23"/>
      <c r="B164" s="23"/>
    </row>
    <row r="165">
      <c r="A165" s="23"/>
      <c r="B165" s="23"/>
    </row>
    <row r="166">
      <c r="A166" s="23"/>
      <c r="B166" s="23"/>
    </row>
    <row r="167">
      <c r="A167" s="23"/>
      <c r="B167" s="23"/>
    </row>
    <row r="168">
      <c r="A168" s="23"/>
      <c r="B168" s="23"/>
    </row>
    <row r="169">
      <c r="A169" s="23"/>
      <c r="B169" s="23"/>
    </row>
    <row r="170">
      <c r="A170" s="23"/>
      <c r="B170" s="23"/>
    </row>
    <row r="171">
      <c r="A171" s="23"/>
      <c r="B171" s="23"/>
    </row>
    <row r="172">
      <c r="A172" s="23"/>
      <c r="B172" s="23"/>
    </row>
    <row r="173">
      <c r="A173" s="23"/>
      <c r="B173" s="23"/>
    </row>
    <row r="174">
      <c r="A174" s="23"/>
      <c r="B174" s="23"/>
    </row>
    <row r="175">
      <c r="A175" s="23"/>
      <c r="B175" s="23"/>
    </row>
    <row r="176">
      <c r="A176" s="23"/>
      <c r="B176" s="23"/>
    </row>
    <row r="177">
      <c r="A177" s="23"/>
      <c r="B177" s="23"/>
    </row>
    <row r="178">
      <c r="A178" s="23"/>
      <c r="B178" s="23"/>
    </row>
    <row r="179">
      <c r="A179" s="23"/>
      <c r="B179" s="23"/>
    </row>
    <row r="180">
      <c r="A180" s="23"/>
      <c r="B180" s="23"/>
    </row>
    <row r="181">
      <c r="A181" s="23"/>
      <c r="B181" s="23"/>
    </row>
    <row r="182">
      <c r="A182" s="23"/>
      <c r="B182" s="23"/>
    </row>
    <row r="183">
      <c r="A183" s="23"/>
      <c r="B183" s="23"/>
    </row>
    <row r="184">
      <c r="A184" s="23"/>
      <c r="B184" s="23"/>
    </row>
    <row r="185">
      <c r="A185" s="23"/>
      <c r="B185" s="23"/>
    </row>
    <row r="186">
      <c r="A186" s="23"/>
      <c r="B186" s="23"/>
    </row>
    <row r="187">
      <c r="A187" s="23"/>
      <c r="B187" s="23"/>
    </row>
    <row r="188">
      <c r="A188" s="23"/>
      <c r="B188" s="23"/>
    </row>
    <row r="189">
      <c r="A189" s="23"/>
      <c r="B189" s="23"/>
    </row>
    <row r="190">
      <c r="A190" s="23"/>
      <c r="B190" s="23"/>
    </row>
    <row r="191">
      <c r="A191" s="23"/>
      <c r="B191" s="23"/>
    </row>
    <row r="192">
      <c r="A192" s="23"/>
      <c r="B192" s="23"/>
    </row>
    <row r="193">
      <c r="A193" s="23"/>
      <c r="B193" s="23"/>
    </row>
    <row r="194">
      <c r="A194" s="23"/>
      <c r="B194" s="23"/>
    </row>
    <row r="195">
      <c r="A195" s="23"/>
      <c r="B195" s="23"/>
    </row>
    <row r="196">
      <c r="A196" s="23"/>
      <c r="B196" s="23"/>
    </row>
    <row r="197">
      <c r="A197" s="23"/>
      <c r="B197" s="23"/>
    </row>
    <row r="198">
      <c r="A198" s="23"/>
      <c r="B198" s="23"/>
    </row>
    <row r="199">
      <c r="A199" s="23"/>
      <c r="B199" s="23"/>
    </row>
    <row r="200">
      <c r="A200" s="23"/>
      <c r="B200" s="23"/>
    </row>
    <row r="201">
      <c r="A201" s="23"/>
      <c r="B201" s="23"/>
    </row>
    <row r="202">
      <c r="A202" s="23"/>
      <c r="B202" s="23"/>
    </row>
    <row r="203">
      <c r="A203" s="23"/>
      <c r="B203" s="23"/>
    </row>
    <row r="204">
      <c r="A204" s="23"/>
      <c r="B204" s="23"/>
    </row>
    <row r="205">
      <c r="A205" s="23"/>
      <c r="B205" s="23"/>
    </row>
    <row r="206">
      <c r="A206" s="23"/>
      <c r="B206" s="23"/>
    </row>
    <row r="207">
      <c r="A207" s="23"/>
      <c r="B207" s="23"/>
    </row>
    <row r="208">
      <c r="A208" s="23"/>
      <c r="B208" s="23"/>
    </row>
    <row r="209">
      <c r="A209" s="23"/>
      <c r="B209" s="23"/>
    </row>
    <row r="210">
      <c r="A210" s="23"/>
      <c r="B210" s="23"/>
    </row>
    <row r="211">
      <c r="A211" s="23"/>
      <c r="B211" s="23"/>
    </row>
    <row r="212">
      <c r="A212" s="23"/>
      <c r="B212" s="23"/>
    </row>
    <row r="213">
      <c r="A213" s="23"/>
      <c r="B213" s="23"/>
    </row>
    <row r="214">
      <c r="A214" s="23"/>
      <c r="B214" s="23"/>
    </row>
    <row r="215">
      <c r="A215" s="23"/>
      <c r="B215" s="23"/>
    </row>
    <row r="216">
      <c r="A216" s="23"/>
      <c r="B216" s="23"/>
    </row>
    <row r="217">
      <c r="A217" s="23"/>
      <c r="B217" s="23"/>
    </row>
    <row r="218">
      <c r="A218" s="23"/>
      <c r="B218" s="23"/>
    </row>
    <row r="219">
      <c r="A219" s="23"/>
      <c r="B219" s="23"/>
    </row>
    <row r="220">
      <c r="A220" s="23"/>
      <c r="B220" s="23"/>
    </row>
    <row r="221">
      <c r="A221" s="23"/>
      <c r="B221" s="23"/>
    </row>
    <row r="222">
      <c r="A222" s="23"/>
      <c r="B222" s="23"/>
    </row>
    <row r="223">
      <c r="A223" s="23"/>
      <c r="B223" s="23"/>
    </row>
    <row r="224">
      <c r="A224" s="23"/>
      <c r="B224" s="23"/>
    </row>
    <row r="225">
      <c r="A225" s="23"/>
      <c r="B225" s="23"/>
    </row>
    <row r="226">
      <c r="A226" s="23"/>
      <c r="B226" s="23"/>
    </row>
    <row r="227">
      <c r="A227" s="23"/>
      <c r="B227" s="23"/>
    </row>
    <row r="228">
      <c r="A228" s="23"/>
      <c r="B228" s="23"/>
    </row>
    <row r="229">
      <c r="A229" s="23"/>
      <c r="B229" s="23"/>
    </row>
    <row r="230">
      <c r="A230" s="23"/>
      <c r="B230" s="23"/>
    </row>
    <row r="231">
      <c r="A231" s="23"/>
      <c r="B231" s="23"/>
    </row>
    <row r="232">
      <c r="A232" s="23"/>
      <c r="B232" s="23"/>
    </row>
    <row r="233">
      <c r="A233" s="23"/>
      <c r="B233" s="23"/>
    </row>
    <row r="234">
      <c r="A234" s="23"/>
      <c r="B234" s="23"/>
    </row>
    <row r="235">
      <c r="A235" s="23"/>
      <c r="B235" s="23"/>
    </row>
    <row r="236">
      <c r="A236" s="23"/>
      <c r="B236" s="23"/>
    </row>
    <row r="237">
      <c r="A237" s="23"/>
      <c r="B237" s="23"/>
    </row>
    <row r="238">
      <c r="A238" s="23"/>
      <c r="B238" s="23"/>
    </row>
    <row r="239">
      <c r="A239" s="23"/>
      <c r="B239" s="23"/>
    </row>
    <row r="240">
      <c r="A240" s="23"/>
      <c r="B240" s="23"/>
    </row>
    <row r="241">
      <c r="A241" s="23"/>
      <c r="B241" s="23"/>
    </row>
    <row r="242">
      <c r="A242" s="23"/>
      <c r="B242" s="23"/>
    </row>
    <row r="243">
      <c r="A243" s="23"/>
      <c r="B243" s="23"/>
    </row>
    <row r="244">
      <c r="A244" s="23"/>
      <c r="B244" s="23"/>
    </row>
    <row r="245">
      <c r="A245" s="23"/>
      <c r="B245" s="23"/>
    </row>
    <row r="246">
      <c r="A246" s="23"/>
      <c r="B246" s="23"/>
    </row>
    <row r="247">
      <c r="A247" s="23"/>
      <c r="B247" s="23"/>
    </row>
    <row r="248">
      <c r="A248" s="23"/>
      <c r="B248" s="23"/>
    </row>
    <row r="249">
      <c r="A249" s="23"/>
      <c r="B249" s="23"/>
    </row>
    <row r="250">
      <c r="A250" s="23"/>
      <c r="B250" s="23"/>
    </row>
    <row r="251">
      <c r="A251" s="23"/>
      <c r="B251" s="23"/>
    </row>
    <row r="252">
      <c r="A252" s="23"/>
      <c r="B252" s="23"/>
    </row>
    <row r="253">
      <c r="A253" s="23"/>
      <c r="B253" s="23"/>
    </row>
    <row r="254">
      <c r="A254" s="23"/>
      <c r="B254" s="23"/>
    </row>
    <row r="255">
      <c r="A255" s="23"/>
      <c r="B255" s="23"/>
    </row>
    <row r="256">
      <c r="A256" s="23"/>
      <c r="B256" s="23"/>
    </row>
    <row r="257">
      <c r="A257" s="23"/>
      <c r="B257" s="23"/>
    </row>
    <row r="258">
      <c r="A258" s="23"/>
      <c r="B258" s="23"/>
    </row>
    <row r="259">
      <c r="A259" s="23"/>
      <c r="B259" s="23"/>
    </row>
    <row r="260">
      <c r="A260" s="23"/>
      <c r="B260" s="23"/>
    </row>
    <row r="261">
      <c r="A261" s="23"/>
      <c r="B261" s="23"/>
    </row>
    <row r="262">
      <c r="A262" s="23"/>
      <c r="B262" s="23"/>
    </row>
    <row r="263">
      <c r="A263" s="23"/>
      <c r="B263" s="23"/>
    </row>
    <row r="264">
      <c r="A264" s="23"/>
      <c r="B264" s="23"/>
    </row>
    <row r="265">
      <c r="A265" s="23"/>
      <c r="B265" s="23"/>
    </row>
    <row r="266">
      <c r="A266" s="23"/>
      <c r="B266" s="23"/>
    </row>
    <row r="267">
      <c r="A267" s="23"/>
      <c r="B267" s="23"/>
    </row>
    <row r="268">
      <c r="A268" s="23"/>
      <c r="B268" s="23"/>
    </row>
    <row r="269">
      <c r="A269" s="23"/>
      <c r="B269" s="23"/>
    </row>
    <row r="270">
      <c r="A270" s="23"/>
      <c r="B270" s="23"/>
    </row>
    <row r="271">
      <c r="A271" s="23"/>
      <c r="B271" s="23"/>
    </row>
    <row r="272">
      <c r="A272" s="23"/>
      <c r="B272" s="23"/>
    </row>
    <row r="273">
      <c r="A273" s="23"/>
      <c r="B273" s="23"/>
    </row>
    <row r="274">
      <c r="A274" s="23"/>
      <c r="B274" s="23"/>
    </row>
    <row r="275">
      <c r="A275" s="23"/>
      <c r="B275" s="23"/>
    </row>
    <row r="276">
      <c r="A276" s="23"/>
      <c r="B276" s="23"/>
    </row>
    <row r="277">
      <c r="A277" s="23"/>
      <c r="B277" s="23"/>
    </row>
    <row r="278">
      <c r="A278" s="23"/>
      <c r="B278" s="23"/>
    </row>
    <row r="279">
      <c r="A279" s="23"/>
      <c r="B279" s="23"/>
    </row>
    <row r="280">
      <c r="A280" s="23"/>
      <c r="B280" s="23"/>
    </row>
    <row r="281">
      <c r="A281" s="23"/>
      <c r="B281" s="23"/>
    </row>
    <row r="282">
      <c r="A282" s="23"/>
      <c r="B282" s="23"/>
    </row>
    <row r="283">
      <c r="A283" s="23"/>
      <c r="B283" s="23"/>
    </row>
    <row r="284">
      <c r="A284" s="23"/>
      <c r="B284" s="23"/>
    </row>
    <row r="285">
      <c r="A285" s="23"/>
      <c r="B285" s="23"/>
    </row>
    <row r="286">
      <c r="A286" s="23"/>
      <c r="B286" s="23"/>
    </row>
    <row r="287">
      <c r="A287" s="23"/>
      <c r="B287" s="23"/>
    </row>
    <row r="288">
      <c r="A288" s="23"/>
      <c r="B288" s="23"/>
    </row>
    <row r="289">
      <c r="A289" s="23"/>
      <c r="B289" s="23"/>
    </row>
    <row r="290">
      <c r="A290" s="23"/>
      <c r="B290" s="23"/>
    </row>
    <row r="291">
      <c r="A291" s="23"/>
      <c r="B291" s="23"/>
    </row>
    <row r="292">
      <c r="A292" s="23"/>
      <c r="B292" s="23"/>
    </row>
    <row r="293">
      <c r="A293" s="23"/>
      <c r="B293" s="23"/>
    </row>
    <row r="294">
      <c r="A294" s="23"/>
      <c r="B294" s="23"/>
    </row>
    <row r="295">
      <c r="A295" s="23"/>
      <c r="B295" s="23"/>
    </row>
    <row r="296">
      <c r="A296" s="23"/>
      <c r="B296" s="23"/>
    </row>
    <row r="297">
      <c r="A297" s="23"/>
      <c r="B297" s="23"/>
    </row>
    <row r="298">
      <c r="A298" s="23"/>
      <c r="B298" s="23"/>
    </row>
    <row r="299">
      <c r="A299" s="23"/>
      <c r="B299" s="23"/>
    </row>
    <row r="300">
      <c r="A300" s="23"/>
      <c r="B300" s="23"/>
    </row>
    <row r="301">
      <c r="A301" s="23"/>
      <c r="B301" s="23"/>
    </row>
    <row r="302">
      <c r="A302" s="23"/>
      <c r="B302" s="23"/>
    </row>
    <row r="303">
      <c r="A303" s="23"/>
      <c r="B303" s="23"/>
    </row>
    <row r="304">
      <c r="A304" s="23"/>
      <c r="B304" s="23"/>
    </row>
    <row r="305">
      <c r="A305" s="23"/>
      <c r="B305" s="23"/>
    </row>
    <row r="306">
      <c r="A306" s="23"/>
      <c r="B306" s="23"/>
    </row>
    <row r="307">
      <c r="A307" s="23"/>
      <c r="B307" s="23"/>
    </row>
    <row r="308">
      <c r="A308" s="23"/>
      <c r="B308" s="23"/>
    </row>
    <row r="309">
      <c r="A309" s="23"/>
      <c r="B309" s="23"/>
    </row>
    <row r="310">
      <c r="A310" s="23"/>
      <c r="B310" s="23"/>
    </row>
    <row r="311">
      <c r="A311" s="23"/>
      <c r="B311" s="23"/>
    </row>
    <row r="312">
      <c r="A312" s="23"/>
      <c r="B312" s="23"/>
    </row>
    <row r="313">
      <c r="A313" s="23"/>
      <c r="B313" s="23"/>
    </row>
    <row r="314">
      <c r="A314" s="23"/>
      <c r="B314" s="23"/>
    </row>
    <row r="315">
      <c r="A315" s="23"/>
      <c r="B315" s="23"/>
    </row>
    <row r="316">
      <c r="A316" s="23"/>
      <c r="B316" s="23"/>
    </row>
    <row r="317">
      <c r="A317" s="23"/>
      <c r="B317" s="23"/>
    </row>
    <row r="318">
      <c r="A318" s="23"/>
      <c r="B318" s="23"/>
    </row>
    <row r="319">
      <c r="A319" s="23"/>
      <c r="B319" s="23"/>
    </row>
    <row r="320">
      <c r="A320" s="23"/>
      <c r="B320" s="23"/>
    </row>
    <row r="321">
      <c r="A321" s="23"/>
      <c r="B321" s="23"/>
    </row>
    <row r="322">
      <c r="A322" s="23"/>
      <c r="B322" s="23"/>
    </row>
    <row r="323">
      <c r="A323" s="23"/>
      <c r="B323" s="23"/>
    </row>
    <row r="324">
      <c r="A324" s="23"/>
      <c r="B324" s="23"/>
    </row>
    <row r="325">
      <c r="A325" s="23"/>
      <c r="B325" s="23"/>
    </row>
    <row r="326">
      <c r="A326" s="23"/>
      <c r="B326" s="23"/>
    </row>
    <row r="327">
      <c r="A327" s="23"/>
      <c r="B327" s="23"/>
    </row>
    <row r="328">
      <c r="A328" s="23"/>
      <c r="B328" s="23"/>
    </row>
    <row r="329">
      <c r="A329" s="23"/>
      <c r="B329" s="23"/>
    </row>
    <row r="330">
      <c r="A330" s="23"/>
      <c r="B330" s="23"/>
    </row>
    <row r="331">
      <c r="A331" s="23"/>
      <c r="B331" s="23"/>
    </row>
    <row r="332">
      <c r="A332" s="23"/>
      <c r="B332" s="23"/>
    </row>
    <row r="333">
      <c r="A333" s="23"/>
      <c r="B333" s="23"/>
    </row>
    <row r="334">
      <c r="A334" s="23"/>
      <c r="B334" s="23"/>
    </row>
    <row r="335">
      <c r="A335" s="23"/>
      <c r="B335" s="23"/>
    </row>
    <row r="336">
      <c r="A336" s="23"/>
      <c r="B336" s="23"/>
    </row>
    <row r="337">
      <c r="A337" s="23"/>
      <c r="B337" s="23"/>
    </row>
    <row r="338">
      <c r="A338" s="23"/>
      <c r="B338" s="23"/>
    </row>
    <row r="339">
      <c r="A339" s="23"/>
      <c r="B339" s="23"/>
    </row>
    <row r="340">
      <c r="A340" s="23"/>
      <c r="B340" s="23"/>
    </row>
    <row r="341">
      <c r="A341" s="23"/>
      <c r="B341" s="23"/>
    </row>
    <row r="342">
      <c r="A342" s="23"/>
      <c r="B342" s="23"/>
    </row>
    <row r="343">
      <c r="A343" s="23"/>
      <c r="B343" s="23"/>
    </row>
    <row r="344">
      <c r="A344" s="23"/>
      <c r="B344" s="23"/>
    </row>
    <row r="345">
      <c r="A345" s="23"/>
      <c r="B345" s="23"/>
    </row>
    <row r="346">
      <c r="A346" s="23"/>
      <c r="B346" s="23"/>
    </row>
    <row r="347">
      <c r="A347" s="23"/>
      <c r="B347" s="23"/>
    </row>
    <row r="348">
      <c r="A348" s="23"/>
      <c r="B348" s="23"/>
    </row>
    <row r="349">
      <c r="A349" s="23"/>
      <c r="B349" s="23"/>
    </row>
    <row r="350">
      <c r="A350" s="23"/>
      <c r="B350" s="23"/>
    </row>
    <row r="351">
      <c r="A351" s="23"/>
      <c r="B351" s="23"/>
    </row>
    <row r="352">
      <c r="A352" s="23"/>
      <c r="B352" s="23"/>
    </row>
    <row r="353">
      <c r="A353" s="23"/>
      <c r="B353" s="23"/>
    </row>
    <row r="354">
      <c r="A354" s="23"/>
      <c r="B354" s="23"/>
    </row>
    <row r="355">
      <c r="A355" s="23"/>
      <c r="B355" s="23"/>
    </row>
    <row r="356">
      <c r="A356" s="23"/>
      <c r="B356" s="23"/>
    </row>
    <row r="357">
      <c r="A357" s="23"/>
      <c r="B357" s="23"/>
    </row>
    <row r="358">
      <c r="A358" s="23"/>
      <c r="B358" s="23"/>
    </row>
    <row r="359">
      <c r="A359" s="23"/>
      <c r="B359" s="23"/>
    </row>
    <row r="360">
      <c r="A360" s="23"/>
      <c r="B360" s="23"/>
    </row>
    <row r="361">
      <c r="A361" s="23"/>
      <c r="B361" s="23"/>
    </row>
    <row r="362">
      <c r="A362" s="23"/>
      <c r="B362" s="23"/>
    </row>
    <row r="363">
      <c r="A363" s="23"/>
      <c r="B363" s="23"/>
    </row>
    <row r="364">
      <c r="A364" s="23"/>
      <c r="B364" s="23"/>
    </row>
    <row r="365">
      <c r="A365" s="23"/>
      <c r="B365" s="23"/>
    </row>
    <row r="366">
      <c r="A366" s="23"/>
      <c r="B366" s="23"/>
    </row>
    <row r="367">
      <c r="A367" s="23"/>
      <c r="B367" s="23"/>
    </row>
    <row r="368">
      <c r="A368" s="23"/>
      <c r="B368" s="23"/>
    </row>
    <row r="369">
      <c r="A369" s="23"/>
      <c r="B369" s="23"/>
    </row>
    <row r="370">
      <c r="A370" s="23"/>
      <c r="B370" s="23"/>
    </row>
    <row r="371">
      <c r="A371" s="23"/>
      <c r="B371" s="23"/>
    </row>
    <row r="372">
      <c r="A372" s="23"/>
      <c r="B372" s="23"/>
    </row>
    <row r="373">
      <c r="A373" s="23"/>
      <c r="B373" s="23"/>
    </row>
    <row r="374">
      <c r="A374" s="23"/>
      <c r="B374" s="23"/>
    </row>
    <row r="375">
      <c r="A375" s="23"/>
      <c r="B375" s="23"/>
    </row>
    <row r="376">
      <c r="A376" s="23"/>
      <c r="B376" s="23"/>
    </row>
    <row r="377">
      <c r="A377" s="23"/>
      <c r="B377" s="23"/>
    </row>
    <row r="378">
      <c r="A378" s="23"/>
      <c r="B378" s="23"/>
    </row>
    <row r="379">
      <c r="A379" s="23"/>
      <c r="B379" s="23"/>
    </row>
    <row r="380">
      <c r="A380" s="23"/>
      <c r="B380" s="23"/>
    </row>
    <row r="381">
      <c r="A381" s="23"/>
      <c r="B381" s="23"/>
    </row>
    <row r="382">
      <c r="A382" s="23"/>
      <c r="B382" s="23"/>
    </row>
    <row r="383">
      <c r="A383" s="23"/>
      <c r="B383" s="23"/>
    </row>
    <row r="384">
      <c r="A384" s="23"/>
      <c r="B384" s="23"/>
    </row>
    <row r="385">
      <c r="A385" s="23"/>
      <c r="B385" s="23"/>
    </row>
    <row r="386">
      <c r="A386" s="23"/>
      <c r="B386" s="23"/>
    </row>
    <row r="387">
      <c r="A387" s="23"/>
      <c r="B387" s="23"/>
    </row>
    <row r="388">
      <c r="A388" s="23"/>
      <c r="B388" s="23"/>
    </row>
    <row r="389">
      <c r="A389" s="23"/>
      <c r="B389" s="23"/>
    </row>
    <row r="390">
      <c r="A390" s="23"/>
      <c r="B390" s="23"/>
    </row>
    <row r="391">
      <c r="A391" s="23"/>
      <c r="B391" s="23"/>
    </row>
    <row r="392">
      <c r="A392" s="23"/>
      <c r="B392" s="23"/>
    </row>
    <row r="393">
      <c r="A393" s="23"/>
      <c r="B393" s="23"/>
    </row>
    <row r="394">
      <c r="A394" s="23"/>
      <c r="B394" s="23"/>
    </row>
    <row r="395">
      <c r="A395" s="23"/>
      <c r="B395" s="23"/>
    </row>
    <row r="396">
      <c r="A396" s="23"/>
      <c r="B396" s="23"/>
    </row>
    <row r="397">
      <c r="A397" s="23"/>
      <c r="B397" s="23"/>
    </row>
    <row r="398">
      <c r="A398" s="23"/>
      <c r="B398" s="23"/>
    </row>
    <row r="399">
      <c r="A399" s="23"/>
      <c r="B399" s="23"/>
    </row>
    <row r="400">
      <c r="A400" s="23"/>
      <c r="B400" s="23"/>
    </row>
    <row r="401">
      <c r="A401" s="23"/>
      <c r="B401" s="23"/>
    </row>
    <row r="402">
      <c r="A402" s="23"/>
      <c r="B402" s="23"/>
    </row>
    <row r="403">
      <c r="A403" s="23"/>
      <c r="B403" s="23"/>
    </row>
    <row r="404">
      <c r="A404" s="23"/>
      <c r="B404" s="23"/>
    </row>
    <row r="405">
      <c r="A405" s="23"/>
      <c r="B405" s="23"/>
    </row>
    <row r="406">
      <c r="A406" s="23"/>
      <c r="B406" s="23"/>
    </row>
    <row r="407">
      <c r="A407" s="23"/>
      <c r="B407" s="23"/>
    </row>
    <row r="408">
      <c r="A408" s="23"/>
      <c r="B408" s="23"/>
    </row>
    <row r="409">
      <c r="A409" s="23"/>
      <c r="B409" s="23"/>
    </row>
    <row r="410">
      <c r="A410" s="23"/>
      <c r="B410" s="23"/>
    </row>
    <row r="411">
      <c r="A411" s="23"/>
      <c r="B411" s="23"/>
    </row>
    <row r="412">
      <c r="A412" s="23"/>
      <c r="B412" s="23"/>
    </row>
    <row r="413">
      <c r="A413" s="23"/>
      <c r="B413" s="23"/>
    </row>
    <row r="414">
      <c r="A414" s="23"/>
      <c r="B414" s="23"/>
    </row>
    <row r="415">
      <c r="A415" s="23"/>
      <c r="B415" s="23"/>
    </row>
    <row r="416">
      <c r="A416" s="23"/>
      <c r="B416" s="23"/>
    </row>
    <row r="417">
      <c r="A417" s="23"/>
      <c r="B417" s="23"/>
    </row>
    <row r="418">
      <c r="A418" s="23"/>
      <c r="B418" s="23"/>
    </row>
    <row r="419">
      <c r="A419" s="23"/>
      <c r="B419" s="23"/>
    </row>
    <row r="420">
      <c r="A420" s="23"/>
      <c r="B420" s="23"/>
    </row>
    <row r="421">
      <c r="A421" s="23"/>
      <c r="B421" s="23"/>
    </row>
    <row r="422">
      <c r="A422" s="23"/>
      <c r="B422" s="23"/>
    </row>
    <row r="423">
      <c r="A423" s="23"/>
      <c r="B423" s="23"/>
    </row>
    <row r="424">
      <c r="A424" s="23"/>
      <c r="B424" s="23"/>
    </row>
    <row r="425">
      <c r="A425" s="23"/>
      <c r="B425" s="23"/>
    </row>
    <row r="426">
      <c r="A426" s="23"/>
      <c r="B426" s="23"/>
    </row>
    <row r="427">
      <c r="A427" s="23"/>
      <c r="B427" s="23"/>
    </row>
    <row r="428">
      <c r="A428" s="23"/>
      <c r="B428" s="23"/>
    </row>
    <row r="429">
      <c r="A429" s="23"/>
      <c r="B429" s="23"/>
    </row>
    <row r="430">
      <c r="A430" s="23"/>
      <c r="B430" s="23"/>
    </row>
    <row r="431">
      <c r="A431" s="23"/>
      <c r="B431" s="23"/>
    </row>
    <row r="432">
      <c r="A432" s="23"/>
      <c r="B432" s="23"/>
    </row>
    <row r="433">
      <c r="A433" s="23"/>
      <c r="B433" s="23"/>
    </row>
    <row r="434">
      <c r="A434" s="23"/>
      <c r="B434" s="23"/>
    </row>
    <row r="435">
      <c r="A435" s="23"/>
      <c r="B435" s="23"/>
    </row>
    <row r="436">
      <c r="A436" s="23"/>
      <c r="B436" s="23"/>
    </row>
    <row r="437">
      <c r="A437" s="23"/>
      <c r="B437" s="23"/>
    </row>
    <row r="438">
      <c r="A438" s="23"/>
      <c r="B438" s="23"/>
    </row>
    <row r="439">
      <c r="A439" s="23"/>
      <c r="B439" s="23"/>
    </row>
    <row r="440">
      <c r="A440" s="23"/>
      <c r="B440" s="23"/>
    </row>
    <row r="441">
      <c r="A441" s="23"/>
      <c r="B441" s="23"/>
    </row>
    <row r="442">
      <c r="A442" s="23"/>
      <c r="B442" s="23"/>
    </row>
    <row r="443">
      <c r="A443" s="23"/>
      <c r="B443" s="23"/>
    </row>
    <row r="444">
      <c r="A444" s="23"/>
      <c r="B444" s="23"/>
    </row>
    <row r="445">
      <c r="A445" s="23"/>
      <c r="B445" s="23"/>
    </row>
    <row r="446">
      <c r="A446" s="23"/>
      <c r="B446" s="23"/>
    </row>
    <row r="447">
      <c r="A447" s="23"/>
      <c r="B447" s="23"/>
    </row>
    <row r="448">
      <c r="A448" s="23"/>
      <c r="B448" s="23"/>
    </row>
    <row r="449">
      <c r="A449" s="23"/>
      <c r="B449" s="23"/>
    </row>
    <row r="450">
      <c r="A450" s="23"/>
      <c r="B450" s="23"/>
    </row>
    <row r="451">
      <c r="A451" s="23"/>
      <c r="B451" s="23"/>
    </row>
    <row r="452">
      <c r="A452" s="23"/>
      <c r="B452" s="23"/>
    </row>
    <row r="453">
      <c r="A453" s="23"/>
      <c r="B453" s="23"/>
    </row>
    <row r="454">
      <c r="A454" s="23"/>
      <c r="B454" s="23"/>
    </row>
    <row r="455">
      <c r="A455" s="23"/>
      <c r="B455" s="23"/>
    </row>
    <row r="456">
      <c r="A456" s="23"/>
      <c r="B456" s="23"/>
    </row>
    <row r="457">
      <c r="A457" s="23"/>
      <c r="B457" s="23"/>
    </row>
    <row r="458">
      <c r="A458" s="23"/>
      <c r="B458" s="23"/>
    </row>
    <row r="459">
      <c r="A459" s="23"/>
      <c r="B459" s="23"/>
    </row>
    <row r="460">
      <c r="A460" s="23"/>
      <c r="B460" s="23"/>
    </row>
    <row r="461">
      <c r="A461" s="23"/>
      <c r="B461" s="23"/>
    </row>
    <row r="462">
      <c r="A462" s="23"/>
      <c r="B462" s="23"/>
    </row>
    <row r="463">
      <c r="A463" s="23"/>
      <c r="B463" s="23"/>
    </row>
    <row r="464">
      <c r="A464" s="23"/>
      <c r="B464" s="23"/>
    </row>
    <row r="465">
      <c r="A465" s="23"/>
      <c r="B465" s="23"/>
    </row>
    <row r="466">
      <c r="A466" s="23"/>
      <c r="B466" s="23"/>
    </row>
    <row r="467">
      <c r="A467" s="23"/>
      <c r="B467" s="23"/>
    </row>
    <row r="468">
      <c r="A468" s="23"/>
      <c r="B468" s="23"/>
    </row>
    <row r="469">
      <c r="A469" s="23"/>
      <c r="B469" s="23"/>
    </row>
    <row r="470">
      <c r="A470" s="23"/>
      <c r="B470" s="23"/>
    </row>
    <row r="471">
      <c r="A471" s="23"/>
      <c r="B471" s="23"/>
    </row>
    <row r="472">
      <c r="A472" s="23"/>
      <c r="B472" s="23"/>
    </row>
    <row r="473">
      <c r="A473" s="23"/>
      <c r="B473" s="23"/>
    </row>
    <row r="474">
      <c r="A474" s="23"/>
      <c r="B474" s="23"/>
    </row>
    <row r="475">
      <c r="A475" s="23"/>
      <c r="B475" s="23"/>
    </row>
    <row r="476">
      <c r="A476" s="23"/>
      <c r="B476" s="23"/>
    </row>
    <row r="477">
      <c r="A477" s="23"/>
      <c r="B477" s="23"/>
    </row>
    <row r="478">
      <c r="A478" s="23"/>
      <c r="B478" s="23"/>
    </row>
    <row r="479">
      <c r="A479" s="23"/>
      <c r="B479" s="23"/>
    </row>
    <row r="480">
      <c r="A480" s="23"/>
      <c r="B480" s="23"/>
    </row>
    <row r="481">
      <c r="A481" s="23"/>
      <c r="B481" s="23"/>
    </row>
    <row r="482">
      <c r="A482" s="23"/>
      <c r="B482" s="23"/>
    </row>
    <row r="483">
      <c r="A483" s="23"/>
      <c r="B483" s="23"/>
    </row>
    <row r="484">
      <c r="A484" s="23"/>
      <c r="B484" s="23"/>
    </row>
    <row r="485">
      <c r="A485" s="23"/>
      <c r="B485" s="23"/>
    </row>
    <row r="486">
      <c r="A486" s="23"/>
      <c r="B486" s="23"/>
    </row>
    <row r="487">
      <c r="A487" s="23"/>
      <c r="B487" s="23"/>
    </row>
    <row r="488">
      <c r="A488" s="23"/>
      <c r="B488" s="23"/>
    </row>
    <row r="489">
      <c r="A489" s="23"/>
      <c r="B489" s="23"/>
    </row>
    <row r="490">
      <c r="A490" s="23"/>
      <c r="B490" s="23"/>
    </row>
    <row r="491">
      <c r="A491" s="23"/>
      <c r="B491" s="23"/>
    </row>
    <row r="492">
      <c r="A492" s="23"/>
      <c r="B492" s="23"/>
    </row>
    <row r="493">
      <c r="A493" s="23"/>
      <c r="B493" s="23"/>
    </row>
    <row r="494">
      <c r="A494" s="23"/>
      <c r="B494" s="23"/>
    </row>
    <row r="495">
      <c r="A495" s="23"/>
      <c r="B495" s="23"/>
    </row>
    <row r="496">
      <c r="A496" s="23"/>
      <c r="B496" s="23"/>
    </row>
    <row r="497">
      <c r="A497" s="23"/>
      <c r="B497" s="23"/>
    </row>
    <row r="498">
      <c r="A498" s="23"/>
      <c r="B498" s="23"/>
    </row>
    <row r="499">
      <c r="A499" s="23"/>
      <c r="B499" s="23"/>
    </row>
    <row r="500">
      <c r="A500" s="23"/>
      <c r="B500" s="23"/>
    </row>
    <row r="501">
      <c r="A501" s="23"/>
      <c r="B501" s="23"/>
    </row>
    <row r="502">
      <c r="A502" s="23"/>
      <c r="B502" s="23"/>
    </row>
    <row r="503">
      <c r="A503" s="23"/>
      <c r="B503" s="23"/>
    </row>
    <row r="504">
      <c r="A504" s="23"/>
      <c r="B504" s="23"/>
    </row>
    <row r="505">
      <c r="A505" s="23"/>
      <c r="B505" s="23"/>
    </row>
    <row r="506">
      <c r="A506" s="23"/>
      <c r="B506" s="23"/>
    </row>
    <row r="507">
      <c r="A507" s="23"/>
      <c r="B507" s="23"/>
    </row>
    <row r="508">
      <c r="A508" s="23"/>
      <c r="B508" s="23"/>
    </row>
    <row r="509">
      <c r="A509" s="23"/>
      <c r="B509" s="23"/>
    </row>
    <row r="510">
      <c r="A510" s="23"/>
      <c r="B510" s="23"/>
    </row>
    <row r="511">
      <c r="A511" s="23"/>
      <c r="B511" s="23"/>
    </row>
    <row r="512">
      <c r="A512" s="23"/>
      <c r="B512" s="23"/>
    </row>
    <row r="513">
      <c r="A513" s="23"/>
      <c r="B513" s="23"/>
    </row>
    <row r="514">
      <c r="A514" s="23"/>
      <c r="B514" s="23"/>
    </row>
    <row r="515">
      <c r="A515" s="23"/>
      <c r="B515" s="23"/>
    </row>
    <row r="516">
      <c r="A516" s="23"/>
      <c r="B516" s="23"/>
    </row>
    <row r="517">
      <c r="A517" s="23"/>
      <c r="B517" s="23"/>
    </row>
    <row r="518">
      <c r="A518" s="23"/>
      <c r="B518" s="23"/>
    </row>
    <row r="519">
      <c r="A519" s="23"/>
      <c r="B519" s="23"/>
    </row>
    <row r="520">
      <c r="A520" s="23"/>
      <c r="B520" s="23"/>
    </row>
    <row r="521">
      <c r="A521" s="23"/>
      <c r="B521" s="23"/>
    </row>
    <row r="522">
      <c r="A522" s="23"/>
      <c r="B522" s="23"/>
    </row>
    <row r="523">
      <c r="A523" s="23"/>
      <c r="B523" s="23"/>
    </row>
    <row r="524">
      <c r="A524" s="23"/>
      <c r="B524" s="23"/>
    </row>
    <row r="525">
      <c r="A525" s="23"/>
      <c r="B525" s="23"/>
    </row>
    <row r="526">
      <c r="A526" s="23"/>
      <c r="B526" s="23"/>
    </row>
    <row r="527">
      <c r="A527" s="23"/>
      <c r="B527" s="23"/>
    </row>
    <row r="528">
      <c r="A528" s="23"/>
      <c r="B528" s="23"/>
    </row>
    <row r="529">
      <c r="A529" s="23"/>
      <c r="B529" s="23"/>
    </row>
    <row r="530">
      <c r="A530" s="23"/>
      <c r="B530" s="23"/>
    </row>
    <row r="531">
      <c r="A531" s="23"/>
      <c r="B531" s="23"/>
    </row>
    <row r="532">
      <c r="A532" s="23"/>
      <c r="B532" s="23"/>
    </row>
    <row r="533">
      <c r="A533" s="23"/>
      <c r="B533" s="23"/>
    </row>
    <row r="534">
      <c r="A534" s="23"/>
      <c r="B534" s="23"/>
    </row>
    <row r="535">
      <c r="A535" s="23"/>
      <c r="B535" s="23"/>
    </row>
    <row r="536">
      <c r="A536" s="23"/>
      <c r="B536" s="23"/>
    </row>
    <row r="537">
      <c r="A537" s="23"/>
      <c r="B537" s="23"/>
    </row>
    <row r="538">
      <c r="A538" s="23"/>
      <c r="B538" s="23"/>
    </row>
    <row r="539">
      <c r="A539" s="23"/>
      <c r="B539" s="23"/>
    </row>
    <row r="540">
      <c r="A540" s="23"/>
      <c r="B540" s="23"/>
    </row>
    <row r="541">
      <c r="A541" s="23"/>
      <c r="B541" s="23"/>
    </row>
    <row r="542">
      <c r="A542" s="23"/>
      <c r="B542" s="23"/>
    </row>
    <row r="543">
      <c r="A543" s="23"/>
      <c r="B543" s="23"/>
    </row>
    <row r="544">
      <c r="A544" s="23"/>
      <c r="B544" s="23"/>
    </row>
    <row r="545">
      <c r="A545" s="23"/>
      <c r="B545" s="23"/>
    </row>
    <row r="546">
      <c r="A546" s="23"/>
      <c r="B546" s="23"/>
    </row>
    <row r="547">
      <c r="A547" s="23"/>
      <c r="B547" s="23"/>
    </row>
    <row r="548">
      <c r="A548" s="23"/>
      <c r="B548" s="23"/>
    </row>
    <row r="549">
      <c r="A549" s="23"/>
      <c r="B549" s="23"/>
    </row>
    <row r="550">
      <c r="A550" s="23"/>
      <c r="B550" s="23"/>
    </row>
    <row r="551">
      <c r="A551" s="23"/>
      <c r="B551" s="23"/>
    </row>
    <row r="552">
      <c r="A552" s="23"/>
      <c r="B552" s="23"/>
    </row>
    <row r="553">
      <c r="A553" s="23"/>
      <c r="B553" s="23"/>
    </row>
    <row r="554">
      <c r="A554" s="23"/>
      <c r="B554" s="23"/>
    </row>
    <row r="555">
      <c r="A555" s="23"/>
      <c r="B555" s="23"/>
    </row>
    <row r="556">
      <c r="A556" s="23"/>
      <c r="B556" s="23"/>
    </row>
    <row r="557">
      <c r="A557" s="23"/>
      <c r="B557" s="23"/>
    </row>
    <row r="558">
      <c r="A558" s="23"/>
      <c r="B558" s="23"/>
    </row>
    <row r="559">
      <c r="A559" s="23"/>
      <c r="B559" s="23"/>
    </row>
    <row r="560">
      <c r="A560" s="23"/>
      <c r="B560" s="23"/>
    </row>
    <row r="561">
      <c r="A561" s="23"/>
      <c r="B561" s="23"/>
    </row>
    <row r="562">
      <c r="A562" s="23"/>
      <c r="B562" s="23"/>
    </row>
    <row r="563">
      <c r="A563" s="23"/>
      <c r="B563" s="23"/>
    </row>
    <row r="564">
      <c r="A564" s="23"/>
      <c r="B564" s="23"/>
    </row>
    <row r="565">
      <c r="A565" s="23"/>
      <c r="B565" s="23"/>
    </row>
    <row r="566">
      <c r="A566" s="23"/>
      <c r="B566" s="23"/>
    </row>
    <row r="567">
      <c r="A567" s="23"/>
      <c r="B567" s="23"/>
    </row>
    <row r="568">
      <c r="A568" s="23"/>
      <c r="B568" s="23"/>
    </row>
    <row r="569">
      <c r="A569" s="23"/>
      <c r="B569" s="23"/>
    </row>
    <row r="570">
      <c r="A570" s="23"/>
      <c r="B570" s="23"/>
    </row>
    <row r="571">
      <c r="A571" s="23"/>
      <c r="B571" s="23"/>
    </row>
    <row r="572">
      <c r="A572" s="23"/>
      <c r="B572" s="23"/>
    </row>
    <row r="573">
      <c r="A573" s="23"/>
      <c r="B573" s="23"/>
    </row>
    <row r="574">
      <c r="A574" s="23"/>
      <c r="B574" s="23"/>
    </row>
    <row r="575">
      <c r="A575" s="23"/>
      <c r="B575" s="23"/>
    </row>
    <row r="576">
      <c r="A576" s="23"/>
      <c r="B576" s="23"/>
    </row>
    <row r="577">
      <c r="A577" s="23"/>
      <c r="B577" s="23"/>
    </row>
    <row r="578">
      <c r="A578" s="23"/>
      <c r="B578" s="23"/>
    </row>
    <row r="579">
      <c r="A579" s="23"/>
      <c r="B579" s="23"/>
    </row>
    <row r="580">
      <c r="A580" s="23"/>
      <c r="B580" s="23"/>
    </row>
    <row r="581">
      <c r="A581" s="23"/>
      <c r="B581" s="23"/>
    </row>
    <row r="582">
      <c r="A582" s="23"/>
      <c r="B582" s="23"/>
    </row>
    <row r="583">
      <c r="A583" s="23"/>
      <c r="B583" s="23"/>
    </row>
    <row r="584">
      <c r="A584" s="23"/>
      <c r="B584" s="23"/>
    </row>
    <row r="585">
      <c r="A585" s="23"/>
      <c r="B585" s="23"/>
    </row>
    <row r="586">
      <c r="A586" s="23"/>
      <c r="B586" s="23"/>
    </row>
    <row r="587">
      <c r="A587" s="23"/>
      <c r="B587" s="23"/>
    </row>
    <row r="588">
      <c r="A588" s="23"/>
      <c r="B588" s="23"/>
    </row>
    <row r="589">
      <c r="A589" s="23"/>
      <c r="B589" s="23"/>
    </row>
    <row r="590">
      <c r="A590" s="23"/>
      <c r="B590" s="23"/>
    </row>
    <row r="591">
      <c r="A591" s="23"/>
      <c r="B591" s="23"/>
    </row>
    <row r="592">
      <c r="A592" s="23"/>
      <c r="B592" s="23"/>
    </row>
    <row r="593">
      <c r="A593" s="23"/>
      <c r="B593" s="23"/>
    </row>
    <row r="594">
      <c r="A594" s="23"/>
      <c r="B594" s="23"/>
    </row>
    <row r="595">
      <c r="A595" s="23"/>
      <c r="B595" s="23"/>
    </row>
    <row r="596">
      <c r="A596" s="23"/>
      <c r="B596" s="23"/>
    </row>
    <row r="597">
      <c r="A597" s="23"/>
      <c r="B597" s="23"/>
    </row>
    <row r="598">
      <c r="A598" s="23"/>
      <c r="B598" s="23"/>
    </row>
    <row r="599">
      <c r="A599" s="23"/>
      <c r="B599" s="23"/>
    </row>
    <row r="600">
      <c r="A600" s="23"/>
      <c r="B600" s="23"/>
    </row>
    <row r="601">
      <c r="A601" s="23"/>
      <c r="B601" s="23"/>
    </row>
    <row r="602">
      <c r="A602" s="23"/>
      <c r="B602" s="23"/>
    </row>
    <row r="603">
      <c r="A603" s="23"/>
      <c r="B603" s="23"/>
    </row>
    <row r="604">
      <c r="A604" s="23"/>
      <c r="B604" s="23"/>
    </row>
    <row r="605">
      <c r="A605" s="23"/>
      <c r="B605" s="23"/>
    </row>
    <row r="606">
      <c r="A606" s="23"/>
      <c r="B606" s="23"/>
    </row>
    <row r="607">
      <c r="A607" s="23"/>
      <c r="B607" s="23"/>
    </row>
    <row r="608">
      <c r="A608" s="23"/>
      <c r="B608" s="23"/>
    </row>
    <row r="609">
      <c r="A609" s="23"/>
      <c r="B609" s="23"/>
    </row>
    <row r="610">
      <c r="A610" s="23"/>
      <c r="B610" s="23"/>
    </row>
    <row r="611">
      <c r="A611" s="23"/>
      <c r="B611" s="23"/>
    </row>
    <row r="612">
      <c r="A612" s="23"/>
      <c r="B612" s="23"/>
    </row>
    <row r="613">
      <c r="A613" s="23"/>
      <c r="B613" s="23"/>
    </row>
    <row r="614">
      <c r="A614" s="23"/>
      <c r="B614" s="23"/>
    </row>
    <row r="615">
      <c r="A615" s="23"/>
      <c r="B615" s="23"/>
    </row>
    <row r="616">
      <c r="A616" s="23"/>
      <c r="B616" s="23"/>
    </row>
    <row r="617">
      <c r="A617" s="23"/>
      <c r="B617" s="23"/>
    </row>
    <row r="618">
      <c r="A618" s="23"/>
      <c r="B618" s="23"/>
    </row>
    <row r="619">
      <c r="A619" s="23"/>
      <c r="B619" s="23"/>
    </row>
    <row r="620">
      <c r="A620" s="23"/>
      <c r="B620" s="23"/>
    </row>
    <row r="621">
      <c r="A621" s="23"/>
      <c r="B621" s="23"/>
    </row>
    <row r="622">
      <c r="A622" s="23"/>
      <c r="B622" s="23"/>
    </row>
    <row r="623">
      <c r="A623" s="23"/>
      <c r="B623" s="23"/>
    </row>
    <row r="624">
      <c r="A624" s="23"/>
      <c r="B624" s="23"/>
    </row>
    <row r="625">
      <c r="A625" s="23"/>
      <c r="B625" s="23"/>
    </row>
    <row r="626">
      <c r="A626" s="23"/>
      <c r="B626" s="23"/>
    </row>
    <row r="627">
      <c r="A627" s="23"/>
      <c r="B627" s="23"/>
    </row>
    <row r="628">
      <c r="A628" s="23"/>
      <c r="B628" s="23"/>
    </row>
    <row r="629">
      <c r="A629" s="23"/>
      <c r="B629" s="23"/>
    </row>
    <row r="630">
      <c r="A630" s="23"/>
      <c r="B630" s="23"/>
    </row>
    <row r="631">
      <c r="A631" s="23"/>
      <c r="B631" s="23"/>
    </row>
    <row r="632">
      <c r="A632" s="23"/>
      <c r="B632" s="23"/>
    </row>
    <row r="633">
      <c r="A633" s="23"/>
      <c r="B633" s="23"/>
    </row>
    <row r="634">
      <c r="A634" s="23"/>
      <c r="B634" s="23"/>
    </row>
    <row r="635">
      <c r="A635" s="23"/>
      <c r="B635" s="23"/>
    </row>
    <row r="636">
      <c r="A636" s="23"/>
      <c r="B636" s="23"/>
    </row>
    <row r="637">
      <c r="A637" s="23"/>
      <c r="B637" s="23"/>
    </row>
    <row r="638">
      <c r="A638" s="23"/>
      <c r="B638" s="23"/>
    </row>
    <row r="639">
      <c r="A639" s="23"/>
      <c r="B639" s="23"/>
    </row>
    <row r="640">
      <c r="A640" s="23"/>
      <c r="B640" s="23"/>
    </row>
    <row r="641">
      <c r="A641" s="23"/>
      <c r="B641" s="23"/>
    </row>
    <row r="642">
      <c r="A642" s="23"/>
      <c r="B642" s="23"/>
    </row>
    <row r="643">
      <c r="A643" s="23"/>
      <c r="B643" s="23"/>
    </row>
    <row r="644">
      <c r="A644" s="23"/>
      <c r="B644" s="23"/>
    </row>
    <row r="645">
      <c r="A645" s="23"/>
      <c r="B645" s="23"/>
    </row>
    <row r="646">
      <c r="A646" s="23"/>
      <c r="B646" s="23"/>
    </row>
    <row r="647">
      <c r="A647" s="23"/>
      <c r="B647" s="23"/>
    </row>
    <row r="648">
      <c r="A648" s="23"/>
      <c r="B648" s="23"/>
    </row>
    <row r="649">
      <c r="A649" s="23"/>
      <c r="B649" s="23"/>
    </row>
    <row r="650">
      <c r="A650" s="23"/>
      <c r="B650" s="23"/>
    </row>
    <row r="651">
      <c r="A651" s="23"/>
      <c r="B651" s="23"/>
    </row>
    <row r="652">
      <c r="A652" s="23"/>
      <c r="B652" s="23"/>
    </row>
    <row r="653">
      <c r="A653" s="23"/>
      <c r="B653" s="23"/>
    </row>
    <row r="654">
      <c r="A654" s="23"/>
      <c r="B654" s="23"/>
    </row>
    <row r="655">
      <c r="A655" s="23"/>
      <c r="B655" s="23"/>
    </row>
    <row r="656">
      <c r="A656" s="23"/>
      <c r="B656" s="23"/>
    </row>
    <row r="657">
      <c r="A657" s="23"/>
      <c r="B657" s="23"/>
    </row>
    <row r="658">
      <c r="A658" s="23"/>
      <c r="B658" s="23"/>
    </row>
    <row r="659">
      <c r="A659" s="23"/>
      <c r="B659" s="23"/>
    </row>
    <row r="660">
      <c r="A660" s="23"/>
      <c r="B660" s="23"/>
    </row>
    <row r="661">
      <c r="A661" s="23"/>
      <c r="B661" s="23"/>
    </row>
    <row r="662">
      <c r="A662" s="23"/>
      <c r="B662" s="23"/>
    </row>
    <row r="663">
      <c r="A663" s="23"/>
      <c r="B663" s="23"/>
    </row>
    <row r="664">
      <c r="A664" s="23"/>
      <c r="B664" s="23"/>
    </row>
    <row r="665">
      <c r="A665" s="23"/>
      <c r="B665" s="23"/>
    </row>
    <row r="666">
      <c r="A666" s="23"/>
      <c r="B666" s="23"/>
    </row>
    <row r="667">
      <c r="A667" s="23"/>
      <c r="B667" s="23"/>
    </row>
    <row r="668">
      <c r="A668" s="23"/>
      <c r="B668" s="23"/>
    </row>
    <row r="669">
      <c r="A669" s="23"/>
      <c r="B669" s="23"/>
    </row>
    <row r="670">
      <c r="A670" s="23"/>
      <c r="B670" s="23"/>
    </row>
    <row r="671">
      <c r="A671" s="23"/>
      <c r="B671" s="23"/>
    </row>
    <row r="672">
      <c r="A672" s="23"/>
      <c r="B672" s="23"/>
    </row>
    <row r="673">
      <c r="A673" s="23"/>
      <c r="B673" s="23"/>
    </row>
    <row r="674">
      <c r="A674" s="23"/>
      <c r="B674" s="23"/>
    </row>
    <row r="675">
      <c r="A675" s="23"/>
      <c r="B675" s="23"/>
    </row>
    <row r="676">
      <c r="A676" s="23"/>
      <c r="B676" s="23"/>
    </row>
    <row r="677">
      <c r="A677" s="23"/>
      <c r="B677" s="23"/>
    </row>
    <row r="678">
      <c r="A678" s="23"/>
      <c r="B678" s="23"/>
    </row>
    <row r="679">
      <c r="A679" s="23"/>
      <c r="B679" s="23"/>
    </row>
    <row r="680">
      <c r="A680" s="23"/>
      <c r="B680" s="23"/>
    </row>
    <row r="681">
      <c r="A681" s="23"/>
      <c r="B681" s="23"/>
    </row>
    <row r="682">
      <c r="A682" s="23"/>
      <c r="B682" s="23"/>
    </row>
    <row r="683">
      <c r="A683" s="23"/>
      <c r="B683" s="23"/>
    </row>
    <row r="684">
      <c r="A684" s="23"/>
      <c r="B684" s="23"/>
    </row>
    <row r="685">
      <c r="A685" s="23"/>
      <c r="B685" s="23"/>
    </row>
    <row r="686">
      <c r="A686" s="23"/>
      <c r="B686" s="23"/>
    </row>
    <row r="687">
      <c r="A687" s="23"/>
      <c r="B687" s="23"/>
    </row>
    <row r="688">
      <c r="A688" s="23"/>
      <c r="B688" s="23"/>
    </row>
    <row r="689">
      <c r="A689" s="23"/>
      <c r="B689" s="23"/>
    </row>
    <row r="690">
      <c r="A690" s="23"/>
      <c r="B690" s="23"/>
    </row>
    <row r="691">
      <c r="A691" s="23"/>
      <c r="B691" s="23"/>
    </row>
    <row r="692">
      <c r="A692" s="23"/>
      <c r="B692" s="23"/>
    </row>
    <row r="693">
      <c r="A693" s="23"/>
      <c r="B693" s="23"/>
    </row>
    <row r="694">
      <c r="A694" s="23"/>
      <c r="B694" s="23"/>
    </row>
    <row r="695">
      <c r="A695" s="23"/>
      <c r="B695" s="23"/>
    </row>
    <row r="696">
      <c r="A696" s="23"/>
      <c r="B696" s="23"/>
    </row>
    <row r="697">
      <c r="A697" s="23"/>
      <c r="B697" s="23"/>
    </row>
    <row r="698">
      <c r="A698" s="23"/>
      <c r="B698" s="23"/>
    </row>
    <row r="699">
      <c r="A699" s="23"/>
      <c r="B699" s="23"/>
    </row>
    <row r="700">
      <c r="A700" s="23"/>
      <c r="B700" s="23"/>
    </row>
    <row r="701">
      <c r="A701" s="23"/>
      <c r="B701" s="23"/>
    </row>
    <row r="702">
      <c r="A702" s="23"/>
      <c r="B702" s="23"/>
    </row>
    <row r="703">
      <c r="A703" s="23"/>
      <c r="B703" s="23"/>
    </row>
    <row r="704">
      <c r="A704" s="23"/>
      <c r="B704" s="23"/>
    </row>
    <row r="705">
      <c r="A705" s="23"/>
      <c r="B705" s="23"/>
    </row>
    <row r="706">
      <c r="A706" s="23"/>
      <c r="B706" s="23"/>
    </row>
    <row r="707">
      <c r="A707" s="23"/>
      <c r="B707" s="23"/>
    </row>
    <row r="708">
      <c r="A708" s="23"/>
      <c r="B708" s="23"/>
    </row>
    <row r="709">
      <c r="A709" s="23"/>
      <c r="B709" s="23"/>
    </row>
    <row r="710">
      <c r="A710" s="23"/>
      <c r="B710" s="23"/>
    </row>
    <row r="711">
      <c r="A711" s="23"/>
      <c r="B711" s="23"/>
    </row>
    <row r="712">
      <c r="A712" s="23"/>
      <c r="B712" s="23"/>
    </row>
    <row r="713">
      <c r="A713" s="23"/>
      <c r="B713" s="23"/>
    </row>
    <row r="714">
      <c r="A714" s="23"/>
      <c r="B714" s="23"/>
    </row>
    <row r="715">
      <c r="A715" s="23"/>
      <c r="B715" s="23"/>
    </row>
    <row r="716">
      <c r="A716" s="23"/>
      <c r="B716" s="23"/>
    </row>
    <row r="717">
      <c r="A717" s="23"/>
      <c r="B717" s="23"/>
    </row>
    <row r="718">
      <c r="A718" s="23"/>
      <c r="B718" s="23"/>
    </row>
    <row r="719">
      <c r="A719" s="23"/>
      <c r="B719" s="23"/>
    </row>
    <row r="720">
      <c r="A720" s="23"/>
      <c r="B720" s="23"/>
    </row>
    <row r="721">
      <c r="A721" s="23"/>
      <c r="B721" s="23"/>
    </row>
    <row r="722">
      <c r="A722" s="23"/>
      <c r="B722" s="23"/>
    </row>
    <row r="723">
      <c r="A723" s="23"/>
      <c r="B723" s="23"/>
    </row>
    <row r="724">
      <c r="A724" s="23"/>
      <c r="B724" s="23"/>
    </row>
    <row r="725">
      <c r="A725" s="23"/>
      <c r="B725" s="23"/>
    </row>
    <row r="726">
      <c r="A726" s="23"/>
      <c r="B726" s="23"/>
    </row>
    <row r="727">
      <c r="A727" s="23"/>
      <c r="B727" s="23"/>
    </row>
    <row r="728">
      <c r="A728" s="23"/>
      <c r="B728" s="23"/>
    </row>
    <row r="729">
      <c r="A729" s="23"/>
      <c r="B729" s="23"/>
    </row>
    <row r="730">
      <c r="A730" s="23"/>
      <c r="B730" s="23"/>
    </row>
    <row r="731">
      <c r="A731" s="23"/>
      <c r="B731" s="23"/>
    </row>
    <row r="732">
      <c r="A732" s="23"/>
      <c r="B732" s="23"/>
    </row>
    <row r="733">
      <c r="A733" s="23"/>
      <c r="B733" s="23"/>
    </row>
    <row r="734">
      <c r="A734" s="23"/>
      <c r="B734" s="23"/>
    </row>
    <row r="735">
      <c r="A735" s="23"/>
      <c r="B735" s="23"/>
    </row>
    <row r="736">
      <c r="A736" s="23"/>
      <c r="B736" s="23"/>
    </row>
    <row r="737">
      <c r="A737" s="23"/>
      <c r="B737" s="23"/>
    </row>
    <row r="738">
      <c r="A738" s="23"/>
      <c r="B738" s="23"/>
    </row>
    <row r="739">
      <c r="A739" s="23"/>
      <c r="B739" s="23"/>
    </row>
    <row r="740">
      <c r="A740" s="23"/>
      <c r="B740" s="23"/>
    </row>
    <row r="741">
      <c r="A741" s="23"/>
      <c r="B741" s="23"/>
    </row>
    <row r="742">
      <c r="A742" s="23"/>
      <c r="B742" s="23"/>
    </row>
    <row r="743">
      <c r="A743" s="23"/>
      <c r="B743" s="23"/>
    </row>
    <row r="744">
      <c r="A744" s="23"/>
      <c r="B744" s="23"/>
    </row>
    <row r="745">
      <c r="A745" s="23"/>
      <c r="B745" s="23"/>
    </row>
    <row r="746">
      <c r="A746" s="23"/>
      <c r="B746" s="23"/>
    </row>
    <row r="747">
      <c r="A747" s="23"/>
      <c r="B747" s="23"/>
    </row>
    <row r="748">
      <c r="A748" s="23"/>
      <c r="B748" s="23"/>
    </row>
    <row r="749">
      <c r="A749" s="23"/>
      <c r="B749" s="23"/>
    </row>
    <row r="750">
      <c r="A750" s="23"/>
      <c r="B750" s="23"/>
    </row>
    <row r="751">
      <c r="A751" s="23"/>
      <c r="B751" s="23"/>
    </row>
    <row r="752">
      <c r="A752" s="23"/>
      <c r="B752" s="23"/>
    </row>
    <row r="753">
      <c r="A753" s="23"/>
      <c r="B753" s="23"/>
    </row>
    <row r="754">
      <c r="A754" s="23"/>
      <c r="B754" s="23"/>
    </row>
    <row r="755">
      <c r="A755" s="23"/>
      <c r="B755" s="23"/>
    </row>
    <row r="756">
      <c r="A756" s="23"/>
      <c r="B756" s="23"/>
    </row>
    <row r="757">
      <c r="A757" s="23"/>
      <c r="B757" s="23"/>
    </row>
    <row r="758">
      <c r="A758" s="23"/>
      <c r="B758" s="23"/>
    </row>
    <row r="759">
      <c r="A759" s="23"/>
      <c r="B759" s="23"/>
    </row>
    <row r="760">
      <c r="A760" s="23"/>
      <c r="B760" s="23"/>
    </row>
    <row r="761">
      <c r="A761" s="23"/>
      <c r="B761" s="23"/>
    </row>
    <row r="762">
      <c r="A762" s="23"/>
      <c r="B762" s="23"/>
    </row>
    <row r="763">
      <c r="A763" s="23"/>
      <c r="B763" s="23"/>
    </row>
    <row r="764">
      <c r="A764" s="23"/>
      <c r="B764" s="23"/>
    </row>
    <row r="765">
      <c r="A765" s="23"/>
      <c r="B765" s="23"/>
    </row>
    <row r="766">
      <c r="A766" s="23"/>
      <c r="B766" s="23"/>
    </row>
    <row r="767">
      <c r="A767" s="23"/>
      <c r="B767" s="23"/>
    </row>
    <row r="768">
      <c r="A768" s="23"/>
      <c r="B768" s="23"/>
    </row>
    <row r="769">
      <c r="A769" s="23"/>
      <c r="B769" s="23"/>
    </row>
    <row r="770">
      <c r="A770" s="23"/>
      <c r="B770" s="23"/>
    </row>
    <row r="771">
      <c r="A771" s="23"/>
      <c r="B771" s="23"/>
    </row>
    <row r="772">
      <c r="A772" s="23"/>
      <c r="B772" s="23"/>
    </row>
    <row r="773">
      <c r="A773" s="23"/>
      <c r="B773" s="23"/>
    </row>
    <row r="774">
      <c r="A774" s="23"/>
      <c r="B774" s="23"/>
    </row>
    <row r="775">
      <c r="A775" s="23"/>
      <c r="B775" s="23"/>
    </row>
    <row r="776">
      <c r="A776" s="23"/>
      <c r="B776" s="23"/>
    </row>
    <row r="777">
      <c r="A777" s="23"/>
      <c r="B777" s="23"/>
    </row>
    <row r="778">
      <c r="A778" s="23"/>
      <c r="B778" s="23"/>
    </row>
    <row r="779">
      <c r="A779" s="23"/>
      <c r="B779" s="23"/>
    </row>
    <row r="780">
      <c r="A780" s="23"/>
      <c r="B780" s="23"/>
    </row>
    <row r="781">
      <c r="A781" s="23"/>
      <c r="B781" s="23"/>
    </row>
    <row r="782">
      <c r="A782" s="23"/>
      <c r="B782" s="23"/>
    </row>
    <row r="783">
      <c r="A783" s="23"/>
      <c r="B783" s="23"/>
    </row>
    <row r="784">
      <c r="A784" s="23"/>
      <c r="B784" s="23"/>
    </row>
    <row r="785">
      <c r="A785" s="23"/>
      <c r="B785" s="23"/>
    </row>
    <row r="786">
      <c r="A786" s="23"/>
      <c r="B786" s="23"/>
    </row>
    <row r="787">
      <c r="A787" s="23"/>
      <c r="B787" s="23"/>
    </row>
    <row r="788">
      <c r="A788" s="23"/>
      <c r="B788" s="23"/>
    </row>
    <row r="789">
      <c r="A789" s="23"/>
      <c r="B789" s="23"/>
    </row>
    <row r="790">
      <c r="A790" s="23"/>
      <c r="B790" s="23"/>
    </row>
    <row r="791">
      <c r="A791" s="23"/>
      <c r="B791" s="23"/>
    </row>
    <row r="792">
      <c r="A792" s="23"/>
      <c r="B792" s="23"/>
    </row>
    <row r="793">
      <c r="A793" s="23"/>
      <c r="B793" s="23"/>
    </row>
    <row r="794">
      <c r="A794" s="23"/>
      <c r="B794" s="23"/>
    </row>
    <row r="795">
      <c r="A795" s="23"/>
      <c r="B795" s="23"/>
    </row>
    <row r="796">
      <c r="A796" s="23"/>
      <c r="B796" s="23"/>
    </row>
    <row r="797">
      <c r="A797" s="23"/>
      <c r="B797" s="23"/>
    </row>
    <row r="798">
      <c r="A798" s="23"/>
      <c r="B798" s="23"/>
    </row>
    <row r="799">
      <c r="A799" s="23"/>
      <c r="B799" s="23"/>
    </row>
    <row r="800">
      <c r="A800" s="23"/>
      <c r="B800" s="23"/>
    </row>
    <row r="801">
      <c r="A801" s="23"/>
      <c r="B801" s="23"/>
    </row>
    <row r="802">
      <c r="A802" s="23"/>
      <c r="B802" s="23"/>
    </row>
    <row r="803">
      <c r="A803" s="23"/>
      <c r="B803" s="23"/>
    </row>
    <row r="804">
      <c r="A804" s="23"/>
      <c r="B804" s="23"/>
    </row>
    <row r="805">
      <c r="A805" s="23"/>
      <c r="B805" s="23"/>
    </row>
    <row r="806">
      <c r="A806" s="23"/>
      <c r="B806" s="23"/>
    </row>
    <row r="807">
      <c r="A807" s="23"/>
      <c r="B807" s="23"/>
    </row>
    <row r="808">
      <c r="A808" s="23"/>
      <c r="B808" s="23"/>
    </row>
    <row r="809">
      <c r="A809" s="23"/>
      <c r="B809" s="23"/>
    </row>
    <row r="810">
      <c r="A810" s="23"/>
      <c r="B810" s="23"/>
    </row>
    <row r="811">
      <c r="A811" s="23"/>
      <c r="B811" s="23"/>
    </row>
    <row r="812">
      <c r="A812" s="23"/>
      <c r="B812" s="23"/>
    </row>
    <row r="813">
      <c r="A813" s="23"/>
      <c r="B813" s="23"/>
    </row>
    <row r="814">
      <c r="A814" s="23"/>
      <c r="B814" s="23"/>
    </row>
    <row r="815">
      <c r="A815" s="23"/>
      <c r="B815" s="23"/>
    </row>
    <row r="816">
      <c r="A816" s="23"/>
      <c r="B816" s="23"/>
    </row>
    <row r="817">
      <c r="A817" s="23"/>
      <c r="B817" s="23"/>
    </row>
    <row r="818">
      <c r="A818" s="23"/>
      <c r="B818" s="23"/>
    </row>
    <row r="819">
      <c r="A819" s="23"/>
      <c r="B819" s="23"/>
    </row>
    <row r="820">
      <c r="A820" s="23"/>
      <c r="B820" s="23"/>
    </row>
    <row r="821">
      <c r="A821" s="23"/>
      <c r="B821" s="23"/>
    </row>
    <row r="822">
      <c r="A822" s="23"/>
      <c r="B822" s="23"/>
    </row>
    <row r="823">
      <c r="A823" s="23"/>
      <c r="B823" s="23"/>
    </row>
    <row r="824">
      <c r="A824" s="23"/>
      <c r="B824" s="23"/>
    </row>
    <row r="825">
      <c r="A825" s="23"/>
      <c r="B825" s="23"/>
    </row>
    <row r="826">
      <c r="A826" s="23"/>
      <c r="B826" s="23"/>
    </row>
    <row r="827">
      <c r="A827" s="23"/>
      <c r="B827" s="23"/>
    </row>
    <row r="828">
      <c r="A828" s="23"/>
      <c r="B828" s="23"/>
    </row>
    <row r="829">
      <c r="A829" s="23"/>
      <c r="B829" s="23"/>
    </row>
    <row r="830">
      <c r="A830" s="23"/>
      <c r="B830" s="23"/>
    </row>
    <row r="831">
      <c r="A831" s="23"/>
      <c r="B831" s="23"/>
    </row>
    <row r="832">
      <c r="A832" s="23"/>
      <c r="B832" s="23"/>
    </row>
    <row r="833">
      <c r="A833" s="23"/>
      <c r="B833" s="23"/>
    </row>
    <row r="834">
      <c r="A834" s="23"/>
      <c r="B834" s="23"/>
    </row>
    <row r="835">
      <c r="A835" s="23"/>
      <c r="B835" s="23"/>
    </row>
    <row r="836">
      <c r="A836" s="23"/>
      <c r="B836" s="23"/>
    </row>
    <row r="837">
      <c r="A837" s="23"/>
      <c r="B837" s="23"/>
    </row>
    <row r="838">
      <c r="A838" s="23"/>
      <c r="B838" s="23"/>
    </row>
    <row r="839">
      <c r="A839" s="23"/>
      <c r="B839" s="23"/>
    </row>
    <row r="840">
      <c r="A840" s="23"/>
      <c r="B840" s="23"/>
    </row>
    <row r="841">
      <c r="A841" s="23"/>
      <c r="B841" s="23"/>
    </row>
    <row r="842">
      <c r="A842" s="23"/>
      <c r="B842" s="23"/>
    </row>
    <row r="843">
      <c r="A843" s="23"/>
      <c r="B843" s="23"/>
    </row>
    <row r="844">
      <c r="A844" s="23"/>
      <c r="B844" s="23"/>
    </row>
    <row r="845">
      <c r="A845" s="23"/>
      <c r="B845" s="23"/>
    </row>
    <row r="846">
      <c r="A846" s="23"/>
      <c r="B846" s="23"/>
    </row>
    <row r="847">
      <c r="A847" s="23"/>
      <c r="B847" s="23"/>
    </row>
    <row r="848">
      <c r="A848" s="23"/>
      <c r="B848" s="23"/>
    </row>
    <row r="849">
      <c r="A849" s="23"/>
      <c r="B849" s="23"/>
    </row>
    <row r="850">
      <c r="A850" s="23"/>
      <c r="B850" s="23"/>
    </row>
    <row r="851">
      <c r="A851" s="23"/>
      <c r="B851" s="23"/>
    </row>
    <row r="852">
      <c r="A852" s="23"/>
      <c r="B852" s="23"/>
    </row>
    <row r="853">
      <c r="A853" s="23"/>
      <c r="B853" s="23"/>
    </row>
    <row r="854">
      <c r="A854" s="23"/>
      <c r="B854" s="23"/>
    </row>
    <row r="855">
      <c r="A855" s="23"/>
      <c r="B855" s="23"/>
    </row>
    <row r="856">
      <c r="A856" s="23"/>
      <c r="B856" s="23"/>
    </row>
    <row r="857">
      <c r="A857" s="23"/>
      <c r="B857" s="23"/>
    </row>
    <row r="858">
      <c r="A858" s="23"/>
      <c r="B858" s="23"/>
    </row>
    <row r="859">
      <c r="A859" s="23"/>
      <c r="B859" s="23"/>
    </row>
    <row r="860">
      <c r="A860" s="23"/>
      <c r="B860" s="23"/>
    </row>
    <row r="861">
      <c r="A861" s="23"/>
      <c r="B861" s="23"/>
    </row>
    <row r="862">
      <c r="A862" s="23"/>
      <c r="B862" s="23"/>
    </row>
    <row r="863">
      <c r="A863" s="23"/>
      <c r="B863" s="23"/>
    </row>
    <row r="864">
      <c r="A864" s="23"/>
      <c r="B864" s="23"/>
    </row>
    <row r="865">
      <c r="A865" s="23"/>
      <c r="B865" s="23"/>
    </row>
    <row r="866">
      <c r="A866" s="23"/>
      <c r="B866" s="23"/>
    </row>
    <row r="867">
      <c r="A867" s="23"/>
      <c r="B867" s="23"/>
    </row>
    <row r="868">
      <c r="A868" s="23"/>
      <c r="B868" s="23"/>
    </row>
    <row r="869">
      <c r="A869" s="23"/>
      <c r="B869" s="23"/>
    </row>
    <row r="870">
      <c r="A870" s="23"/>
      <c r="B870" s="23"/>
    </row>
    <row r="871">
      <c r="A871" s="23"/>
      <c r="B871" s="23"/>
    </row>
    <row r="872">
      <c r="A872" s="23"/>
      <c r="B872" s="23"/>
    </row>
    <row r="873">
      <c r="A873" s="23"/>
      <c r="B873" s="23"/>
    </row>
    <row r="874">
      <c r="A874" s="23"/>
      <c r="B874" s="23"/>
    </row>
    <row r="875">
      <c r="A875" s="23"/>
      <c r="B875" s="23"/>
    </row>
    <row r="876">
      <c r="A876" s="23"/>
      <c r="B876" s="23"/>
    </row>
    <row r="877">
      <c r="A877" s="23"/>
      <c r="B877" s="23"/>
    </row>
    <row r="878">
      <c r="A878" s="23"/>
      <c r="B878" s="23"/>
    </row>
    <row r="879">
      <c r="A879" s="23"/>
      <c r="B879" s="23"/>
    </row>
    <row r="880">
      <c r="A880" s="23"/>
      <c r="B880" s="23"/>
    </row>
    <row r="881">
      <c r="A881" s="23"/>
      <c r="B881" s="23"/>
    </row>
    <row r="882">
      <c r="A882" s="23"/>
      <c r="B882" s="23"/>
    </row>
    <row r="883">
      <c r="A883" s="23"/>
      <c r="B883" s="23"/>
    </row>
    <row r="884">
      <c r="A884" s="23"/>
      <c r="B884" s="23"/>
    </row>
    <row r="885">
      <c r="A885" s="23"/>
      <c r="B885" s="23"/>
    </row>
    <row r="886">
      <c r="A886" s="23"/>
      <c r="B886" s="23"/>
    </row>
    <row r="887">
      <c r="A887" s="23"/>
      <c r="B887" s="23"/>
    </row>
    <row r="888">
      <c r="A888" s="23"/>
      <c r="B888" s="23"/>
    </row>
    <row r="889">
      <c r="A889" s="23"/>
      <c r="B889" s="23"/>
    </row>
    <row r="890">
      <c r="A890" s="23"/>
      <c r="B890" s="23"/>
    </row>
    <row r="891">
      <c r="A891" s="23"/>
      <c r="B891" s="23"/>
    </row>
    <row r="892">
      <c r="A892" s="23"/>
      <c r="B892" s="23"/>
    </row>
    <row r="893">
      <c r="A893" s="23"/>
      <c r="B893" s="23"/>
    </row>
    <row r="894">
      <c r="A894" s="23"/>
      <c r="B894" s="23"/>
    </row>
    <row r="895">
      <c r="A895" s="23"/>
      <c r="B895" s="23"/>
    </row>
    <row r="896">
      <c r="A896" s="23"/>
      <c r="B896" s="23"/>
    </row>
    <row r="897">
      <c r="A897" s="23"/>
      <c r="B897" s="23"/>
    </row>
    <row r="898">
      <c r="A898" s="23"/>
      <c r="B898" s="23"/>
    </row>
    <row r="899">
      <c r="A899" s="23"/>
      <c r="B899" s="23"/>
    </row>
    <row r="900">
      <c r="A900" s="23"/>
      <c r="B900" s="23"/>
    </row>
    <row r="901">
      <c r="A901" s="23"/>
      <c r="B901" s="23"/>
    </row>
    <row r="902">
      <c r="A902" s="23"/>
      <c r="B902" s="23"/>
    </row>
    <row r="903">
      <c r="A903" s="23"/>
      <c r="B903" s="23"/>
    </row>
    <row r="904">
      <c r="A904" s="23"/>
      <c r="B904" s="23"/>
    </row>
    <row r="905">
      <c r="A905" s="23"/>
      <c r="B905" s="23"/>
    </row>
    <row r="906">
      <c r="A906" s="23"/>
      <c r="B906" s="23"/>
    </row>
    <row r="907">
      <c r="A907" s="23"/>
      <c r="B907" s="23"/>
    </row>
    <row r="908">
      <c r="A908" s="23"/>
      <c r="B908" s="23"/>
    </row>
    <row r="909">
      <c r="A909" s="23"/>
      <c r="B909" s="23"/>
    </row>
    <row r="910">
      <c r="A910" s="23"/>
      <c r="B910" s="23"/>
    </row>
    <row r="911">
      <c r="A911" s="23"/>
      <c r="B911" s="23"/>
    </row>
    <row r="912">
      <c r="A912" s="23"/>
      <c r="B912" s="23"/>
    </row>
    <row r="913">
      <c r="A913" s="23"/>
      <c r="B913" s="23"/>
    </row>
    <row r="914">
      <c r="A914" s="23"/>
      <c r="B914" s="23"/>
    </row>
    <row r="915">
      <c r="A915" s="23"/>
      <c r="B915" s="23"/>
    </row>
    <row r="916">
      <c r="A916" s="23"/>
      <c r="B916" s="23"/>
    </row>
    <row r="917">
      <c r="A917" s="23"/>
      <c r="B917" s="23"/>
    </row>
    <row r="918">
      <c r="A918" s="23"/>
      <c r="B918" s="23"/>
    </row>
    <row r="919">
      <c r="A919" s="23"/>
      <c r="B919" s="23"/>
    </row>
    <row r="920">
      <c r="A920" s="23"/>
      <c r="B920" s="23"/>
    </row>
    <row r="921">
      <c r="A921" s="23"/>
      <c r="B921" s="23"/>
    </row>
    <row r="922">
      <c r="A922" s="23"/>
      <c r="B922" s="23"/>
    </row>
    <row r="923">
      <c r="A923" s="23"/>
      <c r="B923" s="23"/>
    </row>
    <row r="924">
      <c r="A924" s="23"/>
      <c r="B924" s="23"/>
    </row>
    <row r="925">
      <c r="A925" s="23"/>
      <c r="B925" s="23"/>
    </row>
    <row r="926">
      <c r="A926" s="23"/>
      <c r="B926" s="23"/>
    </row>
    <row r="927">
      <c r="A927" s="23"/>
      <c r="B927" s="23"/>
    </row>
    <row r="928">
      <c r="A928" s="23"/>
      <c r="B928" s="23"/>
    </row>
    <row r="929">
      <c r="A929" s="23"/>
      <c r="B929" s="23"/>
    </row>
    <row r="930">
      <c r="A930" s="23"/>
      <c r="B930" s="23"/>
    </row>
    <row r="931">
      <c r="A931" s="23"/>
      <c r="B931" s="23"/>
    </row>
    <row r="932">
      <c r="A932" s="23"/>
      <c r="B932" s="23"/>
    </row>
    <row r="933">
      <c r="A933" s="23"/>
      <c r="B933" s="23"/>
    </row>
    <row r="934">
      <c r="A934" s="23"/>
      <c r="B934" s="23"/>
    </row>
    <row r="935">
      <c r="A935" s="23"/>
      <c r="B935" s="23"/>
    </row>
    <row r="936">
      <c r="A936" s="23"/>
      <c r="B936" s="23"/>
    </row>
    <row r="937">
      <c r="A937" s="23"/>
      <c r="B937" s="23"/>
    </row>
    <row r="938">
      <c r="A938" s="23"/>
      <c r="B938" s="23"/>
    </row>
    <row r="939">
      <c r="A939" s="23"/>
      <c r="B939" s="23"/>
    </row>
    <row r="940">
      <c r="A940" s="23"/>
      <c r="B940" s="23"/>
    </row>
    <row r="941">
      <c r="A941" s="23"/>
      <c r="B941" s="23"/>
    </row>
    <row r="942">
      <c r="A942" s="23"/>
      <c r="B942" s="23"/>
    </row>
    <row r="943">
      <c r="A943" s="23"/>
      <c r="B943" s="23"/>
    </row>
    <row r="944">
      <c r="A944" s="23"/>
      <c r="B944" s="23"/>
    </row>
    <row r="945">
      <c r="A945" s="23"/>
      <c r="B945" s="23"/>
    </row>
    <row r="946">
      <c r="A946" s="23"/>
      <c r="B946" s="23"/>
    </row>
    <row r="947">
      <c r="A947" s="23"/>
      <c r="B947" s="23"/>
    </row>
    <row r="948">
      <c r="A948" s="23"/>
      <c r="B948" s="23"/>
    </row>
    <row r="949">
      <c r="A949" s="23"/>
      <c r="B949" s="23"/>
    </row>
    <row r="950">
      <c r="A950" s="23"/>
      <c r="B950" s="23"/>
    </row>
    <row r="951">
      <c r="A951" s="23"/>
      <c r="B951" s="23"/>
    </row>
    <row r="952">
      <c r="A952" s="23"/>
      <c r="B952" s="23"/>
    </row>
    <row r="953">
      <c r="A953" s="23"/>
      <c r="B953" s="23"/>
    </row>
    <row r="954">
      <c r="A954" s="23"/>
      <c r="B954" s="23"/>
    </row>
    <row r="955">
      <c r="A955" s="23"/>
      <c r="B955" s="23"/>
    </row>
    <row r="956">
      <c r="A956" s="23"/>
      <c r="B956" s="23"/>
    </row>
    <row r="957">
      <c r="A957" s="23"/>
      <c r="B957" s="23"/>
    </row>
    <row r="958">
      <c r="A958" s="23"/>
      <c r="B958" s="23"/>
    </row>
    <row r="959">
      <c r="A959" s="23"/>
      <c r="B959" s="23"/>
    </row>
    <row r="960">
      <c r="A960" s="23"/>
      <c r="B960" s="23"/>
    </row>
    <row r="961">
      <c r="A961" s="23"/>
      <c r="B961" s="23"/>
    </row>
    <row r="962">
      <c r="A962" s="23"/>
      <c r="B962" s="23"/>
    </row>
    <row r="963">
      <c r="A963" s="23"/>
      <c r="B963" s="23"/>
    </row>
    <row r="964">
      <c r="A964" s="23"/>
      <c r="B964" s="23"/>
    </row>
    <row r="965">
      <c r="A965" s="23"/>
      <c r="B965" s="23"/>
    </row>
    <row r="966">
      <c r="A966" s="23"/>
      <c r="B966" s="23"/>
    </row>
    <row r="967">
      <c r="A967" s="23"/>
      <c r="B967" s="23"/>
    </row>
    <row r="968">
      <c r="A968" s="23"/>
      <c r="B968" s="23"/>
    </row>
    <row r="969">
      <c r="A969" s="23"/>
      <c r="B969" s="23"/>
    </row>
    <row r="970">
      <c r="A970" s="23"/>
      <c r="B970" s="23"/>
    </row>
    <row r="971">
      <c r="A971" s="23"/>
      <c r="B971" s="23"/>
    </row>
    <row r="972">
      <c r="A972" s="23"/>
      <c r="B972" s="23"/>
    </row>
    <row r="973">
      <c r="A973" s="23"/>
      <c r="B973" s="23"/>
    </row>
    <row r="974">
      <c r="A974" s="23"/>
      <c r="B974" s="23"/>
    </row>
    <row r="975">
      <c r="A975" s="23"/>
      <c r="B975" s="23"/>
    </row>
    <row r="976">
      <c r="A976" s="23"/>
      <c r="B976" s="23"/>
    </row>
    <row r="977">
      <c r="A977" s="23"/>
      <c r="B977" s="23"/>
    </row>
    <row r="978">
      <c r="A978" s="23"/>
      <c r="B978" s="23"/>
    </row>
    <row r="979">
      <c r="A979" s="23"/>
      <c r="B979" s="23"/>
    </row>
    <row r="980">
      <c r="A980" s="23"/>
      <c r="B980" s="23"/>
    </row>
    <row r="981">
      <c r="A981" s="23"/>
      <c r="B981" s="23"/>
    </row>
    <row r="982">
      <c r="A982" s="23"/>
      <c r="B982" s="23"/>
    </row>
    <row r="983">
      <c r="A983" s="23"/>
      <c r="B983" s="23"/>
    </row>
    <row r="984">
      <c r="A984" s="23"/>
      <c r="B984" s="23"/>
    </row>
    <row r="985">
      <c r="A985" s="23"/>
      <c r="B985" s="23"/>
    </row>
    <row r="986">
      <c r="A986" s="23"/>
      <c r="B986" s="23"/>
    </row>
    <row r="987">
      <c r="A987" s="23"/>
      <c r="B987" s="23"/>
    </row>
    <row r="988">
      <c r="A988" s="23"/>
      <c r="B988" s="23"/>
    </row>
    <row r="989">
      <c r="A989" s="23"/>
      <c r="B989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66</v>
      </c>
      <c r="B1" s="35" t="s">
        <v>67</v>
      </c>
      <c r="C1" s="35" t="s">
        <v>68</v>
      </c>
      <c r="D1" s="35" t="s">
        <v>69</v>
      </c>
    </row>
    <row r="2">
      <c r="A2" s="9" t="s">
        <v>70</v>
      </c>
      <c r="B2" s="36">
        <f>IF(A2&lt;&gt;"",SUMIFS('การทำธุรกรรม'!E:E,'การทำธุรกรรม'!F:F,A2,'การทำธุรกรรม'!B:B,"รายรับ"),)</f>
        <v>0</v>
      </c>
      <c r="C2" s="36">
        <f>IF(A2&lt;&gt;"",SUMIFS('การทำธุรกรรม'!E:E,'การทำธุรกรรม'!F:F,A2,'การทำธุรกรรม'!B:B,"รายจ่าย"),)</f>
        <v>0</v>
      </c>
      <c r="D2" s="36">
        <f t="shared" ref="D2:D1000" si="1">IF(A2&lt;&gt;"",B2-C2,)</f>
        <v>0</v>
      </c>
    </row>
    <row r="3">
      <c r="A3" s="9" t="s">
        <v>71</v>
      </c>
      <c r="B3" s="36">
        <f>IF(A3&lt;&gt;"",SUMIFS('การทำธุรกรรม'!E:E,'การทำธุรกรรม'!F:F,A3,'การทำธุรกรรม'!B:B,"รายรับ"),)</f>
        <v>0</v>
      </c>
      <c r="C3" s="36">
        <f>IF(A3&lt;&gt;"",SUMIFS('การทำธุรกรรม'!E:E,'การทำธุรกรรม'!F:F,A3,'การทำธุรกรรม'!B:B,"รายจ่าย"),)</f>
        <v>0</v>
      </c>
      <c r="D3" s="36">
        <f t="shared" si="1"/>
        <v>0</v>
      </c>
    </row>
    <row r="4">
      <c r="A4" s="9" t="s">
        <v>72</v>
      </c>
      <c r="B4" s="36">
        <f>IF(A4&lt;&gt;"",SUMIFS('การทำธุรกรรม'!E:E,'การทำธุรกรรม'!F:F,A4,'การทำธุรกรรม'!B:B,"รายรับ"),)</f>
        <v>0</v>
      </c>
      <c r="C4" s="36">
        <f>IF(A4&lt;&gt;"",SUMIFS('การทำธุรกรรม'!E:E,'การทำธุรกรรม'!F:F,A4,'การทำธุรกรรม'!B:B,"รายจ่าย"),)</f>
        <v>0</v>
      </c>
      <c r="D4" s="36">
        <f t="shared" si="1"/>
        <v>0</v>
      </c>
    </row>
    <row r="5">
      <c r="A5" s="9" t="s">
        <v>43</v>
      </c>
      <c r="B5" s="36">
        <f>IF(A5&lt;&gt;"",SUMIFS('การทำธุรกรรม'!E:E,'การทำธุรกรรม'!F:F,A5,'การทำธุรกรรม'!B:B,"รายรับ"),)</f>
        <v>3800</v>
      </c>
      <c r="C5" s="36">
        <f>IF(A5&lt;&gt;"",SUMIFS('การทำธุรกรรม'!E:E,'การทำธุรกรรม'!F:F,A5,'การทำธุรกรรม'!B:B,"รายจ่าย"),)</f>
        <v>2250</v>
      </c>
      <c r="D5" s="36">
        <f t="shared" si="1"/>
        <v>1550</v>
      </c>
    </row>
    <row r="6">
      <c r="A6" s="8"/>
      <c r="B6" s="36" t="str">
        <f>IF(A6&lt;&gt;"",SUMIFS('การทำธุรกรรม'!E:E,'การทำธุรกรรม'!F:F,A6,'การทำธุรกรรม'!B:B,"รายรับ"),)</f>
        <v/>
      </c>
      <c r="C6" s="36" t="str">
        <f>IF(A6&lt;&gt;"",SUMIFS('การทำธุรกรรม'!E:E,'การทำธุรกรรม'!F:F,A6,'การทำธุรกรรม'!B:B,"รายจ่าย"),)</f>
        <v/>
      </c>
      <c r="D6" s="36" t="str">
        <f t="shared" si="1"/>
        <v/>
      </c>
    </row>
    <row r="7">
      <c r="A7" s="8"/>
      <c r="B7" s="36" t="str">
        <f>IF(A7&lt;&gt;"",SUMIFS('การทำธุรกรรม'!E:E,'การทำธุรกรรม'!F:F,A7,'การทำธุรกรรม'!B:B,"รายรับ"),)</f>
        <v/>
      </c>
      <c r="C7" s="36" t="str">
        <f>IF(A7&lt;&gt;"",SUMIFS('การทำธุรกรรม'!E:E,'การทำธุรกรรม'!F:F,A7,'การทำธุรกรรม'!B:B,"รายจ่าย"),)</f>
        <v/>
      </c>
      <c r="D7" s="36" t="str">
        <f t="shared" si="1"/>
        <v/>
      </c>
    </row>
    <row r="8">
      <c r="A8" s="8"/>
      <c r="B8" s="36" t="str">
        <f>IF(A8&lt;&gt;"",SUMIFS('การทำธุรกรรม'!E:E,'การทำธุรกรรม'!F:F,A8,'การทำธุรกรรม'!B:B,"รายรับ"),)</f>
        <v/>
      </c>
      <c r="C8" s="36" t="str">
        <f>IF(A8&lt;&gt;"",SUMIFS('การทำธุรกรรม'!E:E,'การทำธุรกรรม'!F:F,A8,'การทำธุรกรรม'!B:B,"รายจ่าย"),)</f>
        <v/>
      </c>
      <c r="D8" s="36" t="str">
        <f t="shared" si="1"/>
        <v/>
      </c>
    </row>
    <row r="9">
      <c r="A9" s="8"/>
      <c r="B9" s="36" t="str">
        <f>IF(A9&lt;&gt;"",SUMIFS('การทำธุรกรรม'!E:E,'การทำธุรกรรม'!F:F,A9,'การทำธุรกรรม'!B:B,"รายรับ"),)</f>
        <v/>
      </c>
      <c r="C9" s="36" t="str">
        <f>IF(A9&lt;&gt;"",SUMIFS('การทำธุรกรรม'!E:E,'การทำธุรกรรม'!F:F,A9,'การทำธุรกรรม'!B:B,"รายจ่าย"),)</f>
        <v/>
      </c>
      <c r="D9" s="36" t="str">
        <f t="shared" si="1"/>
        <v/>
      </c>
    </row>
    <row r="10">
      <c r="A10" s="8"/>
      <c r="B10" s="36" t="str">
        <f>IF(A10&lt;&gt;"",SUMIFS('การทำธุรกรรม'!E:E,'การทำธุรกรรม'!F:F,A10,'การทำธุรกรรม'!B:B,"รายรับ"),)</f>
        <v/>
      </c>
      <c r="C10" s="36" t="str">
        <f>IF(A10&lt;&gt;"",SUMIFS('การทำธุรกรรม'!E:E,'การทำธุรกรรม'!F:F,A10,'การทำธุรกรรม'!B:B,"รายจ่าย"),)</f>
        <v/>
      </c>
      <c r="D10" s="36" t="str">
        <f t="shared" si="1"/>
        <v/>
      </c>
    </row>
    <row r="11">
      <c r="A11" s="8"/>
      <c r="B11" s="36" t="str">
        <f>IF(A11&lt;&gt;"",SUMIFS('การทำธุรกรรม'!E:E,'การทำธุรกรรม'!F:F,A11,'การทำธุรกรรม'!B:B,"รายรับ"),)</f>
        <v/>
      </c>
      <c r="C11" s="36" t="str">
        <f>IF(A11&lt;&gt;"",SUMIFS('การทำธุรกรรม'!E:E,'การทำธุรกรรม'!F:F,A11,'การทำธุรกรรม'!B:B,"รายจ่าย"),)</f>
        <v/>
      </c>
      <c r="D11" s="36" t="str">
        <f t="shared" si="1"/>
        <v/>
      </c>
    </row>
    <row r="12">
      <c r="A12" s="8"/>
      <c r="B12" s="36" t="str">
        <f>IF(A12&lt;&gt;"",SUMIFS('การทำธุรกรรม'!E:E,'การทำธุรกรรม'!F:F,A12,'การทำธุรกรรม'!B:B,"รายรับ"),)</f>
        <v/>
      </c>
      <c r="C12" s="36" t="str">
        <f>IF(A12&lt;&gt;"",SUMIFS('การทำธุรกรรม'!E:E,'การทำธุรกรรม'!F:F,A12,'การทำธุรกรรม'!B:B,"รายจ่าย"),)</f>
        <v/>
      </c>
      <c r="D12" s="36" t="str">
        <f t="shared" si="1"/>
        <v/>
      </c>
    </row>
    <row r="13">
      <c r="A13" s="8"/>
      <c r="B13" s="36" t="str">
        <f>IF(A13&lt;&gt;"",SUMIFS('การทำธุรกรรม'!E:E,'การทำธุรกรรม'!F:F,A13,'การทำธุรกรรม'!B:B,"รายรับ"),)</f>
        <v/>
      </c>
      <c r="C13" s="36" t="str">
        <f>IF(A13&lt;&gt;"",SUMIFS('การทำธุรกรรม'!E:E,'การทำธุรกรรม'!F:F,A13,'การทำธุรกรรม'!B:B,"รายจ่าย"),)</f>
        <v/>
      </c>
      <c r="D13" s="36" t="str">
        <f t="shared" si="1"/>
        <v/>
      </c>
    </row>
    <row r="14">
      <c r="A14" s="8"/>
      <c r="B14" s="36" t="str">
        <f>IF(A14&lt;&gt;"",SUMIFS('การทำธุรกรรม'!E:E,'การทำธุรกรรม'!F:F,A14,'การทำธุรกรรม'!B:B,"รายรับ"),)</f>
        <v/>
      </c>
      <c r="C14" s="36" t="str">
        <f>IF(A14&lt;&gt;"",SUMIFS('การทำธุรกรรม'!E:E,'การทำธุรกรรม'!F:F,A14,'การทำธุรกรรม'!B:B,"รายจ่าย"),)</f>
        <v/>
      </c>
      <c r="D14" s="36" t="str">
        <f t="shared" si="1"/>
        <v/>
      </c>
    </row>
    <row r="15">
      <c r="A15" s="8"/>
      <c r="B15" s="36" t="str">
        <f>IF(A15&lt;&gt;"",SUMIFS('การทำธุรกรรม'!E:E,'การทำธุรกรรม'!F:F,A15,'การทำธุรกรรม'!B:B,"รายรับ"),)</f>
        <v/>
      </c>
      <c r="C15" s="36" t="str">
        <f>IF(A15&lt;&gt;"",SUMIFS('การทำธุรกรรม'!E:E,'การทำธุรกรรม'!F:F,A15,'การทำธุรกรรม'!B:B,"รายจ่าย"),)</f>
        <v/>
      </c>
      <c r="D15" s="36" t="str">
        <f t="shared" si="1"/>
        <v/>
      </c>
    </row>
    <row r="16">
      <c r="A16" s="8"/>
      <c r="B16" s="36" t="str">
        <f>IF(A16&lt;&gt;"",SUMIFS('การทำธุรกรรม'!E:E,'การทำธุรกรรม'!F:F,A16,'การทำธุรกรรม'!B:B,"รายรับ"),)</f>
        <v/>
      </c>
      <c r="C16" s="36" t="str">
        <f>IF(A16&lt;&gt;"",SUMIFS('การทำธุรกรรม'!E:E,'การทำธุรกรรม'!F:F,A16,'การทำธุรกรรม'!B:B,"รายจ่าย"),)</f>
        <v/>
      </c>
      <c r="D16" s="36" t="str">
        <f t="shared" si="1"/>
        <v/>
      </c>
    </row>
    <row r="17">
      <c r="A17" s="8"/>
      <c r="B17" s="36" t="str">
        <f>IF(A17&lt;&gt;"",SUMIFS('การทำธุรกรรม'!E:E,'การทำธุรกรรม'!F:F,A17,'การทำธุรกรรม'!B:B,"รายรับ"),)</f>
        <v/>
      </c>
      <c r="C17" s="36" t="str">
        <f>IF(A17&lt;&gt;"",SUMIFS('การทำธุรกรรม'!E:E,'การทำธุรกรรม'!F:F,A17,'การทำธุรกรรม'!B:B,"รายจ่าย"),)</f>
        <v/>
      </c>
      <c r="D17" s="36" t="str">
        <f t="shared" si="1"/>
        <v/>
      </c>
    </row>
    <row r="18">
      <c r="A18" s="8"/>
      <c r="B18" s="36" t="str">
        <f>IF(A18&lt;&gt;"",SUMIFS('การทำธุรกรรม'!E:E,'การทำธุรกรรม'!F:F,A18,'การทำธุรกรรม'!B:B,"รายรับ"),)</f>
        <v/>
      </c>
      <c r="C18" s="36" t="str">
        <f>IF(A18&lt;&gt;"",SUMIFS('การทำธุรกรรม'!E:E,'การทำธุรกรรม'!F:F,A18,'การทำธุรกรรม'!B:B,"รายจ่าย"),)</f>
        <v/>
      </c>
      <c r="D18" s="36" t="str">
        <f t="shared" si="1"/>
        <v/>
      </c>
    </row>
    <row r="19">
      <c r="A19" s="8"/>
      <c r="B19" s="36" t="str">
        <f>IF(A19&lt;&gt;"",SUMIFS('การทำธุรกรรม'!E:E,'การทำธุรกรรม'!F:F,A19,'การทำธุรกรรม'!B:B,"รายรับ"),)</f>
        <v/>
      </c>
      <c r="C19" s="36" t="str">
        <f>IF(A19&lt;&gt;"",SUMIFS('การทำธุรกรรม'!E:E,'การทำธุรกรรม'!F:F,A19,'การทำธุรกรรม'!B:B,"รายจ่าย"),)</f>
        <v/>
      </c>
      <c r="D19" s="36" t="str">
        <f t="shared" si="1"/>
        <v/>
      </c>
    </row>
    <row r="20">
      <c r="A20" s="8"/>
      <c r="B20" s="36" t="str">
        <f>IF(A20&lt;&gt;"",SUMIFS('การทำธุรกรรม'!E:E,'การทำธุรกรรม'!F:F,A20,'การทำธุรกรรม'!B:B,"รายรับ"),)</f>
        <v/>
      </c>
      <c r="C20" s="36" t="str">
        <f>IF(A20&lt;&gt;"",SUMIFS('การทำธุรกรรม'!E:E,'การทำธุรกรรม'!F:F,A20,'การทำธุรกรรม'!B:B,"รายจ่าย"),)</f>
        <v/>
      </c>
      <c r="D20" s="36" t="str">
        <f t="shared" si="1"/>
        <v/>
      </c>
    </row>
    <row r="21">
      <c r="A21" s="8"/>
      <c r="B21" s="36" t="str">
        <f>IF(A21&lt;&gt;"",SUMIFS('การทำธุรกรรม'!E:E,'การทำธุรกรรม'!F:F,A21,'การทำธุรกรรม'!B:B,"รายรับ"),)</f>
        <v/>
      </c>
      <c r="C21" s="36" t="str">
        <f>IF(A21&lt;&gt;"",SUMIFS('การทำธุรกรรม'!E:E,'การทำธุรกรรม'!F:F,A21,'การทำธุรกรรม'!B:B,"รายจ่าย"),)</f>
        <v/>
      </c>
      <c r="D21" s="36" t="str">
        <f t="shared" si="1"/>
        <v/>
      </c>
    </row>
    <row r="22">
      <c r="A22" s="8"/>
      <c r="B22" s="36" t="str">
        <f>IF(A22&lt;&gt;"",SUMIFS('การทำธุรกรรม'!E:E,'การทำธุรกรรม'!F:F,A22,'การทำธุรกรรม'!B:B,"รายรับ"),)</f>
        <v/>
      </c>
      <c r="C22" s="36" t="str">
        <f>IF(A22&lt;&gt;"",SUMIFS('การทำธุรกรรม'!E:E,'การทำธุรกรรม'!F:F,A22,'การทำธุรกรรม'!B:B,"รายจ่าย"),)</f>
        <v/>
      </c>
      <c r="D22" s="36" t="str">
        <f t="shared" si="1"/>
        <v/>
      </c>
    </row>
    <row r="23">
      <c r="A23" s="8"/>
      <c r="B23" s="36" t="str">
        <f>IF(A23&lt;&gt;"",SUMIFS('การทำธุรกรรม'!E:E,'การทำธุรกรรม'!F:F,A23,'การทำธุรกรรม'!B:B,"รายรับ"),)</f>
        <v/>
      </c>
      <c r="C23" s="36" t="str">
        <f>IF(A23&lt;&gt;"",SUMIFS('การทำธุรกรรม'!E:E,'การทำธุรกรรม'!F:F,A23,'การทำธุรกรรม'!B:B,"รายจ่าย"),)</f>
        <v/>
      </c>
      <c r="D23" s="36" t="str">
        <f t="shared" si="1"/>
        <v/>
      </c>
    </row>
    <row r="24">
      <c r="A24" s="8"/>
      <c r="B24" s="36" t="str">
        <f>IF(A24&lt;&gt;"",SUMIFS('การทำธุรกรรม'!E:E,'การทำธุรกรรม'!F:F,A24,'การทำธุรกรรม'!B:B,"รายรับ"),)</f>
        <v/>
      </c>
      <c r="C24" s="36" t="str">
        <f>IF(A24&lt;&gt;"",SUMIFS('การทำธุรกรรม'!E:E,'การทำธุรกรรม'!F:F,A24,'การทำธุรกรรม'!B:B,"รายจ่าย"),)</f>
        <v/>
      </c>
      <c r="D24" s="36" t="str">
        <f t="shared" si="1"/>
        <v/>
      </c>
    </row>
    <row r="25">
      <c r="A25" s="8"/>
      <c r="B25" s="36" t="str">
        <f>IF(A25&lt;&gt;"",SUMIFS('การทำธุรกรรม'!E:E,'การทำธุรกรรม'!F:F,A25,'การทำธุรกรรม'!B:B,"รายรับ"),)</f>
        <v/>
      </c>
      <c r="C25" s="36" t="str">
        <f>IF(A25&lt;&gt;"",SUMIFS('การทำธุรกรรม'!E:E,'การทำธุรกรรม'!F:F,A25,'การทำธุรกรรม'!B:B,"รายจ่าย"),)</f>
        <v/>
      </c>
      <c r="D25" s="36" t="str">
        <f t="shared" si="1"/>
        <v/>
      </c>
    </row>
    <row r="26">
      <c r="A26" s="8"/>
      <c r="B26" s="36" t="str">
        <f>IF(A26&lt;&gt;"",SUMIFS('การทำธุรกรรม'!E:E,'การทำธุรกรรม'!F:F,A26,'การทำธุรกรรม'!B:B,"รายรับ"),)</f>
        <v/>
      </c>
      <c r="C26" s="36" t="str">
        <f>IF(A26&lt;&gt;"",SUMIFS('การทำธุรกรรม'!E:E,'การทำธุรกรรม'!F:F,A26,'การทำธุรกรรม'!B:B,"รายจ่าย"),)</f>
        <v/>
      </c>
      <c r="D26" s="36" t="str">
        <f t="shared" si="1"/>
        <v/>
      </c>
    </row>
    <row r="27">
      <c r="A27" s="8"/>
      <c r="B27" s="36" t="str">
        <f>IF(A27&lt;&gt;"",SUMIFS('การทำธุรกรรม'!E:E,'การทำธุรกรรม'!F:F,A27,'การทำธุรกรรม'!B:B,"รายรับ"),)</f>
        <v/>
      </c>
      <c r="C27" s="36" t="str">
        <f>IF(A27&lt;&gt;"",SUMIFS('การทำธุรกรรม'!E:E,'การทำธุรกรรม'!F:F,A27,'การทำธุรกรรม'!B:B,"รายจ่าย"),)</f>
        <v/>
      </c>
      <c r="D27" s="36" t="str">
        <f t="shared" si="1"/>
        <v/>
      </c>
    </row>
    <row r="28">
      <c r="A28" s="8"/>
      <c r="B28" s="36" t="str">
        <f>IF(A28&lt;&gt;"",SUMIFS('การทำธุรกรรม'!E:E,'การทำธุรกรรม'!F:F,A28,'การทำธุรกรรม'!B:B,"รายรับ"),)</f>
        <v/>
      </c>
      <c r="C28" s="36" t="str">
        <f>IF(A28&lt;&gt;"",SUMIFS('การทำธุรกรรม'!E:E,'การทำธุรกรรม'!F:F,A28,'การทำธุรกรรม'!B:B,"รายจ่าย"),)</f>
        <v/>
      </c>
      <c r="D28" s="36" t="str">
        <f t="shared" si="1"/>
        <v/>
      </c>
    </row>
    <row r="29">
      <c r="A29" s="8"/>
      <c r="B29" s="36" t="str">
        <f>IF(A29&lt;&gt;"",SUMIFS('การทำธุรกรรม'!E:E,'การทำธุรกรรม'!F:F,A29,'การทำธุรกรรม'!B:B,"รายรับ"),)</f>
        <v/>
      </c>
      <c r="C29" s="36" t="str">
        <f>IF(A29&lt;&gt;"",SUMIFS('การทำธุรกรรม'!E:E,'การทำธุรกรรม'!F:F,A29,'การทำธุรกรรม'!B:B,"รายจ่าย"),)</f>
        <v/>
      </c>
      <c r="D29" s="36" t="str">
        <f t="shared" si="1"/>
        <v/>
      </c>
    </row>
    <row r="30">
      <c r="A30" s="8"/>
      <c r="B30" s="36" t="str">
        <f>IF(A30&lt;&gt;"",SUMIFS('การทำธุรกรรม'!E:E,'การทำธุรกรรม'!F:F,A30,'การทำธุรกรรม'!B:B,"รายรับ"),)</f>
        <v/>
      </c>
      <c r="C30" s="36" t="str">
        <f>IF(A30&lt;&gt;"",SUMIFS('การทำธุรกรรม'!E:E,'การทำธุรกรรม'!F:F,A30,'การทำธุรกรรม'!B:B,"รายจ่าย"),)</f>
        <v/>
      </c>
      <c r="D30" s="36" t="str">
        <f t="shared" si="1"/>
        <v/>
      </c>
    </row>
    <row r="31">
      <c r="A31" s="8"/>
      <c r="B31" s="36" t="str">
        <f>IF(A31&lt;&gt;"",SUMIFS('การทำธุรกรรม'!E:E,'การทำธุรกรรม'!F:F,A31,'การทำธุรกรรม'!B:B,"รายรับ"),)</f>
        <v/>
      </c>
      <c r="C31" s="36" t="str">
        <f>IF(A31&lt;&gt;"",SUMIFS('การทำธุรกรรม'!E:E,'การทำธุรกรรม'!F:F,A31,'การทำธุรกรรม'!B:B,"รายจ่าย"),)</f>
        <v/>
      </c>
      <c r="D31" s="36" t="str">
        <f t="shared" si="1"/>
        <v/>
      </c>
    </row>
    <row r="32">
      <c r="A32" s="8"/>
      <c r="B32" s="36" t="str">
        <f>IF(A32&lt;&gt;"",SUMIFS('การทำธุรกรรม'!E:E,'การทำธุรกรรม'!F:F,A32,'การทำธุรกรรม'!B:B,"รายรับ"),)</f>
        <v/>
      </c>
      <c r="C32" s="36" t="str">
        <f>IF(A32&lt;&gt;"",SUMIFS('การทำธุรกรรม'!E:E,'การทำธุรกรรม'!F:F,A32,'การทำธุรกรรม'!B:B,"รายจ่าย"),)</f>
        <v/>
      </c>
      <c r="D32" s="36" t="str">
        <f t="shared" si="1"/>
        <v/>
      </c>
    </row>
    <row r="33">
      <c r="A33" s="8"/>
      <c r="B33" s="36" t="str">
        <f>IF(A33&lt;&gt;"",SUMIFS('การทำธุรกรรม'!E:E,'การทำธุรกรรม'!F:F,A33,'การทำธุรกรรม'!B:B,"รายรับ"),)</f>
        <v/>
      </c>
      <c r="C33" s="36" t="str">
        <f>IF(A33&lt;&gt;"",SUMIFS('การทำธุรกรรม'!E:E,'การทำธุรกรรม'!F:F,A33,'การทำธุรกรรม'!B:B,"รายจ่าย"),)</f>
        <v/>
      </c>
      <c r="D33" s="36" t="str">
        <f t="shared" si="1"/>
        <v/>
      </c>
    </row>
    <row r="34">
      <c r="A34" s="8"/>
      <c r="B34" s="36" t="str">
        <f>IF(A34&lt;&gt;"",SUMIFS('การทำธุรกรรม'!E:E,'การทำธุรกรรม'!F:F,A34,'การทำธุรกรรม'!B:B,"รายรับ"),)</f>
        <v/>
      </c>
      <c r="C34" s="36" t="str">
        <f>IF(A34&lt;&gt;"",SUMIFS('การทำธุรกรรม'!E:E,'การทำธุรกรรม'!F:F,A34,'การทำธุรกรรม'!B:B,"รายจ่าย"),)</f>
        <v/>
      </c>
      <c r="D34" s="36" t="str">
        <f t="shared" si="1"/>
        <v/>
      </c>
    </row>
    <row r="35">
      <c r="A35" s="8"/>
      <c r="B35" s="36" t="str">
        <f>IF(A35&lt;&gt;"",SUMIFS('การทำธุรกรรม'!E:E,'การทำธุรกรรม'!F:F,A35,'การทำธุรกรรม'!B:B,"รายรับ"),)</f>
        <v/>
      </c>
      <c r="C35" s="36" t="str">
        <f>IF(A35&lt;&gt;"",SUMIFS('การทำธุรกรรม'!E:E,'การทำธุรกรรม'!F:F,A35,'การทำธุรกรรม'!B:B,"รายจ่าย"),)</f>
        <v/>
      </c>
      <c r="D35" s="36" t="str">
        <f t="shared" si="1"/>
        <v/>
      </c>
    </row>
    <row r="36">
      <c r="A36" s="8"/>
      <c r="B36" s="36" t="str">
        <f>IF(A36&lt;&gt;"",SUMIFS('การทำธุรกรรม'!E:E,'การทำธุรกรรม'!F:F,A36,'การทำธุรกรรม'!B:B,"รายรับ"),)</f>
        <v/>
      </c>
      <c r="C36" s="36" t="str">
        <f>IF(A36&lt;&gt;"",SUMIFS('การทำธุรกรรม'!E:E,'การทำธุรกรรม'!F:F,A36,'การทำธุรกรรม'!B:B,"รายจ่าย"),)</f>
        <v/>
      </c>
      <c r="D36" s="36" t="str">
        <f t="shared" si="1"/>
        <v/>
      </c>
    </row>
    <row r="37">
      <c r="A37" s="8"/>
      <c r="B37" s="36" t="str">
        <f>IF(A37&lt;&gt;"",SUMIFS('การทำธุรกรรม'!E:E,'การทำธุรกรรม'!F:F,A37,'การทำธุรกรรม'!B:B,"รายรับ"),)</f>
        <v/>
      </c>
      <c r="C37" s="36" t="str">
        <f>IF(A37&lt;&gt;"",SUMIFS('การทำธุรกรรม'!E:E,'การทำธุรกรรม'!F:F,A37,'การทำธุรกรรม'!B:B,"รายจ่าย"),)</f>
        <v/>
      </c>
      <c r="D37" s="36" t="str">
        <f t="shared" si="1"/>
        <v/>
      </c>
    </row>
    <row r="38">
      <c r="A38" s="8"/>
      <c r="B38" s="36" t="str">
        <f>IF(A38&lt;&gt;"",SUMIFS('การทำธุรกรรม'!E:E,'การทำธุรกรรม'!F:F,A38,'การทำธุรกรรม'!B:B,"รายรับ"),)</f>
        <v/>
      </c>
      <c r="C38" s="36" t="str">
        <f>IF(A38&lt;&gt;"",SUMIFS('การทำธุรกรรม'!E:E,'การทำธุรกรรม'!F:F,A38,'การทำธุรกรรม'!B:B,"รายจ่าย"),)</f>
        <v/>
      </c>
      <c r="D38" s="36" t="str">
        <f t="shared" si="1"/>
        <v/>
      </c>
    </row>
    <row r="39">
      <c r="A39" s="8"/>
      <c r="B39" s="36" t="str">
        <f>IF(A39&lt;&gt;"",SUMIFS('การทำธุรกรรม'!E:E,'การทำธุรกรรม'!F:F,A39,'การทำธุรกรรม'!B:B,"รายรับ"),)</f>
        <v/>
      </c>
      <c r="C39" s="36" t="str">
        <f>IF(A39&lt;&gt;"",SUMIFS('การทำธุรกรรม'!E:E,'การทำธุรกรรม'!F:F,A39,'การทำธุรกรรม'!B:B,"รายจ่าย"),)</f>
        <v/>
      </c>
      <c r="D39" s="36" t="str">
        <f t="shared" si="1"/>
        <v/>
      </c>
    </row>
    <row r="40">
      <c r="A40" s="8"/>
      <c r="B40" s="36" t="str">
        <f>IF(A40&lt;&gt;"",SUMIFS('การทำธุรกรรม'!E:E,'การทำธุรกรรม'!F:F,A40,'การทำธุรกรรม'!B:B,"รายรับ"),)</f>
        <v/>
      </c>
      <c r="C40" s="36" t="str">
        <f>IF(A40&lt;&gt;"",SUMIFS('การทำธุรกรรม'!E:E,'การทำธุรกรรม'!F:F,A40,'การทำธุรกรรม'!B:B,"รายจ่าย"),)</f>
        <v/>
      </c>
      <c r="D40" s="36" t="str">
        <f t="shared" si="1"/>
        <v/>
      </c>
    </row>
    <row r="41">
      <c r="A41" s="8"/>
      <c r="B41" s="36" t="str">
        <f>IF(A41&lt;&gt;"",SUMIFS('การทำธุรกรรม'!E:E,'การทำธุรกรรม'!F:F,A41,'การทำธุรกรรม'!B:B,"รายรับ"),)</f>
        <v/>
      </c>
      <c r="C41" s="36" t="str">
        <f>IF(A41&lt;&gt;"",SUMIFS('การทำธุรกรรม'!E:E,'การทำธุรกรรม'!F:F,A41,'การทำธุรกรรม'!B:B,"รายจ่าย"),)</f>
        <v/>
      </c>
      <c r="D41" s="36" t="str">
        <f t="shared" si="1"/>
        <v/>
      </c>
    </row>
    <row r="42">
      <c r="A42" s="8"/>
      <c r="B42" s="36" t="str">
        <f>IF(A42&lt;&gt;"",SUMIFS('การทำธุรกรรม'!E:E,'การทำธุรกรรม'!F:F,A42,'การทำธุรกรรม'!B:B,"รายรับ"),)</f>
        <v/>
      </c>
      <c r="C42" s="36" t="str">
        <f>IF(A42&lt;&gt;"",SUMIFS('การทำธุรกรรม'!E:E,'การทำธุรกรรม'!F:F,A42,'การทำธุรกรรม'!B:B,"รายจ่าย"),)</f>
        <v/>
      </c>
      <c r="D42" s="36" t="str">
        <f t="shared" si="1"/>
        <v/>
      </c>
    </row>
    <row r="43">
      <c r="A43" s="8"/>
      <c r="B43" s="36" t="str">
        <f>IF(A43&lt;&gt;"",SUMIFS('การทำธุรกรรม'!E:E,'การทำธุรกรรม'!F:F,A43,'การทำธุรกรรม'!B:B,"รายรับ"),)</f>
        <v/>
      </c>
      <c r="C43" s="36" t="str">
        <f>IF(A43&lt;&gt;"",SUMIFS('การทำธุรกรรม'!E:E,'การทำธุรกรรม'!F:F,A43,'การทำธุรกรรม'!B:B,"รายจ่าย"),)</f>
        <v/>
      </c>
      <c r="D43" s="36" t="str">
        <f t="shared" si="1"/>
        <v/>
      </c>
    </row>
    <row r="44">
      <c r="A44" s="8"/>
      <c r="B44" s="36" t="str">
        <f>IF(A44&lt;&gt;"",SUMIFS('การทำธุรกรรม'!E:E,'การทำธุรกรรม'!F:F,A44,'การทำธุรกรรม'!B:B,"รายรับ"),)</f>
        <v/>
      </c>
      <c r="C44" s="36" t="str">
        <f>IF(A44&lt;&gt;"",SUMIFS('การทำธุรกรรม'!E:E,'การทำธุรกรรม'!F:F,A44,'การทำธุรกรรม'!B:B,"รายจ่าย"),)</f>
        <v/>
      </c>
      <c r="D44" s="36" t="str">
        <f t="shared" si="1"/>
        <v/>
      </c>
    </row>
    <row r="45">
      <c r="A45" s="8"/>
      <c r="B45" s="36" t="str">
        <f>IF(A45&lt;&gt;"",SUMIFS('การทำธุรกรรม'!E:E,'การทำธุรกรรม'!F:F,A45,'การทำธุรกรรม'!B:B,"รายรับ"),)</f>
        <v/>
      </c>
      <c r="C45" s="36" t="str">
        <f>IF(A45&lt;&gt;"",SUMIFS('การทำธุรกรรม'!E:E,'การทำธุรกรรม'!F:F,A45,'การทำธุรกรรม'!B:B,"รายจ่าย"),)</f>
        <v/>
      </c>
      <c r="D45" s="36" t="str">
        <f t="shared" si="1"/>
        <v/>
      </c>
    </row>
    <row r="46">
      <c r="A46" s="8"/>
      <c r="B46" s="36" t="str">
        <f>IF(A46&lt;&gt;"",SUMIFS('การทำธุรกรรม'!E:E,'การทำธุรกรรม'!F:F,A46,'การทำธุรกรรม'!B:B,"รายรับ"),)</f>
        <v/>
      </c>
      <c r="C46" s="36" t="str">
        <f>IF(A46&lt;&gt;"",SUMIFS('การทำธุรกรรม'!E:E,'การทำธุรกรรม'!F:F,A46,'การทำธุรกรรม'!B:B,"รายจ่าย"),)</f>
        <v/>
      </c>
      <c r="D46" s="36" t="str">
        <f t="shared" si="1"/>
        <v/>
      </c>
    </row>
    <row r="47">
      <c r="A47" s="8"/>
      <c r="B47" s="36" t="str">
        <f>IF(A47&lt;&gt;"",SUMIFS('การทำธุรกรรม'!E:E,'การทำธุรกรรม'!F:F,A47,'การทำธุรกรรม'!B:B,"รายรับ"),)</f>
        <v/>
      </c>
      <c r="C47" s="36" t="str">
        <f>IF(A47&lt;&gt;"",SUMIFS('การทำธุรกรรม'!E:E,'การทำธุรกรรม'!F:F,A47,'การทำธุรกรรม'!B:B,"รายจ่าย"),)</f>
        <v/>
      </c>
      <c r="D47" s="36" t="str">
        <f t="shared" si="1"/>
        <v/>
      </c>
    </row>
    <row r="48">
      <c r="A48" s="8"/>
      <c r="B48" s="36" t="str">
        <f>IF(A48&lt;&gt;"",SUMIFS('การทำธุรกรรม'!E:E,'การทำธุรกรรม'!F:F,A48,'การทำธุรกรรม'!B:B,"รายรับ"),)</f>
        <v/>
      </c>
      <c r="C48" s="36" t="str">
        <f>IF(A48&lt;&gt;"",SUMIFS('การทำธุรกรรม'!E:E,'การทำธุรกรรม'!F:F,A48,'การทำธุรกรรม'!B:B,"รายจ่าย"),)</f>
        <v/>
      </c>
      <c r="D48" s="36" t="str">
        <f t="shared" si="1"/>
        <v/>
      </c>
    </row>
    <row r="49">
      <c r="A49" s="8"/>
      <c r="B49" s="36" t="str">
        <f>IF(A49&lt;&gt;"",SUMIFS('การทำธุรกรรม'!E:E,'การทำธุรกรรม'!F:F,A49,'การทำธุรกรรม'!B:B,"รายรับ"),)</f>
        <v/>
      </c>
      <c r="C49" s="36" t="str">
        <f>IF(A49&lt;&gt;"",SUMIFS('การทำธุรกรรม'!E:E,'การทำธุรกรรม'!F:F,A49,'การทำธุรกรรม'!B:B,"รายจ่าย"),)</f>
        <v/>
      </c>
      <c r="D49" s="36" t="str">
        <f t="shared" si="1"/>
        <v/>
      </c>
    </row>
    <row r="50">
      <c r="A50" s="8"/>
      <c r="B50" s="36" t="str">
        <f>IF(A50&lt;&gt;"",SUMIFS('การทำธุรกรรม'!E:E,'การทำธุรกรรม'!F:F,A50,'การทำธุรกรรม'!B:B,"รายรับ"),)</f>
        <v/>
      </c>
      <c r="C50" s="36" t="str">
        <f>IF(A50&lt;&gt;"",SUMIFS('การทำธุรกรรม'!E:E,'การทำธุรกรรม'!F:F,A50,'การทำธุรกรรม'!B:B,"รายจ่าย"),)</f>
        <v/>
      </c>
      <c r="D50" s="36" t="str">
        <f t="shared" si="1"/>
        <v/>
      </c>
    </row>
    <row r="51">
      <c r="A51" s="8"/>
      <c r="B51" s="36" t="str">
        <f>IF(A51&lt;&gt;"",SUMIFS('การทำธุรกรรม'!E:E,'การทำธุรกรรม'!F:F,A51,'การทำธุรกรรม'!B:B,"รายรับ"),)</f>
        <v/>
      </c>
      <c r="C51" s="36" t="str">
        <f>IF(A51&lt;&gt;"",SUMIFS('การทำธุรกรรม'!E:E,'การทำธุรกรรม'!F:F,A51,'การทำธุรกรรม'!B:B,"รายจ่าย"),)</f>
        <v/>
      </c>
      <c r="D51" s="36" t="str">
        <f t="shared" si="1"/>
        <v/>
      </c>
    </row>
    <row r="52">
      <c r="A52" s="8"/>
      <c r="B52" s="36" t="str">
        <f>IF(A52&lt;&gt;"",SUMIFS('การทำธุรกรรม'!E:E,'การทำธุรกรรม'!F:F,A52,'การทำธุรกรรม'!B:B,"รายรับ"),)</f>
        <v/>
      </c>
      <c r="C52" s="36" t="str">
        <f>IF(A52&lt;&gt;"",SUMIFS('การทำธุรกรรม'!E:E,'การทำธุรกรรม'!F:F,A52,'การทำธุรกรรม'!B:B,"รายจ่าย"),)</f>
        <v/>
      </c>
      <c r="D52" s="36" t="str">
        <f t="shared" si="1"/>
        <v/>
      </c>
    </row>
    <row r="53">
      <c r="A53" s="8"/>
      <c r="B53" s="36" t="str">
        <f>IF(A53&lt;&gt;"",SUMIFS('การทำธุรกรรม'!E:E,'การทำธุรกรรม'!F:F,A53,'การทำธุรกรรม'!B:B,"รายรับ"),)</f>
        <v/>
      </c>
      <c r="C53" s="36" t="str">
        <f>IF(A53&lt;&gt;"",SUMIFS('การทำธุรกรรม'!E:E,'การทำธุรกรรม'!F:F,A53,'การทำธุรกรรม'!B:B,"รายจ่าย"),)</f>
        <v/>
      </c>
      <c r="D53" s="36" t="str">
        <f t="shared" si="1"/>
        <v/>
      </c>
    </row>
    <row r="54">
      <c r="A54" s="8"/>
      <c r="B54" s="36" t="str">
        <f>IF(A54&lt;&gt;"",SUMIFS('การทำธุรกรรม'!E:E,'การทำธุรกรรม'!F:F,A54,'การทำธุรกรรม'!B:B,"รายรับ"),)</f>
        <v/>
      </c>
      <c r="C54" s="36" t="str">
        <f>IF(A54&lt;&gt;"",SUMIFS('การทำธุรกรรม'!E:E,'การทำธุรกรรม'!F:F,A54,'การทำธุรกรรม'!B:B,"รายจ่าย"),)</f>
        <v/>
      </c>
      <c r="D54" s="36" t="str">
        <f t="shared" si="1"/>
        <v/>
      </c>
    </row>
    <row r="55">
      <c r="A55" s="8"/>
      <c r="B55" s="36" t="str">
        <f>IF(A55&lt;&gt;"",SUMIFS('การทำธุรกรรม'!E:E,'การทำธุรกรรม'!F:F,A55,'การทำธุรกรรม'!B:B,"รายรับ"),)</f>
        <v/>
      </c>
      <c r="C55" s="36" t="str">
        <f>IF(A55&lt;&gt;"",SUMIFS('การทำธุรกรรม'!E:E,'การทำธุรกรรม'!F:F,A55,'การทำธุรกรรม'!B:B,"รายจ่าย"),)</f>
        <v/>
      </c>
      <c r="D55" s="36" t="str">
        <f t="shared" si="1"/>
        <v/>
      </c>
    </row>
    <row r="56">
      <c r="A56" s="8"/>
      <c r="B56" s="36" t="str">
        <f>IF(A56&lt;&gt;"",SUMIFS('การทำธุรกรรม'!E:E,'การทำธุรกรรม'!F:F,A56,'การทำธุรกรรม'!B:B,"รายรับ"),)</f>
        <v/>
      </c>
      <c r="C56" s="36" t="str">
        <f>IF(A56&lt;&gt;"",SUMIFS('การทำธุรกรรม'!E:E,'การทำธุรกรรม'!F:F,A56,'การทำธุรกรรม'!B:B,"รายจ่าย"),)</f>
        <v/>
      </c>
      <c r="D56" s="36" t="str">
        <f t="shared" si="1"/>
        <v/>
      </c>
    </row>
    <row r="57">
      <c r="A57" s="8"/>
      <c r="B57" s="36" t="str">
        <f>IF(A57&lt;&gt;"",SUMIFS('การทำธุรกรรม'!E:E,'การทำธุรกรรม'!F:F,A57,'การทำธุรกรรม'!B:B,"รายรับ"),)</f>
        <v/>
      </c>
      <c r="C57" s="36" t="str">
        <f>IF(A57&lt;&gt;"",SUMIFS('การทำธุรกรรม'!E:E,'การทำธุรกรรม'!F:F,A57,'การทำธุรกรรม'!B:B,"รายจ่าย"),)</f>
        <v/>
      </c>
      <c r="D57" s="36" t="str">
        <f t="shared" si="1"/>
        <v/>
      </c>
    </row>
    <row r="58">
      <c r="A58" s="8"/>
      <c r="B58" s="36" t="str">
        <f>IF(A58&lt;&gt;"",SUMIFS('การทำธุรกรรม'!E:E,'การทำธุรกรรม'!F:F,A58,'การทำธุรกรรม'!B:B,"รายรับ"),)</f>
        <v/>
      </c>
      <c r="C58" s="36" t="str">
        <f>IF(A58&lt;&gt;"",SUMIFS('การทำธุรกรรม'!E:E,'การทำธุรกรรม'!F:F,A58,'การทำธุรกรรม'!B:B,"รายจ่าย"),)</f>
        <v/>
      </c>
      <c r="D58" s="36" t="str">
        <f t="shared" si="1"/>
        <v/>
      </c>
    </row>
    <row r="59">
      <c r="A59" s="8"/>
      <c r="B59" s="36" t="str">
        <f>IF(A59&lt;&gt;"",SUMIFS('การทำธุรกรรม'!E:E,'การทำธุรกรรม'!F:F,A59,'การทำธุรกรรม'!B:B,"รายรับ"),)</f>
        <v/>
      </c>
      <c r="C59" s="36" t="str">
        <f>IF(A59&lt;&gt;"",SUMIFS('การทำธุรกรรม'!E:E,'การทำธุรกรรม'!F:F,A59,'การทำธุรกรรม'!B:B,"รายจ่าย"),)</f>
        <v/>
      </c>
      <c r="D59" s="36" t="str">
        <f t="shared" si="1"/>
        <v/>
      </c>
    </row>
    <row r="60">
      <c r="A60" s="8"/>
      <c r="B60" s="36" t="str">
        <f>IF(A60&lt;&gt;"",SUMIFS('การทำธุรกรรม'!E:E,'การทำธุรกรรม'!F:F,A60,'การทำธุรกรรม'!B:B,"รายรับ"),)</f>
        <v/>
      </c>
      <c r="C60" s="36" t="str">
        <f>IF(A60&lt;&gt;"",SUMIFS('การทำธุรกรรม'!E:E,'การทำธุรกรรม'!F:F,A60,'การทำธุรกรรม'!B:B,"รายจ่าย"),)</f>
        <v/>
      </c>
      <c r="D60" s="36" t="str">
        <f t="shared" si="1"/>
        <v/>
      </c>
    </row>
    <row r="61">
      <c r="A61" s="8"/>
      <c r="B61" s="36" t="str">
        <f>IF(A61&lt;&gt;"",SUMIFS('การทำธุรกรรม'!E:E,'การทำธุรกรรม'!F:F,A61,'การทำธุรกรรม'!B:B,"รายรับ"),)</f>
        <v/>
      </c>
      <c r="C61" s="36" t="str">
        <f>IF(A61&lt;&gt;"",SUMIFS('การทำธุรกรรม'!E:E,'การทำธุรกรรม'!F:F,A61,'การทำธุรกรรม'!B:B,"รายจ่าย"),)</f>
        <v/>
      </c>
      <c r="D61" s="36" t="str">
        <f t="shared" si="1"/>
        <v/>
      </c>
    </row>
    <row r="62">
      <c r="A62" s="8"/>
      <c r="B62" s="36" t="str">
        <f>IF(A62&lt;&gt;"",SUMIFS('การทำธุรกรรม'!E:E,'การทำธุรกรรม'!F:F,A62,'การทำธุรกรรม'!B:B,"รายรับ"),)</f>
        <v/>
      </c>
      <c r="C62" s="36" t="str">
        <f>IF(A62&lt;&gt;"",SUMIFS('การทำธุรกรรม'!E:E,'การทำธุรกรรม'!F:F,A62,'การทำธุรกรรม'!B:B,"รายจ่าย"),)</f>
        <v/>
      </c>
      <c r="D62" s="36" t="str">
        <f t="shared" si="1"/>
        <v/>
      </c>
    </row>
    <row r="63">
      <c r="A63" s="8"/>
      <c r="B63" s="36" t="str">
        <f>IF(A63&lt;&gt;"",SUMIFS('การทำธุรกรรม'!E:E,'การทำธุรกรรม'!F:F,A63,'การทำธุรกรรม'!B:B,"รายรับ"),)</f>
        <v/>
      </c>
      <c r="C63" s="36" t="str">
        <f>IF(A63&lt;&gt;"",SUMIFS('การทำธุรกรรม'!E:E,'การทำธุรกรรม'!F:F,A63,'การทำธุรกรรม'!B:B,"รายจ่าย"),)</f>
        <v/>
      </c>
      <c r="D63" s="36" t="str">
        <f t="shared" si="1"/>
        <v/>
      </c>
    </row>
    <row r="64">
      <c r="A64" s="8"/>
      <c r="B64" s="36" t="str">
        <f>IF(A64&lt;&gt;"",SUMIFS('การทำธุรกรรม'!E:E,'การทำธุรกรรม'!F:F,A64,'การทำธุรกรรม'!B:B,"รายรับ"),)</f>
        <v/>
      </c>
      <c r="C64" s="36" t="str">
        <f>IF(A64&lt;&gt;"",SUMIFS('การทำธุรกรรม'!E:E,'การทำธุรกรรม'!F:F,A64,'การทำธุรกรรม'!B:B,"รายจ่าย"),)</f>
        <v/>
      </c>
      <c r="D64" s="36" t="str">
        <f t="shared" si="1"/>
        <v/>
      </c>
    </row>
    <row r="65">
      <c r="A65" s="8"/>
      <c r="B65" s="36" t="str">
        <f>IF(A65&lt;&gt;"",SUMIFS('การทำธุรกรรม'!E:E,'การทำธุรกรรม'!F:F,A65,'การทำธุรกรรม'!B:B,"รายรับ"),)</f>
        <v/>
      </c>
      <c r="C65" s="36" t="str">
        <f>IF(A65&lt;&gt;"",SUMIFS('การทำธุรกรรม'!E:E,'การทำธุรกรรม'!F:F,A65,'การทำธุรกรรม'!B:B,"รายจ่าย"),)</f>
        <v/>
      </c>
      <c r="D65" s="36" t="str">
        <f t="shared" si="1"/>
        <v/>
      </c>
    </row>
    <row r="66">
      <c r="A66" s="8"/>
      <c r="B66" s="36" t="str">
        <f>IF(A66&lt;&gt;"",SUMIFS('การทำธุรกรรม'!E:E,'การทำธุรกรรม'!F:F,A66,'การทำธุรกรรม'!B:B,"รายรับ"),)</f>
        <v/>
      </c>
      <c r="C66" s="36" t="str">
        <f>IF(A66&lt;&gt;"",SUMIFS('การทำธุรกรรม'!E:E,'การทำธุรกรรม'!F:F,A66,'การทำธุรกรรม'!B:B,"รายจ่าย"),)</f>
        <v/>
      </c>
      <c r="D66" s="36" t="str">
        <f t="shared" si="1"/>
        <v/>
      </c>
    </row>
    <row r="67">
      <c r="A67" s="8"/>
      <c r="B67" s="36" t="str">
        <f>IF(A67&lt;&gt;"",SUMIFS('การทำธุรกรรม'!E:E,'การทำธุรกรรม'!F:F,A67,'การทำธุรกรรม'!B:B,"รายรับ"),)</f>
        <v/>
      </c>
      <c r="C67" s="36" t="str">
        <f>IF(A67&lt;&gt;"",SUMIFS('การทำธุรกรรม'!E:E,'การทำธุรกรรม'!F:F,A67,'การทำธุรกรรม'!B:B,"รายจ่าย"),)</f>
        <v/>
      </c>
      <c r="D67" s="36" t="str">
        <f t="shared" si="1"/>
        <v/>
      </c>
    </row>
    <row r="68">
      <c r="A68" s="8"/>
      <c r="B68" s="36" t="str">
        <f>IF(A68&lt;&gt;"",SUMIFS('การทำธุรกรรม'!E:E,'การทำธุรกรรม'!F:F,A68,'การทำธุรกรรม'!B:B,"รายรับ"),)</f>
        <v/>
      </c>
      <c r="C68" s="36" t="str">
        <f>IF(A68&lt;&gt;"",SUMIFS('การทำธุรกรรม'!E:E,'การทำธุรกรรม'!F:F,A68,'การทำธุรกรรม'!B:B,"รายจ่าย"),)</f>
        <v/>
      </c>
      <c r="D68" s="36" t="str">
        <f t="shared" si="1"/>
        <v/>
      </c>
    </row>
    <row r="69">
      <c r="A69" s="8"/>
      <c r="B69" s="36" t="str">
        <f>IF(A69&lt;&gt;"",SUMIFS('การทำธุรกรรม'!E:E,'การทำธุรกรรม'!F:F,A69,'การทำธุรกรรม'!B:B,"รายรับ"),)</f>
        <v/>
      </c>
      <c r="C69" s="36" t="str">
        <f>IF(A69&lt;&gt;"",SUMIFS('การทำธุรกรรม'!E:E,'การทำธุรกรรม'!F:F,A69,'การทำธุรกรรม'!B:B,"รายจ่าย"),)</f>
        <v/>
      </c>
      <c r="D69" s="36" t="str">
        <f t="shared" si="1"/>
        <v/>
      </c>
    </row>
    <row r="70">
      <c r="A70" s="8"/>
      <c r="B70" s="36" t="str">
        <f>IF(A70&lt;&gt;"",SUMIFS('การทำธุรกรรม'!E:E,'การทำธุรกรรม'!F:F,A70,'การทำธุรกรรม'!B:B,"รายรับ"),)</f>
        <v/>
      </c>
      <c r="C70" s="36" t="str">
        <f>IF(A70&lt;&gt;"",SUMIFS('การทำธุรกรรม'!E:E,'การทำธุรกรรม'!F:F,A70,'การทำธุรกรรม'!B:B,"รายจ่าย"),)</f>
        <v/>
      </c>
      <c r="D70" s="36" t="str">
        <f t="shared" si="1"/>
        <v/>
      </c>
    </row>
    <row r="71">
      <c r="A71" s="8"/>
      <c r="B71" s="36" t="str">
        <f>IF(A71&lt;&gt;"",SUMIFS('การทำธุรกรรม'!E:E,'การทำธุรกรรม'!F:F,A71,'การทำธุรกรรม'!B:B,"รายรับ"),)</f>
        <v/>
      </c>
      <c r="C71" s="36" t="str">
        <f>IF(A71&lt;&gt;"",SUMIFS('การทำธุรกรรม'!E:E,'การทำธุรกรรม'!F:F,A71,'การทำธุรกรรม'!B:B,"รายจ่าย"),)</f>
        <v/>
      </c>
      <c r="D71" s="36" t="str">
        <f t="shared" si="1"/>
        <v/>
      </c>
    </row>
    <row r="72">
      <c r="A72" s="8"/>
      <c r="B72" s="36" t="str">
        <f>IF(A72&lt;&gt;"",SUMIFS('การทำธุรกรรม'!E:E,'การทำธุรกรรม'!F:F,A72,'การทำธุรกรรม'!B:B,"รายรับ"),)</f>
        <v/>
      </c>
      <c r="C72" s="36" t="str">
        <f>IF(A72&lt;&gt;"",SUMIFS('การทำธุรกรรม'!E:E,'การทำธุรกรรม'!F:F,A72,'การทำธุรกรรม'!B:B,"รายจ่าย"),)</f>
        <v/>
      </c>
      <c r="D72" s="36" t="str">
        <f t="shared" si="1"/>
        <v/>
      </c>
    </row>
    <row r="73">
      <c r="A73" s="8"/>
      <c r="B73" s="36" t="str">
        <f>IF(A73&lt;&gt;"",SUMIFS('การทำธุรกรรม'!E:E,'การทำธุรกรรม'!F:F,A73,'การทำธุรกรรม'!B:B,"รายรับ"),)</f>
        <v/>
      </c>
      <c r="C73" s="36" t="str">
        <f>IF(A73&lt;&gt;"",SUMIFS('การทำธุรกรรม'!E:E,'การทำธุรกรรม'!F:F,A73,'การทำธุรกรรม'!B:B,"รายจ่าย"),)</f>
        <v/>
      </c>
      <c r="D73" s="36" t="str">
        <f t="shared" si="1"/>
        <v/>
      </c>
    </row>
    <row r="74">
      <c r="A74" s="8"/>
      <c r="B74" s="36" t="str">
        <f>IF(A74&lt;&gt;"",SUMIFS('การทำธุรกรรม'!E:E,'การทำธุรกรรม'!F:F,A74,'การทำธุรกรรม'!B:B,"รายรับ"),)</f>
        <v/>
      </c>
      <c r="C74" s="36" t="str">
        <f>IF(A74&lt;&gt;"",SUMIFS('การทำธุรกรรม'!E:E,'การทำธุรกรรม'!F:F,A74,'การทำธุรกรรม'!B:B,"รายจ่าย"),)</f>
        <v/>
      </c>
      <c r="D74" s="36" t="str">
        <f t="shared" si="1"/>
        <v/>
      </c>
    </row>
    <row r="75">
      <c r="A75" s="8"/>
      <c r="B75" s="36" t="str">
        <f>IF(A75&lt;&gt;"",SUMIFS('การทำธุรกรรม'!E:E,'การทำธุรกรรม'!F:F,A75,'การทำธุรกรรม'!B:B,"รายรับ"),)</f>
        <v/>
      </c>
      <c r="C75" s="36" t="str">
        <f>IF(A75&lt;&gt;"",SUMIFS('การทำธุรกรรม'!E:E,'การทำธุรกรรม'!F:F,A75,'การทำธุรกรรม'!B:B,"รายจ่าย"),)</f>
        <v/>
      </c>
      <c r="D75" s="36" t="str">
        <f t="shared" si="1"/>
        <v/>
      </c>
    </row>
    <row r="76">
      <c r="A76" s="8"/>
      <c r="B76" s="36" t="str">
        <f>IF(A76&lt;&gt;"",SUMIFS('การทำธุรกรรม'!E:E,'การทำธุรกรรม'!F:F,A76,'การทำธุรกรรม'!B:B,"รายรับ"),)</f>
        <v/>
      </c>
      <c r="C76" s="36" t="str">
        <f>IF(A76&lt;&gt;"",SUMIFS('การทำธุรกรรม'!E:E,'การทำธุรกรรม'!F:F,A76,'การทำธุรกรรม'!B:B,"รายจ่าย"),)</f>
        <v/>
      </c>
      <c r="D76" s="36" t="str">
        <f t="shared" si="1"/>
        <v/>
      </c>
    </row>
    <row r="77">
      <c r="A77" s="8"/>
      <c r="B77" s="36" t="str">
        <f>IF(A77&lt;&gt;"",SUMIFS('การทำธุรกรรม'!E:E,'การทำธุรกรรม'!F:F,A77,'การทำธุรกรรม'!B:B,"รายรับ"),)</f>
        <v/>
      </c>
      <c r="C77" s="36" t="str">
        <f>IF(A77&lt;&gt;"",SUMIFS('การทำธุรกรรม'!E:E,'การทำธุรกรรม'!F:F,A77,'การทำธุรกรรม'!B:B,"รายจ่าย"),)</f>
        <v/>
      </c>
      <c r="D77" s="36" t="str">
        <f t="shared" si="1"/>
        <v/>
      </c>
    </row>
    <row r="78">
      <c r="A78" s="8"/>
      <c r="B78" s="36" t="str">
        <f>IF(A78&lt;&gt;"",SUMIFS('การทำธุรกรรม'!E:E,'การทำธุรกรรม'!F:F,A78,'การทำธุรกรรม'!B:B,"รายรับ"),)</f>
        <v/>
      </c>
      <c r="C78" s="36" t="str">
        <f>IF(A78&lt;&gt;"",SUMIFS('การทำธุรกรรม'!E:E,'การทำธุรกรรม'!F:F,A78,'การทำธุรกรรม'!B:B,"รายจ่าย"),)</f>
        <v/>
      </c>
      <c r="D78" s="36" t="str">
        <f t="shared" si="1"/>
        <v/>
      </c>
    </row>
    <row r="79">
      <c r="A79" s="8"/>
      <c r="B79" s="36" t="str">
        <f>IF(A79&lt;&gt;"",SUMIFS('การทำธุรกรรม'!E:E,'การทำธุรกรรม'!F:F,A79,'การทำธุรกรรม'!B:B,"รายรับ"),)</f>
        <v/>
      </c>
      <c r="C79" s="36" t="str">
        <f>IF(A79&lt;&gt;"",SUMIFS('การทำธุรกรรม'!E:E,'การทำธุรกรรม'!F:F,A79,'การทำธุรกรรม'!B:B,"รายจ่าย"),)</f>
        <v/>
      </c>
      <c r="D79" s="36" t="str">
        <f t="shared" si="1"/>
        <v/>
      </c>
    </row>
    <row r="80">
      <c r="A80" s="8"/>
      <c r="B80" s="36" t="str">
        <f>IF(A80&lt;&gt;"",SUMIFS('การทำธุรกรรม'!E:E,'การทำธุรกรรม'!F:F,A80,'การทำธุรกรรม'!B:B,"รายรับ"),)</f>
        <v/>
      </c>
      <c r="C80" s="36" t="str">
        <f>IF(A80&lt;&gt;"",SUMIFS('การทำธุรกรรม'!E:E,'การทำธุรกรรม'!F:F,A80,'การทำธุรกรรม'!B:B,"รายจ่าย"),)</f>
        <v/>
      </c>
      <c r="D80" s="36" t="str">
        <f t="shared" si="1"/>
        <v/>
      </c>
    </row>
    <row r="81">
      <c r="A81" s="8"/>
      <c r="B81" s="36" t="str">
        <f>IF(A81&lt;&gt;"",SUMIFS('การทำธุรกรรม'!E:E,'การทำธุรกรรม'!F:F,A81,'การทำธุรกรรม'!B:B,"รายรับ"),)</f>
        <v/>
      </c>
      <c r="C81" s="36" t="str">
        <f>IF(A81&lt;&gt;"",SUMIFS('การทำธุรกรรม'!E:E,'การทำธุรกรรม'!F:F,A81,'การทำธุรกรรม'!B:B,"รายจ่าย"),)</f>
        <v/>
      </c>
      <c r="D81" s="36" t="str">
        <f t="shared" si="1"/>
        <v/>
      </c>
    </row>
    <row r="82">
      <c r="A82" s="8"/>
      <c r="B82" s="36" t="str">
        <f>IF(A82&lt;&gt;"",SUMIFS('การทำธุรกรรม'!E:E,'การทำธุรกรรม'!F:F,A82,'การทำธุรกรรม'!B:B,"รายรับ"),)</f>
        <v/>
      </c>
      <c r="C82" s="36" t="str">
        <f>IF(A82&lt;&gt;"",SUMIFS('การทำธุรกรรม'!E:E,'การทำธุรกรรม'!F:F,A82,'การทำธุรกรรม'!B:B,"รายจ่าย"),)</f>
        <v/>
      </c>
      <c r="D82" s="36" t="str">
        <f t="shared" si="1"/>
        <v/>
      </c>
    </row>
    <row r="83">
      <c r="A83" s="8"/>
      <c r="B83" s="36" t="str">
        <f>IF(A83&lt;&gt;"",SUMIFS('การทำธุรกรรม'!E:E,'การทำธุรกรรม'!F:F,A83,'การทำธุรกรรม'!B:B,"รายรับ"),)</f>
        <v/>
      </c>
      <c r="C83" s="36" t="str">
        <f>IF(A83&lt;&gt;"",SUMIFS('การทำธุรกรรม'!E:E,'การทำธุรกรรม'!F:F,A83,'การทำธุรกรรม'!B:B,"รายจ่าย"),)</f>
        <v/>
      </c>
      <c r="D83" s="36" t="str">
        <f t="shared" si="1"/>
        <v/>
      </c>
    </row>
    <row r="84">
      <c r="A84" s="8"/>
      <c r="B84" s="36" t="str">
        <f>IF(A84&lt;&gt;"",SUMIFS('การทำธุรกรรม'!E:E,'การทำธุรกรรม'!F:F,A84,'การทำธุรกรรม'!B:B,"รายรับ"),)</f>
        <v/>
      </c>
      <c r="C84" s="36" t="str">
        <f>IF(A84&lt;&gt;"",SUMIFS('การทำธุรกรรม'!E:E,'การทำธุรกรรม'!F:F,A84,'การทำธุรกรรม'!B:B,"รายจ่าย"),)</f>
        <v/>
      </c>
      <c r="D84" s="36" t="str">
        <f t="shared" si="1"/>
        <v/>
      </c>
    </row>
    <row r="85">
      <c r="A85" s="8"/>
      <c r="B85" s="36" t="str">
        <f>IF(A85&lt;&gt;"",SUMIFS('การทำธุรกรรม'!E:E,'การทำธุรกรรม'!F:F,A85,'การทำธุรกรรม'!B:B,"รายรับ"),)</f>
        <v/>
      </c>
      <c r="C85" s="36" t="str">
        <f>IF(A85&lt;&gt;"",SUMIFS('การทำธุรกรรม'!E:E,'การทำธุรกรรม'!F:F,A85,'การทำธุรกรรม'!B:B,"รายจ่าย"),)</f>
        <v/>
      </c>
      <c r="D85" s="36" t="str">
        <f t="shared" si="1"/>
        <v/>
      </c>
    </row>
    <row r="86">
      <c r="A86" s="8"/>
      <c r="B86" s="36" t="str">
        <f>IF(A86&lt;&gt;"",SUMIFS('การทำธุรกรรม'!E:E,'การทำธุรกรรม'!F:F,A86,'การทำธุรกรรม'!B:B,"รายรับ"),)</f>
        <v/>
      </c>
      <c r="C86" s="36" t="str">
        <f>IF(A86&lt;&gt;"",SUMIFS('การทำธุรกรรม'!E:E,'การทำธุรกรรม'!F:F,A86,'การทำธุรกรรม'!B:B,"รายจ่าย"),)</f>
        <v/>
      </c>
      <c r="D86" s="36" t="str">
        <f t="shared" si="1"/>
        <v/>
      </c>
    </row>
    <row r="87">
      <c r="A87" s="8"/>
      <c r="B87" s="36" t="str">
        <f>IF(A87&lt;&gt;"",SUMIFS('การทำธุรกรรม'!E:E,'การทำธุรกรรม'!F:F,A87,'การทำธุรกรรม'!B:B,"รายรับ"),)</f>
        <v/>
      </c>
      <c r="C87" s="36" t="str">
        <f>IF(A87&lt;&gt;"",SUMIFS('การทำธุรกรรม'!E:E,'การทำธุรกรรม'!F:F,A87,'การทำธุรกรรม'!B:B,"รายจ่าย"),)</f>
        <v/>
      </c>
      <c r="D87" s="36" t="str">
        <f t="shared" si="1"/>
        <v/>
      </c>
    </row>
    <row r="88">
      <c r="A88" s="8"/>
      <c r="B88" s="36" t="str">
        <f>IF(A88&lt;&gt;"",SUMIFS('การทำธุรกรรม'!E:E,'การทำธุรกรรม'!F:F,A88,'การทำธุรกรรม'!B:B,"รายรับ"),)</f>
        <v/>
      </c>
      <c r="C88" s="36" t="str">
        <f>IF(A88&lt;&gt;"",SUMIFS('การทำธุรกรรม'!E:E,'การทำธุรกรรม'!F:F,A88,'การทำธุรกรรม'!B:B,"รายจ่าย"),)</f>
        <v/>
      </c>
      <c r="D88" s="36" t="str">
        <f t="shared" si="1"/>
        <v/>
      </c>
    </row>
    <row r="89">
      <c r="A89" s="8"/>
      <c r="B89" s="36" t="str">
        <f>IF(A89&lt;&gt;"",SUMIFS('การทำธุรกรรม'!E:E,'การทำธุรกรรม'!F:F,A89,'การทำธุรกรรม'!B:B,"รายรับ"),)</f>
        <v/>
      </c>
      <c r="C89" s="36" t="str">
        <f>IF(A89&lt;&gt;"",SUMIFS('การทำธุรกรรม'!E:E,'การทำธุรกรรม'!F:F,A89,'การทำธุรกรรม'!B:B,"รายจ่าย"),)</f>
        <v/>
      </c>
      <c r="D89" s="36" t="str">
        <f t="shared" si="1"/>
        <v/>
      </c>
    </row>
    <row r="90">
      <c r="A90" s="8"/>
      <c r="B90" s="36" t="str">
        <f>IF(A90&lt;&gt;"",SUMIFS('การทำธุรกรรม'!E:E,'การทำธุรกรรม'!F:F,A90,'การทำธุรกรรม'!B:B,"รายรับ"),)</f>
        <v/>
      </c>
      <c r="C90" s="36" t="str">
        <f>IF(A90&lt;&gt;"",SUMIFS('การทำธุรกรรม'!E:E,'การทำธุรกรรม'!F:F,A90,'การทำธุรกรรม'!B:B,"รายจ่าย"),)</f>
        <v/>
      </c>
      <c r="D90" s="36" t="str">
        <f t="shared" si="1"/>
        <v/>
      </c>
    </row>
    <row r="91">
      <c r="A91" s="8"/>
      <c r="B91" s="36" t="str">
        <f>IF(A91&lt;&gt;"",SUMIFS('การทำธุรกรรม'!E:E,'การทำธุรกรรม'!F:F,A91,'การทำธุรกรรม'!B:B,"รายรับ"),)</f>
        <v/>
      </c>
      <c r="C91" s="36" t="str">
        <f>IF(A91&lt;&gt;"",SUMIFS('การทำธุรกรรม'!E:E,'การทำธุรกรรม'!F:F,A91,'การทำธุรกรรม'!B:B,"รายจ่าย"),)</f>
        <v/>
      </c>
      <c r="D91" s="36" t="str">
        <f t="shared" si="1"/>
        <v/>
      </c>
    </row>
    <row r="92">
      <c r="A92" s="8"/>
      <c r="B92" s="36" t="str">
        <f>IF(A92&lt;&gt;"",SUMIFS('การทำธุรกรรม'!E:E,'การทำธุรกรรม'!F:F,A92,'การทำธุรกรรม'!B:B,"รายรับ"),)</f>
        <v/>
      </c>
      <c r="C92" s="36" t="str">
        <f>IF(A92&lt;&gt;"",SUMIFS('การทำธุรกรรม'!E:E,'การทำธุรกรรม'!F:F,A92,'การทำธุรกรรม'!B:B,"รายจ่าย"),)</f>
        <v/>
      </c>
      <c r="D92" s="36" t="str">
        <f t="shared" si="1"/>
        <v/>
      </c>
    </row>
    <row r="93">
      <c r="A93" s="8"/>
      <c r="B93" s="36" t="str">
        <f>IF(A93&lt;&gt;"",SUMIFS('การทำธุรกรรม'!E:E,'การทำธุรกรรม'!F:F,A93,'การทำธุรกรรม'!B:B,"รายรับ"),)</f>
        <v/>
      </c>
      <c r="C93" s="36" t="str">
        <f>IF(A93&lt;&gt;"",SUMIFS('การทำธุรกรรม'!E:E,'การทำธุรกรรม'!F:F,A93,'การทำธุรกรรม'!B:B,"รายจ่าย"),)</f>
        <v/>
      </c>
      <c r="D93" s="36" t="str">
        <f t="shared" si="1"/>
        <v/>
      </c>
    </row>
    <row r="94">
      <c r="A94" s="8"/>
      <c r="B94" s="36" t="str">
        <f>IF(A94&lt;&gt;"",SUMIFS('การทำธุรกรรม'!E:E,'การทำธุรกรรม'!F:F,A94,'การทำธุรกรรม'!B:B,"รายรับ"),)</f>
        <v/>
      </c>
      <c r="C94" s="36" t="str">
        <f>IF(A94&lt;&gt;"",SUMIFS('การทำธุรกรรม'!E:E,'การทำธุรกรรม'!F:F,A94,'การทำธุรกรรม'!B:B,"รายจ่าย"),)</f>
        <v/>
      </c>
      <c r="D94" s="36" t="str">
        <f t="shared" si="1"/>
        <v/>
      </c>
    </row>
    <row r="95">
      <c r="A95" s="8"/>
      <c r="B95" s="36" t="str">
        <f>IF(A95&lt;&gt;"",SUMIFS('การทำธุรกรรม'!E:E,'การทำธุรกรรม'!F:F,A95,'การทำธุรกรรม'!B:B,"รายรับ"),)</f>
        <v/>
      </c>
      <c r="C95" s="36" t="str">
        <f>IF(A95&lt;&gt;"",SUMIFS('การทำธุรกรรม'!E:E,'การทำธุรกรรม'!F:F,A95,'การทำธุรกรรม'!B:B,"รายจ่าย"),)</f>
        <v/>
      </c>
      <c r="D95" s="36" t="str">
        <f t="shared" si="1"/>
        <v/>
      </c>
    </row>
    <row r="96">
      <c r="A96" s="8"/>
      <c r="B96" s="36" t="str">
        <f>IF(A96&lt;&gt;"",SUMIFS('การทำธุรกรรม'!E:E,'การทำธุรกรรม'!F:F,A96,'การทำธุรกรรม'!B:B,"รายรับ"),)</f>
        <v/>
      </c>
      <c r="C96" s="36" t="str">
        <f>IF(A96&lt;&gt;"",SUMIFS('การทำธุรกรรม'!E:E,'การทำธุรกรรม'!F:F,A96,'การทำธุรกรรม'!B:B,"รายจ่าย"),)</f>
        <v/>
      </c>
      <c r="D96" s="36" t="str">
        <f t="shared" si="1"/>
        <v/>
      </c>
    </row>
    <row r="97">
      <c r="A97" s="8"/>
      <c r="B97" s="36" t="str">
        <f>IF(A97&lt;&gt;"",SUMIFS('การทำธุรกรรม'!E:E,'การทำธุรกรรม'!F:F,A97,'การทำธุรกรรม'!B:B,"รายรับ"),)</f>
        <v/>
      </c>
      <c r="C97" s="36" t="str">
        <f>IF(A97&lt;&gt;"",SUMIFS('การทำธุรกรรม'!E:E,'การทำธุรกรรม'!F:F,A97,'การทำธุรกรรม'!B:B,"รายจ่าย"),)</f>
        <v/>
      </c>
      <c r="D97" s="36" t="str">
        <f t="shared" si="1"/>
        <v/>
      </c>
    </row>
    <row r="98">
      <c r="A98" s="8"/>
      <c r="B98" s="36" t="str">
        <f>IF(A98&lt;&gt;"",SUMIFS('การทำธุรกรรม'!E:E,'การทำธุรกรรม'!F:F,A98,'การทำธุรกรรม'!B:B,"รายรับ"),)</f>
        <v/>
      </c>
      <c r="C98" s="36" t="str">
        <f>IF(A98&lt;&gt;"",SUMIFS('การทำธุรกรรม'!E:E,'การทำธุรกรรม'!F:F,A98,'การทำธุรกรรม'!B:B,"รายจ่าย"),)</f>
        <v/>
      </c>
      <c r="D98" s="36" t="str">
        <f t="shared" si="1"/>
        <v/>
      </c>
    </row>
    <row r="99">
      <c r="A99" s="8"/>
      <c r="B99" s="36" t="str">
        <f>IF(A99&lt;&gt;"",SUMIFS('การทำธุรกรรม'!E:E,'การทำธุรกรรม'!F:F,A99,'การทำธุรกรรม'!B:B,"รายรับ"),)</f>
        <v/>
      </c>
      <c r="C99" s="36" t="str">
        <f>IF(A99&lt;&gt;"",SUMIFS('การทำธุรกรรม'!E:E,'การทำธุรกรรม'!F:F,A99,'การทำธุรกรรม'!B:B,"รายจ่าย"),)</f>
        <v/>
      </c>
      <c r="D99" s="36" t="str">
        <f t="shared" si="1"/>
        <v/>
      </c>
    </row>
    <row r="100">
      <c r="A100" s="8"/>
      <c r="B100" s="36" t="str">
        <f>IF(A100&lt;&gt;"",SUMIFS('การทำธุรกรรม'!E:E,'การทำธุรกรรม'!F:F,A100,'การทำธุรกรรม'!B:B,"รายรับ"),)</f>
        <v/>
      </c>
      <c r="C100" s="36" t="str">
        <f>IF(A100&lt;&gt;"",SUMIFS('การทำธุรกรรม'!E:E,'การทำธุรกรรม'!F:F,A100,'การทำธุรกรรม'!B:B,"รายจ่าย"),)</f>
        <v/>
      </c>
      <c r="D100" s="36" t="str">
        <f t="shared" si="1"/>
        <v/>
      </c>
    </row>
    <row r="101">
      <c r="A101" s="8"/>
      <c r="B101" s="36" t="str">
        <f>IF(A101&lt;&gt;"",SUMIFS('การทำธุรกรรม'!E:E,'การทำธุรกรรม'!F:F,A101,'การทำธุรกรรม'!B:B,"รายรับ"),)</f>
        <v/>
      </c>
      <c r="C101" s="36" t="str">
        <f>IF(A101&lt;&gt;"",SUMIFS('การทำธุรกรรม'!E:E,'การทำธุรกรรม'!F:F,A101,'การทำธุรกรรม'!B:B,"รายจ่าย"),)</f>
        <v/>
      </c>
      <c r="D101" s="36" t="str">
        <f t="shared" si="1"/>
        <v/>
      </c>
    </row>
    <row r="102">
      <c r="A102" s="8"/>
      <c r="B102" s="36" t="str">
        <f>IF(A102&lt;&gt;"",SUMIFS('การทำธุรกรรม'!E:E,'การทำธุรกรรม'!F:F,A102,'การทำธุรกรรม'!B:B,"รายรับ"),)</f>
        <v/>
      </c>
      <c r="C102" s="36" t="str">
        <f>IF(A102&lt;&gt;"",SUMIFS('การทำธุรกรรม'!E:E,'การทำธุรกรรม'!F:F,A102,'การทำธุรกรรม'!B:B,"รายจ่าย"),)</f>
        <v/>
      </c>
      <c r="D102" s="36" t="str">
        <f t="shared" si="1"/>
        <v/>
      </c>
    </row>
    <row r="103">
      <c r="A103" s="8"/>
      <c r="B103" s="36" t="str">
        <f>IF(A103&lt;&gt;"",SUMIFS('การทำธุรกรรม'!E:E,'การทำธุรกรรม'!F:F,A103,'การทำธุรกรรม'!B:B,"รายรับ"),)</f>
        <v/>
      </c>
      <c r="C103" s="36" t="str">
        <f>IF(A103&lt;&gt;"",SUMIFS('การทำธุรกรรม'!E:E,'การทำธุรกรรม'!F:F,A103,'การทำธุรกรรม'!B:B,"รายจ่าย"),)</f>
        <v/>
      </c>
      <c r="D103" s="36" t="str">
        <f t="shared" si="1"/>
        <v/>
      </c>
    </row>
    <row r="104">
      <c r="A104" s="8"/>
      <c r="B104" s="36" t="str">
        <f>IF(A104&lt;&gt;"",SUMIFS('การทำธุรกรรม'!E:E,'การทำธุรกรรม'!F:F,A104,'การทำธุรกรรม'!B:B,"รายรับ"),)</f>
        <v/>
      </c>
      <c r="C104" s="36" t="str">
        <f>IF(A104&lt;&gt;"",SUMIFS('การทำธุรกรรม'!E:E,'การทำธุรกรรม'!F:F,A104,'การทำธุรกรรม'!B:B,"รายจ่าย"),)</f>
        <v/>
      </c>
      <c r="D104" s="36" t="str">
        <f t="shared" si="1"/>
        <v/>
      </c>
    </row>
    <row r="105">
      <c r="A105" s="8"/>
      <c r="B105" s="36" t="str">
        <f>IF(A105&lt;&gt;"",SUMIFS('การทำธุรกรรม'!E:E,'การทำธุรกรรม'!F:F,A105,'การทำธุรกรรม'!B:B,"รายรับ"),)</f>
        <v/>
      </c>
      <c r="C105" s="36" t="str">
        <f>IF(A105&lt;&gt;"",SUMIFS('การทำธุรกรรม'!E:E,'การทำธุรกรรม'!F:F,A105,'การทำธุรกรรม'!B:B,"รายจ่าย"),)</f>
        <v/>
      </c>
      <c r="D105" s="36" t="str">
        <f t="shared" si="1"/>
        <v/>
      </c>
    </row>
    <row r="106">
      <c r="A106" s="8"/>
      <c r="B106" s="36" t="str">
        <f>IF(A106&lt;&gt;"",SUMIFS('การทำธุรกรรม'!E:E,'การทำธุรกรรม'!F:F,A106,'การทำธุรกรรม'!B:B,"รายรับ"),)</f>
        <v/>
      </c>
      <c r="C106" s="36" t="str">
        <f>IF(A106&lt;&gt;"",SUMIFS('การทำธุรกรรม'!E:E,'การทำธุรกรรม'!F:F,A106,'การทำธุรกรรม'!B:B,"รายจ่าย"),)</f>
        <v/>
      </c>
      <c r="D106" s="36" t="str">
        <f t="shared" si="1"/>
        <v/>
      </c>
    </row>
    <row r="107">
      <c r="A107" s="8"/>
      <c r="B107" s="36" t="str">
        <f>IF(A107&lt;&gt;"",SUMIFS('การทำธุรกรรม'!E:E,'การทำธุรกรรม'!F:F,A107,'การทำธุรกรรม'!B:B,"รายรับ"),)</f>
        <v/>
      </c>
      <c r="C107" s="36" t="str">
        <f>IF(A107&lt;&gt;"",SUMIFS('การทำธุรกรรม'!E:E,'การทำธุรกรรม'!F:F,A107,'การทำธุรกรรม'!B:B,"รายจ่าย"),)</f>
        <v/>
      </c>
      <c r="D107" s="36" t="str">
        <f t="shared" si="1"/>
        <v/>
      </c>
    </row>
    <row r="108">
      <c r="A108" s="8"/>
      <c r="B108" s="36" t="str">
        <f>IF(A108&lt;&gt;"",SUMIFS('การทำธุรกรรม'!E:E,'การทำธุรกรรม'!F:F,A108,'การทำธุรกรรม'!B:B,"รายรับ"),)</f>
        <v/>
      </c>
      <c r="C108" s="36" t="str">
        <f>IF(A108&lt;&gt;"",SUMIFS('การทำธุรกรรม'!E:E,'การทำธุรกรรม'!F:F,A108,'การทำธุรกรรม'!B:B,"รายจ่าย"),)</f>
        <v/>
      </c>
      <c r="D108" s="36" t="str">
        <f t="shared" si="1"/>
        <v/>
      </c>
    </row>
    <row r="109">
      <c r="A109" s="8"/>
      <c r="B109" s="36" t="str">
        <f>IF(A109&lt;&gt;"",SUMIFS('การทำธุรกรรม'!E:E,'การทำธุรกรรม'!F:F,A109,'การทำธุรกรรม'!B:B,"รายรับ"),)</f>
        <v/>
      </c>
      <c r="C109" s="36" t="str">
        <f>IF(A109&lt;&gt;"",SUMIFS('การทำธุรกรรม'!E:E,'การทำธุรกรรม'!F:F,A109,'การทำธุรกรรม'!B:B,"รายจ่าย"),)</f>
        <v/>
      </c>
      <c r="D109" s="36" t="str">
        <f t="shared" si="1"/>
        <v/>
      </c>
    </row>
    <row r="110">
      <c r="A110" s="8"/>
      <c r="B110" s="36" t="str">
        <f>IF(A110&lt;&gt;"",SUMIFS('การทำธุรกรรม'!E:E,'การทำธุรกรรม'!F:F,A110,'การทำธุรกรรม'!B:B,"รายรับ"),)</f>
        <v/>
      </c>
      <c r="C110" s="36" t="str">
        <f>IF(A110&lt;&gt;"",SUMIFS('การทำธุรกรรม'!E:E,'การทำธุรกรรม'!F:F,A110,'การทำธุรกรรม'!B:B,"รายจ่าย"),)</f>
        <v/>
      </c>
      <c r="D110" s="36" t="str">
        <f t="shared" si="1"/>
        <v/>
      </c>
    </row>
    <row r="111">
      <c r="A111" s="8"/>
      <c r="B111" s="36" t="str">
        <f>IF(A111&lt;&gt;"",SUMIFS('การทำธุรกรรม'!E:E,'การทำธุรกรรม'!F:F,A111,'การทำธุรกรรม'!B:B,"รายรับ"),)</f>
        <v/>
      </c>
      <c r="C111" s="36" t="str">
        <f>IF(A111&lt;&gt;"",SUMIFS('การทำธุรกรรม'!E:E,'การทำธุรกรรม'!F:F,A111,'การทำธุรกรรม'!B:B,"รายจ่าย"),)</f>
        <v/>
      </c>
      <c r="D111" s="36" t="str">
        <f t="shared" si="1"/>
        <v/>
      </c>
    </row>
    <row r="112">
      <c r="A112" s="8"/>
      <c r="B112" s="36" t="str">
        <f>IF(A112&lt;&gt;"",SUMIFS('การทำธุรกรรม'!E:E,'การทำธุรกรรม'!F:F,A112,'การทำธุรกรรม'!B:B,"รายรับ"),)</f>
        <v/>
      </c>
      <c r="C112" s="36" t="str">
        <f>IF(A112&lt;&gt;"",SUMIFS('การทำธุรกรรม'!E:E,'การทำธุรกรรม'!F:F,A112,'การทำธุรกรรม'!B:B,"รายจ่าย"),)</f>
        <v/>
      </c>
      <c r="D112" s="36" t="str">
        <f t="shared" si="1"/>
        <v/>
      </c>
    </row>
    <row r="113">
      <c r="A113" s="8"/>
      <c r="B113" s="36" t="str">
        <f>IF(A113&lt;&gt;"",SUMIFS('การทำธุรกรรม'!E:E,'การทำธุรกรรม'!F:F,A113,'การทำธุรกรรม'!B:B,"รายรับ"),)</f>
        <v/>
      </c>
      <c r="C113" s="36" t="str">
        <f>IF(A113&lt;&gt;"",SUMIFS('การทำธุรกรรม'!E:E,'การทำธุรกรรม'!F:F,A113,'การทำธุรกรรม'!B:B,"รายจ่าย"),)</f>
        <v/>
      </c>
      <c r="D113" s="36" t="str">
        <f t="shared" si="1"/>
        <v/>
      </c>
    </row>
    <row r="114">
      <c r="A114" s="8"/>
      <c r="B114" s="36" t="str">
        <f>IF(A114&lt;&gt;"",SUMIFS('การทำธุรกรรม'!E:E,'การทำธุรกรรม'!F:F,A114,'การทำธุรกรรม'!B:B,"รายรับ"),)</f>
        <v/>
      </c>
      <c r="C114" s="36" t="str">
        <f>IF(A114&lt;&gt;"",SUMIFS('การทำธุรกรรม'!E:E,'การทำธุรกรรม'!F:F,A114,'การทำธุรกรรม'!B:B,"รายจ่าย"),)</f>
        <v/>
      </c>
      <c r="D114" s="36" t="str">
        <f t="shared" si="1"/>
        <v/>
      </c>
    </row>
    <row r="115">
      <c r="A115" s="8"/>
      <c r="B115" s="36" t="str">
        <f>IF(A115&lt;&gt;"",SUMIFS('การทำธุรกรรม'!E:E,'การทำธุรกรรม'!F:F,A115,'การทำธุรกรรม'!B:B,"รายรับ"),)</f>
        <v/>
      </c>
      <c r="C115" s="36" t="str">
        <f>IF(A115&lt;&gt;"",SUMIFS('การทำธุรกรรม'!E:E,'การทำธุรกรรม'!F:F,A115,'การทำธุรกรรม'!B:B,"รายจ่าย"),)</f>
        <v/>
      </c>
      <c r="D115" s="36" t="str">
        <f t="shared" si="1"/>
        <v/>
      </c>
    </row>
    <row r="116">
      <c r="A116" s="8"/>
      <c r="B116" s="36" t="str">
        <f>IF(A116&lt;&gt;"",SUMIFS('การทำธุรกรรม'!E:E,'การทำธุรกรรม'!F:F,A116,'การทำธุรกรรม'!B:B,"รายรับ"),)</f>
        <v/>
      </c>
      <c r="C116" s="36" t="str">
        <f>IF(A116&lt;&gt;"",SUMIFS('การทำธุรกรรม'!E:E,'การทำธุรกรรม'!F:F,A116,'การทำธุรกรรม'!B:B,"รายจ่าย"),)</f>
        <v/>
      </c>
      <c r="D116" s="36" t="str">
        <f t="shared" si="1"/>
        <v/>
      </c>
    </row>
    <row r="117">
      <c r="A117" s="8"/>
      <c r="B117" s="36" t="str">
        <f>IF(A117&lt;&gt;"",SUMIFS('การทำธุรกรรม'!E:E,'การทำธุรกรรม'!F:F,A117,'การทำธุรกรรม'!B:B,"รายรับ"),)</f>
        <v/>
      </c>
      <c r="C117" s="36" t="str">
        <f>IF(A117&lt;&gt;"",SUMIFS('การทำธุรกรรม'!E:E,'การทำธุรกรรม'!F:F,A117,'การทำธุรกรรม'!B:B,"รายจ่าย"),)</f>
        <v/>
      </c>
      <c r="D117" s="36" t="str">
        <f t="shared" si="1"/>
        <v/>
      </c>
    </row>
    <row r="118">
      <c r="A118" s="8"/>
      <c r="B118" s="36" t="str">
        <f>IF(A118&lt;&gt;"",SUMIFS('การทำธุรกรรม'!E:E,'การทำธุรกรรม'!F:F,A118,'การทำธุรกรรม'!B:B,"รายรับ"),)</f>
        <v/>
      </c>
      <c r="C118" s="36" t="str">
        <f>IF(A118&lt;&gt;"",SUMIFS('การทำธุรกรรม'!E:E,'การทำธุรกรรม'!F:F,A118,'การทำธุรกรรม'!B:B,"รายจ่าย"),)</f>
        <v/>
      </c>
      <c r="D118" s="36" t="str">
        <f t="shared" si="1"/>
        <v/>
      </c>
    </row>
    <row r="119">
      <c r="A119" s="8"/>
      <c r="B119" s="36" t="str">
        <f>IF(A119&lt;&gt;"",SUMIFS('การทำธุรกรรม'!E:E,'การทำธุรกรรม'!F:F,A119,'การทำธุรกรรม'!B:B,"รายรับ"),)</f>
        <v/>
      </c>
      <c r="C119" s="36" t="str">
        <f>IF(A119&lt;&gt;"",SUMIFS('การทำธุรกรรม'!E:E,'การทำธุรกรรม'!F:F,A119,'การทำธุรกรรม'!B:B,"รายจ่าย"),)</f>
        <v/>
      </c>
      <c r="D119" s="36" t="str">
        <f t="shared" si="1"/>
        <v/>
      </c>
    </row>
    <row r="120">
      <c r="A120" s="8"/>
      <c r="B120" s="36" t="str">
        <f>IF(A120&lt;&gt;"",SUMIFS('การทำธุรกรรม'!E:E,'การทำธุรกรรม'!F:F,A120,'การทำธุรกรรม'!B:B,"รายรับ"),)</f>
        <v/>
      </c>
      <c r="C120" s="36" t="str">
        <f>IF(A120&lt;&gt;"",SUMIFS('การทำธุรกรรม'!E:E,'การทำธุรกรรม'!F:F,A120,'การทำธุรกรรม'!B:B,"รายจ่าย"),)</f>
        <v/>
      </c>
      <c r="D120" s="36" t="str">
        <f t="shared" si="1"/>
        <v/>
      </c>
    </row>
    <row r="121">
      <c r="A121" s="8"/>
      <c r="B121" s="36" t="str">
        <f>IF(A121&lt;&gt;"",SUMIFS('การทำธุรกรรม'!E:E,'การทำธุรกรรม'!F:F,A121,'การทำธุรกรรม'!B:B,"รายรับ"),)</f>
        <v/>
      </c>
      <c r="C121" s="36" t="str">
        <f>IF(A121&lt;&gt;"",SUMIFS('การทำธุรกรรม'!E:E,'การทำธุรกรรม'!F:F,A121,'การทำธุรกรรม'!B:B,"รายจ่าย"),)</f>
        <v/>
      </c>
      <c r="D121" s="36" t="str">
        <f t="shared" si="1"/>
        <v/>
      </c>
    </row>
    <row r="122">
      <c r="A122" s="8"/>
      <c r="B122" s="36" t="str">
        <f>IF(A122&lt;&gt;"",SUMIFS('การทำธุรกรรม'!E:E,'การทำธุรกรรม'!F:F,A122,'การทำธุรกรรม'!B:B,"รายรับ"),)</f>
        <v/>
      </c>
      <c r="C122" s="36" t="str">
        <f>IF(A122&lt;&gt;"",SUMIFS('การทำธุรกรรม'!E:E,'การทำธุรกรรม'!F:F,A122,'การทำธุรกรรม'!B:B,"รายจ่าย"),)</f>
        <v/>
      </c>
      <c r="D122" s="36" t="str">
        <f t="shared" si="1"/>
        <v/>
      </c>
    </row>
    <row r="123">
      <c r="A123" s="8"/>
      <c r="B123" s="36" t="str">
        <f>IF(A123&lt;&gt;"",SUMIFS('การทำธุรกรรม'!E:E,'การทำธุรกรรม'!F:F,A123,'การทำธุรกรรม'!B:B,"รายรับ"),)</f>
        <v/>
      </c>
      <c r="C123" s="36" t="str">
        <f>IF(A123&lt;&gt;"",SUMIFS('การทำธุรกรรม'!E:E,'การทำธุรกรรม'!F:F,A123,'การทำธุรกรรม'!B:B,"รายจ่าย"),)</f>
        <v/>
      </c>
      <c r="D123" s="36" t="str">
        <f t="shared" si="1"/>
        <v/>
      </c>
    </row>
    <row r="124">
      <c r="A124" s="8"/>
      <c r="B124" s="36" t="str">
        <f>IF(A124&lt;&gt;"",SUMIFS('การทำธุรกรรม'!E:E,'การทำธุรกรรม'!F:F,A124,'การทำธุรกรรม'!B:B,"รายรับ"),)</f>
        <v/>
      </c>
      <c r="C124" s="36" t="str">
        <f>IF(A124&lt;&gt;"",SUMIFS('การทำธุรกรรม'!E:E,'การทำธุรกรรม'!F:F,A124,'การทำธุรกรรม'!B:B,"รายจ่าย"),)</f>
        <v/>
      </c>
      <c r="D124" s="36" t="str">
        <f t="shared" si="1"/>
        <v/>
      </c>
    </row>
    <row r="125">
      <c r="A125" s="8"/>
      <c r="B125" s="36" t="str">
        <f>IF(A125&lt;&gt;"",SUMIFS('การทำธุรกรรม'!E:E,'การทำธุรกรรม'!F:F,A125,'การทำธุรกรรม'!B:B,"รายรับ"),)</f>
        <v/>
      </c>
      <c r="C125" s="36" t="str">
        <f>IF(A125&lt;&gt;"",SUMIFS('การทำธุรกรรม'!E:E,'การทำธุรกรรม'!F:F,A125,'การทำธุรกรรม'!B:B,"รายจ่าย"),)</f>
        <v/>
      </c>
      <c r="D125" s="36" t="str">
        <f t="shared" si="1"/>
        <v/>
      </c>
    </row>
    <row r="126">
      <c r="A126" s="8"/>
      <c r="B126" s="36" t="str">
        <f>IF(A126&lt;&gt;"",SUMIFS('การทำธุรกรรม'!E:E,'การทำธุรกรรม'!F:F,A126,'การทำธุรกรรม'!B:B,"รายรับ"),)</f>
        <v/>
      </c>
      <c r="C126" s="36" t="str">
        <f>IF(A126&lt;&gt;"",SUMIFS('การทำธุรกรรม'!E:E,'การทำธุรกรรม'!F:F,A126,'การทำธุรกรรม'!B:B,"รายจ่าย"),)</f>
        <v/>
      </c>
      <c r="D126" s="36" t="str">
        <f t="shared" si="1"/>
        <v/>
      </c>
    </row>
    <row r="127">
      <c r="A127" s="8"/>
      <c r="B127" s="36" t="str">
        <f>IF(A127&lt;&gt;"",SUMIFS('การทำธุรกรรม'!E:E,'การทำธุรกรรม'!F:F,A127,'การทำธุรกรรม'!B:B,"รายรับ"),)</f>
        <v/>
      </c>
      <c r="C127" s="36" t="str">
        <f>IF(A127&lt;&gt;"",SUMIFS('การทำธุรกรรม'!E:E,'การทำธุรกรรม'!F:F,A127,'การทำธุรกรรม'!B:B,"รายจ่าย"),)</f>
        <v/>
      </c>
      <c r="D127" s="36" t="str">
        <f t="shared" si="1"/>
        <v/>
      </c>
    </row>
    <row r="128">
      <c r="A128" s="8"/>
      <c r="B128" s="36" t="str">
        <f>IF(A128&lt;&gt;"",SUMIFS('การทำธุรกรรม'!E:E,'การทำธุรกรรม'!F:F,A128,'การทำธุรกรรม'!B:B,"รายรับ"),)</f>
        <v/>
      </c>
      <c r="C128" s="36" t="str">
        <f>IF(A128&lt;&gt;"",SUMIFS('การทำธุรกรรม'!E:E,'การทำธุรกรรม'!F:F,A128,'การทำธุรกรรม'!B:B,"รายจ่าย"),)</f>
        <v/>
      </c>
      <c r="D128" s="36" t="str">
        <f t="shared" si="1"/>
        <v/>
      </c>
    </row>
    <row r="129">
      <c r="A129" s="8"/>
      <c r="B129" s="36" t="str">
        <f>IF(A129&lt;&gt;"",SUMIFS('การทำธุรกรรม'!E:E,'การทำธุรกรรม'!F:F,A129,'การทำธุรกรรม'!B:B,"รายรับ"),)</f>
        <v/>
      </c>
      <c r="C129" s="36" t="str">
        <f>IF(A129&lt;&gt;"",SUMIFS('การทำธุรกรรม'!E:E,'การทำธุรกรรม'!F:F,A129,'การทำธุรกรรม'!B:B,"รายจ่าย"),)</f>
        <v/>
      </c>
      <c r="D129" s="36" t="str">
        <f t="shared" si="1"/>
        <v/>
      </c>
    </row>
    <row r="130">
      <c r="A130" s="8"/>
      <c r="B130" s="36" t="str">
        <f>IF(A130&lt;&gt;"",SUMIFS('การทำธุรกรรม'!E:E,'การทำธุรกรรม'!F:F,A130,'การทำธุรกรรม'!B:B,"รายรับ"),)</f>
        <v/>
      </c>
      <c r="C130" s="36" t="str">
        <f>IF(A130&lt;&gt;"",SUMIFS('การทำธุรกรรม'!E:E,'การทำธุรกรรม'!F:F,A130,'การทำธุรกรรม'!B:B,"รายจ่าย"),)</f>
        <v/>
      </c>
      <c r="D130" s="36" t="str">
        <f t="shared" si="1"/>
        <v/>
      </c>
    </row>
    <row r="131">
      <c r="A131" s="8"/>
      <c r="B131" s="36" t="str">
        <f>IF(A131&lt;&gt;"",SUMIFS('การทำธุรกรรม'!E:E,'การทำธุรกรรม'!F:F,A131,'การทำธุรกรรม'!B:B,"รายรับ"),)</f>
        <v/>
      </c>
      <c r="C131" s="36" t="str">
        <f>IF(A131&lt;&gt;"",SUMIFS('การทำธุรกรรม'!E:E,'การทำธุรกรรม'!F:F,A131,'การทำธุรกรรม'!B:B,"รายจ่าย"),)</f>
        <v/>
      </c>
      <c r="D131" s="36" t="str">
        <f t="shared" si="1"/>
        <v/>
      </c>
    </row>
    <row r="132">
      <c r="A132" s="8"/>
      <c r="B132" s="36" t="str">
        <f>IF(A132&lt;&gt;"",SUMIFS('การทำธุรกรรม'!E:E,'การทำธุรกรรม'!F:F,A132,'การทำธุรกรรม'!B:B,"รายรับ"),)</f>
        <v/>
      </c>
      <c r="C132" s="36" t="str">
        <f>IF(A132&lt;&gt;"",SUMIFS('การทำธุรกรรม'!E:E,'การทำธุรกรรม'!F:F,A132,'การทำธุรกรรม'!B:B,"รายจ่าย"),)</f>
        <v/>
      </c>
      <c r="D132" s="36" t="str">
        <f t="shared" si="1"/>
        <v/>
      </c>
    </row>
    <row r="133">
      <c r="A133" s="8"/>
      <c r="B133" s="36" t="str">
        <f>IF(A133&lt;&gt;"",SUMIFS('การทำธุรกรรม'!E:E,'การทำธุรกรรม'!F:F,A133,'การทำธุรกรรม'!B:B,"รายรับ"),)</f>
        <v/>
      </c>
      <c r="C133" s="36" t="str">
        <f>IF(A133&lt;&gt;"",SUMIFS('การทำธุรกรรม'!E:E,'การทำธุรกรรม'!F:F,A133,'การทำธุรกรรม'!B:B,"รายจ่าย"),)</f>
        <v/>
      </c>
      <c r="D133" s="36" t="str">
        <f t="shared" si="1"/>
        <v/>
      </c>
    </row>
    <row r="134">
      <c r="A134" s="8"/>
      <c r="B134" s="36" t="str">
        <f>IF(A134&lt;&gt;"",SUMIFS('การทำธุรกรรม'!E:E,'การทำธุรกรรม'!F:F,A134,'การทำธุรกรรม'!B:B,"รายรับ"),)</f>
        <v/>
      </c>
      <c r="C134" s="36" t="str">
        <f>IF(A134&lt;&gt;"",SUMIFS('การทำธุรกรรม'!E:E,'การทำธุรกรรม'!F:F,A134,'การทำธุรกรรม'!B:B,"รายจ่าย"),)</f>
        <v/>
      </c>
      <c r="D134" s="36" t="str">
        <f t="shared" si="1"/>
        <v/>
      </c>
    </row>
    <row r="135">
      <c r="A135" s="8"/>
      <c r="B135" s="36" t="str">
        <f>IF(A135&lt;&gt;"",SUMIFS('การทำธุรกรรม'!E:E,'การทำธุรกรรม'!F:F,A135,'การทำธุรกรรม'!B:B,"รายรับ"),)</f>
        <v/>
      </c>
      <c r="C135" s="36" t="str">
        <f>IF(A135&lt;&gt;"",SUMIFS('การทำธุรกรรม'!E:E,'การทำธุรกรรม'!F:F,A135,'การทำธุรกรรม'!B:B,"รายจ่าย"),)</f>
        <v/>
      </c>
      <c r="D135" s="36" t="str">
        <f t="shared" si="1"/>
        <v/>
      </c>
    </row>
    <row r="136">
      <c r="A136" s="8"/>
      <c r="B136" s="36" t="str">
        <f>IF(A136&lt;&gt;"",SUMIFS('การทำธุรกรรม'!E:E,'การทำธุรกรรม'!F:F,A136,'การทำธุรกรรม'!B:B,"รายรับ"),)</f>
        <v/>
      </c>
      <c r="C136" s="36" t="str">
        <f>IF(A136&lt;&gt;"",SUMIFS('การทำธุรกรรม'!E:E,'การทำธุรกรรม'!F:F,A136,'การทำธุรกรรม'!B:B,"รายจ่าย"),)</f>
        <v/>
      </c>
      <c r="D136" s="36" t="str">
        <f t="shared" si="1"/>
        <v/>
      </c>
    </row>
    <row r="137">
      <c r="A137" s="8"/>
      <c r="B137" s="36" t="str">
        <f>IF(A137&lt;&gt;"",SUMIFS('การทำธุรกรรม'!E:E,'การทำธุรกรรม'!F:F,A137,'การทำธุรกรรม'!B:B,"รายรับ"),)</f>
        <v/>
      </c>
      <c r="C137" s="36" t="str">
        <f>IF(A137&lt;&gt;"",SUMIFS('การทำธุรกรรม'!E:E,'การทำธุรกรรม'!F:F,A137,'การทำธุรกรรม'!B:B,"รายจ่าย"),)</f>
        <v/>
      </c>
      <c r="D137" s="36" t="str">
        <f t="shared" si="1"/>
        <v/>
      </c>
    </row>
    <row r="138">
      <c r="A138" s="8"/>
      <c r="B138" s="36" t="str">
        <f>IF(A138&lt;&gt;"",SUMIFS('การทำธุรกรรม'!E:E,'การทำธุรกรรม'!F:F,A138,'การทำธุรกรรม'!B:B,"รายรับ"),)</f>
        <v/>
      </c>
      <c r="C138" s="36" t="str">
        <f>IF(A138&lt;&gt;"",SUMIFS('การทำธุรกรรม'!E:E,'การทำธุรกรรม'!F:F,A138,'การทำธุรกรรม'!B:B,"รายจ่าย"),)</f>
        <v/>
      </c>
      <c r="D138" s="36" t="str">
        <f t="shared" si="1"/>
        <v/>
      </c>
    </row>
    <row r="139">
      <c r="A139" s="8"/>
      <c r="B139" s="36" t="str">
        <f>IF(A139&lt;&gt;"",SUMIFS('การทำธุรกรรม'!E:E,'การทำธุรกรรม'!F:F,A139,'การทำธุรกรรม'!B:B,"รายรับ"),)</f>
        <v/>
      </c>
      <c r="C139" s="36" t="str">
        <f>IF(A139&lt;&gt;"",SUMIFS('การทำธุรกรรม'!E:E,'การทำธุรกรรม'!F:F,A139,'การทำธุรกรรม'!B:B,"รายจ่าย"),)</f>
        <v/>
      </c>
      <c r="D139" s="36" t="str">
        <f t="shared" si="1"/>
        <v/>
      </c>
    </row>
    <row r="140">
      <c r="A140" s="8"/>
      <c r="B140" s="36" t="str">
        <f>IF(A140&lt;&gt;"",SUMIFS('การทำธุรกรรม'!E:E,'การทำธุรกรรม'!F:F,A140,'การทำธุรกรรม'!B:B,"รายรับ"),)</f>
        <v/>
      </c>
      <c r="C140" s="36" t="str">
        <f>IF(A140&lt;&gt;"",SUMIFS('การทำธุรกรรม'!E:E,'การทำธุรกรรม'!F:F,A140,'การทำธุรกรรม'!B:B,"รายจ่าย"),)</f>
        <v/>
      </c>
      <c r="D140" s="36" t="str">
        <f t="shared" si="1"/>
        <v/>
      </c>
    </row>
    <row r="141">
      <c r="A141" s="8"/>
      <c r="B141" s="36" t="str">
        <f>IF(A141&lt;&gt;"",SUMIFS('การทำธุรกรรม'!E:E,'การทำธุรกรรม'!F:F,A141,'การทำธุรกรรม'!B:B,"รายรับ"),)</f>
        <v/>
      </c>
      <c r="C141" s="36" t="str">
        <f>IF(A141&lt;&gt;"",SUMIFS('การทำธุรกรรม'!E:E,'การทำธุรกรรม'!F:F,A141,'การทำธุรกรรม'!B:B,"รายจ่าย"),)</f>
        <v/>
      </c>
      <c r="D141" s="36" t="str">
        <f t="shared" si="1"/>
        <v/>
      </c>
    </row>
    <row r="142">
      <c r="A142" s="8"/>
      <c r="B142" s="36" t="str">
        <f>IF(A142&lt;&gt;"",SUMIFS('การทำธุรกรรม'!E:E,'การทำธุรกรรม'!F:F,A142,'การทำธุรกรรม'!B:B,"รายรับ"),)</f>
        <v/>
      </c>
      <c r="C142" s="36" t="str">
        <f>IF(A142&lt;&gt;"",SUMIFS('การทำธุรกรรม'!E:E,'การทำธุรกรรม'!F:F,A142,'การทำธุรกรรม'!B:B,"รายจ่าย"),)</f>
        <v/>
      </c>
      <c r="D142" s="36" t="str">
        <f t="shared" si="1"/>
        <v/>
      </c>
    </row>
    <row r="143">
      <c r="A143" s="8"/>
      <c r="B143" s="36" t="str">
        <f>IF(A143&lt;&gt;"",SUMIFS('การทำธุรกรรม'!E:E,'การทำธุรกรรม'!F:F,A143,'การทำธุรกรรม'!B:B,"รายรับ"),)</f>
        <v/>
      </c>
      <c r="C143" s="36" t="str">
        <f>IF(A143&lt;&gt;"",SUMIFS('การทำธุรกรรม'!E:E,'การทำธุรกรรม'!F:F,A143,'การทำธุรกรรม'!B:B,"รายจ่าย"),)</f>
        <v/>
      </c>
      <c r="D143" s="36" t="str">
        <f t="shared" si="1"/>
        <v/>
      </c>
    </row>
    <row r="144">
      <c r="A144" s="8"/>
      <c r="B144" s="36" t="str">
        <f>IF(A144&lt;&gt;"",SUMIFS('การทำธุรกรรม'!E:E,'การทำธุรกรรม'!F:F,A144,'การทำธุรกรรม'!B:B,"รายรับ"),)</f>
        <v/>
      </c>
      <c r="C144" s="36" t="str">
        <f>IF(A144&lt;&gt;"",SUMIFS('การทำธุรกรรม'!E:E,'การทำธุรกรรม'!F:F,A144,'การทำธุรกรรม'!B:B,"รายจ่าย"),)</f>
        <v/>
      </c>
      <c r="D144" s="36" t="str">
        <f t="shared" si="1"/>
        <v/>
      </c>
    </row>
    <row r="145">
      <c r="A145" s="8"/>
      <c r="B145" s="36" t="str">
        <f>IF(A145&lt;&gt;"",SUMIFS('การทำธุรกรรม'!E:E,'การทำธุรกรรม'!F:F,A145,'การทำธุรกรรม'!B:B,"รายรับ"),)</f>
        <v/>
      </c>
      <c r="C145" s="36" t="str">
        <f>IF(A145&lt;&gt;"",SUMIFS('การทำธุรกรรม'!E:E,'การทำธุรกรรม'!F:F,A145,'การทำธุรกรรม'!B:B,"รายจ่าย"),)</f>
        <v/>
      </c>
      <c r="D145" s="36" t="str">
        <f t="shared" si="1"/>
        <v/>
      </c>
    </row>
    <row r="146">
      <c r="A146" s="8"/>
      <c r="B146" s="36" t="str">
        <f>IF(A146&lt;&gt;"",SUMIFS('การทำธุรกรรม'!E:E,'การทำธุรกรรม'!F:F,A146,'การทำธุรกรรม'!B:B,"รายรับ"),)</f>
        <v/>
      </c>
      <c r="C146" s="36" t="str">
        <f>IF(A146&lt;&gt;"",SUMIFS('การทำธุรกรรม'!E:E,'การทำธุรกรรม'!F:F,A146,'การทำธุรกรรม'!B:B,"รายจ่าย"),)</f>
        <v/>
      </c>
      <c r="D146" s="36" t="str">
        <f t="shared" si="1"/>
        <v/>
      </c>
    </row>
    <row r="147">
      <c r="A147" s="8"/>
      <c r="B147" s="36" t="str">
        <f>IF(A147&lt;&gt;"",SUMIFS('การทำธุรกรรม'!E:E,'การทำธุรกรรม'!F:F,A147,'การทำธุรกรรม'!B:B,"รายรับ"),)</f>
        <v/>
      </c>
      <c r="C147" s="36" t="str">
        <f>IF(A147&lt;&gt;"",SUMIFS('การทำธุรกรรม'!E:E,'การทำธุรกรรม'!F:F,A147,'การทำธุรกรรม'!B:B,"รายจ่าย"),)</f>
        <v/>
      </c>
      <c r="D147" s="36" t="str">
        <f t="shared" si="1"/>
        <v/>
      </c>
    </row>
    <row r="148">
      <c r="A148" s="8"/>
      <c r="B148" s="36" t="str">
        <f>IF(A148&lt;&gt;"",SUMIFS('การทำธุรกรรม'!E:E,'การทำธุรกรรม'!F:F,A148,'การทำธุรกรรม'!B:B,"รายรับ"),)</f>
        <v/>
      </c>
      <c r="C148" s="36" t="str">
        <f>IF(A148&lt;&gt;"",SUMIFS('การทำธุรกรรม'!E:E,'การทำธุรกรรม'!F:F,A148,'การทำธุรกรรม'!B:B,"รายจ่าย"),)</f>
        <v/>
      </c>
      <c r="D148" s="36" t="str">
        <f t="shared" si="1"/>
        <v/>
      </c>
    </row>
    <row r="149">
      <c r="A149" s="8"/>
      <c r="B149" s="36" t="str">
        <f>IF(A149&lt;&gt;"",SUMIFS('การทำธุรกรรม'!E:E,'การทำธุรกรรม'!F:F,A149,'การทำธุรกรรม'!B:B,"รายรับ"),)</f>
        <v/>
      </c>
      <c r="C149" s="36" t="str">
        <f>IF(A149&lt;&gt;"",SUMIFS('การทำธุรกรรม'!E:E,'การทำธุรกรรม'!F:F,A149,'การทำธุรกรรม'!B:B,"รายจ่าย"),)</f>
        <v/>
      </c>
      <c r="D149" s="36" t="str">
        <f t="shared" si="1"/>
        <v/>
      </c>
    </row>
    <row r="150">
      <c r="A150" s="8"/>
      <c r="B150" s="36" t="str">
        <f>IF(A150&lt;&gt;"",SUMIFS('การทำธุรกรรม'!E:E,'การทำธุรกรรม'!F:F,A150,'การทำธุรกรรม'!B:B,"รายรับ"),)</f>
        <v/>
      </c>
      <c r="C150" s="36" t="str">
        <f>IF(A150&lt;&gt;"",SUMIFS('การทำธุรกรรม'!E:E,'การทำธุรกรรม'!F:F,A150,'การทำธุรกรรม'!B:B,"รายจ่าย"),)</f>
        <v/>
      </c>
      <c r="D150" s="36" t="str">
        <f t="shared" si="1"/>
        <v/>
      </c>
    </row>
    <row r="151">
      <c r="A151" s="8"/>
      <c r="B151" s="36" t="str">
        <f>IF(A151&lt;&gt;"",SUMIFS('การทำธุรกรรม'!E:E,'การทำธุรกรรม'!F:F,A151,'การทำธุรกรรม'!B:B,"รายรับ"),)</f>
        <v/>
      </c>
      <c r="C151" s="36" t="str">
        <f>IF(A151&lt;&gt;"",SUMIFS('การทำธุรกรรม'!E:E,'การทำธุรกรรม'!F:F,A151,'การทำธุรกรรม'!B:B,"รายจ่าย"),)</f>
        <v/>
      </c>
      <c r="D151" s="36" t="str">
        <f t="shared" si="1"/>
        <v/>
      </c>
    </row>
    <row r="152">
      <c r="A152" s="8"/>
      <c r="B152" s="36" t="str">
        <f>IF(A152&lt;&gt;"",SUMIFS('การทำธุรกรรม'!E:E,'การทำธุรกรรม'!F:F,A152,'การทำธุรกรรม'!B:B,"รายรับ"),)</f>
        <v/>
      </c>
      <c r="C152" s="36" t="str">
        <f>IF(A152&lt;&gt;"",SUMIFS('การทำธุรกรรม'!E:E,'การทำธุรกรรม'!F:F,A152,'การทำธุรกรรม'!B:B,"รายจ่าย"),)</f>
        <v/>
      </c>
      <c r="D152" s="36" t="str">
        <f t="shared" si="1"/>
        <v/>
      </c>
    </row>
    <row r="153">
      <c r="A153" s="8"/>
      <c r="B153" s="36" t="str">
        <f>IF(A153&lt;&gt;"",SUMIFS('การทำธุรกรรม'!E:E,'การทำธุรกรรม'!F:F,A153,'การทำธุรกรรม'!B:B,"รายรับ"),)</f>
        <v/>
      </c>
      <c r="C153" s="36" t="str">
        <f>IF(A153&lt;&gt;"",SUMIFS('การทำธุรกรรม'!E:E,'การทำธุรกรรม'!F:F,A153,'การทำธุรกรรม'!B:B,"รายจ่าย"),)</f>
        <v/>
      </c>
      <c r="D153" s="36" t="str">
        <f t="shared" si="1"/>
        <v/>
      </c>
    </row>
    <row r="154">
      <c r="A154" s="8"/>
      <c r="B154" s="36" t="str">
        <f>IF(A154&lt;&gt;"",SUMIFS('การทำธุรกรรม'!E:E,'การทำธุรกรรม'!F:F,A154,'การทำธุรกรรม'!B:B,"รายรับ"),)</f>
        <v/>
      </c>
      <c r="C154" s="36" t="str">
        <f>IF(A154&lt;&gt;"",SUMIFS('การทำธุรกรรม'!E:E,'การทำธุรกรรม'!F:F,A154,'การทำธุรกรรม'!B:B,"รายจ่าย"),)</f>
        <v/>
      </c>
      <c r="D154" s="36" t="str">
        <f t="shared" si="1"/>
        <v/>
      </c>
    </row>
    <row r="155">
      <c r="A155" s="8"/>
      <c r="B155" s="36" t="str">
        <f>IF(A155&lt;&gt;"",SUMIFS('การทำธุรกรรม'!E:E,'การทำธุรกรรม'!F:F,A155,'การทำธุรกรรม'!B:B,"รายรับ"),)</f>
        <v/>
      </c>
      <c r="C155" s="36" t="str">
        <f>IF(A155&lt;&gt;"",SUMIFS('การทำธุรกรรม'!E:E,'การทำธุรกรรม'!F:F,A155,'การทำธุรกรรม'!B:B,"รายจ่าย"),)</f>
        <v/>
      </c>
      <c r="D155" s="36" t="str">
        <f t="shared" si="1"/>
        <v/>
      </c>
    </row>
    <row r="156">
      <c r="A156" s="8"/>
      <c r="B156" s="36" t="str">
        <f>IF(A156&lt;&gt;"",SUMIFS('การทำธุรกรรม'!E:E,'การทำธุรกรรม'!F:F,A156,'การทำธุรกรรม'!B:B,"รายรับ"),)</f>
        <v/>
      </c>
      <c r="C156" s="36" t="str">
        <f>IF(A156&lt;&gt;"",SUMIFS('การทำธุรกรรม'!E:E,'การทำธุรกรรม'!F:F,A156,'การทำธุรกรรม'!B:B,"รายจ่าย"),)</f>
        <v/>
      </c>
      <c r="D156" s="36" t="str">
        <f t="shared" si="1"/>
        <v/>
      </c>
    </row>
    <row r="157">
      <c r="A157" s="8"/>
      <c r="B157" s="36" t="str">
        <f>IF(A157&lt;&gt;"",SUMIFS('การทำธุรกรรม'!E:E,'การทำธุรกรรม'!F:F,A157,'การทำธุรกรรม'!B:B,"รายรับ"),)</f>
        <v/>
      </c>
      <c r="C157" s="36" t="str">
        <f>IF(A157&lt;&gt;"",SUMIFS('การทำธุรกรรม'!E:E,'การทำธุรกรรม'!F:F,A157,'การทำธุรกรรม'!B:B,"รายจ่าย"),)</f>
        <v/>
      </c>
      <c r="D157" s="36" t="str">
        <f t="shared" si="1"/>
        <v/>
      </c>
    </row>
    <row r="158">
      <c r="A158" s="8"/>
      <c r="B158" s="36" t="str">
        <f>IF(A158&lt;&gt;"",SUMIFS('การทำธุรกรรม'!E:E,'การทำธุรกรรม'!F:F,A158,'การทำธุรกรรม'!B:B,"รายรับ"),)</f>
        <v/>
      </c>
      <c r="C158" s="36" t="str">
        <f>IF(A158&lt;&gt;"",SUMIFS('การทำธุรกรรม'!E:E,'การทำธุรกรรม'!F:F,A158,'การทำธุรกรรม'!B:B,"รายจ่าย"),)</f>
        <v/>
      </c>
      <c r="D158" s="36" t="str">
        <f t="shared" si="1"/>
        <v/>
      </c>
    </row>
    <row r="159">
      <c r="A159" s="8"/>
      <c r="B159" s="36" t="str">
        <f>IF(A159&lt;&gt;"",SUMIFS('การทำธุรกรรม'!E:E,'การทำธุรกรรม'!F:F,A159,'การทำธุรกรรม'!B:B,"รายรับ"),)</f>
        <v/>
      </c>
      <c r="C159" s="36" t="str">
        <f>IF(A159&lt;&gt;"",SUMIFS('การทำธุรกรรม'!E:E,'การทำธุรกรรม'!F:F,A159,'การทำธุรกรรม'!B:B,"รายจ่าย"),)</f>
        <v/>
      </c>
      <c r="D159" s="36" t="str">
        <f t="shared" si="1"/>
        <v/>
      </c>
    </row>
    <row r="160">
      <c r="A160" s="8"/>
      <c r="B160" s="36" t="str">
        <f>IF(A160&lt;&gt;"",SUMIFS('การทำธุรกรรม'!E:E,'การทำธุรกรรม'!F:F,A160,'การทำธุรกรรม'!B:B,"รายรับ"),)</f>
        <v/>
      </c>
      <c r="C160" s="36" t="str">
        <f>IF(A160&lt;&gt;"",SUMIFS('การทำธุรกรรม'!E:E,'การทำธุรกรรม'!F:F,A160,'การทำธุรกรรม'!B:B,"รายจ่าย"),)</f>
        <v/>
      </c>
      <c r="D160" s="36" t="str">
        <f t="shared" si="1"/>
        <v/>
      </c>
    </row>
    <row r="161">
      <c r="A161" s="8"/>
      <c r="B161" s="36" t="str">
        <f>IF(A161&lt;&gt;"",SUMIFS('การทำธุรกรรม'!E:E,'การทำธุรกรรม'!F:F,A161,'การทำธุรกรรม'!B:B,"รายรับ"),)</f>
        <v/>
      </c>
      <c r="C161" s="36" t="str">
        <f>IF(A161&lt;&gt;"",SUMIFS('การทำธุรกรรม'!E:E,'การทำธุรกรรม'!F:F,A161,'การทำธุรกรรม'!B:B,"รายจ่าย"),)</f>
        <v/>
      </c>
      <c r="D161" s="36" t="str">
        <f t="shared" si="1"/>
        <v/>
      </c>
    </row>
    <row r="162">
      <c r="A162" s="8"/>
      <c r="B162" s="36" t="str">
        <f>IF(A162&lt;&gt;"",SUMIFS('การทำธุรกรรม'!E:E,'การทำธุรกรรม'!F:F,A162,'การทำธุรกรรม'!B:B,"รายรับ"),)</f>
        <v/>
      </c>
      <c r="C162" s="36" t="str">
        <f>IF(A162&lt;&gt;"",SUMIFS('การทำธุรกรรม'!E:E,'การทำธุรกรรม'!F:F,A162,'การทำธุรกรรม'!B:B,"รายจ่าย"),)</f>
        <v/>
      </c>
      <c r="D162" s="36" t="str">
        <f t="shared" si="1"/>
        <v/>
      </c>
    </row>
    <row r="163">
      <c r="A163" s="8"/>
      <c r="B163" s="36" t="str">
        <f>IF(A163&lt;&gt;"",SUMIFS('การทำธุรกรรม'!E:E,'การทำธุรกรรม'!F:F,A163,'การทำธุรกรรม'!B:B,"รายรับ"),)</f>
        <v/>
      </c>
      <c r="C163" s="36" t="str">
        <f>IF(A163&lt;&gt;"",SUMIFS('การทำธุรกรรม'!E:E,'การทำธุรกรรม'!F:F,A163,'การทำธุรกรรม'!B:B,"รายจ่าย"),)</f>
        <v/>
      </c>
      <c r="D163" s="36" t="str">
        <f t="shared" si="1"/>
        <v/>
      </c>
    </row>
    <row r="164">
      <c r="A164" s="8"/>
      <c r="B164" s="36" t="str">
        <f>IF(A164&lt;&gt;"",SUMIFS('การทำธุรกรรม'!E:E,'การทำธุรกรรม'!F:F,A164,'การทำธุรกรรม'!B:B,"รายรับ"),)</f>
        <v/>
      </c>
      <c r="C164" s="36" t="str">
        <f>IF(A164&lt;&gt;"",SUMIFS('การทำธุรกรรม'!E:E,'การทำธุรกรรม'!F:F,A164,'การทำธุรกรรม'!B:B,"รายจ่าย"),)</f>
        <v/>
      </c>
      <c r="D164" s="36" t="str">
        <f t="shared" si="1"/>
        <v/>
      </c>
    </row>
    <row r="165">
      <c r="A165" s="8"/>
      <c r="B165" s="36" t="str">
        <f>IF(A165&lt;&gt;"",SUMIFS('การทำธุรกรรม'!E:E,'การทำธุรกรรม'!F:F,A165,'การทำธุรกรรม'!B:B,"รายรับ"),)</f>
        <v/>
      </c>
      <c r="C165" s="36" t="str">
        <f>IF(A165&lt;&gt;"",SUMIFS('การทำธุรกรรม'!E:E,'การทำธุรกรรม'!F:F,A165,'การทำธุรกรรม'!B:B,"รายจ่าย"),)</f>
        <v/>
      </c>
      <c r="D165" s="36" t="str">
        <f t="shared" si="1"/>
        <v/>
      </c>
    </row>
    <row r="166">
      <c r="A166" s="8"/>
      <c r="B166" s="36" t="str">
        <f>IF(A166&lt;&gt;"",SUMIFS('การทำธุรกรรม'!E:E,'การทำธุรกรรม'!F:F,A166,'การทำธุรกรรม'!B:B,"รายรับ"),)</f>
        <v/>
      </c>
      <c r="C166" s="36" t="str">
        <f>IF(A166&lt;&gt;"",SUMIFS('การทำธุรกรรม'!E:E,'การทำธุรกรรม'!F:F,A166,'การทำธุรกรรม'!B:B,"รายจ่าย"),)</f>
        <v/>
      </c>
      <c r="D166" s="36" t="str">
        <f t="shared" si="1"/>
        <v/>
      </c>
    </row>
    <row r="167">
      <c r="A167" s="8"/>
      <c r="B167" s="36" t="str">
        <f>IF(A167&lt;&gt;"",SUMIFS('การทำธุรกรรม'!E:E,'การทำธุรกรรม'!F:F,A167,'การทำธุรกรรม'!B:B,"รายรับ"),)</f>
        <v/>
      </c>
      <c r="C167" s="36" t="str">
        <f>IF(A167&lt;&gt;"",SUMIFS('การทำธุรกรรม'!E:E,'การทำธุรกรรม'!F:F,A167,'การทำธุรกรรม'!B:B,"รายจ่าย"),)</f>
        <v/>
      </c>
      <c r="D167" s="36" t="str">
        <f t="shared" si="1"/>
        <v/>
      </c>
    </row>
    <row r="168">
      <c r="A168" s="8"/>
      <c r="B168" s="36" t="str">
        <f>IF(A168&lt;&gt;"",SUMIFS('การทำธุรกรรม'!E:E,'การทำธุรกรรม'!F:F,A168,'การทำธุรกรรม'!B:B,"รายรับ"),)</f>
        <v/>
      </c>
      <c r="C168" s="36" t="str">
        <f>IF(A168&lt;&gt;"",SUMIFS('การทำธุรกรรม'!E:E,'การทำธุรกรรม'!F:F,A168,'การทำธุรกรรม'!B:B,"รายจ่าย"),)</f>
        <v/>
      </c>
      <c r="D168" s="36" t="str">
        <f t="shared" si="1"/>
        <v/>
      </c>
    </row>
    <row r="169">
      <c r="A169" s="8"/>
      <c r="B169" s="36" t="str">
        <f>IF(A169&lt;&gt;"",SUMIFS('การทำธุรกรรม'!E:E,'การทำธุรกรรม'!F:F,A169,'การทำธุรกรรม'!B:B,"รายรับ"),)</f>
        <v/>
      </c>
      <c r="C169" s="36" t="str">
        <f>IF(A169&lt;&gt;"",SUMIFS('การทำธุรกรรม'!E:E,'การทำธุรกรรม'!F:F,A169,'การทำธุรกรรม'!B:B,"รายจ่าย"),)</f>
        <v/>
      </c>
      <c r="D169" s="36" t="str">
        <f t="shared" si="1"/>
        <v/>
      </c>
    </row>
    <row r="170">
      <c r="A170" s="8"/>
      <c r="B170" s="36" t="str">
        <f>IF(A170&lt;&gt;"",SUMIFS('การทำธุรกรรม'!E:E,'การทำธุรกรรม'!F:F,A170,'การทำธุรกรรม'!B:B,"รายรับ"),)</f>
        <v/>
      </c>
      <c r="C170" s="36" t="str">
        <f>IF(A170&lt;&gt;"",SUMIFS('การทำธุรกรรม'!E:E,'การทำธุรกรรม'!F:F,A170,'การทำธุรกรรม'!B:B,"รายจ่าย"),)</f>
        <v/>
      </c>
      <c r="D170" s="36" t="str">
        <f t="shared" si="1"/>
        <v/>
      </c>
    </row>
    <row r="171">
      <c r="A171" s="8"/>
      <c r="B171" s="36" t="str">
        <f>IF(A171&lt;&gt;"",SUMIFS('การทำธุรกรรม'!E:E,'การทำธุรกรรม'!F:F,A171,'การทำธุรกรรม'!B:B,"รายรับ"),)</f>
        <v/>
      </c>
      <c r="C171" s="36" t="str">
        <f>IF(A171&lt;&gt;"",SUMIFS('การทำธุรกรรม'!E:E,'การทำธุรกรรม'!F:F,A171,'การทำธุรกรรม'!B:B,"รายจ่าย"),)</f>
        <v/>
      </c>
      <c r="D171" s="36" t="str">
        <f t="shared" si="1"/>
        <v/>
      </c>
    </row>
    <row r="172">
      <c r="A172" s="8"/>
      <c r="B172" s="36" t="str">
        <f>IF(A172&lt;&gt;"",SUMIFS('การทำธุรกรรม'!E:E,'การทำธุรกรรม'!F:F,A172,'การทำธุรกรรม'!B:B,"รายรับ"),)</f>
        <v/>
      </c>
      <c r="C172" s="36" t="str">
        <f>IF(A172&lt;&gt;"",SUMIFS('การทำธุรกรรม'!E:E,'การทำธุรกรรม'!F:F,A172,'การทำธุรกรรม'!B:B,"รายจ่าย"),)</f>
        <v/>
      </c>
      <c r="D172" s="36" t="str">
        <f t="shared" si="1"/>
        <v/>
      </c>
    </row>
    <row r="173">
      <c r="A173" s="8"/>
      <c r="B173" s="36" t="str">
        <f>IF(A173&lt;&gt;"",SUMIFS('การทำธุรกรรม'!E:E,'การทำธุรกรรม'!F:F,A173,'การทำธุรกรรม'!B:B,"รายรับ"),)</f>
        <v/>
      </c>
      <c r="C173" s="36" t="str">
        <f>IF(A173&lt;&gt;"",SUMIFS('การทำธุรกรรม'!E:E,'การทำธุรกรรม'!F:F,A173,'การทำธุรกรรม'!B:B,"รายจ่าย"),)</f>
        <v/>
      </c>
      <c r="D173" s="36" t="str">
        <f t="shared" si="1"/>
        <v/>
      </c>
    </row>
    <row r="174">
      <c r="A174" s="8"/>
      <c r="B174" s="36" t="str">
        <f>IF(A174&lt;&gt;"",SUMIFS('การทำธุรกรรม'!E:E,'การทำธุรกรรม'!F:F,A174,'การทำธุรกรรม'!B:B,"รายรับ"),)</f>
        <v/>
      </c>
      <c r="C174" s="36" t="str">
        <f>IF(A174&lt;&gt;"",SUMIFS('การทำธุรกรรม'!E:E,'การทำธุรกรรม'!F:F,A174,'การทำธุรกรรม'!B:B,"รายจ่าย"),)</f>
        <v/>
      </c>
      <c r="D174" s="36" t="str">
        <f t="shared" si="1"/>
        <v/>
      </c>
    </row>
    <row r="175">
      <c r="A175" s="8"/>
      <c r="B175" s="36" t="str">
        <f>IF(A175&lt;&gt;"",SUMIFS('การทำธุรกรรม'!E:E,'การทำธุรกรรม'!F:F,A175,'การทำธุรกรรม'!B:B,"รายรับ"),)</f>
        <v/>
      </c>
      <c r="C175" s="36" t="str">
        <f>IF(A175&lt;&gt;"",SUMIFS('การทำธุรกรรม'!E:E,'การทำธุรกรรม'!F:F,A175,'การทำธุรกรรม'!B:B,"รายจ่าย"),)</f>
        <v/>
      </c>
      <c r="D175" s="36" t="str">
        <f t="shared" si="1"/>
        <v/>
      </c>
    </row>
    <row r="176">
      <c r="A176" s="8"/>
      <c r="B176" s="36" t="str">
        <f>IF(A176&lt;&gt;"",SUMIFS('การทำธุรกรรม'!E:E,'การทำธุรกรรม'!F:F,A176,'การทำธุรกรรม'!B:B,"รายรับ"),)</f>
        <v/>
      </c>
      <c r="C176" s="36" t="str">
        <f>IF(A176&lt;&gt;"",SUMIFS('การทำธุรกรรม'!E:E,'การทำธุรกรรม'!F:F,A176,'การทำธุรกรรม'!B:B,"รายจ่าย"),)</f>
        <v/>
      </c>
      <c r="D176" s="36" t="str">
        <f t="shared" si="1"/>
        <v/>
      </c>
    </row>
    <row r="177">
      <c r="A177" s="8"/>
      <c r="B177" s="36" t="str">
        <f>IF(A177&lt;&gt;"",SUMIFS('การทำธุรกรรม'!E:E,'การทำธุรกรรม'!F:F,A177,'การทำธุรกรรม'!B:B,"รายรับ"),)</f>
        <v/>
      </c>
      <c r="C177" s="36" t="str">
        <f>IF(A177&lt;&gt;"",SUMIFS('การทำธุรกรรม'!E:E,'การทำธุรกรรม'!F:F,A177,'การทำธุรกรรม'!B:B,"รายจ่าย"),)</f>
        <v/>
      </c>
      <c r="D177" s="36" t="str">
        <f t="shared" si="1"/>
        <v/>
      </c>
    </row>
    <row r="178">
      <c r="A178" s="8"/>
      <c r="B178" s="36" t="str">
        <f>IF(A178&lt;&gt;"",SUMIFS('การทำธุรกรรม'!E:E,'การทำธุรกรรม'!F:F,A178,'การทำธุรกรรม'!B:B,"รายรับ"),)</f>
        <v/>
      </c>
      <c r="C178" s="36" t="str">
        <f>IF(A178&lt;&gt;"",SUMIFS('การทำธุรกรรม'!E:E,'การทำธุรกรรม'!F:F,A178,'การทำธุรกรรม'!B:B,"รายจ่าย"),)</f>
        <v/>
      </c>
      <c r="D178" s="36" t="str">
        <f t="shared" si="1"/>
        <v/>
      </c>
    </row>
    <row r="179">
      <c r="A179" s="8"/>
      <c r="B179" s="36" t="str">
        <f>IF(A179&lt;&gt;"",SUMIFS('การทำธุรกรรม'!E:E,'การทำธุรกรรม'!F:F,A179,'การทำธุรกรรม'!B:B,"รายรับ"),)</f>
        <v/>
      </c>
      <c r="C179" s="36" t="str">
        <f>IF(A179&lt;&gt;"",SUMIFS('การทำธุรกรรม'!E:E,'การทำธุรกรรม'!F:F,A179,'การทำธุรกรรม'!B:B,"รายจ่าย"),)</f>
        <v/>
      </c>
      <c r="D179" s="36" t="str">
        <f t="shared" si="1"/>
        <v/>
      </c>
    </row>
    <row r="180">
      <c r="A180" s="8"/>
      <c r="B180" s="36" t="str">
        <f>IF(A180&lt;&gt;"",SUMIFS('การทำธุรกรรม'!E:E,'การทำธุรกรรม'!F:F,A180,'การทำธุรกรรม'!B:B,"รายรับ"),)</f>
        <v/>
      </c>
      <c r="C180" s="36" t="str">
        <f>IF(A180&lt;&gt;"",SUMIFS('การทำธุรกรรม'!E:E,'การทำธุรกรรม'!F:F,A180,'การทำธุรกรรม'!B:B,"รายจ่าย"),)</f>
        <v/>
      </c>
      <c r="D180" s="36" t="str">
        <f t="shared" si="1"/>
        <v/>
      </c>
    </row>
    <row r="181">
      <c r="A181" s="8"/>
      <c r="B181" s="36" t="str">
        <f>IF(A181&lt;&gt;"",SUMIFS('การทำธุรกรรม'!E:E,'การทำธุรกรรม'!F:F,A181,'การทำธุรกรรม'!B:B,"รายรับ"),)</f>
        <v/>
      </c>
      <c r="C181" s="36" t="str">
        <f>IF(A181&lt;&gt;"",SUMIFS('การทำธุรกรรม'!E:E,'การทำธุรกรรม'!F:F,A181,'การทำธุรกรรม'!B:B,"รายจ่าย"),)</f>
        <v/>
      </c>
      <c r="D181" s="36" t="str">
        <f t="shared" si="1"/>
        <v/>
      </c>
    </row>
    <row r="182">
      <c r="A182" s="8"/>
      <c r="B182" s="36" t="str">
        <f>IF(A182&lt;&gt;"",SUMIFS('การทำธุรกรรม'!E:E,'การทำธุรกรรม'!F:F,A182,'การทำธุรกรรม'!B:B,"รายรับ"),)</f>
        <v/>
      </c>
      <c r="C182" s="36" t="str">
        <f>IF(A182&lt;&gt;"",SUMIFS('การทำธุรกรรม'!E:E,'การทำธุรกรรม'!F:F,A182,'การทำธุรกรรม'!B:B,"รายจ่าย"),)</f>
        <v/>
      </c>
      <c r="D182" s="36" t="str">
        <f t="shared" si="1"/>
        <v/>
      </c>
    </row>
    <row r="183">
      <c r="A183" s="8"/>
      <c r="B183" s="36" t="str">
        <f>IF(A183&lt;&gt;"",SUMIFS('การทำธุรกรรม'!E:E,'การทำธุรกรรม'!F:F,A183,'การทำธุรกรรม'!B:B,"รายรับ"),)</f>
        <v/>
      </c>
      <c r="C183" s="36" t="str">
        <f>IF(A183&lt;&gt;"",SUMIFS('การทำธุรกรรม'!E:E,'การทำธุรกรรม'!F:F,A183,'การทำธุรกรรม'!B:B,"รายจ่าย"),)</f>
        <v/>
      </c>
      <c r="D183" s="36" t="str">
        <f t="shared" si="1"/>
        <v/>
      </c>
    </row>
    <row r="184">
      <c r="A184" s="8"/>
      <c r="B184" s="36" t="str">
        <f>IF(A184&lt;&gt;"",SUMIFS('การทำธุรกรรม'!E:E,'การทำธุรกรรม'!F:F,A184,'การทำธุรกรรม'!B:B,"รายรับ"),)</f>
        <v/>
      </c>
      <c r="C184" s="36" t="str">
        <f>IF(A184&lt;&gt;"",SUMIFS('การทำธุรกรรม'!E:E,'การทำธุรกรรม'!F:F,A184,'การทำธุรกรรม'!B:B,"รายจ่าย"),)</f>
        <v/>
      </c>
      <c r="D184" s="36" t="str">
        <f t="shared" si="1"/>
        <v/>
      </c>
    </row>
    <row r="185">
      <c r="A185" s="8"/>
      <c r="B185" s="36" t="str">
        <f>IF(A185&lt;&gt;"",SUMIFS('การทำธุรกรรม'!E:E,'การทำธุรกรรม'!F:F,A185,'การทำธุรกรรม'!B:B,"รายรับ"),)</f>
        <v/>
      </c>
      <c r="C185" s="36" t="str">
        <f>IF(A185&lt;&gt;"",SUMIFS('การทำธุรกรรม'!E:E,'การทำธุรกรรม'!F:F,A185,'การทำธุรกรรม'!B:B,"รายจ่าย"),)</f>
        <v/>
      </c>
      <c r="D185" s="36" t="str">
        <f t="shared" si="1"/>
        <v/>
      </c>
    </row>
    <row r="186">
      <c r="A186" s="8"/>
      <c r="B186" s="36" t="str">
        <f>IF(A186&lt;&gt;"",SUMIFS('การทำธุรกรรม'!E:E,'การทำธุรกรรม'!F:F,A186,'การทำธุรกรรม'!B:B,"รายรับ"),)</f>
        <v/>
      </c>
      <c r="C186" s="36" t="str">
        <f>IF(A186&lt;&gt;"",SUMIFS('การทำธุรกรรม'!E:E,'การทำธุรกรรม'!F:F,A186,'การทำธุรกรรม'!B:B,"รายจ่าย"),)</f>
        <v/>
      </c>
      <c r="D186" s="36" t="str">
        <f t="shared" si="1"/>
        <v/>
      </c>
    </row>
    <row r="187">
      <c r="A187" s="8"/>
      <c r="B187" s="36" t="str">
        <f>IF(A187&lt;&gt;"",SUMIFS('การทำธุรกรรม'!E:E,'การทำธุรกรรม'!F:F,A187,'การทำธุรกรรม'!B:B,"รายรับ"),)</f>
        <v/>
      </c>
      <c r="C187" s="36" t="str">
        <f>IF(A187&lt;&gt;"",SUMIFS('การทำธุรกรรม'!E:E,'การทำธุรกรรม'!F:F,A187,'การทำธุรกรรม'!B:B,"รายจ่าย"),)</f>
        <v/>
      </c>
      <c r="D187" s="36" t="str">
        <f t="shared" si="1"/>
        <v/>
      </c>
    </row>
    <row r="188">
      <c r="A188" s="8"/>
      <c r="B188" s="36" t="str">
        <f>IF(A188&lt;&gt;"",SUMIFS('การทำธุรกรรม'!E:E,'การทำธุรกรรม'!F:F,A188,'การทำธุรกรรม'!B:B,"รายรับ"),)</f>
        <v/>
      </c>
      <c r="C188" s="36" t="str">
        <f>IF(A188&lt;&gt;"",SUMIFS('การทำธุรกรรม'!E:E,'การทำธุรกรรม'!F:F,A188,'การทำธุรกรรม'!B:B,"รายจ่าย"),)</f>
        <v/>
      </c>
      <c r="D188" s="36" t="str">
        <f t="shared" si="1"/>
        <v/>
      </c>
    </row>
    <row r="189">
      <c r="A189" s="8"/>
      <c r="B189" s="36" t="str">
        <f>IF(A189&lt;&gt;"",SUMIFS('การทำธุรกรรม'!E:E,'การทำธุรกรรม'!F:F,A189,'การทำธุรกรรม'!B:B,"รายรับ"),)</f>
        <v/>
      </c>
      <c r="C189" s="36" t="str">
        <f>IF(A189&lt;&gt;"",SUMIFS('การทำธุรกรรม'!E:E,'การทำธุรกรรม'!F:F,A189,'การทำธุรกรรม'!B:B,"รายจ่าย"),)</f>
        <v/>
      </c>
      <c r="D189" s="36" t="str">
        <f t="shared" si="1"/>
        <v/>
      </c>
    </row>
    <row r="190">
      <c r="A190" s="8"/>
      <c r="B190" s="36" t="str">
        <f>IF(A190&lt;&gt;"",SUMIFS('การทำธุรกรรม'!E:E,'การทำธุรกรรม'!F:F,A190,'การทำธุรกรรม'!B:B,"รายรับ"),)</f>
        <v/>
      </c>
      <c r="C190" s="36" t="str">
        <f>IF(A190&lt;&gt;"",SUMIFS('การทำธุรกรรม'!E:E,'การทำธุรกรรม'!F:F,A190,'การทำธุรกรรม'!B:B,"รายจ่าย"),)</f>
        <v/>
      </c>
      <c r="D190" s="36" t="str">
        <f t="shared" si="1"/>
        <v/>
      </c>
    </row>
    <row r="191">
      <c r="A191" s="8"/>
      <c r="B191" s="36" t="str">
        <f>IF(A191&lt;&gt;"",SUMIFS('การทำธุรกรรม'!E:E,'การทำธุรกรรม'!F:F,A191,'การทำธุรกรรม'!B:B,"รายรับ"),)</f>
        <v/>
      </c>
      <c r="C191" s="36" t="str">
        <f>IF(A191&lt;&gt;"",SUMIFS('การทำธุรกรรม'!E:E,'การทำธุรกรรม'!F:F,A191,'การทำธุรกรรม'!B:B,"รายจ่าย"),)</f>
        <v/>
      </c>
      <c r="D191" s="36" t="str">
        <f t="shared" si="1"/>
        <v/>
      </c>
    </row>
    <row r="192">
      <c r="A192" s="8"/>
      <c r="B192" s="36" t="str">
        <f>IF(A192&lt;&gt;"",SUMIFS('การทำธุรกรรม'!E:E,'การทำธุรกรรม'!F:F,A192,'การทำธุรกรรม'!B:B,"รายรับ"),)</f>
        <v/>
      </c>
      <c r="C192" s="36" t="str">
        <f>IF(A192&lt;&gt;"",SUMIFS('การทำธุรกรรม'!E:E,'การทำธุรกรรม'!F:F,A192,'การทำธุรกรรม'!B:B,"รายจ่าย"),)</f>
        <v/>
      </c>
      <c r="D192" s="36" t="str">
        <f t="shared" si="1"/>
        <v/>
      </c>
    </row>
    <row r="193">
      <c r="A193" s="8"/>
      <c r="B193" s="36" t="str">
        <f>IF(A193&lt;&gt;"",SUMIFS('การทำธุรกรรม'!E:E,'การทำธุรกรรม'!F:F,A193,'การทำธุรกรรม'!B:B,"รายรับ"),)</f>
        <v/>
      </c>
      <c r="C193" s="36" t="str">
        <f>IF(A193&lt;&gt;"",SUMIFS('การทำธุรกรรม'!E:E,'การทำธุรกรรม'!F:F,A193,'การทำธุรกรรม'!B:B,"รายจ่าย"),)</f>
        <v/>
      </c>
      <c r="D193" s="36" t="str">
        <f t="shared" si="1"/>
        <v/>
      </c>
    </row>
    <row r="194">
      <c r="A194" s="8"/>
      <c r="B194" s="36" t="str">
        <f>IF(A194&lt;&gt;"",SUMIFS('การทำธุรกรรม'!E:E,'การทำธุรกรรม'!F:F,A194,'การทำธุรกรรม'!B:B,"รายรับ"),)</f>
        <v/>
      </c>
      <c r="C194" s="36" t="str">
        <f>IF(A194&lt;&gt;"",SUMIFS('การทำธุรกรรม'!E:E,'การทำธุรกรรม'!F:F,A194,'การทำธุรกรรม'!B:B,"รายจ่าย"),)</f>
        <v/>
      </c>
      <c r="D194" s="36" t="str">
        <f t="shared" si="1"/>
        <v/>
      </c>
    </row>
    <row r="195">
      <c r="A195" s="8"/>
      <c r="B195" s="36" t="str">
        <f>IF(A195&lt;&gt;"",SUMIFS('การทำธุรกรรม'!E:E,'การทำธุรกรรม'!F:F,A195,'การทำธุรกรรม'!B:B,"รายรับ"),)</f>
        <v/>
      </c>
      <c r="C195" s="36" t="str">
        <f>IF(A195&lt;&gt;"",SUMIFS('การทำธุรกรรม'!E:E,'การทำธุรกรรม'!F:F,A195,'การทำธุรกรรม'!B:B,"รายจ่าย"),)</f>
        <v/>
      </c>
      <c r="D195" s="36" t="str">
        <f t="shared" si="1"/>
        <v/>
      </c>
    </row>
    <row r="196">
      <c r="A196" s="8"/>
      <c r="B196" s="36" t="str">
        <f>IF(A196&lt;&gt;"",SUMIFS('การทำธุรกรรม'!E:E,'การทำธุรกรรม'!F:F,A196,'การทำธุรกรรม'!B:B,"รายรับ"),)</f>
        <v/>
      </c>
      <c r="C196" s="36" t="str">
        <f>IF(A196&lt;&gt;"",SUMIFS('การทำธุรกรรม'!E:E,'การทำธุรกรรม'!F:F,A196,'การทำธุรกรรม'!B:B,"รายจ่าย"),)</f>
        <v/>
      </c>
      <c r="D196" s="36" t="str">
        <f t="shared" si="1"/>
        <v/>
      </c>
    </row>
    <row r="197">
      <c r="A197" s="8"/>
      <c r="B197" s="36" t="str">
        <f>IF(A197&lt;&gt;"",SUMIFS('การทำธุรกรรม'!E:E,'การทำธุรกรรม'!F:F,A197,'การทำธุรกรรม'!B:B,"รายรับ"),)</f>
        <v/>
      </c>
      <c r="C197" s="36" t="str">
        <f>IF(A197&lt;&gt;"",SUMIFS('การทำธุรกรรม'!E:E,'การทำธุรกรรม'!F:F,A197,'การทำธุรกรรม'!B:B,"รายจ่าย"),)</f>
        <v/>
      </c>
      <c r="D197" s="36" t="str">
        <f t="shared" si="1"/>
        <v/>
      </c>
    </row>
    <row r="198">
      <c r="A198" s="8"/>
      <c r="B198" s="36" t="str">
        <f>IF(A198&lt;&gt;"",SUMIFS('การทำธุรกรรม'!E:E,'การทำธุรกรรม'!F:F,A198,'การทำธุรกรรม'!B:B,"รายรับ"),)</f>
        <v/>
      </c>
      <c r="C198" s="36" t="str">
        <f>IF(A198&lt;&gt;"",SUMIFS('การทำธุรกรรม'!E:E,'การทำธุรกรรม'!F:F,A198,'การทำธุรกรรม'!B:B,"รายจ่าย"),)</f>
        <v/>
      </c>
      <c r="D198" s="36" t="str">
        <f t="shared" si="1"/>
        <v/>
      </c>
    </row>
    <row r="199">
      <c r="A199" s="8"/>
      <c r="B199" s="36" t="str">
        <f>IF(A199&lt;&gt;"",SUMIFS('การทำธุรกรรม'!E:E,'การทำธุรกรรม'!F:F,A199,'การทำธุรกรรม'!B:B,"รายรับ"),)</f>
        <v/>
      </c>
      <c r="C199" s="36" t="str">
        <f>IF(A199&lt;&gt;"",SUMIFS('การทำธุรกรรม'!E:E,'การทำธุรกรรม'!F:F,A199,'การทำธุรกรรม'!B:B,"รายจ่าย"),)</f>
        <v/>
      </c>
      <c r="D199" s="36" t="str">
        <f t="shared" si="1"/>
        <v/>
      </c>
    </row>
    <row r="200">
      <c r="A200" s="8"/>
      <c r="B200" s="36" t="str">
        <f>IF(A200&lt;&gt;"",SUMIFS('การทำธุรกรรม'!E:E,'การทำธุรกรรม'!F:F,A200,'การทำธุรกรรม'!B:B,"รายรับ"),)</f>
        <v/>
      </c>
      <c r="C200" s="36" t="str">
        <f>IF(A200&lt;&gt;"",SUMIFS('การทำธุรกรรม'!E:E,'การทำธุรกรรม'!F:F,A200,'การทำธุรกรรม'!B:B,"รายจ่าย"),)</f>
        <v/>
      </c>
      <c r="D200" s="36" t="str">
        <f t="shared" si="1"/>
        <v/>
      </c>
    </row>
    <row r="201">
      <c r="A201" s="8"/>
      <c r="B201" s="36" t="str">
        <f>IF(A201&lt;&gt;"",SUMIFS('การทำธุรกรรม'!E:E,'การทำธุรกรรม'!F:F,A201,'การทำธุรกรรม'!B:B,"รายรับ"),)</f>
        <v/>
      </c>
      <c r="C201" s="36" t="str">
        <f>IF(A201&lt;&gt;"",SUMIFS('การทำธุรกรรม'!E:E,'การทำธุรกรรม'!F:F,A201,'การทำธุรกรรม'!B:B,"รายจ่าย"),)</f>
        <v/>
      </c>
      <c r="D201" s="36" t="str">
        <f t="shared" si="1"/>
        <v/>
      </c>
    </row>
    <row r="202">
      <c r="A202" s="8"/>
      <c r="B202" s="36" t="str">
        <f>IF(A202&lt;&gt;"",SUMIFS('การทำธุรกรรม'!E:E,'การทำธุรกรรม'!F:F,A202,'การทำธุรกรรม'!B:B,"รายรับ"),)</f>
        <v/>
      </c>
      <c r="C202" s="36" t="str">
        <f>IF(A202&lt;&gt;"",SUMIFS('การทำธุรกรรม'!E:E,'การทำธุรกรรม'!F:F,A202,'การทำธุรกรรม'!B:B,"รายจ่าย"),)</f>
        <v/>
      </c>
      <c r="D202" s="36" t="str">
        <f t="shared" si="1"/>
        <v/>
      </c>
    </row>
    <row r="203">
      <c r="A203" s="8"/>
      <c r="B203" s="36" t="str">
        <f>IF(A203&lt;&gt;"",SUMIFS('การทำธุรกรรม'!E:E,'การทำธุรกรรม'!F:F,A203,'การทำธุรกรรม'!B:B,"รายรับ"),)</f>
        <v/>
      </c>
      <c r="C203" s="36" t="str">
        <f>IF(A203&lt;&gt;"",SUMIFS('การทำธุรกรรม'!E:E,'การทำธุรกรรม'!F:F,A203,'การทำธุรกรรม'!B:B,"รายจ่าย"),)</f>
        <v/>
      </c>
      <c r="D203" s="36" t="str">
        <f t="shared" si="1"/>
        <v/>
      </c>
    </row>
    <row r="204">
      <c r="A204" s="8"/>
      <c r="B204" s="36" t="str">
        <f>IF(A204&lt;&gt;"",SUMIFS('การทำธุรกรรม'!E:E,'การทำธุรกรรม'!F:F,A204,'การทำธุรกรรม'!B:B,"รายรับ"),)</f>
        <v/>
      </c>
      <c r="C204" s="36" t="str">
        <f>IF(A204&lt;&gt;"",SUMIFS('การทำธุรกรรม'!E:E,'การทำธุรกรรม'!F:F,A204,'การทำธุรกรรม'!B:B,"รายจ่าย"),)</f>
        <v/>
      </c>
      <c r="D204" s="36" t="str">
        <f t="shared" si="1"/>
        <v/>
      </c>
    </row>
    <row r="205">
      <c r="A205" s="8"/>
      <c r="B205" s="36" t="str">
        <f>IF(A205&lt;&gt;"",SUMIFS('การทำธุรกรรม'!E:E,'การทำธุรกรรม'!F:F,A205,'การทำธุรกรรม'!B:B,"รายรับ"),)</f>
        <v/>
      </c>
      <c r="C205" s="36" t="str">
        <f>IF(A205&lt;&gt;"",SUMIFS('การทำธุรกรรม'!E:E,'การทำธุรกรรม'!F:F,A205,'การทำธุรกรรม'!B:B,"รายจ่าย"),)</f>
        <v/>
      </c>
      <c r="D205" s="36" t="str">
        <f t="shared" si="1"/>
        <v/>
      </c>
    </row>
    <row r="206">
      <c r="A206" s="8"/>
      <c r="B206" s="36" t="str">
        <f>IF(A206&lt;&gt;"",SUMIFS('การทำธุรกรรม'!E:E,'การทำธุรกรรม'!F:F,A206,'การทำธุรกรรม'!B:B,"รายรับ"),)</f>
        <v/>
      </c>
      <c r="C206" s="36" t="str">
        <f>IF(A206&lt;&gt;"",SUMIFS('การทำธุรกรรม'!E:E,'การทำธุรกรรม'!F:F,A206,'การทำธุรกรรม'!B:B,"รายจ่าย"),)</f>
        <v/>
      </c>
      <c r="D206" s="36" t="str">
        <f t="shared" si="1"/>
        <v/>
      </c>
    </row>
    <row r="207">
      <c r="A207" s="8"/>
      <c r="B207" s="36" t="str">
        <f>IF(A207&lt;&gt;"",SUMIFS('การทำธุรกรรม'!E:E,'การทำธุรกรรม'!F:F,A207,'การทำธุรกรรม'!B:B,"รายรับ"),)</f>
        <v/>
      </c>
      <c r="C207" s="36" t="str">
        <f>IF(A207&lt;&gt;"",SUMIFS('การทำธุรกรรม'!E:E,'การทำธุรกรรม'!F:F,A207,'การทำธุรกรรม'!B:B,"รายจ่าย"),)</f>
        <v/>
      </c>
      <c r="D207" s="36" t="str">
        <f t="shared" si="1"/>
        <v/>
      </c>
    </row>
    <row r="208">
      <c r="A208" s="8"/>
      <c r="B208" s="36" t="str">
        <f>IF(A208&lt;&gt;"",SUMIFS('การทำธุรกรรม'!E:E,'การทำธุรกรรม'!F:F,A208,'การทำธุรกรรม'!B:B,"รายรับ"),)</f>
        <v/>
      </c>
      <c r="C208" s="36" t="str">
        <f>IF(A208&lt;&gt;"",SUMIFS('การทำธุรกรรม'!E:E,'การทำธุรกรรม'!F:F,A208,'การทำธุรกรรม'!B:B,"รายจ่าย"),)</f>
        <v/>
      </c>
      <c r="D208" s="36" t="str">
        <f t="shared" si="1"/>
        <v/>
      </c>
    </row>
    <row r="209">
      <c r="A209" s="8"/>
      <c r="B209" s="36" t="str">
        <f>IF(A209&lt;&gt;"",SUMIFS('การทำธุรกรรม'!E:E,'การทำธุรกรรม'!F:F,A209,'การทำธุรกรรม'!B:B,"รายรับ"),)</f>
        <v/>
      </c>
      <c r="C209" s="36" t="str">
        <f>IF(A209&lt;&gt;"",SUMIFS('การทำธุรกรรม'!E:E,'การทำธุรกรรม'!F:F,A209,'การทำธุรกรรม'!B:B,"รายจ่าย"),)</f>
        <v/>
      </c>
      <c r="D209" s="36" t="str">
        <f t="shared" si="1"/>
        <v/>
      </c>
    </row>
    <row r="210">
      <c r="A210" s="8"/>
      <c r="B210" s="36" t="str">
        <f>IF(A210&lt;&gt;"",SUMIFS('การทำธุรกรรม'!E:E,'การทำธุรกรรม'!F:F,A210,'การทำธุรกรรม'!B:B,"รายรับ"),)</f>
        <v/>
      </c>
      <c r="C210" s="36" t="str">
        <f>IF(A210&lt;&gt;"",SUMIFS('การทำธุรกรรม'!E:E,'การทำธุรกรรม'!F:F,A210,'การทำธุรกรรม'!B:B,"รายจ่าย"),)</f>
        <v/>
      </c>
      <c r="D210" s="36" t="str">
        <f t="shared" si="1"/>
        <v/>
      </c>
    </row>
    <row r="211">
      <c r="A211" s="8"/>
      <c r="B211" s="36" t="str">
        <f>IF(A211&lt;&gt;"",SUMIFS('การทำธุรกรรม'!E:E,'การทำธุรกรรม'!F:F,A211,'การทำธุรกรรม'!B:B,"รายรับ"),)</f>
        <v/>
      </c>
      <c r="C211" s="36" t="str">
        <f>IF(A211&lt;&gt;"",SUMIFS('การทำธุรกรรม'!E:E,'การทำธุรกรรม'!F:F,A211,'การทำธุรกรรม'!B:B,"รายจ่าย"),)</f>
        <v/>
      </c>
      <c r="D211" s="36" t="str">
        <f t="shared" si="1"/>
        <v/>
      </c>
    </row>
    <row r="212">
      <c r="A212" s="8"/>
      <c r="B212" s="36" t="str">
        <f>IF(A212&lt;&gt;"",SUMIFS('การทำธุรกรรม'!E:E,'การทำธุรกรรม'!F:F,A212,'การทำธุรกรรม'!B:B,"รายรับ"),)</f>
        <v/>
      </c>
      <c r="C212" s="36" t="str">
        <f>IF(A212&lt;&gt;"",SUMIFS('การทำธุรกรรม'!E:E,'การทำธุรกรรม'!F:F,A212,'การทำธุรกรรม'!B:B,"รายจ่าย"),)</f>
        <v/>
      </c>
      <c r="D212" s="36" t="str">
        <f t="shared" si="1"/>
        <v/>
      </c>
    </row>
    <row r="213">
      <c r="A213" s="8"/>
      <c r="B213" s="36" t="str">
        <f>IF(A213&lt;&gt;"",SUMIFS('การทำธุรกรรม'!E:E,'การทำธุรกรรม'!F:F,A213,'การทำธุรกรรม'!B:B,"รายรับ"),)</f>
        <v/>
      </c>
      <c r="C213" s="36" t="str">
        <f>IF(A213&lt;&gt;"",SUMIFS('การทำธุรกรรม'!E:E,'การทำธุรกรรม'!F:F,A213,'การทำธุรกรรม'!B:B,"รายจ่าย"),)</f>
        <v/>
      </c>
      <c r="D213" s="36" t="str">
        <f t="shared" si="1"/>
        <v/>
      </c>
    </row>
    <row r="214">
      <c r="A214" s="8"/>
      <c r="B214" s="36" t="str">
        <f>IF(A214&lt;&gt;"",SUMIFS('การทำธุรกรรม'!E:E,'การทำธุรกรรม'!F:F,A214,'การทำธุรกรรม'!B:B,"รายรับ"),)</f>
        <v/>
      </c>
      <c r="C214" s="36" t="str">
        <f>IF(A214&lt;&gt;"",SUMIFS('การทำธุรกรรม'!E:E,'การทำธุรกรรม'!F:F,A214,'การทำธุรกรรม'!B:B,"รายจ่าย"),)</f>
        <v/>
      </c>
      <c r="D214" s="36" t="str">
        <f t="shared" si="1"/>
        <v/>
      </c>
    </row>
    <row r="215">
      <c r="A215" s="8"/>
      <c r="B215" s="36" t="str">
        <f>IF(A215&lt;&gt;"",SUMIFS('การทำธุรกรรม'!E:E,'การทำธุรกรรม'!F:F,A215,'การทำธุรกรรม'!B:B,"รายรับ"),)</f>
        <v/>
      </c>
      <c r="C215" s="36" t="str">
        <f>IF(A215&lt;&gt;"",SUMIFS('การทำธุรกรรม'!E:E,'การทำธุรกรรม'!F:F,A215,'การทำธุรกรรม'!B:B,"รายจ่าย"),)</f>
        <v/>
      </c>
      <c r="D215" s="36" t="str">
        <f t="shared" si="1"/>
        <v/>
      </c>
    </row>
    <row r="216">
      <c r="A216" s="8"/>
      <c r="B216" s="36" t="str">
        <f>IF(A216&lt;&gt;"",SUMIFS('การทำธุรกรรม'!E:E,'การทำธุรกรรม'!F:F,A216,'การทำธุรกรรม'!B:B,"รายรับ"),)</f>
        <v/>
      </c>
      <c r="C216" s="36" t="str">
        <f>IF(A216&lt;&gt;"",SUMIFS('การทำธุรกรรม'!E:E,'การทำธุรกรรม'!F:F,A216,'การทำธุรกรรม'!B:B,"รายจ่าย"),)</f>
        <v/>
      </c>
      <c r="D216" s="36" t="str">
        <f t="shared" si="1"/>
        <v/>
      </c>
    </row>
    <row r="217">
      <c r="A217" s="8"/>
      <c r="B217" s="36" t="str">
        <f>IF(A217&lt;&gt;"",SUMIFS('การทำธุรกรรม'!E:E,'การทำธุรกรรม'!F:F,A217,'การทำธุรกรรม'!B:B,"รายรับ"),)</f>
        <v/>
      </c>
      <c r="C217" s="36" t="str">
        <f>IF(A217&lt;&gt;"",SUMIFS('การทำธุรกรรม'!E:E,'การทำธุรกรรม'!F:F,A217,'การทำธุรกรรม'!B:B,"รายจ่าย"),)</f>
        <v/>
      </c>
      <c r="D217" s="36" t="str">
        <f t="shared" si="1"/>
        <v/>
      </c>
    </row>
    <row r="218">
      <c r="A218" s="8"/>
      <c r="B218" s="36" t="str">
        <f>IF(A218&lt;&gt;"",SUMIFS('การทำธุรกรรม'!E:E,'การทำธุรกรรม'!F:F,A218,'การทำธุรกรรม'!B:B,"รายรับ"),)</f>
        <v/>
      </c>
      <c r="C218" s="36" t="str">
        <f>IF(A218&lt;&gt;"",SUMIFS('การทำธุรกรรม'!E:E,'การทำธุรกรรม'!F:F,A218,'การทำธุรกรรม'!B:B,"รายจ่าย"),)</f>
        <v/>
      </c>
      <c r="D218" s="36" t="str">
        <f t="shared" si="1"/>
        <v/>
      </c>
    </row>
    <row r="219">
      <c r="A219" s="8"/>
      <c r="B219" s="36" t="str">
        <f>IF(A219&lt;&gt;"",SUMIFS('การทำธุรกรรม'!E:E,'การทำธุรกรรม'!F:F,A219,'การทำธุรกรรม'!B:B,"รายรับ"),)</f>
        <v/>
      </c>
      <c r="C219" s="36" t="str">
        <f>IF(A219&lt;&gt;"",SUMIFS('การทำธุรกรรม'!E:E,'การทำธุรกรรม'!F:F,A219,'การทำธุรกรรม'!B:B,"รายจ่าย"),)</f>
        <v/>
      </c>
      <c r="D219" s="36" t="str">
        <f t="shared" si="1"/>
        <v/>
      </c>
    </row>
    <row r="220">
      <c r="A220" s="8"/>
      <c r="B220" s="36" t="str">
        <f>IF(A220&lt;&gt;"",SUMIFS('การทำธุรกรรม'!E:E,'การทำธุรกรรม'!F:F,A220,'การทำธุรกรรม'!B:B,"รายรับ"),)</f>
        <v/>
      </c>
      <c r="C220" s="36" t="str">
        <f>IF(A220&lt;&gt;"",SUMIFS('การทำธุรกรรม'!E:E,'การทำธุรกรรม'!F:F,A220,'การทำธุรกรรม'!B:B,"รายจ่าย"),)</f>
        <v/>
      </c>
      <c r="D220" s="36" t="str">
        <f t="shared" si="1"/>
        <v/>
      </c>
    </row>
    <row r="221">
      <c r="A221" s="8"/>
      <c r="B221" s="36" t="str">
        <f>IF(A221&lt;&gt;"",SUMIFS('การทำธุรกรรม'!E:E,'การทำธุรกรรม'!F:F,A221,'การทำธุรกรรม'!B:B,"รายรับ"),)</f>
        <v/>
      </c>
      <c r="C221" s="36" t="str">
        <f>IF(A221&lt;&gt;"",SUMIFS('การทำธุรกรรม'!E:E,'การทำธุรกรรม'!F:F,A221,'การทำธุรกรรม'!B:B,"รายจ่าย"),)</f>
        <v/>
      </c>
      <c r="D221" s="36" t="str">
        <f t="shared" si="1"/>
        <v/>
      </c>
    </row>
    <row r="222">
      <c r="A222" s="8"/>
      <c r="B222" s="36" t="str">
        <f>IF(A222&lt;&gt;"",SUMIFS('การทำธุรกรรม'!E:E,'การทำธุรกรรม'!F:F,A222,'การทำธุรกรรม'!B:B,"รายรับ"),)</f>
        <v/>
      </c>
      <c r="C222" s="36" t="str">
        <f>IF(A222&lt;&gt;"",SUMIFS('การทำธุรกรรม'!E:E,'การทำธุรกรรม'!F:F,A222,'การทำธุรกรรม'!B:B,"รายจ่าย"),)</f>
        <v/>
      </c>
      <c r="D222" s="36" t="str">
        <f t="shared" si="1"/>
        <v/>
      </c>
    </row>
    <row r="223">
      <c r="A223" s="8"/>
      <c r="B223" s="36" t="str">
        <f>IF(A223&lt;&gt;"",SUMIFS('การทำธุรกรรม'!E:E,'การทำธุรกรรม'!F:F,A223,'การทำธุรกรรม'!B:B,"รายรับ"),)</f>
        <v/>
      </c>
      <c r="C223" s="36" t="str">
        <f>IF(A223&lt;&gt;"",SUMIFS('การทำธุรกรรม'!E:E,'การทำธุรกรรม'!F:F,A223,'การทำธุรกรรม'!B:B,"รายจ่าย"),)</f>
        <v/>
      </c>
      <c r="D223" s="36" t="str">
        <f t="shared" si="1"/>
        <v/>
      </c>
    </row>
    <row r="224">
      <c r="A224" s="8"/>
      <c r="B224" s="36" t="str">
        <f>IF(A224&lt;&gt;"",SUMIFS('การทำธุรกรรม'!E:E,'การทำธุรกรรม'!F:F,A224,'การทำธุรกรรม'!B:B,"รายรับ"),)</f>
        <v/>
      </c>
      <c r="C224" s="36" t="str">
        <f>IF(A224&lt;&gt;"",SUMIFS('การทำธุรกรรม'!E:E,'การทำธุรกรรม'!F:F,A224,'การทำธุรกรรม'!B:B,"รายจ่าย"),)</f>
        <v/>
      </c>
      <c r="D224" s="36" t="str">
        <f t="shared" si="1"/>
        <v/>
      </c>
    </row>
    <row r="225">
      <c r="A225" s="8"/>
      <c r="B225" s="36" t="str">
        <f>IF(A225&lt;&gt;"",SUMIFS('การทำธุรกรรม'!E:E,'การทำธุรกรรม'!F:F,A225,'การทำธุรกรรม'!B:B,"รายรับ"),)</f>
        <v/>
      </c>
      <c r="C225" s="36" t="str">
        <f>IF(A225&lt;&gt;"",SUMIFS('การทำธุรกรรม'!E:E,'การทำธุรกรรม'!F:F,A225,'การทำธุรกรรม'!B:B,"รายจ่าย"),)</f>
        <v/>
      </c>
      <c r="D225" s="36" t="str">
        <f t="shared" si="1"/>
        <v/>
      </c>
    </row>
    <row r="226">
      <c r="A226" s="8"/>
      <c r="B226" s="36" t="str">
        <f>IF(A226&lt;&gt;"",SUMIFS('การทำธุรกรรม'!E:E,'การทำธุรกรรม'!F:F,A226,'การทำธุรกรรม'!B:B,"รายรับ"),)</f>
        <v/>
      </c>
      <c r="C226" s="36" t="str">
        <f>IF(A226&lt;&gt;"",SUMIFS('การทำธุรกรรม'!E:E,'การทำธุรกรรม'!F:F,A226,'การทำธุรกรรม'!B:B,"รายจ่าย"),)</f>
        <v/>
      </c>
      <c r="D226" s="36" t="str">
        <f t="shared" si="1"/>
        <v/>
      </c>
    </row>
    <row r="227">
      <c r="A227" s="8"/>
      <c r="B227" s="36" t="str">
        <f>IF(A227&lt;&gt;"",SUMIFS('การทำธุรกรรม'!E:E,'การทำธุรกรรม'!F:F,A227,'การทำธุรกรรม'!B:B,"รายรับ"),)</f>
        <v/>
      </c>
      <c r="C227" s="36" t="str">
        <f>IF(A227&lt;&gt;"",SUMIFS('การทำธุรกรรม'!E:E,'การทำธุรกรรม'!F:F,A227,'การทำธุรกรรม'!B:B,"รายจ่าย"),)</f>
        <v/>
      </c>
      <c r="D227" s="36" t="str">
        <f t="shared" si="1"/>
        <v/>
      </c>
    </row>
    <row r="228">
      <c r="A228" s="8"/>
      <c r="B228" s="36" t="str">
        <f>IF(A228&lt;&gt;"",SUMIFS('การทำธุรกรรม'!E:E,'การทำธุรกรรม'!F:F,A228,'การทำธุรกรรม'!B:B,"รายรับ"),)</f>
        <v/>
      </c>
      <c r="C228" s="36" t="str">
        <f>IF(A228&lt;&gt;"",SUMIFS('การทำธุรกรรม'!E:E,'การทำธุรกรรม'!F:F,A228,'การทำธุรกรรม'!B:B,"รายจ่าย"),)</f>
        <v/>
      </c>
      <c r="D228" s="36" t="str">
        <f t="shared" si="1"/>
        <v/>
      </c>
    </row>
    <row r="229">
      <c r="A229" s="8"/>
      <c r="B229" s="36" t="str">
        <f>IF(A229&lt;&gt;"",SUMIFS('การทำธุรกรรม'!E:E,'การทำธุรกรรม'!F:F,A229,'การทำธุรกรรม'!B:B,"รายรับ"),)</f>
        <v/>
      </c>
      <c r="C229" s="36" t="str">
        <f>IF(A229&lt;&gt;"",SUMIFS('การทำธุรกรรม'!E:E,'การทำธุรกรรม'!F:F,A229,'การทำธุรกรรม'!B:B,"รายจ่าย"),)</f>
        <v/>
      </c>
      <c r="D229" s="36" t="str">
        <f t="shared" si="1"/>
        <v/>
      </c>
    </row>
    <row r="230">
      <c r="A230" s="8"/>
      <c r="B230" s="36" t="str">
        <f>IF(A230&lt;&gt;"",SUMIFS('การทำธุรกรรม'!E:E,'การทำธุรกรรม'!F:F,A230,'การทำธุรกรรม'!B:B,"รายรับ"),)</f>
        <v/>
      </c>
      <c r="C230" s="36" t="str">
        <f>IF(A230&lt;&gt;"",SUMIFS('การทำธุรกรรม'!E:E,'การทำธุรกรรม'!F:F,A230,'การทำธุรกรรม'!B:B,"รายจ่าย"),)</f>
        <v/>
      </c>
      <c r="D230" s="36" t="str">
        <f t="shared" si="1"/>
        <v/>
      </c>
    </row>
    <row r="231">
      <c r="A231" s="8"/>
      <c r="B231" s="36" t="str">
        <f>IF(A231&lt;&gt;"",SUMIFS('การทำธุรกรรม'!E:E,'การทำธุรกรรม'!F:F,A231,'การทำธุรกรรม'!B:B,"รายรับ"),)</f>
        <v/>
      </c>
      <c r="C231" s="36" t="str">
        <f>IF(A231&lt;&gt;"",SUMIFS('การทำธุรกรรม'!E:E,'การทำธุรกรรม'!F:F,A231,'การทำธุรกรรม'!B:B,"รายจ่าย"),)</f>
        <v/>
      </c>
      <c r="D231" s="36" t="str">
        <f t="shared" si="1"/>
        <v/>
      </c>
    </row>
    <row r="232">
      <c r="A232" s="8"/>
      <c r="B232" s="36" t="str">
        <f>IF(A232&lt;&gt;"",SUMIFS('การทำธุรกรรม'!E:E,'การทำธุรกรรม'!F:F,A232,'การทำธุรกรรม'!B:B,"รายรับ"),)</f>
        <v/>
      </c>
      <c r="C232" s="36" t="str">
        <f>IF(A232&lt;&gt;"",SUMIFS('การทำธุรกรรม'!E:E,'การทำธุรกรรม'!F:F,A232,'การทำธุรกรรม'!B:B,"รายจ่าย"),)</f>
        <v/>
      </c>
      <c r="D232" s="36" t="str">
        <f t="shared" si="1"/>
        <v/>
      </c>
    </row>
    <row r="233">
      <c r="A233" s="8"/>
      <c r="B233" s="36" t="str">
        <f>IF(A233&lt;&gt;"",SUMIFS('การทำธุรกรรม'!E:E,'การทำธุรกรรม'!F:F,A233,'การทำธุรกรรม'!B:B,"รายรับ"),)</f>
        <v/>
      </c>
      <c r="C233" s="36" t="str">
        <f>IF(A233&lt;&gt;"",SUMIFS('การทำธุรกรรม'!E:E,'การทำธุรกรรม'!F:F,A233,'การทำธุรกรรม'!B:B,"รายจ่าย"),)</f>
        <v/>
      </c>
      <c r="D233" s="36" t="str">
        <f t="shared" si="1"/>
        <v/>
      </c>
    </row>
    <row r="234">
      <c r="A234" s="8"/>
      <c r="B234" s="36" t="str">
        <f>IF(A234&lt;&gt;"",SUMIFS('การทำธุรกรรม'!E:E,'การทำธุรกรรม'!F:F,A234,'การทำธุรกรรม'!B:B,"รายรับ"),)</f>
        <v/>
      </c>
      <c r="C234" s="36" t="str">
        <f>IF(A234&lt;&gt;"",SUMIFS('การทำธุรกรรม'!E:E,'การทำธุรกรรม'!F:F,A234,'การทำธุรกรรม'!B:B,"รายจ่าย"),)</f>
        <v/>
      </c>
      <c r="D234" s="36" t="str">
        <f t="shared" si="1"/>
        <v/>
      </c>
    </row>
    <row r="235">
      <c r="A235" s="8"/>
      <c r="B235" s="36" t="str">
        <f>IF(A235&lt;&gt;"",SUMIFS('การทำธุรกรรม'!E:E,'การทำธุรกรรม'!F:F,A235,'การทำธุรกรรม'!B:B,"รายรับ"),)</f>
        <v/>
      </c>
      <c r="C235" s="36" t="str">
        <f>IF(A235&lt;&gt;"",SUMIFS('การทำธุรกรรม'!E:E,'การทำธุรกรรม'!F:F,A235,'การทำธุรกรรม'!B:B,"รายจ่าย"),)</f>
        <v/>
      </c>
      <c r="D235" s="36" t="str">
        <f t="shared" si="1"/>
        <v/>
      </c>
    </row>
    <row r="236">
      <c r="A236" s="8"/>
      <c r="B236" s="36" t="str">
        <f>IF(A236&lt;&gt;"",SUMIFS('การทำธุรกรรม'!E:E,'การทำธุรกรรม'!F:F,A236,'การทำธุรกรรม'!B:B,"รายรับ"),)</f>
        <v/>
      </c>
      <c r="C236" s="36" t="str">
        <f>IF(A236&lt;&gt;"",SUMIFS('การทำธุรกรรม'!E:E,'การทำธุรกรรม'!F:F,A236,'การทำธุรกรรม'!B:B,"รายจ่าย"),)</f>
        <v/>
      </c>
      <c r="D236" s="36" t="str">
        <f t="shared" si="1"/>
        <v/>
      </c>
    </row>
    <row r="237">
      <c r="A237" s="8"/>
      <c r="B237" s="36" t="str">
        <f>IF(A237&lt;&gt;"",SUMIFS('การทำธุรกรรม'!E:E,'การทำธุรกรรม'!F:F,A237,'การทำธุรกรรม'!B:B,"รายรับ"),)</f>
        <v/>
      </c>
      <c r="C237" s="36" t="str">
        <f>IF(A237&lt;&gt;"",SUMIFS('การทำธุรกรรม'!E:E,'การทำธุรกรรม'!F:F,A237,'การทำธุรกรรม'!B:B,"รายจ่าย"),)</f>
        <v/>
      </c>
      <c r="D237" s="36" t="str">
        <f t="shared" si="1"/>
        <v/>
      </c>
    </row>
    <row r="238">
      <c r="A238" s="8"/>
      <c r="B238" s="36" t="str">
        <f>IF(A238&lt;&gt;"",SUMIFS('การทำธุรกรรม'!E:E,'การทำธุรกรรม'!F:F,A238,'การทำธุรกรรม'!B:B,"รายรับ"),)</f>
        <v/>
      </c>
      <c r="C238" s="36" t="str">
        <f>IF(A238&lt;&gt;"",SUMIFS('การทำธุรกรรม'!E:E,'การทำธุรกรรม'!F:F,A238,'การทำธุรกรรม'!B:B,"รายจ่าย"),)</f>
        <v/>
      </c>
      <c r="D238" s="36" t="str">
        <f t="shared" si="1"/>
        <v/>
      </c>
    </row>
    <row r="239">
      <c r="A239" s="8"/>
      <c r="B239" s="36" t="str">
        <f>IF(A239&lt;&gt;"",SUMIFS('การทำธุรกรรม'!E:E,'การทำธุรกรรม'!F:F,A239,'การทำธุรกรรม'!B:B,"รายรับ"),)</f>
        <v/>
      </c>
      <c r="C239" s="36" t="str">
        <f>IF(A239&lt;&gt;"",SUMIFS('การทำธุรกรรม'!E:E,'การทำธุรกรรม'!F:F,A239,'การทำธุรกรรม'!B:B,"รายจ่าย"),)</f>
        <v/>
      </c>
      <c r="D239" s="36" t="str">
        <f t="shared" si="1"/>
        <v/>
      </c>
    </row>
    <row r="240">
      <c r="A240" s="8"/>
      <c r="B240" s="36" t="str">
        <f>IF(A240&lt;&gt;"",SUMIFS('การทำธุรกรรม'!E:E,'การทำธุรกรรม'!F:F,A240,'การทำธุรกรรม'!B:B,"รายรับ"),)</f>
        <v/>
      </c>
      <c r="C240" s="36" t="str">
        <f>IF(A240&lt;&gt;"",SUMIFS('การทำธุรกรรม'!E:E,'การทำธุรกรรม'!F:F,A240,'การทำธุรกรรม'!B:B,"รายจ่าย"),)</f>
        <v/>
      </c>
      <c r="D240" s="36" t="str">
        <f t="shared" si="1"/>
        <v/>
      </c>
    </row>
    <row r="241">
      <c r="A241" s="8"/>
      <c r="B241" s="36" t="str">
        <f>IF(A241&lt;&gt;"",SUMIFS('การทำธุรกรรม'!E:E,'การทำธุรกรรม'!F:F,A241,'การทำธุรกรรม'!B:B,"รายรับ"),)</f>
        <v/>
      </c>
      <c r="C241" s="36" t="str">
        <f>IF(A241&lt;&gt;"",SUMIFS('การทำธุรกรรม'!E:E,'การทำธุรกรรม'!F:F,A241,'การทำธุรกรรม'!B:B,"รายจ่าย"),)</f>
        <v/>
      </c>
      <c r="D241" s="36" t="str">
        <f t="shared" si="1"/>
        <v/>
      </c>
    </row>
    <row r="242">
      <c r="A242" s="8"/>
      <c r="B242" s="36" t="str">
        <f>IF(A242&lt;&gt;"",SUMIFS('การทำธุรกรรม'!E:E,'การทำธุรกรรม'!F:F,A242,'การทำธุรกรรม'!B:B,"รายรับ"),)</f>
        <v/>
      </c>
      <c r="C242" s="36" t="str">
        <f>IF(A242&lt;&gt;"",SUMIFS('การทำธุรกรรม'!E:E,'การทำธุรกรรม'!F:F,A242,'การทำธุรกรรม'!B:B,"รายจ่าย"),)</f>
        <v/>
      </c>
      <c r="D242" s="36" t="str">
        <f t="shared" si="1"/>
        <v/>
      </c>
    </row>
    <row r="243">
      <c r="A243" s="8"/>
      <c r="B243" s="36" t="str">
        <f>IF(A243&lt;&gt;"",SUMIFS('การทำธุรกรรม'!E:E,'การทำธุรกรรม'!F:F,A243,'การทำธุรกรรม'!B:B,"รายรับ"),)</f>
        <v/>
      </c>
      <c r="C243" s="36" t="str">
        <f>IF(A243&lt;&gt;"",SUMIFS('การทำธุรกรรม'!E:E,'การทำธุรกรรม'!F:F,A243,'การทำธุรกรรม'!B:B,"รายจ่าย"),)</f>
        <v/>
      </c>
      <c r="D243" s="36" t="str">
        <f t="shared" si="1"/>
        <v/>
      </c>
    </row>
    <row r="244">
      <c r="A244" s="8"/>
      <c r="B244" s="36" t="str">
        <f>IF(A244&lt;&gt;"",SUMIFS('การทำธุรกรรม'!E:E,'การทำธุรกรรม'!F:F,A244,'การทำธุรกรรม'!B:B,"รายรับ"),)</f>
        <v/>
      </c>
      <c r="C244" s="36" t="str">
        <f>IF(A244&lt;&gt;"",SUMIFS('การทำธุรกรรม'!E:E,'การทำธุรกรรม'!F:F,A244,'การทำธุรกรรม'!B:B,"รายจ่าย"),)</f>
        <v/>
      </c>
      <c r="D244" s="36" t="str">
        <f t="shared" si="1"/>
        <v/>
      </c>
    </row>
    <row r="245">
      <c r="A245" s="8"/>
      <c r="B245" s="36" t="str">
        <f>IF(A245&lt;&gt;"",SUMIFS('การทำธุรกรรม'!E:E,'การทำธุรกรรม'!F:F,A245,'การทำธุรกรรม'!B:B,"รายรับ"),)</f>
        <v/>
      </c>
      <c r="C245" s="36" t="str">
        <f>IF(A245&lt;&gt;"",SUMIFS('การทำธุรกรรม'!E:E,'การทำธุรกรรม'!F:F,A245,'การทำธุรกรรม'!B:B,"รายจ่าย"),)</f>
        <v/>
      </c>
      <c r="D245" s="36" t="str">
        <f t="shared" si="1"/>
        <v/>
      </c>
    </row>
    <row r="246">
      <c r="A246" s="8"/>
      <c r="B246" s="36" t="str">
        <f>IF(A246&lt;&gt;"",SUMIFS('การทำธุรกรรม'!E:E,'การทำธุรกรรม'!F:F,A246,'การทำธุรกรรม'!B:B,"รายรับ"),)</f>
        <v/>
      </c>
      <c r="C246" s="36" t="str">
        <f>IF(A246&lt;&gt;"",SUMIFS('การทำธุรกรรม'!E:E,'การทำธุรกรรม'!F:F,A246,'การทำธุรกรรม'!B:B,"รายจ่าย"),)</f>
        <v/>
      </c>
      <c r="D246" s="36" t="str">
        <f t="shared" si="1"/>
        <v/>
      </c>
    </row>
    <row r="247">
      <c r="A247" s="8"/>
      <c r="B247" s="36" t="str">
        <f>IF(A247&lt;&gt;"",SUMIFS('การทำธุรกรรม'!E:E,'การทำธุรกรรม'!F:F,A247,'การทำธุรกรรม'!B:B,"รายรับ"),)</f>
        <v/>
      </c>
      <c r="C247" s="36" t="str">
        <f>IF(A247&lt;&gt;"",SUMIFS('การทำธุรกรรม'!E:E,'การทำธุรกรรม'!F:F,A247,'การทำธุรกรรม'!B:B,"รายจ่าย"),)</f>
        <v/>
      </c>
      <c r="D247" s="36" t="str">
        <f t="shared" si="1"/>
        <v/>
      </c>
    </row>
    <row r="248">
      <c r="A248" s="8"/>
      <c r="B248" s="36" t="str">
        <f>IF(A248&lt;&gt;"",SUMIFS('การทำธุรกรรม'!E:E,'การทำธุรกรรม'!F:F,A248,'การทำธุรกรรม'!B:B,"รายรับ"),)</f>
        <v/>
      </c>
      <c r="C248" s="36" t="str">
        <f>IF(A248&lt;&gt;"",SUMIFS('การทำธุรกรรม'!E:E,'การทำธุรกรรม'!F:F,A248,'การทำธุรกรรม'!B:B,"รายจ่าย"),)</f>
        <v/>
      </c>
      <c r="D248" s="36" t="str">
        <f t="shared" si="1"/>
        <v/>
      </c>
    </row>
    <row r="249">
      <c r="A249" s="8"/>
      <c r="B249" s="36" t="str">
        <f>IF(A249&lt;&gt;"",SUMIFS('การทำธุรกรรม'!E:E,'การทำธุรกรรม'!F:F,A249,'การทำธุรกรรม'!B:B,"รายรับ"),)</f>
        <v/>
      </c>
      <c r="C249" s="36" t="str">
        <f>IF(A249&lt;&gt;"",SUMIFS('การทำธุรกรรม'!E:E,'การทำธุรกรรม'!F:F,A249,'การทำธุรกรรม'!B:B,"รายจ่าย"),)</f>
        <v/>
      </c>
      <c r="D249" s="36" t="str">
        <f t="shared" si="1"/>
        <v/>
      </c>
    </row>
    <row r="250">
      <c r="A250" s="8"/>
      <c r="B250" s="36" t="str">
        <f>IF(A250&lt;&gt;"",SUMIFS('การทำธุรกรรม'!E:E,'การทำธุรกรรม'!F:F,A250,'การทำธุรกรรม'!B:B,"รายรับ"),)</f>
        <v/>
      </c>
      <c r="C250" s="36" t="str">
        <f>IF(A250&lt;&gt;"",SUMIFS('การทำธุรกรรม'!E:E,'การทำธุรกรรม'!F:F,A250,'การทำธุรกรรม'!B:B,"รายจ่าย"),)</f>
        <v/>
      </c>
      <c r="D250" s="36" t="str">
        <f t="shared" si="1"/>
        <v/>
      </c>
    </row>
    <row r="251">
      <c r="A251" s="8"/>
      <c r="B251" s="36" t="str">
        <f>IF(A251&lt;&gt;"",SUMIFS('การทำธุรกรรม'!E:E,'การทำธุรกรรม'!F:F,A251,'การทำธุรกรรม'!B:B,"รายรับ"),)</f>
        <v/>
      </c>
      <c r="C251" s="36" t="str">
        <f>IF(A251&lt;&gt;"",SUMIFS('การทำธุรกรรม'!E:E,'การทำธุรกรรม'!F:F,A251,'การทำธุรกรรม'!B:B,"รายจ่าย"),)</f>
        <v/>
      </c>
      <c r="D251" s="36" t="str">
        <f t="shared" si="1"/>
        <v/>
      </c>
    </row>
    <row r="252">
      <c r="A252" s="8"/>
      <c r="B252" s="36" t="str">
        <f>IF(A252&lt;&gt;"",SUMIFS('การทำธุรกรรม'!E:E,'การทำธุรกรรม'!F:F,A252,'การทำธุรกรรม'!B:B,"รายรับ"),)</f>
        <v/>
      </c>
      <c r="C252" s="36" t="str">
        <f>IF(A252&lt;&gt;"",SUMIFS('การทำธุรกรรม'!E:E,'การทำธุรกรรม'!F:F,A252,'การทำธุรกรรม'!B:B,"รายจ่าย"),)</f>
        <v/>
      </c>
      <c r="D252" s="36" t="str">
        <f t="shared" si="1"/>
        <v/>
      </c>
    </row>
    <row r="253">
      <c r="A253" s="8"/>
      <c r="B253" s="36" t="str">
        <f>IF(A253&lt;&gt;"",SUMIFS('การทำธุรกรรม'!E:E,'การทำธุรกรรม'!F:F,A253,'การทำธุรกรรม'!B:B,"รายรับ"),)</f>
        <v/>
      </c>
      <c r="C253" s="36" t="str">
        <f>IF(A253&lt;&gt;"",SUMIFS('การทำธุรกรรม'!E:E,'การทำธุรกรรม'!F:F,A253,'การทำธุรกรรม'!B:B,"รายจ่าย"),)</f>
        <v/>
      </c>
      <c r="D253" s="36" t="str">
        <f t="shared" si="1"/>
        <v/>
      </c>
    </row>
    <row r="254">
      <c r="A254" s="8"/>
      <c r="B254" s="36" t="str">
        <f>IF(A254&lt;&gt;"",SUMIFS('การทำธุรกรรม'!E:E,'การทำธุรกรรม'!F:F,A254,'การทำธุรกรรม'!B:B,"รายรับ"),)</f>
        <v/>
      </c>
      <c r="C254" s="36" t="str">
        <f>IF(A254&lt;&gt;"",SUMIFS('การทำธุรกรรม'!E:E,'การทำธุรกรรม'!F:F,A254,'การทำธุรกรรม'!B:B,"รายจ่าย"),)</f>
        <v/>
      </c>
      <c r="D254" s="36" t="str">
        <f t="shared" si="1"/>
        <v/>
      </c>
    </row>
    <row r="255">
      <c r="A255" s="8"/>
      <c r="B255" s="36" t="str">
        <f>IF(A255&lt;&gt;"",SUMIFS('การทำธุรกรรม'!E:E,'การทำธุรกรรม'!F:F,A255,'การทำธุรกรรม'!B:B,"รายรับ"),)</f>
        <v/>
      </c>
      <c r="C255" s="36" t="str">
        <f>IF(A255&lt;&gt;"",SUMIFS('การทำธุรกรรม'!E:E,'การทำธุรกรรม'!F:F,A255,'การทำธุรกรรม'!B:B,"รายจ่าย"),)</f>
        <v/>
      </c>
      <c r="D255" s="36" t="str">
        <f t="shared" si="1"/>
        <v/>
      </c>
    </row>
    <row r="256">
      <c r="A256" s="8"/>
      <c r="B256" s="36" t="str">
        <f>IF(A256&lt;&gt;"",SUMIFS('การทำธุรกรรม'!E:E,'การทำธุรกรรม'!F:F,A256,'การทำธุรกรรม'!B:B,"รายรับ"),)</f>
        <v/>
      </c>
      <c r="C256" s="36" t="str">
        <f>IF(A256&lt;&gt;"",SUMIFS('การทำธุรกรรม'!E:E,'การทำธุรกรรม'!F:F,A256,'การทำธุรกรรม'!B:B,"รายจ่าย"),)</f>
        <v/>
      </c>
      <c r="D256" s="36" t="str">
        <f t="shared" si="1"/>
        <v/>
      </c>
    </row>
    <row r="257">
      <c r="A257" s="8"/>
      <c r="B257" s="36" t="str">
        <f>IF(A257&lt;&gt;"",SUMIFS('การทำธุรกรรม'!E:E,'การทำธุรกรรม'!F:F,A257,'การทำธุรกรรม'!B:B,"รายรับ"),)</f>
        <v/>
      </c>
      <c r="C257" s="36" t="str">
        <f>IF(A257&lt;&gt;"",SUMIFS('การทำธุรกรรม'!E:E,'การทำธุรกรรม'!F:F,A257,'การทำธุรกรรม'!B:B,"รายจ่าย"),)</f>
        <v/>
      </c>
      <c r="D257" s="36" t="str">
        <f t="shared" si="1"/>
        <v/>
      </c>
    </row>
    <row r="258">
      <c r="A258" s="8"/>
      <c r="B258" s="36" t="str">
        <f>IF(A258&lt;&gt;"",SUMIFS('การทำธุรกรรม'!E:E,'การทำธุรกรรม'!F:F,A258,'การทำธุรกรรม'!B:B,"รายรับ"),)</f>
        <v/>
      </c>
      <c r="C258" s="36" t="str">
        <f>IF(A258&lt;&gt;"",SUMIFS('การทำธุรกรรม'!E:E,'การทำธุรกรรม'!F:F,A258,'การทำธุรกรรม'!B:B,"รายจ่าย"),)</f>
        <v/>
      </c>
      <c r="D258" s="36" t="str">
        <f t="shared" si="1"/>
        <v/>
      </c>
    </row>
    <row r="259">
      <c r="A259" s="8"/>
      <c r="B259" s="36" t="str">
        <f>IF(A259&lt;&gt;"",SUMIFS('การทำธุรกรรม'!E:E,'การทำธุรกรรม'!F:F,A259,'การทำธุรกรรม'!B:B,"รายรับ"),)</f>
        <v/>
      </c>
      <c r="C259" s="36" t="str">
        <f>IF(A259&lt;&gt;"",SUMIFS('การทำธุรกรรม'!E:E,'การทำธุรกรรม'!F:F,A259,'การทำธุรกรรม'!B:B,"รายจ่าย"),)</f>
        <v/>
      </c>
      <c r="D259" s="36" t="str">
        <f t="shared" si="1"/>
        <v/>
      </c>
    </row>
    <row r="260">
      <c r="A260" s="8"/>
      <c r="B260" s="36" t="str">
        <f>IF(A260&lt;&gt;"",SUMIFS('การทำธุรกรรม'!E:E,'การทำธุรกรรม'!F:F,A260,'การทำธุรกรรม'!B:B,"รายรับ"),)</f>
        <v/>
      </c>
      <c r="C260" s="36" t="str">
        <f>IF(A260&lt;&gt;"",SUMIFS('การทำธุรกรรม'!E:E,'การทำธุรกรรม'!F:F,A260,'การทำธุรกรรม'!B:B,"รายจ่าย"),)</f>
        <v/>
      </c>
      <c r="D260" s="36" t="str">
        <f t="shared" si="1"/>
        <v/>
      </c>
    </row>
    <row r="261">
      <c r="A261" s="8"/>
      <c r="B261" s="36" t="str">
        <f>IF(A261&lt;&gt;"",SUMIFS('การทำธุรกรรม'!E:E,'การทำธุรกรรม'!F:F,A261,'การทำธุรกรรม'!B:B,"รายรับ"),)</f>
        <v/>
      </c>
      <c r="C261" s="36" t="str">
        <f>IF(A261&lt;&gt;"",SUMIFS('การทำธุรกรรม'!E:E,'การทำธุรกรรม'!F:F,A261,'การทำธุรกรรม'!B:B,"รายจ่าย"),)</f>
        <v/>
      </c>
      <c r="D261" s="36" t="str">
        <f t="shared" si="1"/>
        <v/>
      </c>
    </row>
    <row r="262">
      <c r="A262" s="8"/>
      <c r="B262" s="36" t="str">
        <f>IF(A262&lt;&gt;"",SUMIFS('การทำธุรกรรม'!E:E,'การทำธุรกรรม'!F:F,A262,'การทำธุรกรรม'!B:B,"รายรับ"),)</f>
        <v/>
      </c>
      <c r="C262" s="36" t="str">
        <f>IF(A262&lt;&gt;"",SUMIFS('การทำธุรกรรม'!E:E,'การทำธุรกรรม'!F:F,A262,'การทำธุรกรรม'!B:B,"รายจ่าย"),)</f>
        <v/>
      </c>
      <c r="D262" s="36" t="str">
        <f t="shared" si="1"/>
        <v/>
      </c>
    </row>
    <row r="263">
      <c r="A263" s="8"/>
      <c r="B263" s="36" t="str">
        <f>IF(A263&lt;&gt;"",SUMIFS('การทำธุรกรรม'!E:E,'การทำธุรกรรม'!F:F,A263,'การทำธุรกรรม'!B:B,"รายรับ"),)</f>
        <v/>
      </c>
      <c r="C263" s="36" t="str">
        <f>IF(A263&lt;&gt;"",SUMIFS('การทำธุรกรรม'!E:E,'การทำธุรกรรม'!F:F,A263,'การทำธุรกรรม'!B:B,"รายจ่าย"),)</f>
        <v/>
      </c>
      <c r="D263" s="36" t="str">
        <f t="shared" si="1"/>
        <v/>
      </c>
    </row>
    <row r="264">
      <c r="A264" s="8"/>
      <c r="B264" s="36" t="str">
        <f>IF(A264&lt;&gt;"",SUMIFS('การทำธุรกรรม'!E:E,'การทำธุรกรรม'!F:F,A264,'การทำธุรกรรม'!B:B,"รายรับ"),)</f>
        <v/>
      </c>
      <c r="C264" s="36" t="str">
        <f>IF(A264&lt;&gt;"",SUMIFS('การทำธุรกรรม'!E:E,'การทำธุรกรรม'!F:F,A264,'การทำธุรกรรม'!B:B,"รายจ่าย"),)</f>
        <v/>
      </c>
      <c r="D264" s="36" t="str">
        <f t="shared" si="1"/>
        <v/>
      </c>
    </row>
    <row r="265">
      <c r="A265" s="8"/>
      <c r="B265" s="36" t="str">
        <f>IF(A265&lt;&gt;"",SUMIFS('การทำธุรกรรม'!E:E,'การทำธุรกรรม'!F:F,A265,'การทำธุรกรรม'!B:B,"รายรับ"),)</f>
        <v/>
      </c>
      <c r="C265" s="36" t="str">
        <f>IF(A265&lt;&gt;"",SUMIFS('การทำธุรกรรม'!E:E,'การทำธุรกรรม'!F:F,A265,'การทำธุรกรรม'!B:B,"รายจ่าย"),)</f>
        <v/>
      </c>
      <c r="D265" s="36" t="str">
        <f t="shared" si="1"/>
        <v/>
      </c>
    </row>
    <row r="266">
      <c r="A266" s="8"/>
      <c r="B266" s="36" t="str">
        <f>IF(A266&lt;&gt;"",SUMIFS('การทำธุรกรรม'!E:E,'การทำธุรกรรม'!F:F,A266,'การทำธุรกรรม'!B:B,"รายรับ"),)</f>
        <v/>
      </c>
      <c r="C266" s="36" t="str">
        <f>IF(A266&lt;&gt;"",SUMIFS('การทำธุรกรรม'!E:E,'การทำธุรกรรม'!F:F,A266,'การทำธุรกรรม'!B:B,"รายจ่าย"),)</f>
        <v/>
      </c>
      <c r="D266" s="36" t="str">
        <f t="shared" si="1"/>
        <v/>
      </c>
    </row>
    <row r="267">
      <c r="A267" s="8"/>
      <c r="B267" s="36" t="str">
        <f>IF(A267&lt;&gt;"",SUMIFS('การทำธุรกรรม'!E:E,'การทำธุรกรรม'!F:F,A267,'การทำธุรกรรม'!B:B,"รายรับ"),)</f>
        <v/>
      </c>
      <c r="C267" s="36" t="str">
        <f>IF(A267&lt;&gt;"",SUMIFS('การทำธุรกรรม'!E:E,'การทำธุรกรรม'!F:F,A267,'การทำธุรกรรม'!B:B,"รายจ่าย"),)</f>
        <v/>
      </c>
      <c r="D267" s="36" t="str">
        <f t="shared" si="1"/>
        <v/>
      </c>
    </row>
    <row r="268">
      <c r="A268" s="8"/>
      <c r="B268" s="36" t="str">
        <f>IF(A268&lt;&gt;"",SUMIFS('การทำธุรกรรม'!E:E,'การทำธุรกรรม'!F:F,A268,'การทำธุรกรรม'!B:B,"รายรับ"),)</f>
        <v/>
      </c>
      <c r="C268" s="36" t="str">
        <f>IF(A268&lt;&gt;"",SUMIFS('การทำธุรกรรม'!E:E,'การทำธุรกรรม'!F:F,A268,'การทำธุรกรรม'!B:B,"รายจ่าย"),)</f>
        <v/>
      </c>
      <c r="D268" s="36" t="str">
        <f t="shared" si="1"/>
        <v/>
      </c>
    </row>
    <row r="269">
      <c r="A269" s="8"/>
      <c r="B269" s="36" t="str">
        <f>IF(A269&lt;&gt;"",SUMIFS('การทำธุรกรรม'!E:E,'การทำธุรกรรม'!F:F,A269,'การทำธุรกรรม'!B:B,"รายรับ"),)</f>
        <v/>
      </c>
      <c r="C269" s="36" t="str">
        <f>IF(A269&lt;&gt;"",SUMIFS('การทำธุรกรรม'!E:E,'การทำธุรกรรม'!F:F,A269,'การทำธุรกรรม'!B:B,"รายจ่าย"),)</f>
        <v/>
      </c>
      <c r="D269" s="36" t="str">
        <f t="shared" si="1"/>
        <v/>
      </c>
    </row>
    <row r="270">
      <c r="A270" s="8"/>
      <c r="B270" s="36" t="str">
        <f>IF(A270&lt;&gt;"",SUMIFS('การทำธุรกรรม'!E:E,'การทำธุรกรรม'!F:F,A270,'การทำธุรกรรม'!B:B,"รายรับ"),)</f>
        <v/>
      </c>
      <c r="C270" s="36" t="str">
        <f>IF(A270&lt;&gt;"",SUMIFS('การทำธุรกรรม'!E:E,'การทำธุรกรรม'!F:F,A270,'การทำธุรกรรม'!B:B,"รายจ่าย"),)</f>
        <v/>
      </c>
      <c r="D270" s="36" t="str">
        <f t="shared" si="1"/>
        <v/>
      </c>
    </row>
    <row r="271">
      <c r="A271" s="8"/>
      <c r="B271" s="36" t="str">
        <f>IF(A271&lt;&gt;"",SUMIFS('การทำธุรกรรม'!E:E,'การทำธุรกรรม'!F:F,A271,'การทำธุรกรรม'!B:B,"รายรับ"),)</f>
        <v/>
      </c>
      <c r="C271" s="36" t="str">
        <f>IF(A271&lt;&gt;"",SUMIFS('การทำธุรกรรม'!E:E,'การทำธุรกรรม'!F:F,A271,'การทำธุรกรรม'!B:B,"รายจ่าย"),)</f>
        <v/>
      </c>
      <c r="D271" s="36" t="str">
        <f t="shared" si="1"/>
        <v/>
      </c>
    </row>
    <row r="272">
      <c r="A272" s="8"/>
      <c r="B272" s="36" t="str">
        <f>IF(A272&lt;&gt;"",SUMIFS('การทำธุรกรรม'!E:E,'การทำธุรกรรม'!F:F,A272,'การทำธุรกรรม'!B:B,"รายรับ"),)</f>
        <v/>
      </c>
      <c r="C272" s="36" t="str">
        <f>IF(A272&lt;&gt;"",SUMIFS('การทำธุรกรรม'!E:E,'การทำธุรกรรม'!F:F,A272,'การทำธุรกรรม'!B:B,"รายจ่าย"),)</f>
        <v/>
      </c>
      <c r="D272" s="36" t="str">
        <f t="shared" si="1"/>
        <v/>
      </c>
    </row>
    <row r="273">
      <c r="A273" s="8"/>
      <c r="B273" s="36" t="str">
        <f>IF(A273&lt;&gt;"",SUMIFS('การทำธุรกรรม'!E:E,'การทำธุรกรรม'!F:F,A273,'การทำธุรกรรม'!B:B,"รายรับ"),)</f>
        <v/>
      </c>
      <c r="C273" s="36" t="str">
        <f>IF(A273&lt;&gt;"",SUMIFS('การทำธุรกรรม'!E:E,'การทำธุรกรรม'!F:F,A273,'การทำธุรกรรม'!B:B,"รายจ่าย"),)</f>
        <v/>
      </c>
      <c r="D273" s="36" t="str">
        <f t="shared" si="1"/>
        <v/>
      </c>
    </row>
    <row r="274">
      <c r="A274" s="8"/>
      <c r="B274" s="36" t="str">
        <f>IF(A274&lt;&gt;"",SUMIFS('การทำธุรกรรม'!E:E,'การทำธุรกรรม'!F:F,A274,'การทำธุรกรรม'!B:B,"รายรับ"),)</f>
        <v/>
      </c>
      <c r="C274" s="36" t="str">
        <f>IF(A274&lt;&gt;"",SUMIFS('การทำธุรกรรม'!E:E,'การทำธุรกรรม'!F:F,A274,'การทำธุรกรรม'!B:B,"รายจ่าย"),)</f>
        <v/>
      </c>
      <c r="D274" s="36" t="str">
        <f t="shared" si="1"/>
        <v/>
      </c>
    </row>
    <row r="275">
      <c r="A275" s="8"/>
      <c r="B275" s="36" t="str">
        <f>IF(A275&lt;&gt;"",SUMIFS('การทำธุรกรรม'!E:E,'การทำธุรกรรม'!F:F,A275,'การทำธุรกรรม'!B:B,"รายรับ"),)</f>
        <v/>
      </c>
      <c r="C275" s="36" t="str">
        <f>IF(A275&lt;&gt;"",SUMIFS('การทำธุรกรรม'!E:E,'การทำธุรกรรม'!F:F,A275,'การทำธุรกรรม'!B:B,"รายจ่าย"),)</f>
        <v/>
      </c>
      <c r="D275" s="36" t="str">
        <f t="shared" si="1"/>
        <v/>
      </c>
    </row>
    <row r="276">
      <c r="A276" s="8"/>
      <c r="B276" s="36" t="str">
        <f>IF(A276&lt;&gt;"",SUMIFS('การทำธุรกรรม'!E:E,'การทำธุรกรรม'!F:F,A276,'การทำธุรกรรม'!B:B,"รายรับ"),)</f>
        <v/>
      </c>
      <c r="C276" s="36" t="str">
        <f>IF(A276&lt;&gt;"",SUMIFS('การทำธุรกรรม'!E:E,'การทำธุรกรรม'!F:F,A276,'การทำธุรกรรม'!B:B,"รายจ่าย"),)</f>
        <v/>
      </c>
      <c r="D276" s="36" t="str">
        <f t="shared" si="1"/>
        <v/>
      </c>
    </row>
    <row r="277">
      <c r="A277" s="8"/>
      <c r="B277" s="36" t="str">
        <f>IF(A277&lt;&gt;"",SUMIFS('การทำธุรกรรม'!E:E,'การทำธุรกรรม'!F:F,A277,'การทำธุรกรรม'!B:B,"รายรับ"),)</f>
        <v/>
      </c>
      <c r="C277" s="36" t="str">
        <f>IF(A277&lt;&gt;"",SUMIFS('การทำธุรกรรม'!E:E,'การทำธุรกรรม'!F:F,A277,'การทำธุรกรรม'!B:B,"รายจ่าย"),)</f>
        <v/>
      </c>
      <c r="D277" s="36" t="str">
        <f t="shared" si="1"/>
        <v/>
      </c>
    </row>
    <row r="278">
      <c r="A278" s="8"/>
      <c r="B278" s="36" t="str">
        <f>IF(A278&lt;&gt;"",SUMIFS('การทำธุรกรรม'!E:E,'การทำธุรกรรม'!F:F,A278,'การทำธุรกรรม'!B:B,"รายรับ"),)</f>
        <v/>
      </c>
      <c r="C278" s="36" t="str">
        <f>IF(A278&lt;&gt;"",SUMIFS('การทำธุรกรรม'!E:E,'การทำธุรกรรม'!F:F,A278,'การทำธุรกรรม'!B:B,"รายจ่าย"),)</f>
        <v/>
      </c>
      <c r="D278" s="36" t="str">
        <f t="shared" si="1"/>
        <v/>
      </c>
    </row>
    <row r="279">
      <c r="A279" s="8"/>
      <c r="B279" s="36" t="str">
        <f>IF(A279&lt;&gt;"",SUMIFS('การทำธุรกรรม'!E:E,'การทำธุรกรรม'!F:F,A279,'การทำธุรกรรม'!B:B,"รายรับ"),)</f>
        <v/>
      </c>
      <c r="C279" s="36" t="str">
        <f>IF(A279&lt;&gt;"",SUMIFS('การทำธุรกรรม'!E:E,'การทำธุรกรรม'!F:F,A279,'การทำธุรกรรม'!B:B,"รายจ่าย"),)</f>
        <v/>
      </c>
      <c r="D279" s="36" t="str">
        <f t="shared" si="1"/>
        <v/>
      </c>
    </row>
    <row r="280">
      <c r="A280" s="8"/>
      <c r="B280" s="36" t="str">
        <f>IF(A280&lt;&gt;"",SUMIFS('การทำธุรกรรม'!E:E,'การทำธุรกรรม'!F:F,A280,'การทำธุรกรรม'!B:B,"รายรับ"),)</f>
        <v/>
      </c>
      <c r="C280" s="36" t="str">
        <f>IF(A280&lt;&gt;"",SUMIFS('การทำธุรกรรม'!E:E,'การทำธุรกรรม'!F:F,A280,'การทำธุรกรรม'!B:B,"รายจ่าย"),)</f>
        <v/>
      </c>
      <c r="D280" s="36" t="str">
        <f t="shared" si="1"/>
        <v/>
      </c>
    </row>
    <row r="281">
      <c r="A281" s="8"/>
      <c r="B281" s="36" t="str">
        <f>IF(A281&lt;&gt;"",SUMIFS('การทำธุรกรรม'!E:E,'การทำธุรกรรม'!F:F,A281,'การทำธุรกรรม'!B:B,"รายรับ"),)</f>
        <v/>
      </c>
      <c r="C281" s="36" t="str">
        <f>IF(A281&lt;&gt;"",SUMIFS('การทำธุรกรรม'!E:E,'การทำธุรกรรม'!F:F,A281,'การทำธุรกรรม'!B:B,"รายจ่าย"),)</f>
        <v/>
      </c>
      <c r="D281" s="36" t="str">
        <f t="shared" si="1"/>
        <v/>
      </c>
    </row>
    <row r="282">
      <c r="A282" s="8"/>
      <c r="B282" s="36" t="str">
        <f>IF(A282&lt;&gt;"",SUMIFS('การทำธุรกรรม'!E:E,'การทำธุรกรรม'!F:F,A282,'การทำธุรกรรม'!B:B,"รายรับ"),)</f>
        <v/>
      </c>
      <c r="C282" s="36" t="str">
        <f>IF(A282&lt;&gt;"",SUMIFS('การทำธุรกรรม'!E:E,'การทำธุรกรรม'!F:F,A282,'การทำธุรกรรม'!B:B,"รายจ่าย"),)</f>
        <v/>
      </c>
      <c r="D282" s="36" t="str">
        <f t="shared" si="1"/>
        <v/>
      </c>
    </row>
    <row r="283">
      <c r="A283" s="8"/>
      <c r="B283" s="36" t="str">
        <f>IF(A283&lt;&gt;"",SUMIFS('การทำธุรกรรม'!E:E,'การทำธุรกรรม'!F:F,A283,'การทำธุรกรรม'!B:B,"รายรับ"),)</f>
        <v/>
      </c>
      <c r="C283" s="36" t="str">
        <f>IF(A283&lt;&gt;"",SUMIFS('การทำธุรกรรม'!E:E,'การทำธุรกรรม'!F:F,A283,'การทำธุรกรรม'!B:B,"รายจ่าย"),)</f>
        <v/>
      </c>
      <c r="D283" s="36" t="str">
        <f t="shared" si="1"/>
        <v/>
      </c>
    </row>
    <row r="284">
      <c r="A284" s="8"/>
      <c r="B284" s="36" t="str">
        <f>IF(A284&lt;&gt;"",SUMIFS('การทำธุรกรรม'!E:E,'การทำธุรกรรม'!F:F,A284,'การทำธุรกรรม'!B:B,"รายรับ"),)</f>
        <v/>
      </c>
      <c r="C284" s="36" t="str">
        <f>IF(A284&lt;&gt;"",SUMIFS('การทำธุรกรรม'!E:E,'การทำธุรกรรม'!F:F,A284,'การทำธุรกรรม'!B:B,"รายจ่าย"),)</f>
        <v/>
      </c>
      <c r="D284" s="36" t="str">
        <f t="shared" si="1"/>
        <v/>
      </c>
    </row>
    <row r="285">
      <c r="A285" s="8"/>
      <c r="B285" s="36" t="str">
        <f>IF(A285&lt;&gt;"",SUMIFS('การทำธุรกรรม'!E:E,'การทำธุรกรรม'!F:F,A285,'การทำธุรกรรม'!B:B,"รายรับ"),)</f>
        <v/>
      </c>
      <c r="C285" s="36" t="str">
        <f>IF(A285&lt;&gt;"",SUMIFS('การทำธุรกรรม'!E:E,'การทำธุรกรรม'!F:F,A285,'การทำธุรกรรม'!B:B,"รายจ่าย"),)</f>
        <v/>
      </c>
      <c r="D285" s="36" t="str">
        <f t="shared" si="1"/>
        <v/>
      </c>
    </row>
    <row r="286">
      <c r="A286" s="8"/>
      <c r="B286" s="36" t="str">
        <f>IF(A286&lt;&gt;"",SUMIFS('การทำธุรกรรม'!E:E,'การทำธุรกรรม'!F:F,A286,'การทำธุรกรรม'!B:B,"รายรับ"),)</f>
        <v/>
      </c>
      <c r="C286" s="36" t="str">
        <f>IF(A286&lt;&gt;"",SUMIFS('การทำธุรกรรม'!E:E,'การทำธุรกรรม'!F:F,A286,'การทำธุรกรรม'!B:B,"รายจ่าย"),)</f>
        <v/>
      </c>
      <c r="D286" s="36" t="str">
        <f t="shared" si="1"/>
        <v/>
      </c>
    </row>
    <row r="287">
      <c r="A287" s="8"/>
      <c r="B287" s="36" t="str">
        <f>IF(A287&lt;&gt;"",SUMIFS('การทำธุรกรรม'!E:E,'การทำธุรกรรม'!F:F,A287,'การทำธุรกรรม'!B:B,"รายรับ"),)</f>
        <v/>
      </c>
      <c r="C287" s="36" t="str">
        <f>IF(A287&lt;&gt;"",SUMIFS('การทำธุรกรรม'!E:E,'การทำธุรกรรม'!F:F,A287,'การทำธุรกรรม'!B:B,"รายจ่าย"),)</f>
        <v/>
      </c>
      <c r="D287" s="36" t="str">
        <f t="shared" si="1"/>
        <v/>
      </c>
    </row>
    <row r="288">
      <c r="A288" s="8"/>
      <c r="B288" s="36" t="str">
        <f>IF(A288&lt;&gt;"",SUMIFS('การทำธุรกรรม'!E:E,'การทำธุรกรรม'!F:F,A288,'การทำธุรกรรม'!B:B,"รายรับ"),)</f>
        <v/>
      </c>
      <c r="C288" s="36" t="str">
        <f>IF(A288&lt;&gt;"",SUMIFS('การทำธุรกรรม'!E:E,'การทำธุรกรรม'!F:F,A288,'การทำธุรกรรม'!B:B,"รายจ่าย"),)</f>
        <v/>
      </c>
      <c r="D288" s="36" t="str">
        <f t="shared" si="1"/>
        <v/>
      </c>
    </row>
    <row r="289">
      <c r="A289" s="8"/>
      <c r="B289" s="36" t="str">
        <f>IF(A289&lt;&gt;"",SUMIFS('การทำธุรกรรม'!E:E,'การทำธุรกรรม'!F:F,A289,'การทำธุรกรรม'!B:B,"รายรับ"),)</f>
        <v/>
      </c>
      <c r="C289" s="36" t="str">
        <f>IF(A289&lt;&gt;"",SUMIFS('การทำธุรกรรม'!E:E,'การทำธุรกรรม'!F:F,A289,'การทำธุรกรรม'!B:B,"รายจ่าย"),)</f>
        <v/>
      </c>
      <c r="D289" s="36" t="str">
        <f t="shared" si="1"/>
        <v/>
      </c>
    </row>
    <row r="290">
      <c r="A290" s="8"/>
      <c r="B290" s="36" t="str">
        <f>IF(A290&lt;&gt;"",SUMIFS('การทำธุรกรรม'!E:E,'การทำธุรกรรม'!F:F,A290,'การทำธุรกรรม'!B:B,"รายรับ"),)</f>
        <v/>
      </c>
      <c r="C290" s="36" t="str">
        <f>IF(A290&lt;&gt;"",SUMIFS('การทำธุรกรรม'!E:E,'การทำธุรกรรม'!F:F,A290,'การทำธุรกรรม'!B:B,"รายจ่าย"),)</f>
        <v/>
      </c>
      <c r="D290" s="36" t="str">
        <f t="shared" si="1"/>
        <v/>
      </c>
    </row>
    <row r="291">
      <c r="A291" s="8"/>
      <c r="B291" s="36" t="str">
        <f>IF(A291&lt;&gt;"",SUMIFS('การทำธุรกรรม'!E:E,'การทำธุรกรรม'!F:F,A291,'การทำธุรกรรม'!B:B,"รายรับ"),)</f>
        <v/>
      </c>
      <c r="C291" s="36" t="str">
        <f>IF(A291&lt;&gt;"",SUMIFS('การทำธุรกรรม'!E:E,'การทำธุรกรรม'!F:F,A291,'การทำธุรกรรม'!B:B,"รายจ่าย"),)</f>
        <v/>
      </c>
      <c r="D291" s="36" t="str">
        <f t="shared" si="1"/>
        <v/>
      </c>
    </row>
    <row r="292">
      <c r="A292" s="8"/>
      <c r="B292" s="36" t="str">
        <f>IF(A292&lt;&gt;"",SUMIFS('การทำธุรกรรม'!E:E,'การทำธุรกรรม'!F:F,A292,'การทำธุรกรรม'!B:B,"รายรับ"),)</f>
        <v/>
      </c>
      <c r="C292" s="36" t="str">
        <f>IF(A292&lt;&gt;"",SUMIFS('การทำธุรกรรม'!E:E,'การทำธุรกรรม'!F:F,A292,'การทำธุรกรรม'!B:B,"รายจ่าย"),)</f>
        <v/>
      </c>
      <c r="D292" s="36" t="str">
        <f t="shared" si="1"/>
        <v/>
      </c>
    </row>
    <row r="293">
      <c r="A293" s="8"/>
      <c r="B293" s="36" t="str">
        <f>IF(A293&lt;&gt;"",SUMIFS('การทำธุรกรรม'!E:E,'การทำธุรกรรม'!F:F,A293,'การทำธุรกรรม'!B:B,"รายรับ"),)</f>
        <v/>
      </c>
      <c r="C293" s="36" t="str">
        <f>IF(A293&lt;&gt;"",SUMIFS('การทำธุรกรรม'!E:E,'การทำธุรกรรม'!F:F,A293,'การทำธุรกรรม'!B:B,"รายจ่าย"),)</f>
        <v/>
      </c>
      <c r="D293" s="36" t="str">
        <f t="shared" si="1"/>
        <v/>
      </c>
    </row>
    <row r="294">
      <c r="A294" s="8"/>
      <c r="B294" s="36" t="str">
        <f>IF(A294&lt;&gt;"",SUMIFS('การทำธุรกรรม'!E:E,'การทำธุรกรรม'!F:F,A294,'การทำธุรกรรม'!B:B,"รายรับ"),)</f>
        <v/>
      </c>
      <c r="C294" s="36" t="str">
        <f>IF(A294&lt;&gt;"",SUMIFS('การทำธุรกรรม'!E:E,'การทำธุรกรรม'!F:F,A294,'การทำธุรกรรม'!B:B,"รายจ่าย"),)</f>
        <v/>
      </c>
      <c r="D294" s="36" t="str">
        <f t="shared" si="1"/>
        <v/>
      </c>
    </row>
    <row r="295">
      <c r="A295" s="8"/>
      <c r="B295" s="36" t="str">
        <f>IF(A295&lt;&gt;"",SUMIFS('การทำธุรกรรม'!E:E,'การทำธุรกรรม'!F:F,A295,'การทำธุรกรรม'!B:B,"รายรับ"),)</f>
        <v/>
      </c>
      <c r="C295" s="36" t="str">
        <f>IF(A295&lt;&gt;"",SUMIFS('การทำธุรกรรม'!E:E,'การทำธุรกรรม'!F:F,A295,'การทำธุรกรรม'!B:B,"รายจ่าย"),)</f>
        <v/>
      </c>
      <c r="D295" s="36" t="str">
        <f t="shared" si="1"/>
        <v/>
      </c>
    </row>
    <row r="296">
      <c r="A296" s="8"/>
      <c r="B296" s="36" t="str">
        <f>IF(A296&lt;&gt;"",SUMIFS('การทำธุรกรรม'!E:E,'การทำธุรกรรม'!F:F,A296,'การทำธุรกรรม'!B:B,"รายรับ"),)</f>
        <v/>
      </c>
      <c r="C296" s="36" t="str">
        <f>IF(A296&lt;&gt;"",SUMIFS('การทำธุรกรรม'!E:E,'การทำธุรกรรม'!F:F,A296,'การทำธุรกรรม'!B:B,"รายจ่าย"),)</f>
        <v/>
      </c>
      <c r="D296" s="36" t="str">
        <f t="shared" si="1"/>
        <v/>
      </c>
    </row>
    <row r="297">
      <c r="A297" s="8"/>
      <c r="B297" s="36" t="str">
        <f>IF(A297&lt;&gt;"",SUMIFS('การทำธุรกรรม'!E:E,'การทำธุรกรรม'!F:F,A297,'การทำธุรกรรม'!B:B,"รายรับ"),)</f>
        <v/>
      </c>
      <c r="C297" s="36" t="str">
        <f>IF(A297&lt;&gt;"",SUMIFS('การทำธุรกรรม'!E:E,'การทำธุรกรรม'!F:F,A297,'การทำธุรกรรม'!B:B,"รายจ่าย"),)</f>
        <v/>
      </c>
      <c r="D297" s="36" t="str">
        <f t="shared" si="1"/>
        <v/>
      </c>
    </row>
    <row r="298">
      <c r="A298" s="8"/>
      <c r="B298" s="36" t="str">
        <f>IF(A298&lt;&gt;"",SUMIFS('การทำธุรกรรม'!E:E,'การทำธุรกรรม'!F:F,A298,'การทำธุรกรรม'!B:B,"รายรับ"),)</f>
        <v/>
      </c>
      <c r="C298" s="36" t="str">
        <f>IF(A298&lt;&gt;"",SUMIFS('การทำธุรกรรม'!E:E,'การทำธุรกรรม'!F:F,A298,'การทำธุรกรรม'!B:B,"รายจ่าย"),)</f>
        <v/>
      </c>
      <c r="D298" s="36" t="str">
        <f t="shared" si="1"/>
        <v/>
      </c>
    </row>
    <row r="299">
      <c r="A299" s="8"/>
      <c r="B299" s="36" t="str">
        <f>IF(A299&lt;&gt;"",SUMIFS('การทำธุรกรรม'!E:E,'การทำธุรกรรม'!F:F,A299,'การทำธุรกรรม'!B:B,"รายรับ"),)</f>
        <v/>
      </c>
      <c r="C299" s="36" t="str">
        <f>IF(A299&lt;&gt;"",SUMIFS('การทำธุรกรรม'!E:E,'การทำธุรกรรม'!F:F,A299,'การทำธุรกรรม'!B:B,"รายจ่าย"),)</f>
        <v/>
      </c>
      <c r="D299" s="36" t="str">
        <f t="shared" si="1"/>
        <v/>
      </c>
    </row>
    <row r="300">
      <c r="A300" s="8"/>
      <c r="B300" s="36" t="str">
        <f>IF(A300&lt;&gt;"",SUMIFS('การทำธุรกรรม'!E:E,'การทำธุรกรรม'!F:F,A300,'การทำธุรกรรม'!B:B,"รายรับ"),)</f>
        <v/>
      </c>
      <c r="C300" s="36" t="str">
        <f>IF(A300&lt;&gt;"",SUMIFS('การทำธุรกรรม'!E:E,'การทำธุรกรรม'!F:F,A300,'การทำธุรกรรม'!B:B,"รายจ่าย"),)</f>
        <v/>
      </c>
      <c r="D300" s="36" t="str">
        <f t="shared" si="1"/>
        <v/>
      </c>
    </row>
    <row r="301">
      <c r="A301" s="8"/>
      <c r="B301" s="36" t="str">
        <f>IF(A301&lt;&gt;"",SUMIFS('การทำธุรกรรม'!E:E,'การทำธุรกรรม'!F:F,A301,'การทำธุรกรรม'!B:B,"รายรับ"),)</f>
        <v/>
      </c>
      <c r="C301" s="36" t="str">
        <f>IF(A301&lt;&gt;"",SUMIFS('การทำธุรกรรม'!E:E,'การทำธุรกรรม'!F:F,A301,'การทำธุรกรรม'!B:B,"รายจ่าย"),)</f>
        <v/>
      </c>
      <c r="D301" s="36" t="str">
        <f t="shared" si="1"/>
        <v/>
      </c>
    </row>
    <row r="302">
      <c r="A302" s="8"/>
      <c r="B302" s="36" t="str">
        <f>IF(A302&lt;&gt;"",SUMIFS('การทำธุรกรรม'!E:E,'การทำธุรกรรม'!F:F,A302,'การทำธุรกรรม'!B:B,"รายรับ"),)</f>
        <v/>
      </c>
      <c r="C302" s="36" t="str">
        <f>IF(A302&lt;&gt;"",SUMIFS('การทำธุรกรรม'!E:E,'การทำธุรกรรม'!F:F,A302,'การทำธุรกรรม'!B:B,"รายจ่าย"),)</f>
        <v/>
      </c>
      <c r="D302" s="36" t="str">
        <f t="shared" si="1"/>
        <v/>
      </c>
    </row>
    <row r="303">
      <c r="A303" s="8"/>
      <c r="B303" s="36" t="str">
        <f>IF(A303&lt;&gt;"",SUMIFS('การทำธุรกรรม'!E:E,'การทำธุรกรรม'!F:F,A303,'การทำธุรกรรม'!B:B,"รายรับ"),)</f>
        <v/>
      </c>
      <c r="C303" s="36" t="str">
        <f>IF(A303&lt;&gt;"",SUMIFS('การทำธุรกรรม'!E:E,'การทำธุรกรรม'!F:F,A303,'การทำธุรกรรม'!B:B,"รายจ่าย"),)</f>
        <v/>
      </c>
      <c r="D303" s="36" t="str">
        <f t="shared" si="1"/>
        <v/>
      </c>
    </row>
    <row r="304">
      <c r="A304" s="8"/>
      <c r="B304" s="36" t="str">
        <f>IF(A304&lt;&gt;"",SUMIFS('การทำธุรกรรม'!E:E,'การทำธุรกรรม'!F:F,A304,'การทำธุรกรรม'!B:B,"รายรับ"),)</f>
        <v/>
      </c>
      <c r="C304" s="36" t="str">
        <f>IF(A304&lt;&gt;"",SUMIFS('การทำธุรกรรม'!E:E,'การทำธุรกรรม'!F:F,A304,'การทำธุรกรรม'!B:B,"รายจ่าย"),)</f>
        <v/>
      </c>
      <c r="D304" s="36" t="str">
        <f t="shared" si="1"/>
        <v/>
      </c>
    </row>
    <row r="305">
      <c r="A305" s="8"/>
      <c r="B305" s="36" t="str">
        <f>IF(A305&lt;&gt;"",SUMIFS('การทำธุรกรรม'!E:E,'การทำธุรกรรม'!F:F,A305,'การทำธุรกรรม'!B:B,"รายรับ"),)</f>
        <v/>
      </c>
      <c r="C305" s="36" t="str">
        <f>IF(A305&lt;&gt;"",SUMIFS('การทำธุรกรรม'!E:E,'การทำธุรกรรม'!F:F,A305,'การทำธุรกรรม'!B:B,"รายจ่าย"),)</f>
        <v/>
      </c>
      <c r="D305" s="36" t="str">
        <f t="shared" si="1"/>
        <v/>
      </c>
    </row>
    <row r="306">
      <c r="A306" s="8"/>
      <c r="B306" s="36" t="str">
        <f>IF(A306&lt;&gt;"",SUMIFS('การทำธุรกรรม'!E:E,'การทำธุรกรรม'!F:F,A306,'การทำธุรกรรม'!B:B,"รายรับ"),)</f>
        <v/>
      </c>
      <c r="C306" s="36" t="str">
        <f>IF(A306&lt;&gt;"",SUMIFS('การทำธุรกรรม'!E:E,'การทำธุรกรรม'!F:F,A306,'การทำธุรกรรม'!B:B,"รายจ่าย"),)</f>
        <v/>
      </c>
      <c r="D306" s="36" t="str">
        <f t="shared" si="1"/>
        <v/>
      </c>
    </row>
    <row r="307">
      <c r="A307" s="8"/>
      <c r="B307" s="36" t="str">
        <f>IF(A307&lt;&gt;"",SUMIFS('การทำธุรกรรม'!E:E,'การทำธุรกรรม'!F:F,A307,'การทำธุรกรรม'!B:B,"รายรับ"),)</f>
        <v/>
      </c>
      <c r="C307" s="36" t="str">
        <f>IF(A307&lt;&gt;"",SUMIFS('การทำธุรกรรม'!E:E,'การทำธุรกรรม'!F:F,A307,'การทำธุรกรรม'!B:B,"รายจ่าย"),)</f>
        <v/>
      </c>
      <c r="D307" s="36" t="str">
        <f t="shared" si="1"/>
        <v/>
      </c>
    </row>
    <row r="308">
      <c r="A308" s="8"/>
      <c r="B308" s="36" t="str">
        <f>IF(A308&lt;&gt;"",SUMIFS('การทำธุรกรรม'!E:E,'การทำธุรกรรม'!F:F,A308,'การทำธุรกรรม'!B:B,"รายรับ"),)</f>
        <v/>
      </c>
      <c r="C308" s="36" t="str">
        <f>IF(A308&lt;&gt;"",SUMIFS('การทำธุรกรรม'!E:E,'การทำธุรกรรม'!F:F,A308,'การทำธุรกรรม'!B:B,"รายจ่าย"),)</f>
        <v/>
      </c>
      <c r="D308" s="36" t="str">
        <f t="shared" si="1"/>
        <v/>
      </c>
    </row>
    <row r="309">
      <c r="A309" s="8"/>
      <c r="B309" s="36" t="str">
        <f>IF(A309&lt;&gt;"",SUMIFS('การทำธุรกรรม'!E:E,'การทำธุรกรรม'!F:F,A309,'การทำธุรกรรม'!B:B,"รายรับ"),)</f>
        <v/>
      </c>
      <c r="C309" s="36" t="str">
        <f>IF(A309&lt;&gt;"",SUMIFS('การทำธุรกรรม'!E:E,'การทำธุรกรรม'!F:F,A309,'การทำธุรกรรม'!B:B,"รายจ่าย"),)</f>
        <v/>
      </c>
      <c r="D309" s="36" t="str">
        <f t="shared" si="1"/>
        <v/>
      </c>
    </row>
    <row r="310">
      <c r="A310" s="8"/>
      <c r="B310" s="36" t="str">
        <f>IF(A310&lt;&gt;"",SUMIFS('การทำธุรกรรม'!E:E,'การทำธุรกรรม'!F:F,A310,'การทำธุรกรรม'!B:B,"รายรับ"),)</f>
        <v/>
      </c>
      <c r="C310" s="36" t="str">
        <f>IF(A310&lt;&gt;"",SUMIFS('การทำธุรกรรม'!E:E,'การทำธุรกรรม'!F:F,A310,'การทำธุรกรรม'!B:B,"รายจ่าย"),)</f>
        <v/>
      </c>
      <c r="D310" s="36" t="str">
        <f t="shared" si="1"/>
        <v/>
      </c>
    </row>
    <row r="311">
      <c r="A311" s="8"/>
      <c r="B311" s="36" t="str">
        <f>IF(A311&lt;&gt;"",SUMIFS('การทำธุรกรรม'!E:E,'การทำธุรกรรม'!F:F,A311,'การทำธุรกรรม'!B:B,"รายรับ"),)</f>
        <v/>
      </c>
      <c r="C311" s="36" t="str">
        <f>IF(A311&lt;&gt;"",SUMIFS('การทำธุรกรรม'!E:E,'การทำธุรกรรม'!F:F,A311,'การทำธุรกรรม'!B:B,"รายจ่าย"),)</f>
        <v/>
      </c>
      <c r="D311" s="36" t="str">
        <f t="shared" si="1"/>
        <v/>
      </c>
    </row>
    <row r="312">
      <c r="A312" s="8"/>
      <c r="B312" s="36" t="str">
        <f>IF(A312&lt;&gt;"",SUMIFS('การทำธุรกรรม'!E:E,'การทำธุรกรรม'!F:F,A312,'การทำธุรกรรม'!B:B,"รายรับ"),)</f>
        <v/>
      </c>
      <c r="C312" s="36" t="str">
        <f>IF(A312&lt;&gt;"",SUMIFS('การทำธุรกรรม'!E:E,'การทำธุรกรรม'!F:F,A312,'การทำธุรกรรม'!B:B,"รายจ่าย"),)</f>
        <v/>
      </c>
      <c r="D312" s="36" t="str">
        <f t="shared" si="1"/>
        <v/>
      </c>
    </row>
    <row r="313">
      <c r="A313" s="8"/>
      <c r="B313" s="36" t="str">
        <f>IF(A313&lt;&gt;"",SUMIFS('การทำธุรกรรม'!E:E,'การทำธุรกรรม'!F:F,A313,'การทำธุรกรรม'!B:B,"รายรับ"),)</f>
        <v/>
      </c>
      <c r="C313" s="36" t="str">
        <f>IF(A313&lt;&gt;"",SUMIFS('การทำธุรกรรม'!E:E,'การทำธุรกรรม'!F:F,A313,'การทำธุรกรรม'!B:B,"รายจ่าย"),)</f>
        <v/>
      </c>
      <c r="D313" s="36" t="str">
        <f t="shared" si="1"/>
        <v/>
      </c>
    </row>
    <row r="314">
      <c r="A314" s="8"/>
      <c r="B314" s="36" t="str">
        <f>IF(A314&lt;&gt;"",SUMIFS('การทำธุรกรรม'!E:E,'การทำธุรกรรม'!F:F,A314,'การทำธุรกรรม'!B:B,"รายรับ"),)</f>
        <v/>
      </c>
      <c r="C314" s="36" t="str">
        <f>IF(A314&lt;&gt;"",SUMIFS('การทำธุรกรรม'!E:E,'การทำธุรกรรม'!F:F,A314,'การทำธุรกรรม'!B:B,"รายจ่าย"),)</f>
        <v/>
      </c>
      <c r="D314" s="36" t="str">
        <f t="shared" si="1"/>
        <v/>
      </c>
    </row>
    <row r="315">
      <c r="A315" s="8"/>
      <c r="B315" s="36" t="str">
        <f>IF(A315&lt;&gt;"",SUMIFS('การทำธุรกรรม'!E:E,'การทำธุรกรรม'!F:F,A315,'การทำธุรกรรม'!B:B,"รายรับ"),)</f>
        <v/>
      </c>
      <c r="C315" s="36" t="str">
        <f>IF(A315&lt;&gt;"",SUMIFS('การทำธุรกรรม'!E:E,'การทำธุรกรรม'!F:F,A315,'การทำธุรกรรม'!B:B,"รายจ่าย"),)</f>
        <v/>
      </c>
      <c r="D315" s="36" t="str">
        <f t="shared" si="1"/>
        <v/>
      </c>
    </row>
    <row r="316">
      <c r="A316" s="8"/>
      <c r="B316" s="36" t="str">
        <f>IF(A316&lt;&gt;"",SUMIFS('การทำธุรกรรม'!E:E,'การทำธุรกรรม'!F:F,A316,'การทำธุรกรรม'!B:B,"รายรับ"),)</f>
        <v/>
      </c>
      <c r="C316" s="36" t="str">
        <f>IF(A316&lt;&gt;"",SUMIFS('การทำธุรกรรม'!E:E,'การทำธุรกรรม'!F:F,A316,'การทำธุรกรรม'!B:B,"รายจ่าย"),)</f>
        <v/>
      </c>
      <c r="D316" s="36" t="str">
        <f t="shared" si="1"/>
        <v/>
      </c>
    </row>
    <row r="317">
      <c r="A317" s="8"/>
      <c r="B317" s="36" t="str">
        <f>IF(A317&lt;&gt;"",SUMIFS('การทำธุรกรรม'!E:E,'การทำธุรกรรม'!F:F,A317,'การทำธุรกรรม'!B:B,"รายรับ"),)</f>
        <v/>
      </c>
      <c r="C317" s="36" t="str">
        <f>IF(A317&lt;&gt;"",SUMIFS('การทำธุรกรรม'!E:E,'การทำธุรกรรม'!F:F,A317,'การทำธุรกรรม'!B:B,"รายจ่าย"),)</f>
        <v/>
      </c>
      <c r="D317" s="36" t="str">
        <f t="shared" si="1"/>
        <v/>
      </c>
    </row>
    <row r="318">
      <c r="A318" s="8"/>
      <c r="B318" s="36" t="str">
        <f>IF(A318&lt;&gt;"",SUMIFS('การทำธุรกรรม'!E:E,'การทำธุรกรรม'!F:F,A318,'การทำธุรกรรม'!B:B,"รายรับ"),)</f>
        <v/>
      </c>
      <c r="C318" s="36" t="str">
        <f>IF(A318&lt;&gt;"",SUMIFS('การทำธุรกรรม'!E:E,'การทำธุรกรรม'!F:F,A318,'การทำธุรกรรม'!B:B,"รายจ่าย"),)</f>
        <v/>
      </c>
      <c r="D318" s="36" t="str">
        <f t="shared" si="1"/>
        <v/>
      </c>
    </row>
    <row r="319">
      <c r="A319" s="8"/>
      <c r="B319" s="36" t="str">
        <f>IF(A319&lt;&gt;"",SUMIFS('การทำธุรกรรม'!E:E,'การทำธุรกรรม'!F:F,A319,'การทำธุรกรรม'!B:B,"รายรับ"),)</f>
        <v/>
      </c>
      <c r="C319" s="36" t="str">
        <f>IF(A319&lt;&gt;"",SUMIFS('การทำธุรกรรม'!E:E,'การทำธุรกรรม'!F:F,A319,'การทำธุรกรรม'!B:B,"รายจ่าย"),)</f>
        <v/>
      </c>
      <c r="D319" s="36" t="str">
        <f t="shared" si="1"/>
        <v/>
      </c>
    </row>
    <row r="320">
      <c r="A320" s="8"/>
      <c r="B320" s="36" t="str">
        <f>IF(A320&lt;&gt;"",SUMIFS('การทำธุรกรรม'!E:E,'การทำธุรกรรม'!F:F,A320,'การทำธุรกรรม'!B:B,"รายรับ"),)</f>
        <v/>
      </c>
      <c r="C320" s="36" t="str">
        <f>IF(A320&lt;&gt;"",SUMIFS('การทำธุรกรรม'!E:E,'การทำธุรกรรม'!F:F,A320,'การทำธุรกรรม'!B:B,"รายจ่าย"),)</f>
        <v/>
      </c>
      <c r="D320" s="36" t="str">
        <f t="shared" si="1"/>
        <v/>
      </c>
    </row>
    <row r="321">
      <c r="A321" s="8"/>
      <c r="B321" s="36" t="str">
        <f>IF(A321&lt;&gt;"",SUMIFS('การทำธุรกรรม'!E:E,'การทำธุรกรรม'!F:F,A321,'การทำธุรกรรม'!B:B,"รายรับ"),)</f>
        <v/>
      </c>
      <c r="C321" s="36" t="str">
        <f>IF(A321&lt;&gt;"",SUMIFS('การทำธุรกรรม'!E:E,'การทำธุรกรรม'!F:F,A321,'การทำธุรกรรม'!B:B,"รายจ่าย"),)</f>
        <v/>
      </c>
      <c r="D321" s="36" t="str">
        <f t="shared" si="1"/>
        <v/>
      </c>
    </row>
    <row r="322">
      <c r="A322" s="8"/>
      <c r="B322" s="36" t="str">
        <f>IF(A322&lt;&gt;"",SUMIFS('การทำธุรกรรม'!E:E,'การทำธุรกรรม'!F:F,A322,'การทำธุรกรรม'!B:B,"รายรับ"),)</f>
        <v/>
      </c>
      <c r="C322" s="36" t="str">
        <f>IF(A322&lt;&gt;"",SUMIFS('การทำธุรกรรม'!E:E,'การทำธุรกรรม'!F:F,A322,'การทำธุรกรรม'!B:B,"รายจ่าย"),)</f>
        <v/>
      </c>
      <c r="D322" s="36" t="str">
        <f t="shared" si="1"/>
        <v/>
      </c>
    </row>
    <row r="323">
      <c r="A323" s="8"/>
      <c r="B323" s="36" t="str">
        <f>IF(A323&lt;&gt;"",SUMIFS('การทำธุรกรรม'!E:E,'การทำธุรกรรม'!F:F,A323,'การทำธุรกรรม'!B:B,"รายรับ"),)</f>
        <v/>
      </c>
      <c r="C323" s="36" t="str">
        <f>IF(A323&lt;&gt;"",SUMIFS('การทำธุรกรรม'!E:E,'การทำธุรกรรม'!F:F,A323,'การทำธุรกรรม'!B:B,"รายจ่าย"),)</f>
        <v/>
      </c>
      <c r="D323" s="36" t="str">
        <f t="shared" si="1"/>
        <v/>
      </c>
    </row>
    <row r="324">
      <c r="A324" s="8"/>
      <c r="B324" s="36" t="str">
        <f>IF(A324&lt;&gt;"",SUMIFS('การทำธุรกรรม'!E:E,'การทำธุรกรรม'!F:F,A324,'การทำธุรกรรม'!B:B,"รายรับ"),)</f>
        <v/>
      </c>
      <c r="C324" s="36" t="str">
        <f>IF(A324&lt;&gt;"",SUMIFS('การทำธุรกรรม'!E:E,'การทำธุรกรรม'!F:F,A324,'การทำธุรกรรม'!B:B,"รายจ่าย"),)</f>
        <v/>
      </c>
      <c r="D324" s="36" t="str">
        <f t="shared" si="1"/>
        <v/>
      </c>
    </row>
    <row r="325">
      <c r="A325" s="8"/>
      <c r="B325" s="36" t="str">
        <f>IF(A325&lt;&gt;"",SUMIFS('การทำธุรกรรม'!E:E,'การทำธุรกรรม'!F:F,A325,'การทำธุรกรรม'!B:B,"รายรับ"),)</f>
        <v/>
      </c>
      <c r="C325" s="36" t="str">
        <f>IF(A325&lt;&gt;"",SUMIFS('การทำธุรกรรม'!E:E,'การทำธุรกรรม'!F:F,A325,'การทำธุรกรรม'!B:B,"รายจ่าย"),)</f>
        <v/>
      </c>
      <c r="D325" s="36" t="str">
        <f t="shared" si="1"/>
        <v/>
      </c>
    </row>
    <row r="326">
      <c r="A326" s="8"/>
      <c r="B326" s="36" t="str">
        <f>IF(A326&lt;&gt;"",SUMIFS('การทำธุรกรรม'!E:E,'การทำธุรกรรม'!F:F,A326,'การทำธุรกรรม'!B:B,"รายรับ"),)</f>
        <v/>
      </c>
      <c r="C326" s="36" t="str">
        <f>IF(A326&lt;&gt;"",SUMIFS('การทำธุรกรรม'!E:E,'การทำธุรกรรม'!F:F,A326,'การทำธุรกรรม'!B:B,"รายจ่าย"),)</f>
        <v/>
      </c>
      <c r="D326" s="36" t="str">
        <f t="shared" si="1"/>
        <v/>
      </c>
    </row>
    <row r="327">
      <c r="A327" s="8"/>
      <c r="B327" s="36" t="str">
        <f>IF(A327&lt;&gt;"",SUMIFS('การทำธุรกรรม'!E:E,'การทำธุรกรรม'!F:F,A327,'การทำธุรกรรม'!B:B,"รายรับ"),)</f>
        <v/>
      </c>
      <c r="C327" s="36" t="str">
        <f>IF(A327&lt;&gt;"",SUMIFS('การทำธุรกรรม'!E:E,'การทำธุรกรรม'!F:F,A327,'การทำธุรกรรม'!B:B,"รายจ่าย"),)</f>
        <v/>
      </c>
      <c r="D327" s="36" t="str">
        <f t="shared" si="1"/>
        <v/>
      </c>
    </row>
    <row r="328">
      <c r="A328" s="8"/>
      <c r="B328" s="36" t="str">
        <f>IF(A328&lt;&gt;"",SUMIFS('การทำธุรกรรม'!E:E,'การทำธุรกรรม'!F:F,A328,'การทำธุรกรรม'!B:B,"รายรับ"),)</f>
        <v/>
      </c>
      <c r="C328" s="36" t="str">
        <f>IF(A328&lt;&gt;"",SUMIFS('การทำธุรกรรม'!E:E,'การทำธุรกรรม'!F:F,A328,'การทำธุรกรรม'!B:B,"รายจ่าย"),)</f>
        <v/>
      </c>
      <c r="D328" s="36" t="str">
        <f t="shared" si="1"/>
        <v/>
      </c>
    </row>
    <row r="329">
      <c r="A329" s="8"/>
      <c r="B329" s="36" t="str">
        <f>IF(A329&lt;&gt;"",SUMIFS('การทำธุรกรรม'!E:E,'การทำธุรกรรม'!F:F,A329,'การทำธุรกรรม'!B:B,"รายรับ"),)</f>
        <v/>
      </c>
      <c r="C329" s="36" t="str">
        <f>IF(A329&lt;&gt;"",SUMIFS('การทำธุรกรรม'!E:E,'การทำธุรกรรม'!F:F,A329,'การทำธุรกรรม'!B:B,"รายจ่าย"),)</f>
        <v/>
      </c>
      <c r="D329" s="36" t="str">
        <f t="shared" si="1"/>
        <v/>
      </c>
    </row>
    <row r="330">
      <c r="A330" s="8"/>
      <c r="B330" s="36" t="str">
        <f>IF(A330&lt;&gt;"",SUMIFS('การทำธุรกรรม'!E:E,'การทำธุรกรรม'!F:F,A330,'การทำธุรกรรม'!B:B,"รายรับ"),)</f>
        <v/>
      </c>
      <c r="C330" s="36" t="str">
        <f>IF(A330&lt;&gt;"",SUMIFS('การทำธุรกรรม'!E:E,'การทำธุรกรรม'!F:F,A330,'การทำธุรกรรม'!B:B,"รายจ่าย"),)</f>
        <v/>
      </c>
      <c r="D330" s="36" t="str">
        <f t="shared" si="1"/>
        <v/>
      </c>
    </row>
    <row r="331">
      <c r="A331" s="8"/>
      <c r="B331" s="36" t="str">
        <f>IF(A331&lt;&gt;"",SUMIFS('การทำธุรกรรม'!E:E,'การทำธุรกรรม'!F:F,A331,'การทำธุรกรรม'!B:B,"รายรับ"),)</f>
        <v/>
      </c>
      <c r="C331" s="36" t="str">
        <f>IF(A331&lt;&gt;"",SUMIFS('การทำธุรกรรม'!E:E,'การทำธุรกรรม'!F:F,A331,'การทำธุรกรรม'!B:B,"รายจ่าย"),)</f>
        <v/>
      </c>
      <c r="D331" s="36" t="str">
        <f t="shared" si="1"/>
        <v/>
      </c>
    </row>
    <row r="332">
      <c r="A332" s="8"/>
      <c r="B332" s="36" t="str">
        <f>IF(A332&lt;&gt;"",SUMIFS('การทำธุรกรรม'!E:E,'การทำธุรกรรม'!F:F,A332,'การทำธุรกรรม'!B:B,"รายรับ"),)</f>
        <v/>
      </c>
      <c r="C332" s="36" t="str">
        <f>IF(A332&lt;&gt;"",SUMIFS('การทำธุรกรรม'!E:E,'การทำธุรกรรม'!F:F,A332,'การทำธุรกรรม'!B:B,"รายจ่าย"),)</f>
        <v/>
      </c>
      <c r="D332" s="36" t="str">
        <f t="shared" si="1"/>
        <v/>
      </c>
    </row>
    <row r="333">
      <c r="A333" s="8"/>
      <c r="B333" s="36" t="str">
        <f>IF(A333&lt;&gt;"",SUMIFS('การทำธุรกรรม'!E:E,'การทำธุรกรรม'!F:F,A333,'การทำธุรกรรม'!B:B,"รายรับ"),)</f>
        <v/>
      </c>
      <c r="C333" s="36" t="str">
        <f>IF(A333&lt;&gt;"",SUMIFS('การทำธุรกรรม'!E:E,'การทำธุรกรรม'!F:F,A333,'การทำธุรกรรม'!B:B,"รายจ่าย"),)</f>
        <v/>
      </c>
      <c r="D333" s="36" t="str">
        <f t="shared" si="1"/>
        <v/>
      </c>
    </row>
    <row r="334">
      <c r="A334" s="8"/>
      <c r="B334" s="36" t="str">
        <f>IF(A334&lt;&gt;"",SUMIFS('การทำธุรกรรม'!E:E,'การทำธุรกรรม'!F:F,A334,'การทำธุรกรรม'!B:B,"รายรับ"),)</f>
        <v/>
      </c>
      <c r="C334" s="36" t="str">
        <f>IF(A334&lt;&gt;"",SUMIFS('การทำธุรกรรม'!E:E,'การทำธุรกรรม'!F:F,A334,'การทำธุรกรรม'!B:B,"รายจ่าย"),)</f>
        <v/>
      </c>
      <c r="D334" s="36" t="str">
        <f t="shared" si="1"/>
        <v/>
      </c>
    </row>
    <row r="335">
      <c r="A335" s="8"/>
      <c r="B335" s="36" t="str">
        <f>IF(A335&lt;&gt;"",SUMIFS('การทำธุรกรรม'!E:E,'การทำธุรกรรม'!F:F,A335,'การทำธุรกรรม'!B:B,"รายรับ"),)</f>
        <v/>
      </c>
      <c r="C335" s="36" t="str">
        <f>IF(A335&lt;&gt;"",SUMIFS('การทำธุรกรรม'!E:E,'การทำธุรกรรม'!F:F,A335,'การทำธุรกรรม'!B:B,"รายจ่าย"),)</f>
        <v/>
      </c>
      <c r="D335" s="36" t="str">
        <f t="shared" si="1"/>
        <v/>
      </c>
    </row>
    <row r="336">
      <c r="A336" s="8"/>
      <c r="B336" s="36" t="str">
        <f>IF(A336&lt;&gt;"",SUMIFS('การทำธุรกรรม'!E:E,'การทำธุรกรรม'!F:F,A336,'การทำธุรกรรม'!B:B,"รายรับ"),)</f>
        <v/>
      </c>
      <c r="C336" s="36" t="str">
        <f>IF(A336&lt;&gt;"",SUMIFS('การทำธุรกรรม'!E:E,'การทำธุรกรรม'!F:F,A336,'การทำธุรกรรม'!B:B,"รายจ่าย"),)</f>
        <v/>
      </c>
      <c r="D336" s="36" t="str">
        <f t="shared" si="1"/>
        <v/>
      </c>
    </row>
    <row r="337">
      <c r="A337" s="8"/>
      <c r="B337" s="36" t="str">
        <f>IF(A337&lt;&gt;"",SUMIFS('การทำธุรกรรม'!E:E,'การทำธุรกรรม'!F:F,A337,'การทำธุรกรรม'!B:B,"รายรับ"),)</f>
        <v/>
      </c>
      <c r="C337" s="36" t="str">
        <f>IF(A337&lt;&gt;"",SUMIFS('การทำธุรกรรม'!E:E,'การทำธุรกรรม'!F:F,A337,'การทำธุรกรรม'!B:B,"รายจ่าย"),)</f>
        <v/>
      </c>
      <c r="D337" s="36" t="str">
        <f t="shared" si="1"/>
        <v/>
      </c>
    </row>
    <row r="338">
      <c r="A338" s="8"/>
      <c r="B338" s="36" t="str">
        <f>IF(A338&lt;&gt;"",SUMIFS('การทำธุรกรรม'!E:E,'การทำธุรกรรม'!F:F,A338,'การทำธุรกรรม'!B:B,"รายรับ"),)</f>
        <v/>
      </c>
      <c r="C338" s="36" t="str">
        <f>IF(A338&lt;&gt;"",SUMIFS('การทำธุรกรรม'!E:E,'การทำธุรกรรม'!F:F,A338,'การทำธุรกรรม'!B:B,"รายจ่าย"),)</f>
        <v/>
      </c>
      <c r="D338" s="36" t="str">
        <f t="shared" si="1"/>
        <v/>
      </c>
    </row>
    <row r="339">
      <c r="A339" s="8"/>
      <c r="B339" s="36" t="str">
        <f>IF(A339&lt;&gt;"",SUMIFS('การทำธุรกรรม'!E:E,'การทำธุรกรรม'!F:F,A339,'การทำธุรกรรม'!B:B,"รายรับ"),)</f>
        <v/>
      </c>
      <c r="C339" s="36" t="str">
        <f>IF(A339&lt;&gt;"",SUMIFS('การทำธุรกรรม'!E:E,'การทำธุรกรรม'!F:F,A339,'การทำธุรกรรม'!B:B,"รายจ่าย"),)</f>
        <v/>
      </c>
      <c r="D339" s="36" t="str">
        <f t="shared" si="1"/>
        <v/>
      </c>
    </row>
    <row r="340">
      <c r="A340" s="8"/>
      <c r="B340" s="36" t="str">
        <f>IF(A340&lt;&gt;"",SUMIFS('การทำธุรกรรม'!E:E,'การทำธุรกรรม'!F:F,A340,'การทำธุรกรรม'!B:B,"รายรับ"),)</f>
        <v/>
      </c>
      <c r="C340" s="36" t="str">
        <f>IF(A340&lt;&gt;"",SUMIFS('การทำธุรกรรม'!E:E,'การทำธุรกรรม'!F:F,A340,'การทำธุรกรรม'!B:B,"รายจ่าย"),)</f>
        <v/>
      </c>
      <c r="D340" s="36" t="str">
        <f t="shared" si="1"/>
        <v/>
      </c>
    </row>
    <row r="341">
      <c r="A341" s="8"/>
      <c r="B341" s="36" t="str">
        <f>IF(A341&lt;&gt;"",SUMIFS('การทำธุรกรรม'!E:E,'การทำธุรกรรม'!F:F,A341,'การทำธุรกรรม'!B:B,"รายรับ"),)</f>
        <v/>
      </c>
      <c r="C341" s="36" t="str">
        <f>IF(A341&lt;&gt;"",SUMIFS('การทำธุรกรรม'!E:E,'การทำธุรกรรม'!F:F,A341,'การทำธุรกรรม'!B:B,"รายจ่าย"),)</f>
        <v/>
      </c>
      <c r="D341" s="36" t="str">
        <f t="shared" si="1"/>
        <v/>
      </c>
    </row>
    <row r="342">
      <c r="A342" s="8"/>
      <c r="B342" s="36" t="str">
        <f>IF(A342&lt;&gt;"",SUMIFS('การทำธุรกรรม'!E:E,'การทำธุรกรรม'!F:F,A342,'การทำธุรกรรม'!B:B,"รายรับ"),)</f>
        <v/>
      </c>
      <c r="C342" s="36" t="str">
        <f>IF(A342&lt;&gt;"",SUMIFS('การทำธุรกรรม'!E:E,'การทำธุรกรรม'!F:F,A342,'การทำธุรกรรม'!B:B,"รายจ่าย"),)</f>
        <v/>
      </c>
      <c r="D342" s="36" t="str">
        <f t="shared" si="1"/>
        <v/>
      </c>
    </row>
    <row r="343">
      <c r="A343" s="8"/>
      <c r="B343" s="36" t="str">
        <f>IF(A343&lt;&gt;"",SUMIFS('การทำธุรกรรม'!E:E,'การทำธุรกรรม'!F:F,A343,'การทำธุรกรรม'!B:B,"รายรับ"),)</f>
        <v/>
      </c>
      <c r="C343" s="36" t="str">
        <f>IF(A343&lt;&gt;"",SUMIFS('การทำธุรกรรม'!E:E,'การทำธุรกรรม'!F:F,A343,'การทำธุรกรรม'!B:B,"รายจ่าย"),)</f>
        <v/>
      </c>
      <c r="D343" s="36" t="str">
        <f t="shared" si="1"/>
        <v/>
      </c>
    </row>
    <row r="344">
      <c r="A344" s="8"/>
      <c r="B344" s="36" t="str">
        <f>IF(A344&lt;&gt;"",SUMIFS('การทำธุรกรรม'!E:E,'การทำธุรกรรม'!F:F,A344,'การทำธุรกรรม'!B:B,"รายรับ"),)</f>
        <v/>
      </c>
      <c r="C344" s="36" t="str">
        <f>IF(A344&lt;&gt;"",SUMIFS('การทำธุรกรรม'!E:E,'การทำธุรกรรม'!F:F,A344,'การทำธุรกรรม'!B:B,"รายจ่าย"),)</f>
        <v/>
      </c>
      <c r="D344" s="36" t="str">
        <f t="shared" si="1"/>
        <v/>
      </c>
    </row>
    <row r="345">
      <c r="A345" s="8"/>
      <c r="B345" s="36" t="str">
        <f>IF(A345&lt;&gt;"",SUMIFS('การทำธุรกรรม'!E:E,'การทำธุรกรรม'!F:F,A345,'การทำธุรกรรม'!B:B,"รายรับ"),)</f>
        <v/>
      </c>
      <c r="C345" s="36" t="str">
        <f>IF(A345&lt;&gt;"",SUMIFS('การทำธุรกรรม'!E:E,'การทำธุรกรรม'!F:F,A345,'การทำธุรกรรม'!B:B,"รายจ่าย"),)</f>
        <v/>
      </c>
      <c r="D345" s="36" t="str">
        <f t="shared" si="1"/>
        <v/>
      </c>
    </row>
    <row r="346">
      <c r="A346" s="8"/>
      <c r="B346" s="36" t="str">
        <f>IF(A346&lt;&gt;"",SUMIFS('การทำธุรกรรม'!E:E,'การทำธุรกรรม'!F:F,A346,'การทำธุรกรรม'!B:B,"รายรับ"),)</f>
        <v/>
      </c>
      <c r="C346" s="36" t="str">
        <f>IF(A346&lt;&gt;"",SUMIFS('การทำธุรกรรม'!E:E,'การทำธุรกรรม'!F:F,A346,'การทำธุรกรรม'!B:B,"รายจ่าย"),)</f>
        <v/>
      </c>
      <c r="D346" s="36" t="str">
        <f t="shared" si="1"/>
        <v/>
      </c>
    </row>
    <row r="347">
      <c r="A347" s="8"/>
      <c r="B347" s="36" t="str">
        <f>IF(A347&lt;&gt;"",SUMIFS('การทำธุรกรรม'!E:E,'การทำธุรกรรม'!F:F,A347,'การทำธุรกรรม'!B:B,"รายรับ"),)</f>
        <v/>
      </c>
      <c r="C347" s="36" t="str">
        <f>IF(A347&lt;&gt;"",SUMIFS('การทำธุรกรรม'!E:E,'การทำธุรกรรม'!F:F,A347,'การทำธุรกรรม'!B:B,"รายจ่าย"),)</f>
        <v/>
      </c>
      <c r="D347" s="36" t="str">
        <f t="shared" si="1"/>
        <v/>
      </c>
    </row>
    <row r="348">
      <c r="A348" s="8"/>
      <c r="B348" s="36" t="str">
        <f>IF(A348&lt;&gt;"",SUMIFS('การทำธุรกรรม'!E:E,'การทำธุรกรรม'!F:F,A348,'การทำธุรกรรม'!B:B,"รายรับ"),)</f>
        <v/>
      </c>
      <c r="C348" s="36" t="str">
        <f>IF(A348&lt;&gt;"",SUMIFS('การทำธุรกรรม'!E:E,'การทำธุรกรรม'!F:F,A348,'การทำธุรกรรม'!B:B,"รายจ่าย"),)</f>
        <v/>
      </c>
      <c r="D348" s="36" t="str">
        <f t="shared" si="1"/>
        <v/>
      </c>
    </row>
    <row r="349">
      <c r="A349" s="8"/>
      <c r="B349" s="36" t="str">
        <f>IF(A349&lt;&gt;"",SUMIFS('การทำธุรกรรม'!E:E,'การทำธุรกรรม'!F:F,A349,'การทำธุรกรรม'!B:B,"รายรับ"),)</f>
        <v/>
      </c>
      <c r="C349" s="36" t="str">
        <f>IF(A349&lt;&gt;"",SUMIFS('การทำธุรกรรม'!E:E,'การทำธุรกรรม'!F:F,A349,'การทำธุรกรรม'!B:B,"รายจ่าย"),)</f>
        <v/>
      </c>
      <c r="D349" s="36" t="str">
        <f t="shared" si="1"/>
        <v/>
      </c>
    </row>
    <row r="350">
      <c r="A350" s="8"/>
      <c r="B350" s="36" t="str">
        <f>IF(A350&lt;&gt;"",SUMIFS('การทำธุรกรรม'!E:E,'การทำธุรกรรม'!F:F,A350,'การทำธุรกรรม'!B:B,"รายรับ"),)</f>
        <v/>
      </c>
      <c r="C350" s="36" t="str">
        <f>IF(A350&lt;&gt;"",SUMIFS('การทำธุรกรรม'!E:E,'การทำธุรกรรม'!F:F,A350,'การทำธุรกรรม'!B:B,"รายจ่าย"),)</f>
        <v/>
      </c>
      <c r="D350" s="36" t="str">
        <f t="shared" si="1"/>
        <v/>
      </c>
    </row>
    <row r="351">
      <c r="A351" s="8"/>
      <c r="B351" s="36" t="str">
        <f>IF(A351&lt;&gt;"",SUMIFS('การทำธุรกรรม'!E:E,'การทำธุรกรรม'!F:F,A351,'การทำธุรกรรม'!B:B,"รายรับ"),)</f>
        <v/>
      </c>
      <c r="C351" s="36" t="str">
        <f>IF(A351&lt;&gt;"",SUMIFS('การทำธุรกรรม'!E:E,'การทำธุรกรรม'!F:F,A351,'การทำธุรกรรม'!B:B,"รายจ่าย"),)</f>
        <v/>
      </c>
      <c r="D351" s="36" t="str">
        <f t="shared" si="1"/>
        <v/>
      </c>
    </row>
    <row r="352">
      <c r="A352" s="8"/>
      <c r="B352" s="36" t="str">
        <f>IF(A352&lt;&gt;"",SUMIFS('การทำธุรกรรม'!E:E,'การทำธุรกรรม'!F:F,A352,'การทำธุรกรรม'!B:B,"รายรับ"),)</f>
        <v/>
      </c>
      <c r="C352" s="36" t="str">
        <f>IF(A352&lt;&gt;"",SUMIFS('การทำธุรกรรม'!E:E,'การทำธุรกรรม'!F:F,A352,'การทำธุรกรรม'!B:B,"รายจ่าย"),)</f>
        <v/>
      </c>
      <c r="D352" s="36" t="str">
        <f t="shared" si="1"/>
        <v/>
      </c>
    </row>
    <row r="353">
      <c r="A353" s="8"/>
      <c r="B353" s="36" t="str">
        <f>IF(A353&lt;&gt;"",SUMIFS('การทำธุรกรรม'!E:E,'การทำธุรกรรม'!F:F,A353,'การทำธุรกรรม'!B:B,"รายรับ"),)</f>
        <v/>
      </c>
      <c r="C353" s="36" t="str">
        <f>IF(A353&lt;&gt;"",SUMIFS('การทำธุรกรรม'!E:E,'การทำธุรกรรม'!F:F,A353,'การทำธุรกรรม'!B:B,"รายจ่าย"),)</f>
        <v/>
      </c>
      <c r="D353" s="36" t="str">
        <f t="shared" si="1"/>
        <v/>
      </c>
    </row>
    <row r="354">
      <c r="A354" s="8"/>
      <c r="B354" s="36" t="str">
        <f>IF(A354&lt;&gt;"",SUMIFS('การทำธุรกรรม'!E:E,'การทำธุรกรรม'!F:F,A354,'การทำธุรกรรม'!B:B,"รายรับ"),)</f>
        <v/>
      </c>
      <c r="C354" s="36" t="str">
        <f>IF(A354&lt;&gt;"",SUMIFS('การทำธุรกรรม'!E:E,'การทำธุรกรรม'!F:F,A354,'การทำธุรกรรม'!B:B,"รายจ่าย"),)</f>
        <v/>
      </c>
      <c r="D354" s="36" t="str">
        <f t="shared" si="1"/>
        <v/>
      </c>
    </row>
    <row r="355">
      <c r="A355" s="8"/>
      <c r="B355" s="36" t="str">
        <f>IF(A355&lt;&gt;"",SUMIFS('การทำธุรกรรม'!E:E,'การทำธุรกรรม'!F:F,A355,'การทำธุรกรรม'!B:B,"รายรับ"),)</f>
        <v/>
      </c>
      <c r="C355" s="36" t="str">
        <f>IF(A355&lt;&gt;"",SUMIFS('การทำธุรกรรม'!E:E,'การทำธุรกรรม'!F:F,A355,'การทำธุรกรรม'!B:B,"รายจ่าย"),)</f>
        <v/>
      </c>
      <c r="D355" s="36" t="str">
        <f t="shared" si="1"/>
        <v/>
      </c>
    </row>
    <row r="356">
      <c r="A356" s="8"/>
      <c r="B356" s="36" t="str">
        <f>IF(A356&lt;&gt;"",SUMIFS('การทำธุรกรรม'!E:E,'การทำธุรกรรม'!F:F,A356,'การทำธุรกรรม'!B:B,"รายรับ"),)</f>
        <v/>
      </c>
      <c r="C356" s="36" t="str">
        <f>IF(A356&lt;&gt;"",SUMIFS('การทำธุรกรรม'!E:E,'การทำธุรกรรม'!F:F,A356,'การทำธุรกรรม'!B:B,"รายจ่าย"),)</f>
        <v/>
      </c>
      <c r="D356" s="36" t="str">
        <f t="shared" si="1"/>
        <v/>
      </c>
    </row>
    <row r="357">
      <c r="A357" s="8"/>
      <c r="B357" s="36" t="str">
        <f>IF(A357&lt;&gt;"",SUMIFS('การทำธุรกรรม'!E:E,'การทำธุรกรรม'!F:F,A357,'การทำธุรกรรม'!B:B,"รายรับ"),)</f>
        <v/>
      </c>
      <c r="C357" s="36" t="str">
        <f>IF(A357&lt;&gt;"",SUMIFS('การทำธุรกรรม'!E:E,'การทำธุรกรรม'!F:F,A357,'การทำธุรกรรม'!B:B,"รายจ่าย"),)</f>
        <v/>
      </c>
      <c r="D357" s="36" t="str">
        <f t="shared" si="1"/>
        <v/>
      </c>
    </row>
    <row r="358">
      <c r="A358" s="8"/>
      <c r="B358" s="36" t="str">
        <f>IF(A358&lt;&gt;"",SUMIFS('การทำธุรกรรม'!E:E,'การทำธุรกรรม'!F:F,A358,'การทำธุรกรรม'!B:B,"รายรับ"),)</f>
        <v/>
      </c>
      <c r="C358" s="36" t="str">
        <f>IF(A358&lt;&gt;"",SUMIFS('การทำธุรกรรม'!E:E,'การทำธุรกรรม'!F:F,A358,'การทำธุรกรรม'!B:B,"รายจ่าย"),)</f>
        <v/>
      </c>
      <c r="D358" s="36" t="str">
        <f t="shared" si="1"/>
        <v/>
      </c>
    </row>
    <row r="359">
      <c r="A359" s="8"/>
      <c r="B359" s="36" t="str">
        <f>IF(A359&lt;&gt;"",SUMIFS('การทำธุรกรรม'!E:E,'การทำธุรกรรม'!F:F,A359,'การทำธุรกรรม'!B:B,"รายรับ"),)</f>
        <v/>
      </c>
      <c r="C359" s="36" t="str">
        <f>IF(A359&lt;&gt;"",SUMIFS('การทำธุรกรรม'!E:E,'การทำธุรกรรม'!F:F,A359,'การทำธุรกรรม'!B:B,"รายจ่าย"),)</f>
        <v/>
      </c>
      <c r="D359" s="36" t="str">
        <f t="shared" si="1"/>
        <v/>
      </c>
    </row>
    <row r="360">
      <c r="A360" s="8"/>
      <c r="B360" s="36" t="str">
        <f>IF(A360&lt;&gt;"",SUMIFS('การทำธุรกรรม'!E:E,'การทำธุรกรรม'!F:F,A360,'การทำธุรกรรม'!B:B,"รายรับ"),)</f>
        <v/>
      </c>
      <c r="C360" s="36" t="str">
        <f>IF(A360&lt;&gt;"",SUMIFS('การทำธุรกรรม'!E:E,'การทำธุรกรรม'!F:F,A360,'การทำธุรกรรม'!B:B,"รายจ่าย"),)</f>
        <v/>
      </c>
      <c r="D360" s="36" t="str">
        <f t="shared" si="1"/>
        <v/>
      </c>
    </row>
    <row r="361">
      <c r="A361" s="8"/>
      <c r="B361" s="36" t="str">
        <f>IF(A361&lt;&gt;"",SUMIFS('การทำธุรกรรม'!E:E,'การทำธุรกรรม'!F:F,A361,'การทำธุรกรรม'!B:B,"รายรับ"),)</f>
        <v/>
      </c>
      <c r="C361" s="36" t="str">
        <f>IF(A361&lt;&gt;"",SUMIFS('การทำธุรกรรม'!E:E,'การทำธุรกรรม'!F:F,A361,'การทำธุรกรรม'!B:B,"รายจ่าย"),)</f>
        <v/>
      </c>
      <c r="D361" s="36" t="str">
        <f t="shared" si="1"/>
        <v/>
      </c>
    </row>
    <row r="362">
      <c r="A362" s="8"/>
      <c r="B362" s="36" t="str">
        <f>IF(A362&lt;&gt;"",SUMIFS('การทำธุรกรรม'!E:E,'การทำธุรกรรม'!F:F,A362,'การทำธุรกรรม'!B:B,"รายรับ"),)</f>
        <v/>
      </c>
      <c r="C362" s="36" t="str">
        <f>IF(A362&lt;&gt;"",SUMIFS('การทำธุรกรรม'!E:E,'การทำธุรกรรม'!F:F,A362,'การทำธุรกรรม'!B:B,"รายจ่าย"),)</f>
        <v/>
      </c>
      <c r="D362" s="36" t="str">
        <f t="shared" si="1"/>
        <v/>
      </c>
    </row>
    <row r="363">
      <c r="A363" s="8"/>
      <c r="B363" s="36" t="str">
        <f>IF(A363&lt;&gt;"",SUMIFS('การทำธุรกรรม'!E:E,'การทำธุรกรรม'!F:F,A363,'การทำธุรกรรม'!B:B,"รายรับ"),)</f>
        <v/>
      </c>
      <c r="C363" s="36" t="str">
        <f>IF(A363&lt;&gt;"",SUMIFS('การทำธุรกรรม'!E:E,'การทำธุรกรรม'!F:F,A363,'การทำธุรกรรม'!B:B,"รายจ่าย"),)</f>
        <v/>
      </c>
      <c r="D363" s="36" t="str">
        <f t="shared" si="1"/>
        <v/>
      </c>
    </row>
    <row r="364">
      <c r="A364" s="8"/>
      <c r="B364" s="36" t="str">
        <f>IF(A364&lt;&gt;"",SUMIFS('การทำธุรกรรม'!E:E,'การทำธุรกรรม'!F:F,A364,'การทำธุรกรรม'!B:B,"รายรับ"),)</f>
        <v/>
      </c>
      <c r="C364" s="36" t="str">
        <f>IF(A364&lt;&gt;"",SUMIFS('การทำธุรกรรม'!E:E,'การทำธุรกรรม'!F:F,A364,'การทำธุรกรรม'!B:B,"รายจ่าย"),)</f>
        <v/>
      </c>
      <c r="D364" s="36" t="str">
        <f t="shared" si="1"/>
        <v/>
      </c>
    </row>
    <row r="365">
      <c r="A365" s="8"/>
      <c r="B365" s="36" t="str">
        <f>IF(A365&lt;&gt;"",SUMIFS('การทำธุรกรรม'!E:E,'การทำธุรกรรม'!F:F,A365,'การทำธุรกรรม'!B:B,"รายรับ"),)</f>
        <v/>
      </c>
      <c r="C365" s="36" t="str">
        <f>IF(A365&lt;&gt;"",SUMIFS('การทำธุรกรรม'!E:E,'การทำธุรกรรม'!F:F,A365,'การทำธุรกรรม'!B:B,"รายจ่าย"),)</f>
        <v/>
      </c>
      <c r="D365" s="36" t="str">
        <f t="shared" si="1"/>
        <v/>
      </c>
    </row>
    <row r="366">
      <c r="A366" s="8"/>
      <c r="B366" s="36" t="str">
        <f>IF(A366&lt;&gt;"",SUMIFS('การทำธุรกรรม'!E:E,'การทำธุรกรรม'!F:F,A366,'การทำธุรกรรม'!B:B,"รายรับ"),)</f>
        <v/>
      </c>
      <c r="C366" s="36" t="str">
        <f>IF(A366&lt;&gt;"",SUMIFS('การทำธุรกรรม'!E:E,'การทำธุรกรรม'!F:F,A366,'การทำธุรกรรม'!B:B,"รายจ่าย"),)</f>
        <v/>
      </c>
      <c r="D366" s="36" t="str">
        <f t="shared" si="1"/>
        <v/>
      </c>
    </row>
    <row r="367">
      <c r="A367" s="8"/>
      <c r="B367" s="36" t="str">
        <f>IF(A367&lt;&gt;"",SUMIFS('การทำธุรกรรม'!E:E,'การทำธุรกรรม'!F:F,A367,'การทำธุรกรรม'!B:B,"รายรับ"),)</f>
        <v/>
      </c>
      <c r="C367" s="36" t="str">
        <f>IF(A367&lt;&gt;"",SUMIFS('การทำธุรกรรม'!E:E,'การทำธุรกรรม'!F:F,A367,'การทำธุรกรรม'!B:B,"รายจ่าย"),)</f>
        <v/>
      </c>
      <c r="D367" s="36" t="str">
        <f t="shared" si="1"/>
        <v/>
      </c>
    </row>
    <row r="368">
      <c r="A368" s="8"/>
      <c r="B368" s="36" t="str">
        <f>IF(A368&lt;&gt;"",SUMIFS('การทำธุรกรรม'!E:E,'การทำธุรกรรม'!F:F,A368,'การทำธุรกรรม'!B:B,"รายรับ"),)</f>
        <v/>
      </c>
      <c r="C368" s="36" t="str">
        <f>IF(A368&lt;&gt;"",SUMIFS('การทำธุรกรรม'!E:E,'การทำธุรกรรม'!F:F,A368,'การทำธุรกรรม'!B:B,"รายจ่าย"),)</f>
        <v/>
      </c>
      <c r="D368" s="36" t="str">
        <f t="shared" si="1"/>
        <v/>
      </c>
    </row>
    <row r="369">
      <c r="A369" s="8"/>
      <c r="B369" s="36" t="str">
        <f>IF(A369&lt;&gt;"",SUMIFS('การทำธุรกรรม'!E:E,'การทำธุรกรรม'!F:F,A369,'การทำธุรกรรม'!B:B,"รายรับ"),)</f>
        <v/>
      </c>
      <c r="C369" s="36" t="str">
        <f>IF(A369&lt;&gt;"",SUMIFS('การทำธุรกรรม'!E:E,'การทำธุรกรรม'!F:F,A369,'การทำธุรกรรม'!B:B,"รายจ่าย"),)</f>
        <v/>
      </c>
      <c r="D369" s="36" t="str">
        <f t="shared" si="1"/>
        <v/>
      </c>
    </row>
    <row r="370">
      <c r="A370" s="8"/>
      <c r="B370" s="36" t="str">
        <f>IF(A370&lt;&gt;"",SUMIFS('การทำธุรกรรม'!E:E,'การทำธุรกรรม'!F:F,A370,'การทำธุรกรรม'!B:B,"รายรับ"),)</f>
        <v/>
      </c>
      <c r="C370" s="36" t="str">
        <f>IF(A370&lt;&gt;"",SUMIFS('การทำธุรกรรม'!E:E,'การทำธุรกรรม'!F:F,A370,'การทำธุรกรรม'!B:B,"รายจ่าย"),)</f>
        <v/>
      </c>
      <c r="D370" s="36" t="str">
        <f t="shared" si="1"/>
        <v/>
      </c>
    </row>
    <row r="371">
      <c r="A371" s="8"/>
      <c r="B371" s="36" t="str">
        <f>IF(A371&lt;&gt;"",SUMIFS('การทำธุรกรรม'!E:E,'การทำธุรกรรม'!F:F,A371,'การทำธุรกรรม'!B:B,"รายรับ"),)</f>
        <v/>
      </c>
      <c r="C371" s="36" t="str">
        <f>IF(A371&lt;&gt;"",SUMIFS('การทำธุรกรรม'!E:E,'การทำธุรกรรม'!F:F,A371,'การทำธุรกรรม'!B:B,"รายจ่าย"),)</f>
        <v/>
      </c>
      <c r="D371" s="36" t="str">
        <f t="shared" si="1"/>
        <v/>
      </c>
    </row>
    <row r="372">
      <c r="A372" s="8"/>
      <c r="B372" s="36" t="str">
        <f>IF(A372&lt;&gt;"",SUMIFS('การทำธุรกรรม'!E:E,'การทำธุรกรรม'!F:F,A372,'การทำธุรกรรม'!B:B,"รายรับ"),)</f>
        <v/>
      </c>
      <c r="C372" s="36" t="str">
        <f>IF(A372&lt;&gt;"",SUMIFS('การทำธุรกรรม'!E:E,'การทำธุรกรรม'!F:F,A372,'การทำธุรกรรม'!B:B,"รายจ่าย"),)</f>
        <v/>
      </c>
      <c r="D372" s="36" t="str">
        <f t="shared" si="1"/>
        <v/>
      </c>
    </row>
    <row r="373">
      <c r="A373" s="8"/>
      <c r="B373" s="36" t="str">
        <f>IF(A373&lt;&gt;"",SUMIFS('การทำธุรกรรม'!E:E,'การทำธุรกรรม'!F:F,A373,'การทำธุรกรรม'!B:B,"รายรับ"),)</f>
        <v/>
      </c>
      <c r="C373" s="36" t="str">
        <f>IF(A373&lt;&gt;"",SUMIFS('การทำธุรกรรม'!E:E,'การทำธุรกรรม'!F:F,A373,'การทำธุรกรรม'!B:B,"รายจ่าย"),)</f>
        <v/>
      </c>
      <c r="D373" s="36" t="str">
        <f t="shared" si="1"/>
        <v/>
      </c>
    </row>
    <row r="374">
      <c r="A374" s="8"/>
      <c r="B374" s="36" t="str">
        <f>IF(A374&lt;&gt;"",SUMIFS('การทำธุรกรรม'!E:E,'การทำธุรกรรม'!F:F,A374,'การทำธุรกรรม'!B:B,"รายรับ"),)</f>
        <v/>
      </c>
      <c r="C374" s="36" t="str">
        <f>IF(A374&lt;&gt;"",SUMIFS('การทำธุรกรรม'!E:E,'การทำธุรกรรม'!F:F,A374,'การทำธุรกรรม'!B:B,"รายจ่าย"),)</f>
        <v/>
      </c>
      <c r="D374" s="36" t="str">
        <f t="shared" si="1"/>
        <v/>
      </c>
    </row>
    <row r="375">
      <c r="A375" s="8"/>
      <c r="B375" s="36" t="str">
        <f>IF(A375&lt;&gt;"",SUMIFS('การทำธุรกรรม'!E:E,'การทำธุรกรรม'!F:F,A375,'การทำธุรกรรม'!B:B,"รายรับ"),)</f>
        <v/>
      </c>
      <c r="C375" s="36" t="str">
        <f>IF(A375&lt;&gt;"",SUMIFS('การทำธุรกรรม'!E:E,'การทำธุรกรรม'!F:F,A375,'การทำธุรกรรม'!B:B,"รายจ่าย"),)</f>
        <v/>
      </c>
      <c r="D375" s="36" t="str">
        <f t="shared" si="1"/>
        <v/>
      </c>
    </row>
    <row r="376">
      <c r="A376" s="8"/>
      <c r="B376" s="36" t="str">
        <f>IF(A376&lt;&gt;"",SUMIFS('การทำธุรกรรม'!E:E,'การทำธุรกรรม'!F:F,A376,'การทำธุรกรรม'!B:B,"รายรับ"),)</f>
        <v/>
      </c>
      <c r="C376" s="36" t="str">
        <f>IF(A376&lt;&gt;"",SUMIFS('การทำธุรกรรม'!E:E,'การทำธุรกรรม'!F:F,A376,'การทำธุรกรรม'!B:B,"รายจ่าย"),)</f>
        <v/>
      </c>
      <c r="D376" s="36" t="str">
        <f t="shared" si="1"/>
        <v/>
      </c>
    </row>
    <row r="377">
      <c r="A377" s="8"/>
      <c r="B377" s="36" t="str">
        <f>IF(A377&lt;&gt;"",SUMIFS('การทำธุรกรรม'!E:E,'การทำธุรกรรม'!F:F,A377,'การทำธุรกรรม'!B:B,"รายรับ"),)</f>
        <v/>
      </c>
      <c r="C377" s="36" t="str">
        <f>IF(A377&lt;&gt;"",SUMIFS('การทำธุรกรรม'!E:E,'การทำธุรกรรม'!F:F,A377,'การทำธุรกรรม'!B:B,"รายจ่าย"),)</f>
        <v/>
      </c>
      <c r="D377" s="36" t="str">
        <f t="shared" si="1"/>
        <v/>
      </c>
    </row>
    <row r="378">
      <c r="A378" s="8"/>
      <c r="B378" s="36" t="str">
        <f>IF(A378&lt;&gt;"",SUMIFS('การทำธุรกรรม'!E:E,'การทำธุรกรรม'!F:F,A378,'การทำธุรกรรม'!B:B,"รายรับ"),)</f>
        <v/>
      </c>
      <c r="C378" s="36" t="str">
        <f>IF(A378&lt;&gt;"",SUMIFS('การทำธุรกรรม'!E:E,'การทำธุรกรรม'!F:F,A378,'การทำธุรกรรม'!B:B,"รายจ่าย"),)</f>
        <v/>
      </c>
      <c r="D378" s="36" t="str">
        <f t="shared" si="1"/>
        <v/>
      </c>
    </row>
    <row r="379">
      <c r="A379" s="8"/>
      <c r="B379" s="36" t="str">
        <f>IF(A379&lt;&gt;"",SUMIFS('การทำธุรกรรม'!E:E,'การทำธุรกรรม'!F:F,A379,'การทำธุรกรรม'!B:B,"รายรับ"),)</f>
        <v/>
      </c>
      <c r="C379" s="36" t="str">
        <f>IF(A379&lt;&gt;"",SUMIFS('การทำธุรกรรม'!E:E,'การทำธุรกรรม'!F:F,A379,'การทำธุรกรรม'!B:B,"รายจ่าย"),)</f>
        <v/>
      </c>
      <c r="D379" s="36" t="str">
        <f t="shared" si="1"/>
        <v/>
      </c>
    </row>
    <row r="380">
      <c r="A380" s="8"/>
      <c r="B380" s="36" t="str">
        <f>IF(A380&lt;&gt;"",SUMIFS('การทำธุรกรรม'!E:E,'การทำธุรกรรม'!F:F,A380,'การทำธุรกรรม'!B:B,"รายรับ"),)</f>
        <v/>
      </c>
      <c r="C380" s="36" t="str">
        <f>IF(A380&lt;&gt;"",SUMIFS('การทำธุรกรรม'!E:E,'การทำธุรกรรม'!F:F,A380,'การทำธุรกรรม'!B:B,"รายจ่าย"),)</f>
        <v/>
      </c>
      <c r="D380" s="36" t="str">
        <f t="shared" si="1"/>
        <v/>
      </c>
    </row>
    <row r="381">
      <c r="A381" s="8"/>
      <c r="B381" s="36" t="str">
        <f>IF(A381&lt;&gt;"",SUMIFS('การทำธุรกรรม'!E:E,'การทำธุรกรรม'!F:F,A381,'การทำธุรกรรม'!B:B,"รายรับ"),)</f>
        <v/>
      </c>
      <c r="C381" s="36" t="str">
        <f>IF(A381&lt;&gt;"",SUMIFS('การทำธุรกรรม'!E:E,'การทำธุรกรรม'!F:F,A381,'การทำธุรกรรม'!B:B,"รายจ่าย"),)</f>
        <v/>
      </c>
      <c r="D381" s="36" t="str">
        <f t="shared" si="1"/>
        <v/>
      </c>
    </row>
    <row r="382">
      <c r="A382" s="8"/>
      <c r="B382" s="36" t="str">
        <f>IF(A382&lt;&gt;"",SUMIFS('การทำธุรกรรม'!E:E,'การทำธุรกรรม'!F:F,A382,'การทำธุรกรรม'!B:B,"รายรับ"),)</f>
        <v/>
      </c>
      <c r="C382" s="36" t="str">
        <f>IF(A382&lt;&gt;"",SUMIFS('การทำธุรกรรม'!E:E,'การทำธุรกรรม'!F:F,A382,'การทำธุรกรรม'!B:B,"รายจ่าย"),)</f>
        <v/>
      </c>
      <c r="D382" s="36" t="str">
        <f t="shared" si="1"/>
        <v/>
      </c>
    </row>
    <row r="383">
      <c r="A383" s="8"/>
      <c r="B383" s="36" t="str">
        <f>IF(A383&lt;&gt;"",SUMIFS('การทำธุรกรรม'!E:E,'การทำธุรกรรม'!F:F,A383,'การทำธุรกรรม'!B:B,"รายรับ"),)</f>
        <v/>
      </c>
      <c r="C383" s="36" t="str">
        <f>IF(A383&lt;&gt;"",SUMIFS('การทำธุรกรรม'!E:E,'การทำธุรกรรม'!F:F,A383,'การทำธุรกรรม'!B:B,"รายจ่าย"),)</f>
        <v/>
      </c>
      <c r="D383" s="36" t="str">
        <f t="shared" si="1"/>
        <v/>
      </c>
    </row>
    <row r="384">
      <c r="A384" s="8"/>
      <c r="B384" s="36" t="str">
        <f>IF(A384&lt;&gt;"",SUMIFS('การทำธุรกรรม'!E:E,'การทำธุรกรรม'!F:F,A384,'การทำธุรกรรม'!B:B,"รายรับ"),)</f>
        <v/>
      </c>
      <c r="C384" s="36" t="str">
        <f>IF(A384&lt;&gt;"",SUMIFS('การทำธุรกรรม'!E:E,'การทำธุรกรรม'!F:F,A384,'การทำธุรกรรม'!B:B,"รายจ่าย"),)</f>
        <v/>
      </c>
      <c r="D384" s="36" t="str">
        <f t="shared" si="1"/>
        <v/>
      </c>
    </row>
    <row r="385">
      <c r="A385" s="8"/>
      <c r="B385" s="36" t="str">
        <f>IF(A385&lt;&gt;"",SUMIFS('การทำธุรกรรม'!E:E,'การทำธุรกรรม'!F:F,A385,'การทำธุรกรรม'!B:B,"รายรับ"),)</f>
        <v/>
      </c>
      <c r="C385" s="36" t="str">
        <f>IF(A385&lt;&gt;"",SUMIFS('การทำธุรกรรม'!E:E,'การทำธุรกรรม'!F:F,A385,'การทำธุรกรรม'!B:B,"รายจ่าย"),)</f>
        <v/>
      </c>
      <c r="D385" s="36" t="str">
        <f t="shared" si="1"/>
        <v/>
      </c>
    </row>
    <row r="386">
      <c r="A386" s="8"/>
      <c r="B386" s="36" t="str">
        <f>IF(A386&lt;&gt;"",SUMIFS('การทำธุรกรรม'!E:E,'การทำธุรกรรม'!F:F,A386,'การทำธุรกรรม'!B:B,"รายรับ"),)</f>
        <v/>
      </c>
      <c r="C386" s="36" t="str">
        <f>IF(A386&lt;&gt;"",SUMIFS('การทำธุรกรรม'!E:E,'การทำธุรกรรม'!F:F,A386,'การทำธุรกรรม'!B:B,"รายจ่าย"),)</f>
        <v/>
      </c>
      <c r="D386" s="36" t="str">
        <f t="shared" si="1"/>
        <v/>
      </c>
    </row>
    <row r="387">
      <c r="A387" s="8"/>
      <c r="B387" s="36" t="str">
        <f>IF(A387&lt;&gt;"",SUMIFS('การทำธุรกรรม'!E:E,'การทำธุรกรรม'!F:F,A387,'การทำธุรกรรม'!B:B,"รายรับ"),)</f>
        <v/>
      </c>
      <c r="C387" s="36" t="str">
        <f>IF(A387&lt;&gt;"",SUMIFS('การทำธุรกรรม'!E:E,'การทำธุรกรรม'!F:F,A387,'การทำธุรกรรม'!B:B,"รายจ่าย"),)</f>
        <v/>
      </c>
      <c r="D387" s="36" t="str">
        <f t="shared" si="1"/>
        <v/>
      </c>
    </row>
    <row r="388">
      <c r="A388" s="8"/>
      <c r="B388" s="36" t="str">
        <f>IF(A388&lt;&gt;"",SUMIFS('การทำธุรกรรม'!E:E,'การทำธุรกรรม'!F:F,A388,'การทำธุรกรรม'!B:B,"รายรับ"),)</f>
        <v/>
      </c>
      <c r="C388" s="36" t="str">
        <f>IF(A388&lt;&gt;"",SUMIFS('การทำธุรกรรม'!E:E,'การทำธุรกรรม'!F:F,A388,'การทำธุรกรรม'!B:B,"รายจ่าย"),)</f>
        <v/>
      </c>
      <c r="D388" s="36" t="str">
        <f t="shared" si="1"/>
        <v/>
      </c>
    </row>
    <row r="389">
      <c r="A389" s="8"/>
      <c r="B389" s="36" t="str">
        <f>IF(A389&lt;&gt;"",SUMIFS('การทำธุรกรรม'!E:E,'การทำธุรกรรม'!F:F,A389,'การทำธุรกรรม'!B:B,"รายรับ"),)</f>
        <v/>
      </c>
      <c r="C389" s="36" t="str">
        <f>IF(A389&lt;&gt;"",SUMIFS('การทำธุรกรรม'!E:E,'การทำธุรกรรม'!F:F,A389,'การทำธุรกรรม'!B:B,"รายจ่าย"),)</f>
        <v/>
      </c>
      <c r="D389" s="36" t="str">
        <f t="shared" si="1"/>
        <v/>
      </c>
    </row>
    <row r="390">
      <c r="A390" s="8"/>
      <c r="B390" s="36" t="str">
        <f>IF(A390&lt;&gt;"",SUMIFS('การทำธุรกรรม'!E:E,'การทำธุรกรรม'!F:F,A390,'การทำธุรกรรม'!B:B,"รายรับ"),)</f>
        <v/>
      </c>
      <c r="C390" s="36" t="str">
        <f>IF(A390&lt;&gt;"",SUMIFS('การทำธุรกรรม'!E:E,'การทำธุรกรรม'!F:F,A390,'การทำธุรกรรม'!B:B,"รายจ่าย"),)</f>
        <v/>
      </c>
      <c r="D390" s="36" t="str">
        <f t="shared" si="1"/>
        <v/>
      </c>
    </row>
    <row r="391">
      <c r="A391" s="8"/>
      <c r="B391" s="36" t="str">
        <f>IF(A391&lt;&gt;"",SUMIFS('การทำธุรกรรม'!E:E,'การทำธุรกรรม'!F:F,A391,'การทำธุรกรรม'!B:B,"รายรับ"),)</f>
        <v/>
      </c>
      <c r="C391" s="36" t="str">
        <f>IF(A391&lt;&gt;"",SUMIFS('การทำธุรกรรม'!E:E,'การทำธุรกรรม'!F:F,A391,'การทำธุรกรรม'!B:B,"รายจ่าย"),)</f>
        <v/>
      </c>
      <c r="D391" s="36" t="str">
        <f t="shared" si="1"/>
        <v/>
      </c>
    </row>
    <row r="392">
      <c r="A392" s="8"/>
      <c r="B392" s="36" t="str">
        <f>IF(A392&lt;&gt;"",SUMIFS('การทำธุรกรรม'!E:E,'การทำธุรกรรม'!F:F,A392,'การทำธุรกรรม'!B:B,"รายรับ"),)</f>
        <v/>
      </c>
      <c r="C392" s="36" t="str">
        <f>IF(A392&lt;&gt;"",SUMIFS('การทำธุรกรรม'!E:E,'การทำธุรกรรม'!F:F,A392,'การทำธุรกรรม'!B:B,"รายจ่าย"),)</f>
        <v/>
      </c>
      <c r="D392" s="36" t="str">
        <f t="shared" si="1"/>
        <v/>
      </c>
    </row>
    <row r="393">
      <c r="A393" s="8"/>
      <c r="B393" s="36" t="str">
        <f>IF(A393&lt;&gt;"",SUMIFS('การทำธุรกรรม'!E:E,'การทำธุรกรรม'!F:F,A393,'การทำธุรกรรม'!B:B,"รายรับ"),)</f>
        <v/>
      </c>
      <c r="C393" s="36" t="str">
        <f>IF(A393&lt;&gt;"",SUMIFS('การทำธุรกรรม'!E:E,'การทำธุรกรรม'!F:F,A393,'การทำธุรกรรม'!B:B,"รายจ่าย"),)</f>
        <v/>
      </c>
      <c r="D393" s="36" t="str">
        <f t="shared" si="1"/>
        <v/>
      </c>
    </row>
    <row r="394">
      <c r="A394" s="8"/>
      <c r="B394" s="36" t="str">
        <f>IF(A394&lt;&gt;"",SUMIFS('การทำธุรกรรม'!E:E,'การทำธุรกรรม'!F:F,A394,'การทำธุรกรรม'!B:B,"รายรับ"),)</f>
        <v/>
      </c>
      <c r="C394" s="36" t="str">
        <f>IF(A394&lt;&gt;"",SUMIFS('การทำธุรกรรม'!E:E,'การทำธุรกรรม'!F:F,A394,'การทำธุรกรรม'!B:B,"รายจ่าย"),)</f>
        <v/>
      </c>
      <c r="D394" s="36" t="str">
        <f t="shared" si="1"/>
        <v/>
      </c>
    </row>
    <row r="395">
      <c r="A395" s="8"/>
      <c r="B395" s="36" t="str">
        <f>IF(A395&lt;&gt;"",SUMIFS('การทำธุรกรรม'!E:E,'การทำธุรกรรม'!F:F,A395,'การทำธุรกรรม'!B:B,"รายรับ"),)</f>
        <v/>
      </c>
      <c r="C395" s="36" t="str">
        <f>IF(A395&lt;&gt;"",SUMIFS('การทำธุรกรรม'!E:E,'การทำธุรกรรม'!F:F,A395,'การทำธุรกรรม'!B:B,"รายจ่าย"),)</f>
        <v/>
      </c>
      <c r="D395" s="36" t="str">
        <f t="shared" si="1"/>
        <v/>
      </c>
    </row>
    <row r="396">
      <c r="A396" s="8"/>
      <c r="B396" s="36" t="str">
        <f>IF(A396&lt;&gt;"",SUMIFS('การทำธุรกรรม'!E:E,'การทำธุรกรรม'!F:F,A396,'การทำธุรกรรม'!B:B,"รายรับ"),)</f>
        <v/>
      </c>
      <c r="C396" s="36" t="str">
        <f>IF(A396&lt;&gt;"",SUMIFS('การทำธุรกรรม'!E:E,'การทำธุรกรรม'!F:F,A396,'การทำธุรกรรม'!B:B,"รายจ่าย"),)</f>
        <v/>
      </c>
      <c r="D396" s="36" t="str">
        <f t="shared" si="1"/>
        <v/>
      </c>
    </row>
    <row r="397">
      <c r="A397" s="8"/>
      <c r="B397" s="36" t="str">
        <f>IF(A397&lt;&gt;"",SUMIFS('การทำธุรกรรม'!E:E,'การทำธุรกรรม'!F:F,A397,'การทำธุรกรรม'!B:B,"รายรับ"),)</f>
        <v/>
      </c>
      <c r="C397" s="36" t="str">
        <f>IF(A397&lt;&gt;"",SUMIFS('การทำธุรกรรม'!E:E,'การทำธุรกรรม'!F:F,A397,'การทำธุรกรรม'!B:B,"รายจ่าย"),)</f>
        <v/>
      </c>
      <c r="D397" s="36" t="str">
        <f t="shared" si="1"/>
        <v/>
      </c>
    </row>
    <row r="398">
      <c r="A398" s="8"/>
      <c r="B398" s="36" t="str">
        <f>IF(A398&lt;&gt;"",SUMIFS('การทำธุรกรรม'!E:E,'การทำธุรกรรม'!F:F,A398,'การทำธุรกรรม'!B:B,"รายรับ"),)</f>
        <v/>
      </c>
      <c r="C398" s="36" t="str">
        <f>IF(A398&lt;&gt;"",SUMIFS('การทำธุรกรรม'!E:E,'การทำธุรกรรม'!F:F,A398,'การทำธุรกรรม'!B:B,"รายจ่าย"),)</f>
        <v/>
      </c>
      <c r="D398" s="36" t="str">
        <f t="shared" si="1"/>
        <v/>
      </c>
    </row>
    <row r="399">
      <c r="A399" s="8"/>
      <c r="B399" s="36" t="str">
        <f>IF(A399&lt;&gt;"",SUMIFS('การทำธุรกรรม'!E:E,'การทำธุรกรรม'!F:F,A399,'การทำธุรกรรม'!B:B,"รายรับ"),)</f>
        <v/>
      </c>
      <c r="C399" s="36" t="str">
        <f>IF(A399&lt;&gt;"",SUMIFS('การทำธุรกรรม'!E:E,'การทำธุรกรรม'!F:F,A399,'การทำธุรกรรม'!B:B,"รายจ่าย"),)</f>
        <v/>
      </c>
      <c r="D399" s="36" t="str">
        <f t="shared" si="1"/>
        <v/>
      </c>
    </row>
    <row r="400">
      <c r="A400" s="8"/>
      <c r="B400" s="36" t="str">
        <f>IF(A400&lt;&gt;"",SUMIFS('การทำธุรกรรม'!E:E,'การทำธุรกรรม'!F:F,A400,'การทำธุรกรรม'!B:B,"รายรับ"),)</f>
        <v/>
      </c>
      <c r="C400" s="36" t="str">
        <f>IF(A400&lt;&gt;"",SUMIFS('การทำธุรกรรม'!E:E,'การทำธุรกรรม'!F:F,A400,'การทำธุรกรรม'!B:B,"รายจ่าย"),)</f>
        <v/>
      </c>
      <c r="D400" s="36" t="str">
        <f t="shared" si="1"/>
        <v/>
      </c>
    </row>
    <row r="401">
      <c r="A401" s="8"/>
      <c r="B401" s="36" t="str">
        <f>IF(A401&lt;&gt;"",SUMIFS('การทำธุรกรรม'!E:E,'การทำธุรกรรม'!F:F,A401,'การทำธุรกรรม'!B:B,"รายรับ"),)</f>
        <v/>
      </c>
      <c r="C401" s="36" t="str">
        <f>IF(A401&lt;&gt;"",SUMIFS('การทำธุรกรรม'!E:E,'การทำธุรกรรม'!F:F,A401,'การทำธุรกรรม'!B:B,"รายจ่าย"),)</f>
        <v/>
      </c>
      <c r="D401" s="36" t="str">
        <f t="shared" si="1"/>
        <v/>
      </c>
    </row>
    <row r="402">
      <c r="A402" s="8"/>
      <c r="B402" s="36" t="str">
        <f>IF(A402&lt;&gt;"",SUMIFS('การทำธุรกรรม'!E:E,'การทำธุรกรรม'!F:F,A402,'การทำธุรกรรม'!B:B,"รายรับ"),)</f>
        <v/>
      </c>
      <c r="C402" s="36" t="str">
        <f>IF(A402&lt;&gt;"",SUMIFS('การทำธุรกรรม'!E:E,'การทำธุรกรรม'!F:F,A402,'การทำธุรกรรม'!B:B,"รายจ่าย"),)</f>
        <v/>
      </c>
      <c r="D402" s="36" t="str">
        <f t="shared" si="1"/>
        <v/>
      </c>
    </row>
    <row r="403">
      <c r="A403" s="8"/>
      <c r="B403" s="36" t="str">
        <f>IF(A403&lt;&gt;"",SUMIFS('การทำธุรกรรม'!E:E,'การทำธุรกรรม'!F:F,A403,'การทำธุรกรรม'!B:B,"รายรับ"),)</f>
        <v/>
      </c>
      <c r="C403" s="36" t="str">
        <f>IF(A403&lt;&gt;"",SUMIFS('การทำธุรกรรม'!E:E,'การทำธุรกรรม'!F:F,A403,'การทำธุรกรรม'!B:B,"รายจ่าย"),)</f>
        <v/>
      </c>
      <c r="D403" s="36" t="str">
        <f t="shared" si="1"/>
        <v/>
      </c>
    </row>
    <row r="404">
      <c r="A404" s="8"/>
      <c r="B404" s="36" t="str">
        <f>IF(A404&lt;&gt;"",SUMIFS('การทำธุรกรรม'!E:E,'การทำธุรกรรม'!F:F,A404,'การทำธุรกรรม'!B:B,"รายรับ"),)</f>
        <v/>
      </c>
      <c r="C404" s="36" t="str">
        <f>IF(A404&lt;&gt;"",SUMIFS('การทำธุรกรรม'!E:E,'การทำธุรกรรม'!F:F,A404,'การทำธุรกรรม'!B:B,"รายจ่าย"),)</f>
        <v/>
      </c>
      <c r="D404" s="36" t="str">
        <f t="shared" si="1"/>
        <v/>
      </c>
    </row>
    <row r="405">
      <c r="A405" s="8"/>
      <c r="B405" s="36" t="str">
        <f>IF(A405&lt;&gt;"",SUMIFS('การทำธุรกรรม'!E:E,'การทำธุรกรรม'!F:F,A405,'การทำธุรกรรม'!B:B,"รายรับ"),)</f>
        <v/>
      </c>
      <c r="C405" s="36" t="str">
        <f>IF(A405&lt;&gt;"",SUMIFS('การทำธุรกรรม'!E:E,'การทำธุรกรรม'!F:F,A405,'การทำธุรกรรม'!B:B,"รายจ่าย"),)</f>
        <v/>
      </c>
      <c r="D405" s="36" t="str">
        <f t="shared" si="1"/>
        <v/>
      </c>
    </row>
    <row r="406">
      <c r="A406" s="8"/>
      <c r="B406" s="36" t="str">
        <f>IF(A406&lt;&gt;"",SUMIFS('การทำธุรกรรม'!E:E,'การทำธุรกรรม'!F:F,A406,'การทำธุรกรรม'!B:B,"รายรับ"),)</f>
        <v/>
      </c>
      <c r="C406" s="36" t="str">
        <f>IF(A406&lt;&gt;"",SUMIFS('การทำธุรกรรม'!E:E,'การทำธุรกรรม'!F:F,A406,'การทำธุรกรรม'!B:B,"รายจ่าย"),)</f>
        <v/>
      </c>
      <c r="D406" s="36" t="str">
        <f t="shared" si="1"/>
        <v/>
      </c>
    </row>
    <row r="407">
      <c r="A407" s="8"/>
      <c r="B407" s="36" t="str">
        <f>IF(A407&lt;&gt;"",SUMIFS('การทำธุรกรรม'!E:E,'การทำธุรกรรม'!F:F,A407,'การทำธุรกรรม'!B:B,"รายรับ"),)</f>
        <v/>
      </c>
      <c r="C407" s="36" t="str">
        <f>IF(A407&lt;&gt;"",SUMIFS('การทำธุรกรรม'!E:E,'การทำธุรกรรม'!F:F,A407,'การทำธุรกรรม'!B:B,"รายจ่าย"),)</f>
        <v/>
      </c>
      <c r="D407" s="36" t="str">
        <f t="shared" si="1"/>
        <v/>
      </c>
    </row>
    <row r="408">
      <c r="A408" s="8"/>
      <c r="B408" s="36" t="str">
        <f>IF(A408&lt;&gt;"",SUMIFS('การทำธุรกรรม'!E:E,'การทำธุรกรรม'!F:F,A408,'การทำธุรกรรม'!B:B,"รายรับ"),)</f>
        <v/>
      </c>
      <c r="C408" s="36" t="str">
        <f>IF(A408&lt;&gt;"",SUMIFS('การทำธุรกรรม'!E:E,'การทำธุรกรรม'!F:F,A408,'การทำธุรกรรม'!B:B,"รายจ่าย"),)</f>
        <v/>
      </c>
      <c r="D408" s="36" t="str">
        <f t="shared" si="1"/>
        <v/>
      </c>
    </row>
    <row r="409">
      <c r="A409" s="8"/>
      <c r="B409" s="36" t="str">
        <f>IF(A409&lt;&gt;"",SUMIFS('การทำธุรกรรม'!E:E,'การทำธุรกรรม'!F:F,A409,'การทำธุรกรรม'!B:B,"รายรับ"),)</f>
        <v/>
      </c>
      <c r="C409" s="36" t="str">
        <f>IF(A409&lt;&gt;"",SUMIFS('การทำธุรกรรม'!E:E,'การทำธุรกรรม'!F:F,A409,'การทำธุรกรรม'!B:B,"รายจ่าย"),)</f>
        <v/>
      </c>
      <c r="D409" s="36" t="str">
        <f t="shared" si="1"/>
        <v/>
      </c>
    </row>
    <row r="410">
      <c r="A410" s="8"/>
      <c r="B410" s="36" t="str">
        <f>IF(A410&lt;&gt;"",SUMIFS('การทำธุรกรรม'!E:E,'การทำธุรกรรม'!F:F,A410,'การทำธุรกรรม'!B:B,"รายรับ"),)</f>
        <v/>
      </c>
      <c r="C410" s="36" t="str">
        <f>IF(A410&lt;&gt;"",SUMIFS('การทำธุรกรรม'!E:E,'การทำธุรกรรม'!F:F,A410,'การทำธุรกรรม'!B:B,"รายจ่าย"),)</f>
        <v/>
      </c>
      <c r="D410" s="36" t="str">
        <f t="shared" si="1"/>
        <v/>
      </c>
    </row>
    <row r="411">
      <c r="A411" s="8"/>
      <c r="B411" s="36" t="str">
        <f>IF(A411&lt;&gt;"",SUMIFS('การทำธุรกรรม'!E:E,'การทำธุรกรรม'!F:F,A411,'การทำธุรกรรม'!B:B,"รายรับ"),)</f>
        <v/>
      </c>
      <c r="C411" s="36" t="str">
        <f>IF(A411&lt;&gt;"",SUMIFS('การทำธุรกรรม'!E:E,'การทำธุรกรรม'!F:F,A411,'การทำธุรกรรม'!B:B,"รายจ่าย"),)</f>
        <v/>
      </c>
      <c r="D411" s="36" t="str">
        <f t="shared" si="1"/>
        <v/>
      </c>
    </row>
    <row r="412">
      <c r="A412" s="8"/>
      <c r="B412" s="36" t="str">
        <f>IF(A412&lt;&gt;"",SUMIFS('การทำธุรกรรม'!E:E,'การทำธุรกรรม'!F:F,A412,'การทำธุรกรรม'!B:B,"รายรับ"),)</f>
        <v/>
      </c>
      <c r="C412" s="36" t="str">
        <f>IF(A412&lt;&gt;"",SUMIFS('การทำธุรกรรม'!E:E,'การทำธุรกรรม'!F:F,A412,'การทำธุรกรรม'!B:B,"รายจ่าย"),)</f>
        <v/>
      </c>
      <c r="D412" s="36" t="str">
        <f t="shared" si="1"/>
        <v/>
      </c>
    </row>
    <row r="413">
      <c r="A413" s="8"/>
      <c r="B413" s="36" t="str">
        <f>IF(A413&lt;&gt;"",SUMIFS('การทำธุรกรรม'!E:E,'การทำธุรกรรม'!F:F,A413,'การทำธุรกรรม'!B:B,"รายรับ"),)</f>
        <v/>
      </c>
      <c r="C413" s="36" t="str">
        <f>IF(A413&lt;&gt;"",SUMIFS('การทำธุรกรรม'!E:E,'การทำธุรกรรม'!F:F,A413,'การทำธุรกรรม'!B:B,"รายจ่าย"),)</f>
        <v/>
      </c>
      <c r="D413" s="36" t="str">
        <f t="shared" si="1"/>
        <v/>
      </c>
    </row>
    <row r="414">
      <c r="A414" s="8"/>
      <c r="B414" s="36" t="str">
        <f>IF(A414&lt;&gt;"",SUMIFS('การทำธุรกรรม'!E:E,'การทำธุรกรรม'!F:F,A414,'การทำธุรกรรม'!B:B,"รายรับ"),)</f>
        <v/>
      </c>
      <c r="C414" s="36" t="str">
        <f>IF(A414&lt;&gt;"",SUMIFS('การทำธุรกรรม'!E:E,'การทำธุรกรรม'!F:F,A414,'การทำธุรกรรม'!B:B,"รายจ่าย"),)</f>
        <v/>
      </c>
      <c r="D414" s="36" t="str">
        <f t="shared" si="1"/>
        <v/>
      </c>
    </row>
    <row r="415">
      <c r="A415" s="8"/>
      <c r="B415" s="36" t="str">
        <f>IF(A415&lt;&gt;"",SUMIFS('การทำธุรกรรม'!E:E,'การทำธุรกรรม'!F:F,A415,'การทำธุรกรรม'!B:B,"รายรับ"),)</f>
        <v/>
      </c>
      <c r="C415" s="36" t="str">
        <f>IF(A415&lt;&gt;"",SUMIFS('การทำธุรกรรม'!E:E,'การทำธุรกรรม'!F:F,A415,'การทำธุรกรรม'!B:B,"รายจ่าย"),)</f>
        <v/>
      </c>
      <c r="D415" s="36" t="str">
        <f t="shared" si="1"/>
        <v/>
      </c>
    </row>
    <row r="416">
      <c r="A416" s="8"/>
      <c r="B416" s="36" t="str">
        <f>IF(A416&lt;&gt;"",SUMIFS('การทำธุรกรรม'!E:E,'การทำธุรกรรม'!F:F,A416,'การทำธุรกรรม'!B:B,"รายรับ"),)</f>
        <v/>
      </c>
      <c r="C416" s="36" t="str">
        <f>IF(A416&lt;&gt;"",SUMIFS('การทำธุรกรรม'!E:E,'การทำธุรกรรม'!F:F,A416,'การทำธุรกรรม'!B:B,"รายจ่าย"),)</f>
        <v/>
      </c>
      <c r="D416" s="36" t="str">
        <f t="shared" si="1"/>
        <v/>
      </c>
    </row>
    <row r="417">
      <c r="A417" s="8"/>
      <c r="B417" s="36" t="str">
        <f>IF(A417&lt;&gt;"",SUMIFS('การทำธุรกรรม'!E:E,'การทำธุรกรรม'!F:F,A417,'การทำธุรกรรม'!B:B,"รายรับ"),)</f>
        <v/>
      </c>
      <c r="C417" s="36" t="str">
        <f>IF(A417&lt;&gt;"",SUMIFS('การทำธุรกรรม'!E:E,'การทำธุรกรรม'!F:F,A417,'การทำธุรกรรม'!B:B,"รายจ่าย"),)</f>
        <v/>
      </c>
      <c r="D417" s="36" t="str">
        <f t="shared" si="1"/>
        <v/>
      </c>
    </row>
    <row r="418">
      <c r="A418" s="8"/>
      <c r="B418" s="36" t="str">
        <f>IF(A418&lt;&gt;"",SUMIFS('การทำธุรกรรม'!E:E,'การทำธุรกรรม'!F:F,A418,'การทำธุรกรรม'!B:B,"รายรับ"),)</f>
        <v/>
      </c>
      <c r="C418" s="36" t="str">
        <f>IF(A418&lt;&gt;"",SUMIFS('การทำธุรกรรม'!E:E,'การทำธุรกรรม'!F:F,A418,'การทำธุรกรรม'!B:B,"รายจ่าย"),)</f>
        <v/>
      </c>
      <c r="D418" s="36" t="str">
        <f t="shared" si="1"/>
        <v/>
      </c>
    </row>
    <row r="419">
      <c r="A419" s="8"/>
      <c r="B419" s="36" t="str">
        <f>IF(A419&lt;&gt;"",SUMIFS('การทำธุรกรรม'!E:E,'การทำธุรกรรม'!F:F,A419,'การทำธุรกรรม'!B:B,"รายรับ"),)</f>
        <v/>
      </c>
      <c r="C419" s="36" t="str">
        <f>IF(A419&lt;&gt;"",SUMIFS('การทำธุรกรรม'!E:E,'การทำธุรกรรม'!F:F,A419,'การทำธุรกรรม'!B:B,"รายจ่าย"),)</f>
        <v/>
      </c>
      <c r="D419" s="36" t="str">
        <f t="shared" si="1"/>
        <v/>
      </c>
    </row>
    <row r="420">
      <c r="A420" s="8"/>
      <c r="B420" s="36" t="str">
        <f>IF(A420&lt;&gt;"",SUMIFS('การทำธุรกรรม'!E:E,'การทำธุรกรรม'!F:F,A420,'การทำธุรกรรม'!B:B,"รายรับ"),)</f>
        <v/>
      </c>
      <c r="C420" s="36" t="str">
        <f>IF(A420&lt;&gt;"",SUMIFS('การทำธุรกรรม'!E:E,'การทำธุรกรรม'!F:F,A420,'การทำธุรกรรม'!B:B,"รายจ่าย"),)</f>
        <v/>
      </c>
      <c r="D420" s="36" t="str">
        <f t="shared" si="1"/>
        <v/>
      </c>
    </row>
    <row r="421">
      <c r="A421" s="8"/>
      <c r="B421" s="36" t="str">
        <f>IF(A421&lt;&gt;"",SUMIFS('การทำธุรกรรม'!E:E,'การทำธุรกรรม'!F:F,A421,'การทำธุรกรรม'!B:B,"รายรับ"),)</f>
        <v/>
      </c>
      <c r="C421" s="36" t="str">
        <f>IF(A421&lt;&gt;"",SUMIFS('การทำธุรกรรม'!E:E,'การทำธุรกรรม'!F:F,A421,'การทำธุรกรรม'!B:B,"รายจ่าย"),)</f>
        <v/>
      </c>
      <c r="D421" s="36" t="str">
        <f t="shared" si="1"/>
        <v/>
      </c>
    </row>
    <row r="422">
      <c r="A422" s="8"/>
      <c r="B422" s="36" t="str">
        <f>IF(A422&lt;&gt;"",SUMIFS('การทำธุรกรรม'!E:E,'การทำธุรกรรม'!F:F,A422,'การทำธุรกรรม'!B:B,"รายรับ"),)</f>
        <v/>
      </c>
      <c r="C422" s="36" t="str">
        <f>IF(A422&lt;&gt;"",SUMIFS('การทำธุรกรรม'!E:E,'การทำธุรกรรม'!F:F,A422,'การทำธุรกรรม'!B:B,"รายจ่าย"),)</f>
        <v/>
      </c>
      <c r="D422" s="36" t="str">
        <f t="shared" si="1"/>
        <v/>
      </c>
    </row>
    <row r="423">
      <c r="A423" s="8"/>
      <c r="B423" s="36" t="str">
        <f>IF(A423&lt;&gt;"",SUMIFS('การทำธุรกรรม'!E:E,'การทำธุรกรรม'!F:F,A423,'การทำธุรกรรม'!B:B,"รายรับ"),)</f>
        <v/>
      </c>
      <c r="C423" s="36" t="str">
        <f>IF(A423&lt;&gt;"",SUMIFS('การทำธุรกรรม'!E:E,'การทำธุรกรรม'!F:F,A423,'การทำธุรกรรม'!B:B,"รายจ่าย"),)</f>
        <v/>
      </c>
      <c r="D423" s="36" t="str">
        <f t="shared" si="1"/>
        <v/>
      </c>
    </row>
    <row r="424">
      <c r="A424" s="8"/>
      <c r="B424" s="36" t="str">
        <f>IF(A424&lt;&gt;"",SUMIFS('การทำธุรกรรม'!E:E,'การทำธุรกรรม'!F:F,A424,'การทำธุรกรรม'!B:B,"รายรับ"),)</f>
        <v/>
      </c>
      <c r="C424" s="36" t="str">
        <f>IF(A424&lt;&gt;"",SUMIFS('การทำธุรกรรม'!E:E,'การทำธุรกรรม'!F:F,A424,'การทำธุรกรรม'!B:B,"รายจ่าย"),)</f>
        <v/>
      </c>
      <c r="D424" s="36" t="str">
        <f t="shared" si="1"/>
        <v/>
      </c>
    </row>
    <row r="425">
      <c r="A425" s="8"/>
      <c r="B425" s="36" t="str">
        <f>IF(A425&lt;&gt;"",SUMIFS('การทำธุรกรรม'!E:E,'การทำธุรกรรม'!F:F,A425,'การทำธุรกรรม'!B:B,"รายรับ"),)</f>
        <v/>
      </c>
      <c r="C425" s="36" t="str">
        <f>IF(A425&lt;&gt;"",SUMIFS('การทำธุรกรรม'!E:E,'การทำธุรกรรม'!F:F,A425,'การทำธุรกรรม'!B:B,"รายจ่าย"),)</f>
        <v/>
      </c>
      <c r="D425" s="36" t="str">
        <f t="shared" si="1"/>
        <v/>
      </c>
    </row>
    <row r="426">
      <c r="A426" s="8"/>
      <c r="B426" s="36" t="str">
        <f>IF(A426&lt;&gt;"",SUMIFS('การทำธุรกรรม'!E:E,'การทำธุรกรรม'!F:F,A426,'การทำธุรกรรม'!B:B,"รายรับ"),)</f>
        <v/>
      </c>
      <c r="C426" s="36" t="str">
        <f>IF(A426&lt;&gt;"",SUMIFS('การทำธุรกรรม'!E:E,'การทำธุรกรรม'!F:F,A426,'การทำธุรกรรม'!B:B,"รายจ่าย"),)</f>
        <v/>
      </c>
      <c r="D426" s="36" t="str">
        <f t="shared" si="1"/>
        <v/>
      </c>
    </row>
    <row r="427">
      <c r="A427" s="8"/>
      <c r="B427" s="36" t="str">
        <f>IF(A427&lt;&gt;"",SUMIFS('การทำธุรกรรม'!E:E,'การทำธุรกรรม'!F:F,A427,'การทำธุรกรรม'!B:B,"รายรับ"),)</f>
        <v/>
      </c>
      <c r="C427" s="36" t="str">
        <f>IF(A427&lt;&gt;"",SUMIFS('การทำธุรกรรม'!E:E,'การทำธุรกรรม'!F:F,A427,'การทำธุรกรรม'!B:B,"รายจ่าย"),)</f>
        <v/>
      </c>
      <c r="D427" s="36" t="str">
        <f t="shared" si="1"/>
        <v/>
      </c>
    </row>
    <row r="428">
      <c r="A428" s="8"/>
      <c r="B428" s="36" t="str">
        <f>IF(A428&lt;&gt;"",SUMIFS('การทำธุรกรรม'!E:E,'การทำธุรกรรม'!F:F,A428,'การทำธุรกรรม'!B:B,"รายรับ"),)</f>
        <v/>
      </c>
      <c r="C428" s="36" t="str">
        <f>IF(A428&lt;&gt;"",SUMIFS('การทำธุรกรรม'!E:E,'การทำธุรกรรม'!F:F,A428,'การทำธุรกรรม'!B:B,"รายจ่าย"),)</f>
        <v/>
      </c>
      <c r="D428" s="36" t="str">
        <f t="shared" si="1"/>
        <v/>
      </c>
    </row>
    <row r="429">
      <c r="A429" s="8"/>
      <c r="B429" s="36" t="str">
        <f>IF(A429&lt;&gt;"",SUMIFS('การทำธุรกรรม'!E:E,'การทำธุรกรรม'!F:F,A429,'การทำธุรกรรม'!B:B,"รายรับ"),)</f>
        <v/>
      </c>
      <c r="C429" s="36" t="str">
        <f>IF(A429&lt;&gt;"",SUMIFS('การทำธุรกรรม'!E:E,'การทำธุรกรรม'!F:F,A429,'การทำธุรกรรม'!B:B,"รายจ่าย"),)</f>
        <v/>
      </c>
      <c r="D429" s="36" t="str">
        <f t="shared" si="1"/>
        <v/>
      </c>
    </row>
    <row r="430">
      <c r="A430" s="8"/>
      <c r="B430" s="36" t="str">
        <f>IF(A430&lt;&gt;"",SUMIFS('การทำธุรกรรม'!E:E,'การทำธุรกรรม'!F:F,A430,'การทำธุรกรรม'!B:B,"รายรับ"),)</f>
        <v/>
      </c>
      <c r="C430" s="36" t="str">
        <f>IF(A430&lt;&gt;"",SUMIFS('การทำธุรกรรม'!E:E,'การทำธุรกรรม'!F:F,A430,'การทำธุรกรรม'!B:B,"รายจ่าย"),)</f>
        <v/>
      </c>
      <c r="D430" s="36" t="str">
        <f t="shared" si="1"/>
        <v/>
      </c>
    </row>
    <row r="431">
      <c r="A431" s="8"/>
      <c r="B431" s="36" t="str">
        <f>IF(A431&lt;&gt;"",SUMIFS('การทำธุรกรรม'!E:E,'การทำธุรกรรม'!F:F,A431,'การทำธุรกรรม'!B:B,"รายรับ"),)</f>
        <v/>
      </c>
      <c r="C431" s="36" t="str">
        <f>IF(A431&lt;&gt;"",SUMIFS('การทำธุรกรรม'!E:E,'การทำธุรกรรม'!F:F,A431,'การทำธุรกรรม'!B:B,"รายจ่าย"),)</f>
        <v/>
      </c>
      <c r="D431" s="36" t="str">
        <f t="shared" si="1"/>
        <v/>
      </c>
    </row>
    <row r="432">
      <c r="A432" s="8"/>
      <c r="B432" s="36" t="str">
        <f>IF(A432&lt;&gt;"",SUMIFS('การทำธุรกรรม'!E:E,'การทำธุรกรรม'!F:F,A432,'การทำธุรกรรม'!B:B,"รายรับ"),)</f>
        <v/>
      </c>
      <c r="C432" s="36" t="str">
        <f>IF(A432&lt;&gt;"",SUMIFS('การทำธุรกรรม'!E:E,'การทำธุรกรรม'!F:F,A432,'การทำธุรกรรม'!B:B,"รายจ่าย"),)</f>
        <v/>
      </c>
      <c r="D432" s="36" t="str">
        <f t="shared" si="1"/>
        <v/>
      </c>
    </row>
    <row r="433">
      <c r="A433" s="8"/>
      <c r="B433" s="36" t="str">
        <f>IF(A433&lt;&gt;"",SUMIFS('การทำธุรกรรม'!E:E,'การทำธุรกรรม'!F:F,A433,'การทำธุรกรรม'!B:B,"รายรับ"),)</f>
        <v/>
      </c>
      <c r="C433" s="36" t="str">
        <f>IF(A433&lt;&gt;"",SUMIFS('การทำธุรกรรม'!E:E,'การทำธุรกรรม'!F:F,A433,'การทำธุรกรรม'!B:B,"รายจ่าย"),)</f>
        <v/>
      </c>
      <c r="D433" s="36" t="str">
        <f t="shared" si="1"/>
        <v/>
      </c>
    </row>
    <row r="434">
      <c r="A434" s="8"/>
      <c r="B434" s="36" t="str">
        <f>IF(A434&lt;&gt;"",SUMIFS('การทำธุรกรรม'!E:E,'การทำธุรกรรม'!F:F,A434,'การทำธุรกรรม'!B:B,"รายรับ"),)</f>
        <v/>
      </c>
      <c r="C434" s="36" t="str">
        <f>IF(A434&lt;&gt;"",SUMIFS('การทำธุรกรรม'!E:E,'การทำธุรกรรม'!F:F,A434,'การทำธุรกรรม'!B:B,"รายจ่าย"),)</f>
        <v/>
      </c>
      <c r="D434" s="36" t="str">
        <f t="shared" si="1"/>
        <v/>
      </c>
    </row>
    <row r="435">
      <c r="A435" s="8"/>
      <c r="B435" s="36" t="str">
        <f>IF(A435&lt;&gt;"",SUMIFS('การทำธุรกรรม'!E:E,'การทำธุรกรรม'!F:F,A435,'การทำธุรกรรม'!B:B,"รายรับ"),)</f>
        <v/>
      </c>
      <c r="C435" s="36" t="str">
        <f>IF(A435&lt;&gt;"",SUMIFS('การทำธุรกรรม'!E:E,'การทำธุรกรรม'!F:F,A435,'การทำธุรกรรม'!B:B,"รายจ่าย"),)</f>
        <v/>
      </c>
      <c r="D435" s="36" t="str">
        <f t="shared" si="1"/>
        <v/>
      </c>
    </row>
    <row r="436">
      <c r="A436" s="8"/>
      <c r="B436" s="36" t="str">
        <f>IF(A436&lt;&gt;"",SUMIFS('การทำธุรกรรม'!E:E,'การทำธุรกรรม'!F:F,A436,'การทำธุรกรรม'!B:B,"รายรับ"),)</f>
        <v/>
      </c>
      <c r="C436" s="36" t="str">
        <f>IF(A436&lt;&gt;"",SUMIFS('การทำธุรกรรม'!E:E,'การทำธุรกรรม'!F:F,A436,'การทำธุรกรรม'!B:B,"รายจ่าย"),)</f>
        <v/>
      </c>
      <c r="D436" s="36" t="str">
        <f t="shared" si="1"/>
        <v/>
      </c>
    </row>
    <row r="437">
      <c r="A437" s="8"/>
      <c r="B437" s="36" t="str">
        <f>IF(A437&lt;&gt;"",SUMIFS('การทำธุรกรรม'!E:E,'การทำธุรกรรม'!F:F,A437,'การทำธุรกรรม'!B:B,"รายรับ"),)</f>
        <v/>
      </c>
      <c r="C437" s="36" t="str">
        <f>IF(A437&lt;&gt;"",SUMIFS('การทำธุรกรรม'!E:E,'การทำธุรกรรม'!F:F,A437,'การทำธุรกรรม'!B:B,"รายจ่าย"),)</f>
        <v/>
      </c>
      <c r="D437" s="36" t="str">
        <f t="shared" si="1"/>
        <v/>
      </c>
    </row>
    <row r="438">
      <c r="A438" s="8"/>
      <c r="B438" s="36" t="str">
        <f>IF(A438&lt;&gt;"",SUMIFS('การทำธุรกรรม'!E:E,'การทำธุรกรรม'!F:F,A438,'การทำธุรกรรม'!B:B,"รายรับ"),)</f>
        <v/>
      </c>
      <c r="C438" s="36" t="str">
        <f>IF(A438&lt;&gt;"",SUMIFS('การทำธุรกรรม'!E:E,'การทำธุรกรรม'!F:F,A438,'การทำธุรกรรม'!B:B,"รายจ่าย"),)</f>
        <v/>
      </c>
      <c r="D438" s="36" t="str">
        <f t="shared" si="1"/>
        <v/>
      </c>
    </row>
    <row r="439">
      <c r="A439" s="8"/>
      <c r="B439" s="36" t="str">
        <f>IF(A439&lt;&gt;"",SUMIFS('การทำธุรกรรม'!E:E,'การทำธุรกรรม'!F:F,A439,'การทำธุรกรรม'!B:B,"รายรับ"),)</f>
        <v/>
      </c>
      <c r="C439" s="36" t="str">
        <f>IF(A439&lt;&gt;"",SUMIFS('การทำธุรกรรม'!E:E,'การทำธุรกรรม'!F:F,A439,'การทำธุรกรรม'!B:B,"รายจ่าย"),)</f>
        <v/>
      </c>
      <c r="D439" s="36" t="str">
        <f t="shared" si="1"/>
        <v/>
      </c>
    </row>
    <row r="440">
      <c r="A440" s="8"/>
      <c r="B440" s="36" t="str">
        <f>IF(A440&lt;&gt;"",SUMIFS('การทำธุรกรรม'!E:E,'การทำธุรกรรม'!F:F,A440,'การทำธุรกรรม'!B:B,"รายรับ"),)</f>
        <v/>
      </c>
      <c r="C440" s="36" t="str">
        <f>IF(A440&lt;&gt;"",SUMIFS('การทำธุรกรรม'!E:E,'การทำธุรกรรม'!F:F,A440,'การทำธุรกรรม'!B:B,"รายจ่าย"),)</f>
        <v/>
      </c>
      <c r="D440" s="36" t="str">
        <f t="shared" si="1"/>
        <v/>
      </c>
    </row>
    <row r="441">
      <c r="A441" s="8"/>
      <c r="B441" s="36" t="str">
        <f>IF(A441&lt;&gt;"",SUMIFS('การทำธุรกรรม'!E:E,'การทำธุรกรรม'!F:F,A441,'การทำธุรกรรม'!B:B,"รายรับ"),)</f>
        <v/>
      </c>
      <c r="C441" s="36" t="str">
        <f>IF(A441&lt;&gt;"",SUMIFS('การทำธุรกรรม'!E:E,'การทำธุรกรรม'!F:F,A441,'การทำธุรกรรม'!B:B,"รายจ่าย"),)</f>
        <v/>
      </c>
      <c r="D441" s="36" t="str">
        <f t="shared" si="1"/>
        <v/>
      </c>
    </row>
    <row r="442">
      <c r="A442" s="8"/>
      <c r="B442" s="36" t="str">
        <f>IF(A442&lt;&gt;"",SUMIFS('การทำธุรกรรม'!E:E,'การทำธุรกรรม'!F:F,A442,'การทำธุรกรรม'!B:B,"รายรับ"),)</f>
        <v/>
      </c>
      <c r="C442" s="36" t="str">
        <f>IF(A442&lt;&gt;"",SUMIFS('การทำธุรกรรม'!E:E,'การทำธุรกรรม'!F:F,A442,'การทำธุรกรรม'!B:B,"รายจ่าย"),)</f>
        <v/>
      </c>
      <c r="D442" s="36" t="str">
        <f t="shared" si="1"/>
        <v/>
      </c>
    </row>
    <row r="443">
      <c r="A443" s="8"/>
      <c r="B443" s="36" t="str">
        <f>IF(A443&lt;&gt;"",SUMIFS('การทำธุรกรรม'!E:E,'การทำธุรกรรม'!F:F,A443,'การทำธุรกรรม'!B:B,"รายรับ"),)</f>
        <v/>
      </c>
      <c r="C443" s="36" t="str">
        <f>IF(A443&lt;&gt;"",SUMIFS('การทำธุรกรรม'!E:E,'การทำธุรกรรม'!F:F,A443,'การทำธุรกรรม'!B:B,"รายจ่าย"),)</f>
        <v/>
      </c>
      <c r="D443" s="36" t="str">
        <f t="shared" si="1"/>
        <v/>
      </c>
    </row>
    <row r="444">
      <c r="A444" s="8"/>
      <c r="B444" s="36" t="str">
        <f>IF(A444&lt;&gt;"",SUMIFS('การทำธุรกรรม'!E:E,'การทำธุรกรรม'!F:F,A444,'การทำธุรกรรม'!B:B,"รายรับ"),)</f>
        <v/>
      </c>
      <c r="C444" s="36" t="str">
        <f>IF(A444&lt;&gt;"",SUMIFS('การทำธุรกรรม'!E:E,'การทำธุรกรรม'!F:F,A444,'การทำธุรกรรม'!B:B,"รายจ่าย"),)</f>
        <v/>
      </c>
      <c r="D444" s="36" t="str">
        <f t="shared" si="1"/>
        <v/>
      </c>
    </row>
    <row r="445">
      <c r="A445" s="8"/>
      <c r="B445" s="36" t="str">
        <f>IF(A445&lt;&gt;"",SUMIFS('การทำธุรกรรม'!E:E,'การทำธุรกรรม'!F:F,A445,'การทำธุรกรรม'!B:B,"รายรับ"),)</f>
        <v/>
      </c>
      <c r="C445" s="36" t="str">
        <f>IF(A445&lt;&gt;"",SUMIFS('การทำธุรกรรม'!E:E,'การทำธุรกรรม'!F:F,A445,'การทำธุรกรรม'!B:B,"รายจ่าย"),)</f>
        <v/>
      </c>
      <c r="D445" s="36" t="str">
        <f t="shared" si="1"/>
        <v/>
      </c>
    </row>
    <row r="446">
      <c r="A446" s="8"/>
      <c r="B446" s="36" t="str">
        <f>IF(A446&lt;&gt;"",SUMIFS('การทำธุรกรรม'!E:E,'การทำธุรกรรม'!F:F,A446,'การทำธุรกรรม'!B:B,"รายรับ"),)</f>
        <v/>
      </c>
      <c r="C446" s="36" t="str">
        <f>IF(A446&lt;&gt;"",SUMIFS('การทำธุรกรรม'!E:E,'การทำธุรกรรม'!F:F,A446,'การทำธุรกรรม'!B:B,"รายจ่าย"),)</f>
        <v/>
      </c>
      <c r="D446" s="36" t="str">
        <f t="shared" si="1"/>
        <v/>
      </c>
    </row>
    <row r="447">
      <c r="A447" s="8"/>
      <c r="B447" s="36" t="str">
        <f>IF(A447&lt;&gt;"",SUMIFS('การทำธุรกรรม'!E:E,'การทำธุรกรรม'!F:F,A447,'การทำธุรกรรม'!B:B,"รายรับ"),)</f>
        <v/>
      </c>
      <c r="C447" s="36" t="str">
        <f>IF(A447&lt;&gt;"",SUMIFS('การทำธุรกรรม'!E:E,'การทำธุรกรรม'!F:F,A447,'การทำธุรกรรม'!B:B,"รายจ่าย"),)</f>
        <v/>
      </c>
      <c r="D447" s="36" t="str">
        <f t="shared" si="1"/>
        <v/>
      </c>
    </row>
    <row r="448">
      <c r="A448" s="8"/>
      <c r="B448" s="36" t="str">
        <f>IF(A448&lt;&gt;"",SUMIFS('การทำธุรกรรม'!E:E,'การทำธุรกรรม'!F:F,A448,'การทำธุรกรรม'!B:B,"รายรับ"),)</f>
        <v/>
      </c>
      <c r="C448" s="36" t="str">
        <f>IF(A448&lt;&gt;"",SUMIFS('การทำธุรกรรม'!E:E,'การทำธุรกรรม'!F:F,A448,'การทำธุรกรรม'!B:B,"รายจ่าย"),)</f>
        <v/>
      </c>
      <c r="D448" s="36" t="str">
        <f t="shared" si="1"/>
        <v/>
      </c>
    </row>
    <row r="449">
      <c r="A449" s="8"/>
      <c r="B449" s="36" t="str">
        <f>IF(A449&lt;&gt;"",SUMIFS('การทำธุรกรรม'!E:E,'การทำธุรกรรม'!F:F,A449,'การทำธุรกรรม'!B:B,"รายรับ"),)</f>
        <v/>
      </c>
      <c r="C449" s="36" t="str">
        <f>IF(A449&lt;&gt;"",SUMIFS('การทำธุรกรรม'!E:E,'การทำธุรกรรม'!F:F,A449,'การทำธุรกรรม'!B:B,"รายจ่าย"),)</f>
        <v/>
      </c>
      <c r="D449" s="36" t="str">
        <f t="shared" si="1"/>
        <v/>
      </c>
    </row>
    <row r="450">
      <c r="A450" s="8"/>
      <c r="B450" s="36" t="str">
        <f>IF(A450&lt;&gt;"",SUMIFS('การทำธุรกรรม'!E:E,'การทำธุรกรรม'!F:F,A450,'การทำธุรกรรม'!B:B,"รายรับ"),)</f>
        <v/>
      </c>
      <c r="C450" s="36" t="str">
        <f>IF(A450&lt;&gt;"",SUMIFS('การทำธุรกรรม'!E:E,'การทำธุรกรรม'!F:F,A450,'การทำธุรกรรม'!B:B,"รายจ่าย"),)</f>
        <v/>
      </c>
      <c r="D450" s="36" t="str">
        <f t="shared" si="1"/>
        <v/>
      </c>
    </row>
    <row r="451">
      <c r="A451" s="8"/>
      <c r="B451" s="36" t="str">
        <f>IF(A451&lt;&gt;"",SUMIFS('การทำธุรกรรม'!E:E,'การทำธุรกรรม'!F:F,A451,'การทำธุรกรรม'!B:B,"รายรับ"),)</f>
        <v/>
      </c>
      <c r="C451" s="36" t="str">
        <f>IF(A451&lt;&gt;"",SUMIFS('การทำธุรกรรม'!E:E,'การทำธุรกรรม'!F:F,A451,'การทำธุรกรรม'!B:B,"รายจ่าย"),)</f>
        <v/>
      </c>
      <c r="D451" s="36" t="str">
        <f t="shared" si="1"/>
        <v/>
      </c>
    </row>
    <row r="452">
      <c r="A452" s="8"/>
      <c r="B452" s="36" t="str">
        <f>IF(A452&lt;&gt;"",SUMIFS('การทำธุรกรรม'!E:E,'การทำธุรกรรม'!F:F,A452,'การทำธุรกรรม'!B:B,"รายรับ"),)</f>
        <v/>
      </c>
      <c r="C452" s="36" t="str">
        <f>IF(A452&lt;&gt;"",SUMIFS('การทำธุรกรรม'!E:E,'การทำธุรกรรม'!F:F,A452,'การทำธุรกรรม'!B:B,"รายจ่าย"),)</f>
        <v/>
      </c>
      <c r="D452" s="36" t="str">
        <f t="shared" si="1"/>
        <v/>
      </c>
    </row>
    <row r="453">
      <c r="A453" s="8"/>
      <c r="B453" s="36" t="str">
        <f>IF(A453&lt;&gt;"",SUMIFS('การทำธุรกรรม'!E:E,'การทำธุรกรรม'!F:F,A453,'การทำธุรกรรม'!B:B,"รายรับ"),)</f>
        <v/>
      </c>
      <c r="C453" s="36" t="str">
        <f>IF(A453&lt;&gt;"",SUMIFS('การทำธุรกรรม'!E:E,'การทำธุรกรรม'!F:F,A453,'การทำธุรกรรม'!B:B,"รายจ่าย"),)</f>
        <v/>
      </c>
      <c r="D453" s="36" t="str">
        <f t="shared" si="1"/>
        <v/>
      </c>
    </row>
    <row r="454">
      <c r="A454" s="8"/>
      <c r="B454" s="36" t="str">
        <f>IF(A454&lt;&gt;"",SUMIFS('การทำธุรกรรม'!E:E,'การทำธุรกรรม'!F:F,A454,'การทำธุรกรรม'!B:B,"รายรับ"),)</f>
        <v/>
      </c>
      <c r="C454" s="36" t="str">
        <f>IF(A454&lt;&gt;"",SUMIFS('การทำธุรกรรม'!E:E,'การทำธุรกรรม'!F:F,A454,'การทำธุรกรรม'!B:B,"รายจ่าย"),)</f>
        <v/>
      </c>
      <c r="D454" s="36" t="str">
        <f t="shared" si="1"/>
        <v/>
      </c>
    </row>
    <row r="455">
      <c r="A455" s="8"/>
      <c r="B455" s="36" t="str">
        <f>IF(A455&lt;&gt;"",SUMIFS('การทำธุรกรรม'!E:E,'การทำธุรกรรม'!F:F,A455,'การทำธุรกรรม'!B:B,"รายรับ"),)</f>
        <v/>
      </c>
      <c r="C455" s="36" t="str">
        <f>IF(A455&lt;&gt;"",SUMIFS('การทำธุรกรรม'!E:E,'การทำธุรกรรม'!F:F,A455,'การทำธุรกรรม'!B:B,"รายจ่าย"),)</f>
        <v/>
      </c>
      <c r="D455" s="36" t="str">
        <f t="shared" si="1"/>
        <v/>
      </c>
    </row>
    <row r="456">
      <c r="A456" s="8"/>
      <c r="B456" s="36" t="str">
        <f>IF(A456&lt;&gt;"",SUMIFS('การทำธุรกรรม'!E:E,'การทำธุรกรรม'!F:F,A456,'การทำธุรกรรม'!B:B,"รายรับ"),)</f>
        <v/>
      </c>
      <c r="C456" s="36" t="str">
        <f>IF(A456&lt;&gt;"",SUMIFS('การทำธุรกรรม'!E:E,'การทำธุรกรรม'!F:F,A456,'การทำธุรกรรม'!B:B,"รายจ่าย"),)</f>
        <v/>
      </c>
      <c r="D456" s="36" t="str">
        <f t="shared" si="1"/>
        <v/>
      </c>
    </row>
    <row r="457">
      <c r="A457" s="8"/>
      <c r="B457" s="36" t="str">
        <f>IF(A457&lt;&gt;"",SUMIFS('การทำธุรกรรม'!E:E,'การทำธุรกรรม'!F:F,A457,'การทำธุรกรรม'!B:B,"รายรับ"),)</f>
        <v/>
      </c>
      <c r="C457" s="36" t="str">
        <f>IF(A457&lt;&gt;"",SUMIFS('การทำธุรกรรม'!E:E,'การทำธุรกรรม'!F:F,A457,'การทำธุรกรรม'!B:B,"รายจ่าย"),)</f>
        <v/>
      </c>
      <c r="D457" s="36" t="str">
        <f t="shared" si="1"/>
        <v/>
      </c>
    </row>
    <row r="458">
      <c r="A458" s="8"/>
      <c r="B458" s="36" t="str">
        <f>IF(A458&lt;&gt;"",SUMIFS('การทำธุรกรรม'!E:E,'การทำธุรกรรม'!F:F,A458,'การทำธุรกรรม'!B:B,"รายรับ"),)</f>
        <v/>
      </c>
      <c r="C458" s="36" t="str">
        <f>IF(A458&lt;&gt;"",SUMIFS('การทำธุรกรรม'!E:E,'การทำธุรกรรม'!F:F,A458,'การทำธุรกรรม'!B:B,"รายจ่าย"),)</f>
        <v/>
      </c>
      <c r="D458" s="36" t="str">
        <f t="shared" si="1"/>
        <v/>
      </c>
    </row>
    <row r="459">
      <c r="A459" s="8"/>
      <c r="B459" s="36" t="str">
        <f>IF(A459&lt;&gt;"",SUMIFS('การทำธุรกรรม'!E:E,'การทำธุรกรรม'!F:F,A459,'การทำธุรกรรม'!B:B,"รายรับ"),)</f>
        <v/>
      </c>
      <c r="C459" s="36" t="str">
        <f>IF(A459&lt;&gt;"",SUMIFS('การทำธุรกรรม'!E:E,'การทำธุรกรรม'!F:F,A459,'การทำธุรกรรม'!B:B,"รายจ่าย"),)</f>
        <v/>
      </c>
      <c r="D459" s="36" t="str">
        <f t="shared" si="1"/>
        <v/>
      </c>
    </row>
    <row r="460">
      <c r="A460" s="8"/>
      <c r="B460" s="36" t="str">
        <f>IF(A460&lt;&gt;"",SUMIFS('การทำธุรกรรม'!E:E,'การทำธุรกรรม'!F:F,A460,'การทำธุรกรรม'!B:B,"รายรับ"),)</f>
        <v/>
      </c>
      <c r="C460" s="36" t="str">
        <f>IF(A460&lt;&gt;"",SUMIFS('การทำธุรกรรม'!E:E,'การทำธุรกรรม'!F:F,A460,'การทำธุรกรรม'!B:B,"รายจ่าย"),)</f>
        <v/>
      </c>
      <c r="D460" s="36" t="str">
        <f t="shared" si="1"/>
        <v/>
      </c>
    </row>
    <row r="461">
      <c r="A461" s="8"/>
      <c r="B461" s="36" t="str">
        <f>IF(A461&lt;&gt;"",SUMIFS('การทำธุรกรรม'!E:E,'การทำธุรกรรม'!F:F,A461,'การทำธุรกรรม'!B:B,"รายรับ"),)</f>
        <v/>
      </c>
      <c r="C461" s="36" t="str">
        <f>IF(A461&lt;&gt;"",SUMIFS('การทำธุรกรรม'!E:E,'การทำธุรกรรม'!F:F,A461,'การทำธุรกรรม'!B:B,"รายจ่าย"),)</f>
        <v/>
      </c>
      <c r="D461" s="36" t="str">
        <f t="shared" si="1"/>
        <v/>
      </c>
    </row>
    <row r="462">
      <c r="A462" s="8"/>
      <c r="B462" s="36" t="str">
        <f>IF(A462&lt;&gt;"",SUMIFS('การทำธุรกรรม'!E:E,'การทำธุรกรรม'!F:F,A462,'การทำธุรกรรม'!B:B,"รายรับ"),)</f>
        <v/>
      </c>
      <c r="C462" s="36" t="str">
        <f>IF(A462&lt;&gt;"",SUMIFS('การทำธุรกรรม'!E:E,'การทำธุรกรรม'!F:F,A462,'การทำธุรกรรม'!B:B,"รายจ่าย"),)</f>
        <v/>
      </c>
      <c r="D462" s="36" t="str">
        <f t="shared" si="1"/>
        <v/>
      </c>
    </row>
    <row r="463">
      <c r="A463" s="8"/>
      <c r="B463" s="36" t="str">
        <f>IF(A463&lt;&gt;"",SUMIFS('การทำธุรกรรม'!E:E,'การทำธุรกรรม'!F:F,A463,'การทำธุรกรรม'!B:B,"รายรับ"),)</f>
        <v/>
      </c>
      <c r="C463" s="36" t="str">
        <f>IF(A463&lt;&gt;"",SUMIFS('การทำธุรกรรม'!E:E,'การทำธุรกรรม'!F:F,A463,'การทำธุรกรรม'!B:B,"รายจ่าย"),)</f>
        <v/>
      </c>
      <c r="D463" s="36" t="str">
        <f t="shared" si="1"/>
        <v/>
      </c>
    </row>
    <row r="464">
      <c r="A464" s="8"/>
      <c r="B464" s="36" t="str">
        <f>IF(A464&lt;&gt;"",SUMIFS('การทำธุรกรรม'!E:E,'การทำธุรกรรม'!F:F,A464,'การทำธุรกรรม'!B:B,"รายรับ"),)</f>
        <v/>
      </c>
      <c r="C464" s="36" t="str">
        <f>IF(A464&lt;&gt;"",SUMIFS('การทำธุรกรรม'!E:E,'การทำธุรกรรม'!F:F,A464,'การทำธุรกรรม'!B:B,"รายจ่าย"),)</f>
        <v/>
      </c>
      <c r="D464" s="36" t="str">
        <f t="shared" si="1"/>
        <v/>
      </c>
    </row>
    <row r="465">
      <c r="A465" s="8"/>
      <c r="B465" s="36" t="str">
        <f>IF(A465&lt;&gt;"",SUMIFS('การทำธุรกรรม'!E:E,'การทำธุรกรรม'!F:F,A465,'การทำธุรกรรม'!B:B,"รายรับ"),)</f>
        <v/>
      </c>
      <c r="C465" s="36" t="str">
        <f>IF(A465&lt;&gt;"",SUMIFS('การทำธุรกรรม'!E:E,'การทำธุรกรรม'!F:F,A465,'การทำธุรกรรม'!B:B,"รายจ่าย"),)</f>
        <v/>
      </c>
      <c r="D465" s="36" t="str">
        <f t="shared" si="1"/>
        <v/>
      </c>
    </row>
    <row r="466">
      <c r="A466" s="8"/>
      <c r="B466" s="36" t="str">
        <f>IF(A466&lt;&gt;"",SUMIFS('การทำธุรกรรม'!E:E,'การทำธุรกรรม'!F:F,A466,'การทำธุรกรรม'!B:B,"รายรับ"),)</f>
        <v/>
      </c>
      <c r="C466" s="36" t="str">
        <f>IF(A466&lt;&gt;"",SUMIFS('การทำธุรกรรม'!E:E,'การทำธุรกรรม'!F:F,A466,'การทำธุรกรรม'!B:B,"รายจ่าย"),)</f>
        <v/>
      </c>
      <c r="D466" s="36" t="str">
        <f t="shared" si="1"/>
        <v/>
      </c>
    </row>
    <row r="467">
      <c r="A467" s="8"/>
      <c r="B467" s="36" t="str">
        <f>IF(A467&lt;&gt;"",SUMIFS('การทำธุรกรรม'!E:E,'การทำธุรกรรม'!F:F,A467,'การทำธุรกรรม'!B:B,"รายรับ"),)</f>
        <v/>
      </c>
      <c r="C467" s="36" t="str">
        <f>IF(A467&lt;&gt;"",SUMIFS('การทำธุรกรรม'!E:E,'การทำธุรกรรม'!F:F,A467,'การทำธุรกรรม'!B:B,"รายจ่าย"),)</f>
        <v/>
      </c>
      <c r="D467" s="36" t="str">
        <f t="shared" si="1"/>
        <v/>
      </c>
    </row>
    <row r="468">
      <c r="A468" s="8"/>
      <c r="B468" s="36" t="str">
        <f>IF(A468&lt;&gt;"",SUMIFS('การทำธุรกรรม'!E:E,'การทำธุรกรรม'!F:F,A468,'การทำธุรกรรม'!B:B,"รายรับ"),)</f>
        <v/>
      </c>
      <c r="C468" s="36" t="str">
        <f>IF(A468&lt;&gt;"",SUMIFS('การทำธุรกรรม'!E:E,'การทำธุรกรรม'!F:F,A468,'การทำธุรกรรม'!B:B,"รายจ่าย"),)</f>
        <v/>
      </c>
      <c r="D468" s="36" t="str">
        <f t="shared" si="1"/>
        <v/>
      </c>
    </row>
    <row r="469">
      <c r="A469" s="8"/>
      <c r="B469" s="36" t="str">
        <f>IF(A469&lt;&gt;"",SUMIFS('การทำธุรกรรม'!E:E,'การทำธุรกรรม'!F:F,A469,'การทำธุรกรรม'!B:B,"รายรับ"),)</f>
        <v/>
      </c>
      <c r="C469" s="36" t="str">
        <f>IF(A469&lt;&gt;"",SUMIFS('การทำธุรกรรม'!E:E,'การทำธุรกรรม'!F:F,A469,'การทำธุรกรรม'!B:B,"รายจ่าย"),)</f>
        <v/>
      </c>
      <c r="D469" s="36" t="str">
        <f t="shared" si="1"/>
        <v/>
      </c>
    </row>
    <row r="470">
      <c r="A470" s="8"/>
      <c r="B470" s="36" t="str">
        <f>IF(A470&lt;&gt;"",SUMIFS('การทำธุรกรรม'!E:E,'การทำธุรกรรม'!F:F,A470,'การทำธุรกรรม'!B:B,"รายรับ"),)</f>
        <v/>
      </c>
      <c r="C470" s="36" t="str">
        <f>IF(A470&lt;&gt;"",SUMIFS('การทำธุรกรรม'!E:E,'การทำธุรกรรม'!F:F,A470,'การทำธุรกรรม'!B:B,"รายจ่าย"),)</f>
        <v/>
      </c>
      <c r="D470" s="36" t="str">
        <f t="shared" si="1"/>
        <v/>
      </c>
    </row>
    <row r="471">
      <c r="A471" s="8"/>
      <c r="B471" s="36" t="str">
        <f>IF(A471&lt;&gt;"",SUMIFS('การทำธุรกรรม'!E:E,'การทำธุรกรรม'!F:F,A471,'การทำธุรกรรม'!B:B,"รายรับ"),)</f>
        <v/>
      </c>
      <c r="C471" s="36" t="str">
        <f>IF(A471&lt;&gt;"",SUMIFS('การทำธุรกรรม'!E:E,'การทำธุรกรรม'!F:F,A471,'การทำธุรกรรม'!B:B,"รายจ่าย"),)</f>
        <v/>
      </c>
      <c r="D471" s="36" t="str">
        <f t="shared" si="1"/>
        <v/>
      </c>
    </row>
    <row r="472">
      <c r="A472" s="8"/>
      <c r="B472" s="36" t="str">
        <f>IF(A472&lt;&gt;"",SUMIFS('การทำธุรกรรม'!E:E,'การทำธุรกรรม'!F:F,A472,'การทำธุรกรรม'!B:B,"รายรับ"),)</f>
        <v/>
      </c>
      <c r="C472" s="36" t="str">
        <f>IF(A472&lt;&gt;"",SUMIFS('การทำธุรกรรม'!E:E,'การทำธุรกรรม'!F:F,A472,'การทำธุรกรรม'!B:B,"รายจ่าย"),)</f>
        <v/>
      </c>
      <c r="D472" s="36" t="str">
        <f t="shared" si="1"/>
        <v/>
      </c>
    </row>
    <row r="473">
      <c r="A473" s="8"/>
      <c r="B473" s="36" t="str">
        <f>IF(A473&lt;&gt;"",SUMIFS('การทำธุรกรรม'!E:E,'การทำธุรกรรม'!F:F,A473,'การทำธุรกรรม'!B:B,"รายรับ"),)</f>
        <v/>
      </c>
      <c r="C473" s="36" t="str">
        <f>IF(A473&lt;&gt;"",SUMIFS('การทำธุรกรรม'!E:E,'การทำธุรกรรม'!F:F,A473,'การทำธุรกรรม'!B:B,"รายจ่าย"),)</f>
        <v/>
      </c>
      <c r="D473" s="36" t="str">
        <f t="shared" si="1"/>
        <v/>
      </c>
    </row>
    <row r="474">
      <c r="A474" s="8"/>
      <c r="B474" s="36" t="str">
        <f>IF(A474&lt;&gt;"",SUMIFS('การทำธุรกรรม'!E:E,'การทำธุรกรรม'!F:F,A474,'การทำธุรกรรม'!B:B,"รายรับ"),)</f>
        <v/>
      </c>
      <c r="C474" s="36" t="str">
        <f>IF(A474&lt;&gt;"",SUMIFS('การทำธุรกรรม'!E:E,'การทำธุรกรรม'!F:F,A474,'การทำธุรกรรม'!B:B,"รายจ่าย"),)</f>
        <v/>
      </c>
      <c r="D474" s="36" t="str">
        <f t="shared" si="1"/>
        <v/>
      </c>
    </row>
    <row r="475">
      <c r="A475" s="8"/>
      <c r="B475" s="36" t="str">
        <f>IF(A475&lt;&gt;"",SUMIFS('การทำธุรกรรม'!E:E,'การทำธุรกรรม'!F:F,A475,'การทำธุรกรรม'!B:B,"รายรับ"),)</f>
        <v/>
      </c>
      <c r="C475" s="36" t="str">
        <f>IF(A475&lt;&gt;"",SUMIFS('การทำธุรกรรม'!E:E,'การทำธุรกรรม'!F:F,A475,'การทำธุรกรรม'!B:B,"รายจ่าย"),)</f>
        <v/>
      </c>
      <c r="D475" s="36" t="str">
        <f t="shared" si="1"/>
        <v/>
      </c>
    </row>
    <row r="476">
      <c r="A476" s="8"/>
      <c r="B476" s="36" t="str">
        <f>IF(A476&lt;&gt;"",SUMIFS('การทำธุรกรรม'!E:E,'การทำธุรกรรม'!F:F,A476,'การทำธุรกรรม'!B:B,"รายรับ"),)</f>
        <v/>
      </c>
      <c r="C476" s="36" t="str">
        <f>IF(A476&lt;&gt;"",SUMIFS('การทำธุรกรรม'!E:E,'การทำธุรกรรม'!F:F,A476,'การทำธุรกรรม'!B:B,"รายจ่าย"),)</f>
        <v/>
      </c>
      <c r="D476" s="36" t="str">
        <f t="shared" si="1"/>
        <v/>
      </c>
    </row>
    <row r="477">
      <c r="A477" s="8"/>
      <c r="B477" s="36" t="str">
        <f>IF(A477&lt;&gt;"",SUMIFS('การทำธุรกรรม'!E:E,'การทำธุรกรรม'!F:F,A477,'การทำธุรกรรม'!B:B,"รายรับ"),)</f>
        <v/>
      </c>
      <c r="C477" s="36" t="str">
        <f>IF(A477&lt;&gt;"",SUMIFS('การทำธุรกรรม'!E:E,'การทำธุรกรรม'!F:F,A477,'การทำธุรกรรม'!B:B,"รายจ่าย"),)</f>
        <v/>
      </c>
      <c r="D477" s="36" t="str">
        <f t="shared" si="1"/>
        <v/>
      </c>
    </row>
    <row r="478">
      <c r="A478" s="8"/>
      <c r="B478" s="36" t="str">
        <f>IF(A478&lt;&gt;"",SUMIFS('การทำธุรกรรม'!E:E,'การทำธุรกรรม'!F:F,A478,'การทำธุรกรรม'!B:B,"รายรับ"),)</f>
        <v/>
      </c>
      <c r="C478" s="36" t="str">
        <f>IF(A478&lt;&gt;"",SUMIFS('การทำธุรกรรม'!E:E,'การทำธุรกรรม'!F:F,A478,'การทำธุรกรรม'!B:B,"รายจ่าย"),)</f>
        <v/>
      </c>
      <c r="D478" s="36" t="str">
        <f t="shared" si="1"/>
        <v/>
      </c>
    </row>
    <row r="479">
      <c r="A479" s="8"/>
      <c r="B479" s="36" t="str">
        <f>IF(A479&lt;&gt;"",SUMIFS('การทำธุรกรรม'!E:E,'การทำธุรกรรม'!F:F,A479,'การทำธุรกรรม'!B:B,"รายรับ"),)</f>
        <v/>
      </c>
      <c r="C479" s="36" t="str">
        <f>IF(A479&lt;&gt;"",SUMIFS('การทำธุรกรรม'!E:E,'การทำธุรกรรม'!F:F,A479,'การทำธุรกรรม'!B:B,"รายจ่าย"),)</f>
        <v/>
      </c>
      <c r="D479" s="36" t="str">
        <f t="shared" si="1"/>
        <v/>
      </c>
    </row>
    <row r="480">
      <c r="A480" s="8"/>
      <c r="B480" s="36" t="str">
        <f>IF(A480&lt;&gt;"",SUMIFS('การทำธุรกรรม'!E:E,'การทำธุรกรรม'!F:F,A480,'การทำธุรกรรม'!B:B,"รายรับ"),)</f>
        <v/>
      </c>
      <c r="C480" s="36" t="str">
        <f>IF(A480&lt;&gt;"",SUMIFS('การทำธุรกรรม'!E:E,'การทำธุรกรรม'!F:F,A480,'การทำธุรกรรม'!B:B,"รายจ่าย"),)</f>
        <v/>
      </c>
      <c r="D480" s="36" t="str">
        <f t="shared" si="1"/>
        <v/>
      </c>
    </row>
    <row r="481">
      <c r="A481" s="8"/>
      <c r="B481" s="36" t="str">
        <f>IF(A481&lt;&gt;"",SUMIFS('การทำธุรกรรม'!E:E,'การทำธุรกรรม'!F:F,A481,'การทำธุรกรรม'!B:B,"รายรับ"),)</f>
        <v/>
      </c>
      <c r="C481" s="36" t="str">
        <f>IF(A481&lt;&gt;"",SUMIFS('การทำธุรกรรม'!E:E,'การทำธุรกรรม'!F:F,A481,'การทำธุรกรรม'!B:B,"รายจ่าย"),)</f>
        <v/>
      </c>
      <c r="D481" s="36" t="str">
        <f t="shared" si="1"/>
        <v/>
      </c>
    </row>
    <row r="482">
      <c r="A482" s="8"/>
      <c r="B482" s="36" t="str">
        <f>IF(A482&lt;&gt;"",SUMIFS('การทำธุรกรรม'!E:E,'การทำธุรกรรม'!F:F,A482,'การทำธุรกรรม'!B:B,"รายรับ"),)</f>
        <v/>
      </c>
      <c r="C482" s="36" t="str">
        <f>IF(A482&lt;&gt;"",SUMIFS('การทำธุรกรรม'!E:E,'การทำธุรกรรม'!F:F,A482,'การทำธุรกรรม'!B:B,"รายจ่าย"),)</f>
        <v/>
      </c>
      <c r="D482" s="36" t="str">
        <f t="shared" si="1"/>
        <v/>
      </c>
    </row>
    <row r="483">
      <c r="A483" s="8"/>
      <c r="B483" s="36" t="str">
        <f>IF(A483&lt;&gt;"",SUMIFS('การทำธุรกรรม'!E:E,'การทำธุรกรรม'!F:F,A483,'การทำธุรกรรม'!B:B,"รายรับ"),)</f>
        <v/>
      </c>
      <c r="C483" s="36" t="str">
        <f>IF(A483&lt;&gt;"",SUMIFS('การทำธุรกรรม'!E:E,'การทำธุรกรรม'!F:F,A483,'การทำธุรกรรม'!B:B,"รายจ่าย"),)</f>
        <v/>
      </c>
      <c r="D483" s="36" t="str">
        <f t="shared" si="1"/>
        <v/>
      </c>
    </row>
    <row r="484">
      <c r="A484" s="8"/>
      <c r="B484" s="36" t="str">
        <f>IF(A484&lt;&gt;"",SUMIFS('การทำธุรกรรม'!E:E,'การทำธุรกรรม'!F:F,A484,'การทำธุรกรรม'!B:B,"รายรับ"),)</f>
        <v/>
      </c>
      <c r="C484" s="36" t="str">
        <f>IF(A484&lt;&gt;"",SUMIFS('การทำธุรกรรม'!E:E,'การทำธุรกรรม'!F:F,A484,'การทำธุรกรรม'!B:B,"รายจ่าย"),)</f>
        <v/>
      </c>
      <c r="D484" s="36" t="str">
        <f t="shared" si="1"/>
        <v/>
      </c>
    </row>
    <row r="485">
      <c r="A485" s="8"/>
      <c r="B485" s="36" t="str">
        <f>IF(A485&lt;&gt;"",SUMIFS('การทำธุรกรรม'!E:E,'การทำธุรกรรม'!F:F,A485,'การทำธุรกรรม'!B:B,"รายรับ"),)</f>
        <v/>
      </c>
      <c r="C485" s="36" t="str">
        <f>IF(A485&lt;&gt;"",SUMIFS('การทำธุรกรรม'!E:E,'การทำธุรกรรม'!F:F,A485,'การทำธุรกรรม'!B:B,"รายจ่าย"),)</f>
        <v/>
      </c>
      <c r="D485" s="36" t="str">
        <f t="shared" si="1"/>
        <v/>
      </c>
    </row>
    <row r="486">
      <c r="A486" s="8"/>
      <c r="B486" s="36" t="str">
        <f>IF(A486&lt;&gt;"",SUMIFS('การทำธุรกรรม'!E:E,'การทำธุรกรรม'!F:F,A486,'การทำธุรกรรม'!B:B,"รายรับ"),)</f>
        <v/>
      </c>
      <c r="C486" s="36" t="str">
        <f>IF(A486&lt;&gt;"",SUMIFS('การทำธุรกรรม'!E:E,'การทำธุรกรรม'!F:F,A486,'การทำธุรกรรม'!B:B,"รายจ่าย"),)</f>
        <v/>
      </c>
      <c r="D486" s="36" t="str">
        <f t="shared" si="1"/>
        <v/>
      </c>
    </row>
    <row r="487">
      <c r="A487" s="8"/>
      <c r="B487" s="36" t="str">
        <f>IF(A487&lt;&gt;"",SUMIFS('การทำธุรกรรม'!E:E,'การทำธุรกรรม'!F:F,A487,'การทำธุรกรรม'!B:B,"รายรับ"),)</f>
        <v/>
      </c>
      <c r="C487" s="36" t="str">
        <f>IF(A487&lt;&gt;"",SUMIFS('การทำธุรกรรม'!E:E,'การทำธุรกรรม'!F:F,A487,'การทำธุรกรรม'!B:B,"รายจ่าย"),)</f>
        <v/>
      </c>
      <c r="D487" s="36" t="str">
        <f t="shared" si="1"/>
        <v/>
      </c>
    </row>
    <row r="488">
      <c r="A488" s="8"/>
      <c r="B488" s="36" t="str">
        <f>IF(A488&lt;&gt;"",SUMIFS('การทำธุรกรรม'!E:E,'การทำธุรกรรม'!F:F,A488,'การทำธุรกรรม'!B:B,"รายรับ"),)</f>
        <v/>
      </c>
      <c r="C488" s="36" t="str">
        <f>IF(A488&lt;&gt;"",SUMIFS('การทำธุรกรรม'!E:E,'การทำธุรกรรม'!F:F,A488,'การทำธุรกรรม'!B:B,"รายจ่าย"),)</f>
        <v/>
      </c>
      <c r="D488" s="36" t="str">
        <f t="shared" si="1"/>
        <v/>
      </c>
    </row>
    <row r="489">
      <c r="A489" s="8"/>
      <c r="B489" s="36" t="str">
        <f>IF(A489&lt;&gt;"",SUMIFS('การทำธุรกรรม'!E:E,'การทำธุรกรรม'!F:F,A489,'การทำธุรกรรม'!B:B,"รายรับ"),)</f>
        <v/>
      </c>
      <c r="C489" s="36" t="str">
        <f>IF(A489&lt;&gt;"",SUMIFS('การทำธุรกรรม'!E:E,'การทำธุรกรรม'!F:F,A489,'การทำธุรกรรม'!B:B,"รายจ่าย"),)</f>
        <v/>
      </c>
      <c r="D489" s="36" t="str">
        <f t="shared" si="1"/>
        <v/>
      </c>
    </row>
    <row r="490">
      <c r="A490" s="8"/>
      <c r="B490" s="36" t="str">
        <f>IF(A490&lt;&gt;"",SUMIFS('การทำธุรกรรม'!E:E,'การทำธุรกรรม'!F:F,A490,'การทำธุรกรรม'!B:B,"รายรับ"),)</f>
        <v/>
      </c>
      <c r="C490" s="36" t="str">
        <f>IF(A490&lt;&gt;"",SUMIFS('การทำธุรกรรม'!E:E,'การทำธุรกรรม'!F:F,A490,'การทำธุรกรรม'!B:B,"รายจ่าย"),)</f>
        <v/>
      </c>
      <c r="D490" s="36" t="str">
        <f t="shared" si="1"/>
        <v/>
      </c>
    </row>
    <row r="491">
      <c r="A491" s="8"/>
      <c r="B491" s="36" t="str">
        <f>IF(A491&lt;&gt;"",SUMIFS('การทำธุรกรรม'!E:E,'การทำธุรกรรม'!F:F,A491,'การทำธุรกรรม'!B:B,"รายรับ"),)</f>
        <v/>
      </c>
      <c r="C491" s="36" t="str">
        <f>IF(A491&lt;&gt;"",SUMIFS('การทำธุรกรรม'!E:E,'การทำธุรกรรม'!F:F,A491,'การทำธุรกรรม'!B:B,"รายจ่าย"),)</f>
        <v/>
      </c>
      <c r="D491" s="36" t="str">
        <f t="shared" si="1"/>
        <v/>
      </c>
    </row>
    <row r="492">
      <c r="A492" s="8"/>
      <c r="B492" s="36" t="str">
        <f>IF(A492&lt;&gt;"",SUMIFS('การทำธุรกรรม'!E:E,'การทำธุรกรรม'!F:F,A492,'การทำธุรกรรม'!B:B,"รายรับ"),)</f>
        <v/>
      </c>
      <c r="C492" s="36" t="str">
        <f>IF(A492&lt;&gt;"",SUMIFS('การทำธุรกรรม'!E:E,'การทำธุรกรรม'!F:F,A492,'การทำธุรกรรม'!B:B,"รายจ่าย"),)</f>
        <v/>
      </c>
      <c r="D492" s="36" t="str">
        <f t="shared" si="1"/>
        <v/>
      </c>
    </row>
    <row r="493">
      <c r="A493" s="8"/>
      <c r="B493" s="36" t="str">
        <f>IF(A493&lt;&gt;"",SUMIFS('การทำธุรกรรม'!E:E,'การทำธุรกรรม'!F:F,A493,'การทำธุรกรรม'!B:B,"รายรับ"),)</f>
        <v/>
      </c>
      <c r="C493" s="36" t="str">
        <f>IF(A493&lt;&gt;"",SUMIFS('การทำธุรกรรม'!E:E,'การทำธุรกรรม'!F:F,A493,'การทำธุรกรรม'!B:B,"รายจ่าย"),)</f>
        <v/>
      </c>
      <c r="D493" s="36" t="str">
        <f t="shared" si="1"/>
        <v/>
      </c>
    </row>
    <row r="494">
      <c r="A494" s="8"/>
      <c r="B494" s="36" t="str">
        <f>IF(A494&lt;&gt;"",SUMIFS('การทำธุรกรรม'!E:E,'การทำธุรกรรม'!F:F,A494,'การทำธุรกรรม'!B:B,"รายรับ"),)</f>
        <v/>
      </c>
      <c r="C494" s="36" t="str">
        <f>IF(A494&lt;&gt;"",SUMIFS('การทำธุรกรรม'!E:E,'การทำธุรกรรม'!F:F,A494,'การทำธุรกรรม'!B:B,"รายจ่าย"),)</f>
        <v/>
      </c>
      <c r="D494" s="36" t="str">
        <f t="shared" si="1"/>
        <v/>
      </c>
    </row>
    <row r="495">
      <c r="A495" s="8"/>
      <c r="B495" s="36" t="str">
        <f>IF(A495&lt;&gt;"",SUMIFS('การทำธุรกรรม'!E:E,'การทำธุรกรรม'!F:F,A495,'การทำธุรกรรม'!B:B,"รายรับ"),)</f>
        <v/>
      </c>
      <c r="C495" s="36" t="str">
        <f>IF(A495&lt;&gt;"",SUMIFS('การทำธุรกรรม'!E:E,'การทำธุรกรรม'!F:F,A495,'การทำธุรกรรม'!B:B,"รายจ่าย"),)</f>
        <v/>
      </c>
      <c r="D495" s="36" t="str">
        <f t="shared" si="1"/>
        <v/>
      </c>
    </row>
    <row r="496">
      <c r="A496" s="8"/>
      <c r="B496" s="36" t="str">
        <f>IF(A496&lt;&gt;"",SUMIFS('การทำธุรกรรม'!E:E,'การทำธุรกรรม'!F:F,A496,'การทำธุรกรรม'!B:B,"รายรับ"),)</f>
        <v/>
      </c>
      <c r="C496" s="36" t="str">
        <f>IF(A496&lt;&gt;"",SUMIFS('การทำธุรกรรม'!E:E,'การทำธุรกรรม'!F:F,A496,'การทำธุรกรรม'!B:B,"รายจ่าย"),)</f>
        <v/>
      </c>
      <c r="D496" s="36" t="str">
        <f t="shared" si="1"/>
        <v/>
      </c>
    </row>
    <row r="497">
      <c r="A497" s="8"/>
      <c r="B497" s="36" t="str">
        <f>IF(A497&lt;&gt;"",SUMIFS('การทำธุรกรรม'!E:E,'การทำธุรกรรม'!F:F,A497,'การทำธุรกรรม'!B:B,"รายรับ"),)</f>
        <v/>
      </c>
      <c r="C497" s="36" t="str">
        <f>IF(A497&lt;&gt;"",SUMIFS('การทำธุรกรรม'!E:E,'การทำธุรกรรม'!F:F,A497,'การทำธุรกรรม'!B:B,"รายจ่าย"),)</f>
        <v/>
      </c>
      <c r="D497" s="36" t="str">
        <f t="shared" si="1"/>
        <v/>
      </c>
    </row>
    <row r="498">
      <c r="A498" s="8"/>
      <c r="B498" s="36" t="str">
        <f>IF(A498&lt;&gt;"",SUMIFS('การทำธุรกรรม'!E:E,'การทำธุรกรรม'!F:F,A498,'การทำธุรกรรม'!B:B,"รายรับ"),)</f>
        <v/>
      </c>
      <c r="C498" s="36" t="str">
        <f>IF(A498&lt;&gt;"",SUMIFS('การทำธุรกรรม'!E:E,'การทำธุรกรรม'!F:F,A498,'การทำธุรกรรม'!B:B,"รายจ่าย"),)</f>
        <v/>
      </c>
      <c r="D498" s="36" t="str">
        <f t="shared" si="1"/>
        <v/>
      </c>
    </row>
    <row r="499">
      <c r="A499" s="8"/>
      <c r="B499" s="36" t="str">
        <f>IF(A499&lt;&gt;"",SUMIFS('การทำธุรกรรม'!E:E,'การทำธุรกรรม'!F:F,A499,'การทำธุรกรรม'!B:B,"รายรับ"),)</f>
        <v/>
      </c>
      <c r="C499" s="36" t="str">
        <f>IF(A499&lt;&gt;"",SUMIFS('การทำธุรกรรม'!E:E,'การทำธุรกรรม'!F:F,A499,'การทำธุรกรรม'!B:B,"รายจ่าย"),)</f>
        <v/>
      </c>
      <c r="D499" s="36" t="str">
        <f t="shared" si="1"/>
        <v/>
      </c>
    </row>
    <row r="500">
      <c r="A500" s="8"/>
      <c r="B500" s="36" t="str">
        <f>IF(A500&lt;&gt;"",SUMIFS('การทำธุรกรรม'!E:E,'การทำธุรกรรม'!F:F,A500,'การทำธุรกรรม'!B:B,"รายรับ"),)</f>
        <v/>
      </c>
      <c r="C500" s="36" t="str">
        <f>IF(A500&lt;&gt;"",SUMIFS('การทำธุรกรรม'!E:E,'การทำธุรกรรม'!F:F,A500,'การทำธุรกรรม'!B:B,"รายจ่าย"),)</f>
        <v/>
      </c>
      <c r="D500" s="36" t="str">
        <f t="shared" si="1"/>
        <v/>
      </c>
    </row>
    <row r="501">
      <c r="A501" s="8"/>
      <c r="B501" s="36" t="str">
        <f>IF(A501&lt;&gt;"",SUMIFS('การทำธุรกรรม'!E:E,'การทำธุรกรรม'!F:F,A501,'การทำธุรกรรม'!B:B,"รายรับ"),)</f>
        <v/>
      </c>
      <c r="C501" s="36" t="str">
        <f>IF(A501&lt;&gt;"",SUMIFS('การทำธุรกรรม'!E:E,'การทำธุรกรรม'!F:F,A501,'การทำธุรกรรม'!B:B,"รายจ่าย"),)</f>
        <v/>
      </c>
      <c r="D501" s="36" t="str">
        <f t="shared" si="1"/>
        <v/>
      </c>
    </row>
    <row r="502">
      <c r="A502" s="8"/>
      <c r="B502" s="36" t="str">
        <f>IF(A502&lt;&gt;"",SUMIFS('การทำธุรกรรม'!E:E,'การทำธุรกรรม'!F:F,A502,'การทำธุรกรรม'!B:B,"รายรับ"),)</f>
        <v/>
      </c>
      <c r="C502" s="36" t="str">
        <f>IF(A502&lt;&gt;"",SUMIFS('การทำธุรกรรม'!E:E,'การทำธุรกรรม'!F:F,A502,'การทำธุรกรรม'!B:B,"รายจ่าย"),)</f>
        <v/>
      </c>
      <c r="D502" s="36" t="str">
        <f t="shared" si="1"/>
        <v/>
      </c>
    </row>
    <row r="503">
      <c r="A503" s="8"/>
      <c r="B503" s="36" t="str">
        <f>IF(A503&lt;&gt;"",SUMIFS('การทำธุรกรรม'!E:E,'การทำธุรกรรม'!F:F,A503,'การทำธุรกรรม'!B:B,"รายรับ"),)</f>
        <v/>
      </c>
      <c r="C503" s="36" t="str">
        <f>IF(A503&lt;&gt;"",SUMIFS('การทำธุรกรรม'!E:E,'การทำธุรกรรม'!F:F,A503,'การทำธุรกรรม'!B:B,"รายจ่าย"),)</f>
        <v/>
      </c>
      <c r="D503" s="36" t="str">
        <f t="shared" si="1"/>
        <v/>
      </c>
    </row>
    <row r="504">
      <c r="A504" s="8"/>
      <c r="B504" s="36" t="str">
        <f>IF(A504&lt;&gt;"",SUMIFS('การทำธุรกรรม'!E:E,'การทำธุรกรรม'!F:F,A504,'การทำธุรกรรม'!B:B,"รายรับ"),)</f>
        <v/>
      </c>
      <c r="C504" s="36" t="str">
        <f>IF(A504&lt;&gt;"",SUMIFS('การทำธุรกรรม'!E:E,'การทำธุรกรรม'!F:F,A504,'การทำธุรกรรม'!B:B,"รายจ่าย"),)</f>
        <v/>
      </c>
      <c r="D504" s="36" t="str">
        <f t="shared" si="1"/>
        <v/>
      </c>
    </row>
    <row r="505">
      <c r="A505" s="8"/>
      <c r="B505" s="36" t="str">
        <f>IF(A505&lt;&gt;"",SUMIFS('การทำธุรกรรม'!E:E,'การทำธุรกรรม'!F:F,A505,'การทำธุรกรรม'!B:B,"รายรับ"),)</f>
        <v/>
      </c>
      <c r="C505" s="36" t="str">
        <f>IF(A505&lt;&gt;"",SUMIFS('การทำธุรกรรม'!E:E,'การทำธุรกรรม'!F:F,A505,'การทำธุรกรรม'!B:B,"รายจ่าย"),)</f>
        <v/>
      </c>
      <c r="D505" s="36" t="str">
        <f t="shared" si="1"/>
        <v/>
      </c>
    </row>
    <row r="506">
      <c r="A506" s="8"/>
      <c r="B506" s="36" t="str">
        <f>IF(A506&lt;&gt;"",SUMIFS('การทำธุรกรรม'!E:E,'การทำธุรกรรม'!F:F,A506,'การทำธุรกรรม'!B:B,"รายรับ"),)</f>
        <v/>
      </c>
      <c r="C506" s="36" t="str">
        <f>IF(A506&lt;&gt;"",SUMIFS('การทำธุรกรรม'!E:E,'การทำธุรกรรม'!F:F,A506,'การทำธุรกรรม'!B:B,"รายจ่าย"),)</f>
        <v/>
      </c>
      <c r="D506" s="36" t="str">
        <f t="shared" si="1"/>
        <v/>
      </c>
    </row>
    <row r="507">
      <c r="A507" s="8"/>
      <c r="B507" s="36" t="str">
        <f>IF(A507&lt;&gt;"",SUMIFS('การทำธุรกรรม'!E:E,'การทำธุรกรรม'!F:F,A507,'การทำธุรกรรม'!B:B,"รายรับ"),)</f>
        <v/>
      </c>
      <c r="C507" s="36" t="str">
        <f>IF(A507&lt;&gt;"",SUMIFS('การทำธุรกรรม'!E:E,'การทำธุรกรรม'!F:F,A507,'การทำธุรกรรม'!B:B,"รายจ่าย"),)</f>
        <v/>
      </c>
      <c r="D507" s="36" t="str">
        <f t="shared" si="1"/>
        <v/>
      </c>
    </row>
    <row r="508">
      <c r="A508" s="8"/>
      <c r="B508" s="36" t="str">
        <f>IF(A508&lt;&gt;"",SUMIFS('การทำธุรกรรม'!E:E,'การทำธุรกรรม'!F:F,A508,'การทำธุรกรรม'!B:B,"รายรับ"),)</f>
        <v/>
      </c>
      <c r="C508" s="36" t="str">
        <f>IF(A508&lt;&gt;"",SUMIFS('การทำธุรกรรม'!E:E,'การทำธุรกรรม'!F:F,A508,'การทำธุรกรรม'!B:B,"รายจ่าย"),)</f>
        <v/>
      </c>
      <c r="D508" s="36" t="str">
        <f t="shared" si="1"/>
        <v/>
      </c>
    </row>
    <row r="509">
      <c r="A509" s="8"/>
      <c r="B509" s="36" t="str">
        <f>IF(A509&lt;&gt;"",SUMIFS('การทำธุรกรรม'!E:E,'การทำธุรกรรม'!F:F,A509,'การทำธุรกรรม'!B:B,"รายรับ"),)</f>
        <v/>
      </c>
      <c r="C509" s="36" t="str">
        <f>IF(A509&lt;&gt;"",SUMIFS('การทำธุรกรรม'!E:E,'การทำธุรกรรม'!F:F,A509,'การทำธุรกรรม'!B:B,"รายจ่าย"),)</f>
        <v/>
      </c>
      <c r="D509" s="36" t="str">
        <f t="shared" si="1"/>
        <v/>
      </c>
    </row>
    <row r="510">
      <c r="A510" s="8"/>
      <c r="B510" s="36" t="str">
        <f>IF(A510&lt;&gt;"",SUMIFS('การทำธุรกรรม'!E:E,'การทำธุรกรรม'!F:F,A510,'การทำธุรกรรม'!B:B,"รายรับ"),)</f>
        <v/>
      </c>
      <c r="C510" s="36" t="str">
        <f>IF(A510&lt;&gt;"",SUMIFS('การทำธุรกรรม'!E:E,'การทำธุรกรรม'!F:F,A510,'การทำธุรกรรม'!B:B,"รายจ่าย"),)</f>
        <v/>
      </c>
      <c r="D510" s="36" t="str">
        <f t="shared" si="1"/>
        <v/>
      </c>
    </row>
    <row r="511">
      <c r="A511" s="8"/>
      <c r="B511" s="36" t="str">
        <f>IF(A511&lt;&gt;"",SUMIFS('การทำธุรกรรม'!E:E,'การทำธุรกรรม'!F:F,A511,'การทำธุรกรรม'!B:B,"รายรับ"),)</f>
        <v/>
      </c>
      <c r="C511" s="36" t="str">
        <f>IF(A511&lt;&gt;"",SUMIFS('การทำธุรกรรม'!E:E,'การทำธุรกรรม'!F:F,A511,'การทำธุรกรรม'!B:B,"รายจ่าย"),)</f>
        <v/>
      </c>
      <c r="D511" s="36" t="str">
        <f t="shared" si="1"/>
        <v/>
      </c>
    </row>
    <row r="512">
      <c r="A512" s="8"/>
      <c r="B512" s="36" t="str">
        <f>IF(A512&lt;&gt;"",SUMIFS('การทำธุรกรรม'!E:E,'การทำธุรกรรม'!F:F,A512,'การทำธุรกรรม'!B:B,"รายรับ"),)</f>
        <v/>
      </c>
      <c r="C512" s="36" t="str">
        <f>IF(A512&lt;&gt;"",SUMIFS('การทำธุรกรรม'!E:E,'การทำธุรกรรม'!F:F,A512,'การทำธุรกรรม'!B:B,"รายจ่าย"),)</f>
        <v/>
      </c>
      <c r="D512" s="36" t="str">
        <f t="shared" si="1"/>
        <v/>
      </c>
    </row>
    <row r="513">
      <c r="A513" s="8"/>
      <c r="B513" s="36" t="str">
        <f>IF(A513&lt;&gt;"",SUMIFS('การทำธุรกรรม'!E:E,'การทำธุรกรรม'!F:F,A513,'การทำธุรกรรม'!B:B,"รายรับ"),)</f>
        <v/>
      </c>
      <c r="C513" s="36" t="str">
        <f>IF(A513&lt;&gt;"",SUMIFS('การทำธุรกรรม'!E:E,'การทำธุรกรรม'!F:F,A513,'การทำธุรกรรม'!B:B,"รายจ่าย"),)</f>
        <v/>
      </c>
      <c r="D513" s="36" t="str">
        <f t="shared" si="1"/>
        <v/>
      </c>
    </row>
    <row r="514">
      <c r="A514" s="8"/>
      <c r="B514" s="36" t="str">
        <f>IF(A514&lt;&gt;"",SUMIFS('การทำธุรกรรม'!E:E,'การทำธุรกรรม'!F:F,A514,'การทำธุรกรรม'!B:B,"รายรับ"),)</f>
        <v/>
      </c>
      <c r="C514" s="36" t="str">
        <f>IF(A514&lt;&gt;"",SUMIFS('การทำธุรกรรม'!E:E,'การทำธุรกรรม'!F:F,A514,'การทำธุรกรรม'!B:B,"รายจ่าย"),)</f>
        <v/>
      </c>
      <c r="D514" s="36" t="str">
        <f t="shared" si="1"/>
        <v/>
      </c>
    </row>
    <row r="515">
      <c r="A515" s="8"/>
      <c r="B515" s="36" t="str">
        <f>IF(A515&lt;&gt;"",SUMIFS('การทำธุรกรรม'!E:E,'การทำธุรกรรม'!F:F,A515,'การทำธุรกรรม'!B:B,"รายรับ"),)</f>
        <v/>
      </c>
      <c r="C515" s="36" t="str">
        <f>IF(A515&lt;&gt;"",SUMIFS('การทำธุรกรรม'!E:E,'การทำธุรกรรม'!F:F,A515,'การทำธุรกรรม'!B:B,"รายจ่าย"),)</f>
        <v/>
      </c>
      <c r="D515" s="36" t="str">
        <f t="shared" si="1"/>
        <v/>
      </c>
    </row>
    <row r="516">
      <c r="A516" s="8"/>
      <c r="B516" s="36" t="str">
        <f>IF(A516&lt;&gt;"",SUMIFS('การทำธุรกรรม'!E:E,'การทำธุรกรรม'!F:F,A516,'การทำธุรกรรม'!B:B,"รายรับ"),)</f>
        <v/>
      </c>
      <c r="C516" s="36" t="str">
        <f>IF(A516&lt;&gt;"",SUMIFS('การทำธุรกรรม'!E:E,'การทำธุรกรรม'!F:F,A516,'การทำธุรกรรม'!B:B,"รายจ่าย"),)</f>
        <v/>
      </c>
      <c r="D516" s="36" t="str">
        <f t="shared" si="1"/>
        <v/>
      </c>
    </row>
    <row r="517">
      <c r="A517" s="8"/>
      <c r="B517" s="36" t="str">
        <f>IF(A517&lt;&gt;"",SUMIFS('การทำธุรกรรม'!E:E,'การทำธุรกรรม'!F:F,A517,'การทำธุรกรรม'!B:B,"รายรับ"),)</f>
        <v/>
      </c>
      <c r="C517" s="36" t="str">
        <f>IF(A517&lt;&gt;"",SUMIFS('การทำธุรกรรม'!E:E,'การทำธุรกรรม'!F:F,A517,'การทำธุรกรรม'!B:B,"รายจ่าย"),)</f>
        <v/>
      </c>
      <c r="D517" s="36" t="str">
        <f t="shared" si="1"/>
        <v/>
      </c>
    </row>
    <row r="518">
      <c r="A518" s="8"/>
      <c r="B518" s="36" t="str">
        <f>IF(A518&lt;&gt;"",SUMIFS('การทำธุรกรรม'!E:E,'การทำธุรกรรม'!F:F,A518,'การทำธุรกรรม'!B:B,"รายรับ"),)</f>
        <v/>
      </c>
      <c r="C518" s="36" t="str">
        <f>IF(A518&lt;&gt;"",SUMIFS('การทำธุรกรรม'!E:E,'การทำธุรกรรม'!F:F,A518,'การทำธุรกรรม'!B:B,"รายจ่าย"),)</f>
        <v/>
      </c>
      <c r="D518" s="36" t="str">
        <f t="shared" si="1"/>
        <v/>
      </c>
    </row>
    <row r="519">
      <c r="A519" s="8"/>
      <c r="B519" s="36" t="str">
        <f>IF(A519&lt;&gt;"",SUMIFS('การทำธุรกรรม'!E:E,'การทำธุรกรรม'!F:F,A519,'การทำธุรกรรม'!B:B,"รายรับ"),)</f>
        <v/>
      </c>
      <c r="C519" s="36" t="str">
        <f>IF(A519&lt;&gt;"",SUMIFS('การทำธุรกรรม'!E:E,'การทำธุรกรรม'!F:F,A519,'การทำธุรกรรม'!B:B,"รายจ่าย"),)</f>
        <v/>
      </c>
      <c r="D519" s="36" t="str">
        <f t="shared" si="1"/>
        <v/>
      </c>
    </row>
    <row r="520">
      <c r="A520" s="8"/>
      <c r="B520" s="36" t="str">
        <f>IF(A520&lt;&gt;"",SUMIFS('การทำธุรกรรม'!E:E,'การทำธุรกรรม'!F:F,A520,'การทำธุรกรรม'!B:B,"รายรับ"),)</f>
        <v/>
      </c>
      <c r="C520" s="36" t="str">
        <f>IF(A520&lt;&gt;"",SUMIFS('การทำธุรกรรม'!E:E,'การทำธุรกรรม'!F:F,A520,'การทำธุรกรรม'!B:B,"รายจ่าย"),)</f>
        <v/>
      </c>
      <c r="D520" s="36" t="str">
        <f t="shared" si="1"/>
        <v/>
      </c>
    </row>
    <row r="521">
      <c r="A521" s="8"/>
      <c r="B521" s="36" t="str">
        <f>IF(A521&lt;&gt;"",SUMIFS('การทำธุรกรรม'!E:E,'การทำธุรกรรม'!F:F,A521,'การทำธุรกรรม'!B:B,"รายรับ"),)</f>
        <v/>
      </c>
      <c r="C521" s="36" t="str">
        <f>IF(A521&lt;&gt;"",SUMIFS('การทำธุรกรรม'!E:E,'การทำธุรกรรม'!F:F,A521,'การทำธุรกรรม'!B:B,"รายจ่าย"),)</f>
        <v/>
      </c>
      <c r="D521" s="36" t="str">
        <f t="shared" si="1"/>
        <v/>
      </c>
    </row>
    <row r="522">
      <c r="A522" s="8"/>
      <c r="B522" s="36" t="str">
        <f>IF(A522&lt;&gt;"",SUMIFS('การทำธุรกรรม'!E:E,'การทำธุรกรรม'!F:F,A522,'การทำธุรกรรม'!B:B,"รายรับ"),)</f>
        <v/>
      </c>
      <c r="C522" s="36" t="str">
        <f>IF(A522&lt;&gt;"",SUMIFS('การทำธุรกรรม'!E:E,'การทำธุรกรรม'!F:F,A522,'การทำธุรกรรม'!B:B,"รายจ่าย"),)</f>
        <v/>
      </c>
      <c r="D522" s="36" t="str">
        <f t="shared" si="1"/>
        <v/>
      </c>
    </row>
    <row r="523">
      <c r="A523" s="8"/>
      <c r="B523" s="36" t="str">
        <f>IF(A523&lt;&gt;"",SUMIFS('การทำธุรกรรม'!E:E,'การทำธุรกรรม'!F:F,A523,'การทำธุรกรรม'!B:B,"รายรับ"),)</f>
        <v/>
      </c>
      <c r="C523" s="36" t="str">
        <f>IF(A523&lt;&gt;"",SUMIFS('การทำธุรกรรม'!E:E,'การทำธุรกรรม'!F:F,A523,'การทำธุรกรรม'!B:B,"รายจ่าย"),)</f>
        <v/>
      </c>
      <c r="D523" s="36" t="str">
        <f t="shared" si="1"/>
        <v/>
      </c>
    </row>
    <row r="524">
      <c r="A524" s="8"/>
      <c r="B524" s="36" t="str">
        <f>IF(A524&lt;&gt;"",SUMIFS('การทำธุรกรรม'!E:E,'การทำธุรกรรม'!F:F,A524,'การทำธุรกรรม'!B:B,"รายรับ"),)</f>
        <v/>
      </c>
      <c r="C524" s="36" t="str">
        <f>IF(A524&lt;&gt;"",SUMIFS('การทำธุรกรรม'!E:E,'การทำธุรกรรม'!F:F,A524,'การทำธุรกรรม'!B:B,"รายจ่าย"),)</f>
        <v/>
      </c>
      <c r="D524" s="36" t="str">
        <f t="shared" si="1"/>
        <v/>
      </c>
    </row>
    <row r="525">
      <c r="A525" s="8"/>
      <c r="B525" s="36" t="str">
        <f>IF(A525&lt;&gt;"",SUMIFS('การทำธุรกรรม'!E:E,'การทำธุรกรรม'!F:F,A525,'การทำธุรกรรม'!B:B,"รายรับ"),)</f>
        <v/>
      </c>
      <c r="C525" s="36" t="str">
        <f>IF(A525&lt;&gt;"",SUMIFS('การทำธุรกรรม'!E:E,'การทำธุรกรรม'!F:F,A525,'การทำธุรกรรม'!B:B,"รายจ่าย"),)</f>
        <v/>
      </c>
      <c r="D525" s="36" t="str">
        <f t="shared" si="1"/>
        <v/>
      </c>
    </row>
    <row r="526">
      <c r="A526" s="8"/>
      <c r="B526" s="36" t="str">
        <f>IF(A526&lt;&gt;"",SUMIFS('การทำธุรกรรม'!E:E,'การทำธุรกรรม'!F:F,A526,'การทำธุรกรรม'!B:B,"รายรับ"),)</f>
        <v/>
      </c>
      <c r="C526" s="36" t="str">
        <f>IF(A526&lt;&gt;"",SUMIFS('การทำธุรกรรม'!E:E,'การทำธุรกรรม'!F:F,A526,'การทำธุรกรรม'!B:B,"รายจ่าย"),)</f>
        <v/>
      </c>
      <c r="D526" s="36" t="str">
        <f t="shared" si="1"/>
        <v/>
      </c>
    </row>
    <row r="527">
      <c r="A527" s="8"/>
      <c r="B527" s="36" t="str">
        <f>IF(A527&lt;&gt;"",SUMIFS('การทำธุรกรรม'!E:E,'การทำธุรกรรม'!F:F,A527,'การทำธุรกรรม'!B:B,"รายรับ"),)</f>
        <v/>
      </c>
      <c r="C527" s="36" t="str">
        <f>IF(A527&lt;&gt;"",SUMIFS('การทำธุรกรรม'!E:E,'การทำธุรกรรม'!F:F,A527,'การทำธุรกรรม'!B:B,"รายจ่าย"),)</f>
        <v/>
      </c>
      <c r="D527" s="36" t="str">
        <f t="shared" si="1"/>
        <v/>
      </c>
    </row>
    <row r="528">
      <c r="A528" s="8"/>
      <c r="B528" s="36" t="str">
        <f>IF(A528&lt;&gt;"",SUMIFS('การทำธุรกรรม'!E:E,'การทำธุรกรรม'!F:F,A528,'การทำธุรกรรม'!B:B,"รายรับ"),)</f>
        <v/>
      </c>
      <c r="C528" s="36" t="str">
        <f>IF(A528&lt;&gt;"",SUMIFS('การทำธุรกรรม'!E:E,'การทำธุรกรรม'!F:F,A528,'การทำธุรกรรม'!B:B,"รายจ่าย"),)</f>
        <v/>
      </c>
      <c r="D528" s="36" t="str">
        <f t="shared" si="1"/>
        <v/>
      </c>
    </row>
    <row r="529">
      <c r="A529" s="8"/>
      <c r="B529" s="36" t="str">
        <f>IF(A529&lt;&gt;"",SUMIFS('การทำธุรกรรม'!E:E,'การทำธุรกรรม'!F:F,A529,'การทำธุรกรรม'!B:B,"รายรับ"),)</f>
        <v/>
      </c>
      <c r="C529" s="36" t="str">
        <f>IF(A529&lt;&gt;"",SUMIFS('การทำธุรกรรม'!E:E,'การทำธุรกรรม'!F:F,A529,'การทำธุรกรรม'!B:B,"รายจ่าย"),)</f>
        <v/>
      </c>
      <c r="D529" s="36" t="str">
        <f t="shared" si="1"/>
        <v/>
      </c>
    </row>
    <row r="530">
      <c r="A530" s="8"/>
      <c r="B530" s="36" t="str">
        <f>IF(A530&lt;&gt;"",SUMIFS('การทำธุรกรรม'!E:E,'การทำธุรกรรม'!F:F,A530,'การทำธุรกรรม'!B:B,"รายรับ"),)</f>
        <v/>
      </c>
      <c r="C530" s="36" t="str">
        <f>IF(A530&lt;&gt;"",SUMIFS('การทำธุรกรรม'!E:E,'การทำธุรกรรม'!F:F,A530,'การทำธุรกรรม'!B:B,"รายจ่าย"),)</f>
        <v/>
      </c>
      <c r="D530" s="36" t="str">
        <f t="shared" si="1"/>
        <v/>
      </c>
    </row>
    <row r="531">
      <c r="A531" s="8"/>
      <c r="B531" s="36" t="str">
        <f>IF(A531&lt;&gt;"",SUMIFS('การทำธุรกรรม'!E:E,'การทำธุรกรรม'!F:F,A531,'การทำธุรกรรม'!B:B,"รายรับ"),)</f>
        <v/>
      </c>
      <c r="C531" s="36" t="str">
        <f>IF(A531&lt;&gt;"",SUMIFS('การทำธุรกรรม'!E:E,'การทำธุรกรรม'!F:F,A531,'การทำธุรกรรม'!B:B,"รายจ่าย"),)</f>
        <v/>
      </c>
      <c r="D531" s="36" t="str">
        <f t="shared" si="1"/>
        <v/>
      </c>
    </row>
    <row r="532">
      <c r="A532" s="8"/>
      <c r="B532" s="36" t="str">
        <f>IF(A532&lt;&gt;"",SUMIFS('การทำธุรกรรม'!E:E,'การทำธุรกรรม'!F:F,A532,'การทำธุรกรรม'!B:B,"รายรับ"),)</f>
        <v/>
      </c>
      <c r="C532" s="36" t="str">
        <f>IF(A532&lt;&gt;"",SUMIFS('การทำธุรกรรม'!E:E,'การทำธุรกรรม'!F:F,A532,'การทำธุรกรรม'!B:B,"รายจ่าย"),)</f>
        <v/>
      </c>
      <c r="D532" s="36" t="str">
        <f t="shared" si="1"/>
        <v/>
      </c>
    </row>
    <row r="533">
      <c r="A533" s="8"/>
      <c r="B533" s="36" t="str">
        <f>IF(A533&lt;&gt;"",SUMIFS('การทำธุรกรรม'!E:E,'การทำธุรกรรม'!F:F,A533,'การทำธุรกรรม'!B:B,"รายรับ"),)</f>
        <v/>
      </c>
      <c r="C533" s="36" t="str">
        <f>IF(A533&lt;&gt;"",SUMIFS('การทำธุรกรรม'!E:E,'การทำธุรกรรม'!F:F,A533,'การทำธุรกรรม'!B:B,"รายจ่าย"),)</f>
        <v/>
      </c>
      <c r="D533" s="36" t="str">
        <f t="shared" si="1"/>
        <v/>
      </c>
    </row>
    <row r="534">
      <c r="A534" s="8"/>
      <c r="B534" s="36" t="str">
        <f>IF(A534&lt;&gt;"",SUMIFS('การทำธุรกรรม'!E:E,'การทำธุรกรรม'!F:F,A534,'การทำธุรกรรม'!B:B,"รายรับ"),)</f>
        <v/>
      </c>
      <c r="C534" s="36" t="str">
        <f>IF(A534&lt;&gt;"",SUMIFS('การทำธุรกรรม'!E:E,'การทำธุรกรรม'!F:F,A534,'การทำธุรกรรม'!B:B,"รายจ่าย"),)</f>
        <v/>
      </c>
      <c r="D534" s="36" t="str">
        <f t="shared" si="1"/>
        <v/>
      </c>
    </row>
    <row r="535">
      <c r="A535" s="8"/>
      <c r="B535" s="36" t="str">
        <f>IF(A535&lt;&gt;"",SUMIFS('การทำธุรกรรม'!E:E,'การทำธุรกรรม'!F:F,A535,'การทำธุรกรรม'!B:B,"รายรับ"),)</f>
        <v/>
      </c>
      <c r="C535" s="36" t="str">
        <f>IF(A535&lt;&gt;"",SUMIFS('การทำธุรกรรม'!E:E,'การทำธุรกรรม'!F:F,A535,'การทำธุรกรรม'!B:B,"รายจ่าย"),)</f>
        <v/>
      </c>
      <c r="D535" s="36" t="str">
        <f t="shared" si="1"/>
        <v/>
      </c>
    </row>
    <row r="536">
      <c r="A536" s="8"/>
      <c r="B536" s="36" t="str">
        <f>IF(A536&lt;&gt;"",SUMIFS('การทำธุรกรรม'!E:E,'การทำธุรกรรม'!F:F,A536,'การทำธุรกรรม'!B:B,"รายรับ"),)</f>
        <v/>
      </c>
      <c r="C536" s="36" t="str">
        <f>IF(A536&lt;&gt;"",SUMIFS('การทำธุรกรรม'!E:E,'การทำธุรกรรม'!F:F,A536,'การทำธุรกรรม'!B:B,"รายจ่าย"),)</f>
        <v/>
      </c>
      <c r="D536" s="36" t="str">
        <f t="shared" si="1"/>
        <v/>
      </c>
    </row>
    <row r="537">
      <c r="A537" s="8"/>
      <c r="B537" s="36" t="str">
        <f>IF(A537&lt;&gt;"",SUMIFS('การทำธุรกรรม'!E:E,'การทำธุรกรรม'!F:F,A537,'การทำธุรกรรม'!B:B,"รายรับ"),)</f>
        <v/>
      </c>
      <c r="C537" s="36" t="str">
        <f>IF(A537&lt;&gt;"",SUMIFS('การทำธุรกรรม'!E:E,'การทำธุรกรรม'!F:F,A537,'การทำธุรกรรม'!B:B,"รายจ่าย"),)</f>
        <v/>
      </c>
      <c r="D537" s="36" t="str">
        <f t="shared" si="1"/>
        <v/>
      </c>
    </row>
    <row r="538">
      <c r="A538" s="8"/>
      <c r="B538" s="36" t="str">
        <f>IF(A538&lt;&gt;"",SUMIFS('การทำธุรกรรม'!E:E,'การทำธุรกรรม'!F:F,A538,'การทำธุรกรรม'!B:B,"รายรับ"),)</f>
        <v/>
      </c>
      <c r="C538" s="36" t="str">
        <f>IF(A538&lt;&gt;"",SUMIFS('การทำธุรกรรม'!E:E,'การทำธุรกรรม'!F:F,A538,'การทำธุรกรรม'!B:B,"รายจ่าย"),)</f>
        <v/>
      </c>
      <c r="D538" s="36" t="str">
        <f t="shared" si="1"/>
        <v/>
      </c>
    </row>
    <row r="539">
      <c r="A539" s="8"/>
      <c r="B539" s="36" t="str">
        <f>IF(A539&lt;&gt;"",SUMIFS('การทำธุรกรรม'!E:E,'การทำธุรกรรม'!F:F,A539,'การทำธุรกรรม'!B:B,"รายรับ"),)</f>
        <v/>
      </c>
      <c r="C539" s="36" t="str">
        <f>IF(A539&lt;&gt;"",SUMIFS('การทำธุรกรรม'!E:E,'การทำธุรกรรม'!F:F,A539,'การทำธุรกรรม'!B:B,"รายจ่าย"),)</f>
        <v/>
      </c>
      <c r="D539" s="36" t="str">
        <f t="shared" si="1"/>
        <v/>
      </c>
    </row>
    <row r="540">
      <c r="A540" s="8"/>
      <c r="B540" s="36" t="str">
        <f>IF(A540&lt;&gt;"",SUMIFS('การทำธุรกรรม'!E:E,'การทำธุรกรรม'!F:F,A540,'การทำธุรกรรม'!B:B,"รายรับ"),)</f>
        <v/>
      </c>
      <c r="C540" s="36" t="str">
        <f>IF(A540&lt;&gt;"",SUMIFS('การทำธุรกรรม'!E:E,'การทำธุรกรรม'!F:F,A540,'การทำธุรกรรม'!B:B,"รายจ่าย"),)</f>
        <v/>
      </c>
      <c r="D540" s="36" t="str">
        <f t="shared" si="1"/>
        <v/>
      </c>
    </row>
    <row r="541">
      <c r="A541" s="8"/>
      <c r="B541" s="36" t="str">
        <f>IF(A541&lt;&gt;"",SUMIFS('การทำธุรกรรม'!E:E,'การทำธุรกรรม'!F:F,A541,'การทำธุรกรรม'!B:B,"รายรับ"),)</f>
        <v/>
      </c>
      <c r="C541" s="36" t="str">
        <f>IF(A541&lt;&gt;"",SUMIFS('การทำธุรกรรม'!E:E,'การทำธุรกรรม'!F:F,A541,'การทำธุรกรรม'!B:B,"รายจ่าย"),)</f>
        <v/>
      </c>
      <c r="D541" s="36" t="str">
        <f t="shared" si="1"/>
        <v/>
      </c>
    </row>
    <row r="542">
      <c r="A542" s="8"/>
      <c r="B542" s="36" t="str">
        <f>IF(A542&lt;&gt;"",SUMIFS('การทำธุรกรรม'!E:E,'การทำธุรกรรม'!F:F,A542,'การทำธุรกรรม'!B:B,"รายรับ"),)</f>
        <v/>
      </c>
      <c r="C542" s="36" t="str">
        <f>IF(A542&lt;&gt;"",SUMIFS('การทำธุรกรรม'!E:E,'การทำธุรกรรม'!F:F,A542,'การทำธุรกรรม'!B:B,"รายจ่าย"),)</f>
        <v/>
      </c>
      <c r="D542" s="36" t="str">
        <f t="shared" si="1"/>
        <v/>
      </c>
    </row>
    <row r="543">
      <c r="A543" s="8"/>
      <c r="B543" s="36" t="str">
        <f>IF(A543&lt;&gt;"",SUMIFS('การทำธุรกรรม'!E:E,'การทำธุรกรรม'!F:F,A543,'การทำธุรกรรม'!B:B,"รายรับ"),)</f>
        <v/>
      </c>
      <c r="C543" s="36" t="str">
        <f>IF(A543&lt;&gt;"",SUMIFS('การทำธุรกรรม'!E:E,'การทำธุรกรรม'!F:F,A543,'การทำธุรกรรม'!B:B,"รายจ่าย"),)</f>
        <v/>
      </c>
      <c r="D543" s="36" t="str">
        <f t="shared" si="1"/>
        <v/>
      </c>
    </row>
    <row r="544">
      <c r="A544" s="8"/>
      <c r="B544" s="36" t="str">
        <f>IF(A544&lt;&gt;"",SUMIFS('การทำธุรกรรม'!E:E,'การทำธุรกรรม'!F:F,A544,'การทำธุรกรรม'!B:B,"รายรับ"),)</f>
        <v/>
      </c>
      <c r="C544" s="36" t="str">
        <f>IF(A544&lt;&gt;"",SUMIFS('การทำธุรกรรม'!E:E,'การทำธุรกรรม'!F:F,A544,'การทำธุรกรรม'!B:B,"รายจ่าย"),)</f>
        <v/>
      </c>
      <c r="D544" s="36" t="str">
        <f t="shared" si="1"/>
        <v/>
      </c>
    </row>
    <row r="545">
      <c r="A545" s="8"/>
      <c r="B545" s="36" t="str">
        <f>IF(A545&lt;&gt;"",SUMIFS('การทำธุรกรรม'!E:E,'การทำธุรกรรม'!F:F,A545,'การทำธุรกรรม'!B:B,"รายรับ"),)</f>
        <v/>
      </c>
      <c r="C545" s="36" t="str">
        <f>IF(A545&lt;&gt;"",SUMIFS('การทำธุรกรรม'!E:E,'การทำธุรกรรม'!F:F,A545,'การทำธุรกรรม'!B:B,"รายจ่าย"),)</f>
        <v/>
      </c>
      <c r="D545" s="36" t="str">
        <f t="shared" si="1"/>
        <v/>
      </c>
    </row>
    <row r="546">
      <c r="A546" s="8"/>
      <c r="B546" s="36" t="str">
        <f>IF(A546&lt;&gt;"",SUMIFS('การทำธุรกรรม'!E:E,'การทำธุรกรรม'!F:F,A546,'การทำธุรกรรม'!B:B,"รายรับ"),)</f>
        <v/>
      </c>
      <c r="C546" s="36" t="str">
        <f>IF(A546&lt;&gt;"",SUMIFS('การทำธุรกรรม'!E:E,'การทำธุรกรรม'!F:F,A546,'การทำธุรกรรม'!B:B,"รายจ่าย"),)</f>
        <v/>
      </c>
      <c r="D546" s="36" t="str">
        <f t="shared" si="1"/>
        <v/>
      </c>
    </row>
    <row r="547">
      <c r="A547" s="8"/>
      <c r="B547" s="36" t="str">
        <f>IF(A547&lt;&gt;"",SUMIFS('การทำธุรกรรม'!E:E,'การทำธุรกรรม'!F:F,A547,'การทำธุรกรรม'!B:B,"รายรับ"),)</f>
        <v/>
      </c>
      <c r="C547" s="36" t="str">
        <f>IF(A547&lt;&gt;"",SUMIFS('การทำธุรกรรม'!E:E,'การทำธุรกรรม'!F:F,A547,'การทำธุรกรรม'!B:B,"รายจ่าย"),)</f>
        <v/>
      </c>
      <c r="D547" s="36" t="str">
        <f t="shared" si="1"/>
        <v/>
      </c>
    </row>
    <row r="548">
      <c r="A548" s="8"/>
      <c r="B548" s="36" t="str">
        <f>IF(A548&lt;&gt;"",SUMIFS('การทำธุรกรรม'!E:E,'การทำธุรกรรม'!F:F,A548,'การทำธุรกรรม'!B:B,"รายรับ"),)</f>
        <v/>
      </c>
      <c r="C548" s="36" t="str">
        <f>IF(A548&lt;&gt;"",SUMIFS('การทำธุรกรรม'!E:E,'การทำธุรกรรม'!F:F,A548,'การทำธุรกรรม'!B:B,"รายจ่าย"),)</f>
        <v/>
      </c>
      <c r="D548" s="36" t="str">
        <f t="shared" si="1"/>
        <v/>
      </c>
    </row>
    <row r="549">
      <c r="A549" s="8"/>
      <c r="B549" s="36" t="str">
        <f>IF(A549&lt;&gt;"",SUMIFS('การทำธุรกรรม'!E:E,'การทำธุรกรรม'!F:F,A549,'การทำธุรกรรม'!B:B,"รายรับ"),)</f>
        <v/>
      </c>
      <c r="C549" s="36" t="str">
        <f>IF(A549&lt;&gt;"",SUMIFS('การทำธุรกรรม'!E:E,'การทำธุรกรรม'!F:F,A549,'การทำธุรกรรม'!B:B,"รายจ่าย"),)</f>
        <v/>
      </c>
      <c r="D549" s="36" t="str">
        <f t="shared" si="1"/>
        <v/>
      </c>
    </row>
    <row r="550">
      <c r="A550" s="8"/>
      <c r="B550" s="36" t="str">
        <f>IF(A550&lt;&gt;"",SUMIFS('การทำธุรกรรม'!E:E,'การทำธุรกรรม'!F:F,A550,'การทำธุรกรรม'!B:B,"รายรับ"),)</f>
        <v/>
      </c>
      <c r="C550" s="36" t="str">
        <f>IF(A550&lt;&gt;"",SUMIFS('การทำธุรกรรม'!E:E,'การทำธุรกรรม'!F:F,A550,'การทำธุรกรรม'!B:B,"รายจ่าย"),)</f>
        <v/>
      </c>
      <c r="D550" s="36" t="str">
        <f t="shared" si="1"/>
        <v/>
      </c>
    </row>
    <row r="551">
      <c r="A551" s="8"/>
      <c r="B551" s="36" t="str">
        <f>IF(A551&lt;&gt;"",SUMIFS('การทำธุรกรรม'!E:E,'การทำธุรกรรม'!F:F,A551,'การทำธุรกรรม'!B:B,"รายรับ"),)</f>
        <v/>
      </c>
      <c r="C551" s="36" t="str">
        <f>IF(A551&lt;&gt;"",SUMIFS('การทำธุรกรรม'!E:E,'การทำธุรกรรม'!F:F,A551,'การทำธุรกรรม'!B:B,"รายจ่าย"),)</f>
        <v/>
      </c>
      <c r="D551" s="36" t="str">
        <f t="shared" si="1"/>
        <v/>
      </c>
    </row>
    <row r="552">
      <c r="A552" s="8"/>
      <c r="B552" s="36" t="str">
        <f>IF(A552&lt;&gt;"",SUMIFS('การทำธุรกรรม'!E:E,'การทำธุรกรรม'!F:F,A552,'การทำธุรกรรม'!B:B,"รายรับ"),)</f>
        <v/>
      </c>
      <c r="C552" s="36" t="str">
        <f>IF(A552&lt;&gt;"",SUMIFS('การทำธุรกรรม'!E:E,'การทำธุรกรรม'!F:F,A552,'การทำธุรกรรม'!B:B,"รายจ่าย"),)</f>
        <v/>
      </c>
      <c r="D552" s="36" t="str">
        <f t="shared" si="1"/>
        <v/>
      </c>
    </row>
    <row r="553">
      <c r="A553" s="8"/>
      <c r="B553" s="36" t="str">
        <f>IF(A553&lt;&gt;"",SUMIFS('การทำธุรกรรม'!E:E,'การทำธุรกรรม'!F:F,A553,'การทำธุรกรรม'!B:B,"รายรับ"),)</f>
        <v/>
      </c>
      <c r="C553" s="36" t="str">
        <f>IF(A553&lt;&gt;"",SUMIFS('การทำธุรกรรม'!E:E,'การทำธุรกรรม'!F:F,A553,'การทำธุรกรรม'!B:B,"รายจ่าย"),)</f>
        <v/>
      </c>
      <c r="D553" s="36" t="str">
        <f t="shared" si="1"/>
        <v/>
      </c>
    </row>
    <row r="554">
      <c r="A554" s="8"/>
      <c r="B554" s="36" t="str">
        <f>IF(A554&lt;&gt;"",SUMIFS('การทำธุรกรรม'!E:E,'การทำธุรกรรม'!F:F,A554,'การทำธุรกรรม'!B:B,"รายรับ"),)</f>
        <v/>
      </c>
      <c r="C554" s="36" t="str">
        <f>IF(A554&lt;&gt;"",SUMIFS('การทำธุรกรรม'!E:E,'การทำธุรกรรม'!F:F,A554,'การทำธุรกรรม'!B:B,"รายจ่าย"),)</f>
        <v/>
      </c>
      <c r="D554" s="36" t="str">
        <f t="shared" si="1"/>
        <v/>
      </c>
    </row>
    <row r="555">
      <c r="A555" s="8"/>
      <c r="B555" s="36" t="str">
        <f>IF(A555&lt;&gt;"",SUMIFS('การทำธุรกรรม'!E:E,'การทำธุรกรรม'!F:F,A555,'การทำธุรกรรม'!B:B,"รายรับ"),)</f>
        <v/>
      </c>
      <c r="C555" s="36" t="str">
        <f>IF(A555&lt;&gt;"",SUMIFS('การทำธุรกรรม'!E:E,'การทำธุรกรรม'!F:F,A555,'การทำธุรกรรม'!B:B,"รายจ่าย"),)</f>
        <v/>
      </c>
      <c r="D555" s="36" t="str">
        <f t="shared" si="1"/>
        <v/>
      </c>
    </row>
    <row r="556">
      <c r="A556" s="8"/>
      <c r="B556" s="36" t="str">
        <f>IF(A556&lt;&gt;"",SUMIFS('การทำธุรกรรม'!E:E,'การทำธุรกรรม'!F:F,A556,'การทำธุรกรรม'!B:B,"รายรับ"),)</f>
        <v/>
      </c>
      <c r="C556" s="36" t="str">
        <f>IF(A556&lt;&gt;"",SUMIFS('การทำธุรกรรม'!E:E,'การทำธุรกรรม'!F:F,A556,'การทำธุรกรรม'!B:B,"รายจ่าย"),)</f>
        <v/>
      </c>
      <c r="D556" s="36" t="str">
        <f t="shared" si="1"/>
        <v/>
      </c>
    </row>
    <row r="557">
      <c r="A557" s="8"/>
      <c r="B557" s="36" t="str">
        <f>IF(A557&lt;&gt;"",SUMIFS('การทำธุรกรรม'!E:E,'การทำธุรกรรม'!F:F,A557,'การทำธุรกรรม'!B:B,"รายรับ"),)</f>
        <v/>
      </c>
      <c r="C557" s="36" t="str">
        <f>IF(A557&lt;&gt;"",SUMIFS('การทำธุรกรรม'!E:E,'การทำธุรกรรม'!F:F,A557,'การทำธุรกรรม'!B:B,"รายจ่าย"),)</f>
        <v/>
      </c>
      <c r="D557" s="36" t="str">
        <f t="shared" si="1"/>
        <v/>
      </c>
    </row>
    <row r="558">
      <c r="A558" s="8"/>
      <c r="B558" s="36" t="str">
        <f>IF(A558&lt;&gt;"",SUMIFS('การทำธุรกรรม'!E:E,'การทำธุรกรรม'!F:F,A558,'การทำธุรกรรม'!B:B,"รายรับ"),)</f>
        <v/>
      </c>
      <c r="C558" s="36" t="str">
        <f>IF(A558&lt;&gt;"",SUMIFS('การทำธุรกรรม'!E:E,'การทำธุรกรรม'!F:F,A558,'การทำธุรกรรม'!B:B,"รายจ่าย"),)</f>
        <v/>
      </c>
      <c r="D558" s="36" t="str">
        <f t="shared" si="1"/>
        <v/>
      </c>
    </row>
    <row r="559">
      <c r="A559" s="8"/>
      <c r="B559" s="36" t="str">
        <f>IF(A559&lt;&gt;"",SUMIFS('การทำธุรกรรม'!E:E,'การทำธุรกรรม'!F:F,A559,'การทำธุรกรรม'!B:B,"รายรับ"),)</f>
        <v/>
      </c>
      <c r="C559" s="36" t="str">
        <f>IF(A559&lt;&gt;"",SUMIFS('การทำธุรกรรม'!E:E,'การทำธุรกรรม'!F:F,A559,'การทำธุรกรรม'!B:B,"รายจ่าย"),)</f>
        <v/>
      </c>
      <c r="D559" s="36" t="str">
        <f t="shared" si="1"/>
        <v/>
      </c>
    </row>
    <row r="560">
      <c r="A560" s="8"/>
      <c r="B560" s="36" t="str">
        <f>IF(A560&lt;&gt;"",SUMIFS('การทำธุรกรรม'!E:E,'การทำธุรกรรม'!F:F,A560,'การทำธุรกรรม'!B:B,"รายรับ"),)</f>
        <v/>
      </c>
      <c r="C560" s="36" t="str">
        <f>IF(A560&lt;&gt;"",SUMIFS('การทำธุรกรรม'!E:E,'การทำธุรกรรม'!F:F,A560,'การทำธุรกรรม'!B:B,"รายจ่าย"),)</f>
        <v/>
      </c>
      <c r="D560" s="36" t="str">
        <f t="shared" si="1"/>
        <v/>
      </c>
    </row>
    <row r="561">
      <c r="A561" s="8"/>
      <c r="B561" s="36" t="str">
        <f>IF(A561&lt;&gt;"",SUMIFS('การทำธุรกรรม'!E:E,'การทำธุรกรรม'!F:F,A561,'การทำธุรกรรม'!B:B,"รายรับ"),)</f>
        <v/>
      </c>
      <c r="C561" s="36" t="str">
        <f>IF(A561&lt;&gt;"",SUMIFS('การทำธุรกรรม'!E:E,'การทำธุรกรรม'!F:F,A561,'การทำธุรกรรม'!B:B,"รายจ่าย"),)</f>
        <v/>
      </c>
      <c r="D561" s="36" t="str">
        <f t="shared" si="1"/>
        <v/>
      </c>
    </row>
    <row r="562">
      <c r="A562" s="8"/>
      <c r="B562" s="36" t="str">
        <f>IF(A562&lt;&gt;"",SUMIFS('การทำธุรกรรม'!E:E,'การทำธุรกรรม'!F:F,A562,'การทำธุรกรรม'!B:B,"รายรับ"),)</f>
        <v/>
      </c>
      <c r="C562" s="36" t="str">
        <f>IF(A562&lt;&gt;"",SUMIFS('การทำธุรกรรม'!E:E,'การทำธุรกรรม'!F:F,A562,'การทำธุรกรรม'!B:B,"รายจ่าย"),)</f>
        <v/>
      </c>
      <c r="D562" s="36" t="str">
        <f t="shared" si="1"/>
        <v/>
      </c>
    </row>
    <row r="563">
      <c r="A563" s="8"/>
      <c r="B563" s="36" t="str">
        <f>IF(A563&lt;&gt;"",SUMIFS('การทำธุรกรรม'!E:E,'การทำธุรกรรม'!F:F,A563,'การทำธุรกรรม'!B:B,"รายรับ"),)</f>
        <v/>
      </c>
      <c r="C563" s="36" t="str">
        <f>IF(A563&lt;&gt;"",SUMIFS('การทำธุรกรรม'!E:E,'การทำธุรกรรม'!F:F,A563,'การทำธุรกรรม'!B:B,"รายจ่าย"),)</f>
        <v/>
      </c>
      <c r="D563" s="36" t="str">
        <f t="shared" si="1"/>
        <v/>
      </c>
    </row>
    <row r="564">
      <c r="A564" s="8"/>
      <c r="B564" s="36" t="str">
        <f>IF(A564&lt;&gt;"",SUMIFS('การทำธุรกรรม'!E:E,'การทำธุรกรรม'!F:F,A564,'การทำธุรกรรม'!B:B,"รายรับ"),)</f>
        <v/>
      </c>
      <c r="C564" s="36" t="str">
        <f>IF(A564&lt;&gt;"",SUMIFS('การทำธุรกรรม'!E:E,'การทำธุรกรรม'!F:F,A564,'การทำธุรกรรม'!B:B,"รายจ่าย"),)</f>
        <v/>
      </c>
      <c r="D564" s="36" t="str">
        <f t="shared" si="1"/>
        <v/>
      </c>
    </row>
    <row r="565">
      <c r="A565" s="8"/>
      <c r="B565" s="36" t="str">
        <f>IF(A565&lt;&gt;"",SUMIFS('การทำธุรกรรม'!E:E,'การทำธุรกรรม'!F:F,A565,'การทำธุรกรรม'!B:B,"รายรับ"),)</f>
        <v/>
      </c>
      <c r="C565" s="36" t="str">
        <f>IF(A565&lt;&gt;"",SUMIFS('การทำธุรกรรม'!E:E,'การทำธุรกรรม'!F:F,A565,'การทำธุรกรรม'!B:B,"รายจ่าย"),)</f>
        <v/>
      </c>
      <c r="D565" s="36" t="str">
        <f t="shared" si="1"/>
        <v/>
      </c>
    </row>
    <row r="566">
      <c r="A566" s="8"/>
      <c r="B566" s="36" t="str">
        <f>IF(A566&lt;&gt;"",SUMIFS('การทำธุรกรรม'!E:E,'การทำธุรกรรม'!F:F,A566,'การทำธุรกรรม'!B:B,"รายรับ"),)</f>
        <v/>
      </c>
      <c r="C566" s="36" t="str">
        <f>IF(A566&lt;&gt;"",SUMIFS('การทำธุรกรรม'!E:E,'การทำธุรกรรม'!F:F,A566,'การทำธุรกรรม'!B:B,"รายจ่าย"),)</f>
        <v/>
      </c>
      <c r="D566" s="36" t="str">
        <f t="shared" si="1"/>
        <v/>
      </c>
    </row>
    <row r="567">
      <c r="A567" s="8"/>
      <c r="B567" s="36" t="str">
        <f>IF(A567&lt;&gt;"",SUMIFS('การทำธุรกรรม'!E:E,'การทำธุรกรรม'!F:F,A567,'การทำธุรกรรม'!B:B,"รายรับ"),)</f>
        <v/>
      </c>
      <c r="C567" s="36" t="str">
        <f>IF(A567&lt;&gt;"",SUMIFS('การทำธุรกรรม'!E:E,'การทำธุรกรรม'!F:F,A567,'การทำธุรกรรม'!B:B,"รายจ่าย"),)</f>
        <v/>
      </c>
      <c r="D567" s="36" t="str">
        <f t="shared" si="1"/>
        <v/>
      </c>
    </row>
    <row r="568">
      <c r="A568" s="8"/>
      <c r="B568" s="36" t="str">
        <f>IF(A568&lt;&gt;"",SUMIFS('การทำธุรกรรม'!E:E,'การทำธุรกรรม'!F:F,A568,'การทำธุรกรรม'!B:B,"รายรับ"),)</f>
        <v/>
      </c>
      <c r="C568" s="36" t="str">
        <f>IF(A568&lt;&gt;"",SUMIFS('การทำธุรกรรม'!E:E,'การทำธุรกรรม'!F:F,A568,'การทำธุรกรรม'!B:B,"รายจ่าย"),)</f>
        <v/>
      </c>
      <c r="D568" s="36" t="str">
        <f t="shared" si="1"/>
        <v/>
      </c>
    </row>
    <row r="569">
      <c r="A569" s="8"/>
      <c r="B569" s="36" t="str">
        <f>IF(A569&lt;&gt;"",SUMIFS('การทำธุรกรรม'!E:E,'การทำธุรกรรม'!F:F,A569,'การทำธุรกรรม'!B:B,"รายรับ"),)</f>
        <v/>
      </c>
      <c r="C569" s="36" t="str">
        <f>IF(A569&lt;&gt;"",SUMIFS('การทำธุรกรรม'!E:E,'การทำธุรกรรม'!F:F,A569,'การทำธุรกรรม'!B:B,"รายจ่าย"),)</f>
        <v/>
      </c>
      <c r="D569" s="36" t="str">
        <f t="shared" si="1"/>
        <v/>
      </c>
    </row>
    <row r="570">
      <c r="A570" s="8"/>
      <c r="B570" s="36" t="str">
        <f>IF(A570&lt;&gt;"",SUMIFS('การทำธุรกรรม'!E:E,'การทำธุรกรรม'!F:F,A570,'การทำธุรกรรม'!B:B,"รายรับ"),)</f>
        <v/>
      </c>
      <c r="C570" s="36" t="str">
        <f>IF(A570&lt;&gt;"",SUMIFS('การทำธุรกรรม'!E:E,'การทำธุรกรรม'!F:F,A570,'การทำธุรกรรม'!B:B,"รายจ่าย"),)</f>
        <v/>
      </c>
      <c r="D570" s="36" t="str">
        <f t="shared" si="1"/>
        <v/>
      </c>
    </row>
    <row r="571">
      <c r="A571" s="8"/>
      <c r="B571" s="36" t="str">
        <f>IF(A571&lt;&gt;"",SUMIFS('การทำธุรกรรม'!E:E,'การทำธุรกรรม'!F:F,A571,'การทำธุรกรรม'!B:B,"รายรับ"),)</f>
        <v/>
      </c>
      <c r="C571" s="36" t="str">
        <f>IF(A571&lt;&gt;"",SUMIFS('การทำธุรกรรม'!E:E,'การทำธุรกรรม'!F:F,A571,'การทำธุรกรรม'!B:B,"รายจ่าย"),)</f>
        <v/>
      </c>
      <c r="D571" s="36" t="str">
        <f t="shared" si="1"/>
        <v/>
      </c>
    </row>
    <row r="572">
      <c r="A572" s="8"/>
      <c r="B572" s="36" t="str">
        <f>IF(A572&lt;&gt;"",SUMIFS('การทำธุรกรรม'!E:E,'การทำธุรกรรม'!F:F,A572,'การทำธุรกรรม'!B:B,"รายรับ"),)</f>
        <v/>
      </c>
      <c r="C572" s="36" t="str">
        <f>IF(A572&lt;&gt;"",SUMIFS('การทำธุรกรรม'!E:E,'การทำธุรกรรม'!F:F,A572,'การทำธุรกรรม'!B:B,"รายจ่าย"),)</f>
        <v/>
      </c>
      <c r="D572" s="36" t="str">
        <f t="shared" si="1"/>
        <v/>
      </c>
    </row>
    <row r="573">
      <c r="A573" s="8"/>
      <c r="B573" s="36" t="str">
        <f>IF(A573&lt;&gt;"",SUMIFS('การทำธุรกรรม'!E:E,'การทำธุรกรรม'!F:F,A573,'การทำธุรกรรม'!B:B,"รายรับ"),)</f>
        <v/>
      </c>
      <c r="C573" s="36" t="str">
        <f>IF(A573&lt;&gt;"",SUMIFS('การทำธุรกรรม'!E:E,'การทำธุรกรรม'!F:F,A573,'การทำธุรกรรม'!B:B,"รายจ่าย"),)</f>
        <v/>
      </c>
      <c r="D573" s="36" t="str">
        <f t="shared" si="1"/>
        <v/>
      </c>
    </row>
    <row r="574">
      <c r="A574" s="8"/>
      <c r="B574" s="36" t="str">
        <f>IF(A574&lt;&gt;"",SUMIFS('การทำธุรกรรม'!E:E,'การทำธุรกรรม'!F:F,A574,'การทำธุรกรรม'!B:B,"รายรับ"),)</f>
        <v/>
      </c>
      <c r="C574" s="36" t="str">
        <f>IF(A574&lt;&gt;"",SUMIFS('การทำธุรกรรม'!E:E,'การทำธุรกรรม'!F:F,A574,'การทำธุรกรรม'!B:B,"รายจ่าย"),)</f>
        <v/>
      </c>
      <c r="D574" s="36" t="str">
        <f t="shared" si="1"/>
        <v/>
      </c>
    </row>
    <row r="575">
      <c r="A575" s="8"/>
      <c r="B575" s="36" t="str">
        <f>IF(A575&lt;&gt;"",SUMIFS('การทำธุรกรรม'!E:E,'การทำธุรกรรม'!F:F,A575,'การทำธุรกรรม'!B:B,"รายรับ"),)</f>
        <v/>
      </c>
      <c r="C575" s="36" t="str">
        <f>IF(A575&lt;&gt;"",SUMIFS('การทำธุรกรรม'!E:E,'การทำธุรกรรม'!F:F,A575,'การทำธุรกรรม'!B:B,"รายจ่าย"),)</f>
        <v/>
      </c>
      <c r="D575" s="36" t="str">
        <f t="shared" si="1"/>
        <v/>
      </c>
    </row>
    <row r="576">
      <c r="A576" s="8"/>
      <c r="B576" s="36" t="str">
        <f>IF(A576&lt;&gt;"",SUMIFS('การทำธุรกรรม'!E:E,'การทำธุรกรรม'!F:F,A576,'การทำธุรกรรม'!B:B,"รายรับ"),)</f>
        <v/>
      </c>
      <c r="C576" s="36" t="str">
        <f>IF(A576&lt;&gt;"",SUMIFS('การทำธุรกรรม'!E:E,'การทำธุรกรรม'!F:F,A576,'การทำธุรกรรม'!B:B,"รายจ่าย"),)</f>
        <v/>
      </c>
      <c r="D576" s="36" t="str">
        <f t="shared" si="1"/>
        <v/>
      </c>
    </row>
    <row r="577">
      <c r="A577" s="8"/>
      <c r="B577" s="36" t="str">
        <f>IF(A577&lt;&gt;"",SUMIFS('การทำธุรกรรม'!E:E,'การทำธุรกรรม'!F:F,A577,'การทำธุรกรรม'!B:B,"รายรับ"),)</f>
        <v/>
      </c>
      <c r="C577" s="36" t="str">
        <f>IF(A577&lt;&gt;"",SUMIFS('การทำธุรกรรม'!E:E,'การทำธุรกรรม'!F:F,A577,'การทำธุรกรรม'!B:B,"รายจ่าย"),)</f>
        <v/>
      </c>
      <c r="D577" s="36" t="str">
        <f t="shared" si="1"/>
        <v/>
      </c>
    </row>
    <row r="578">
      <c r="A578" s="8"/>
      <c r="B578" s="36" t="str">
        <f>IF(A578&lt;&gt;"",SUMIFS('การทำธุรกรรม'!E:E,'การทำธุรกรรม'!F:F,A578,'การทำธุรกรรม'!B:B,"รายรับ"),)</f>
        <v/>
      </c>
      <c r="C578" s="36" t="str">
        <f>IF(A578&lt;&gt;"",SUMIFS('การทำธุรกรรม'!E:E,'การทำธุรกรรม'!F:F,A578,'การทำธุรกรรม'!B:B,"รายจ่าย"),)</f>
        <v/>
      </c>
      <c r="D578" s="36" t="str">
        <f t="shared" si="1"/>
        <v/>
      </c>
    </row>
    <row r="579">
      <c r="A579" s="8"/>
      <c r="B579" s="36" t="str">
        <f>IF(A579&lt;&gt;"",SUMIFS('การทำธุรกรรม'!E:E,'การทำธุรกรรม'!F:F,A579,'การทำธุรกรรม'!B:B,"รายรับ"),)</f>
        <v/>
      </c>
      <c r="C579" s="36" t="str">
        <f>IF(A579&lt;&gt;"",SUMIFS('การทำธุรกรรม'!E:E,'การทำธุรกรรม'!F:F,A579,'การทำธุรกรรม'!B:B,"รายจ่าย"),)</f>
        <v/>
      </c>
      <c r="D579" s="36" t="str">
        <f t="shared" si="1"/>
        <v/>
      </c>
    </row>
    <row r="580">
      <c r="A580" s="8"/>
      <c r="B580" s="36" t="str">
        <f>IF(A580&lt;&gt;"",SUMIFS('การทำธุรกรรม'!E:E,'การทำธุรกรรม'!F:F,A580,'การทำธุรกรรม'!B:B,"รายรับ"),)</f>
        <v/>
      </c>
      <c r="C580" s="36" t="str">
        <f>IF(A580&lt;&gt;"",SUMIFS('การทำธุรกรรม'!E:E,'การทำธุรกรรม'!F:F,A580,'การทำธุรกรรม'!B:B,"รายจ่าย"),)</f>
        <v/>
      </c>
      <c r="D580" s="36" t="str">
        <f t="shared" si="1"/>
        <v/>
      </c>
    </row>
    <row r="581">
      <c r="A581" s="8"/>
      <c r="B581" s="36" t="str">
        <f>IF(A581&lt;&gt;"",SUMIFS('การทำธุรกรรม'!E:E,'การทำธุรกรรม'!F:F,A581,'การทำธุรกรรม'!B:B,"รายรับ"),)</f>
        <v/>
      </c>
      <c r="C581" s="36" t="str">
        <f>IF(A581&lt;&gt;"",SUMIFS('การทำธุรกรรม'!E:E,'การทำธุรกรรม'!F:F,A581,'การทำธุรกรรม'!B:B,"รายจ่าย"),)</f>
        <v/>
      </c>
      <c r="D581" s="36" t="str">
        <f t="shared" si="1"/>
        <v/>
      </c>
    </row>
    <row r="582">
      <c r="A582" s="8"/>
      <c r="B582" s="36" t="str">
        <f>IF(A582&lt;&gt;"",SUMIFS('การทำธุรกรรม'!E:E,'การทำธุรกรรม'!F:F,A582,'การทำธุรกรรม'!B:B,"รายรับ"),)</f>
        <v/>
      </c>
      <c r="C582" s="36" t="str">
        <f>IF(A582&lt;&gt;"",SUMIFS('การทำธุรกรรม'!E:E,'การทำธุรกรรม'!F:F,A582,'การทำธุรกรรม'!B:B,"รายจ่าย"),)</f>
        <v/>
      </c>
      <c r="D582" s="36" t="str">
        <f t="shared" si="1"/>
        <v/>
      </c>
    </row>
    <row r="583">
      <c r="A583" s="8"/>
      <c r="B583" s="36" t="str">
        <f>IF(A583&lt;&gt;"",SUMIFS('การทำธุรกรรม'!E:E,'การทำธุรกรรม'!F:F,A583,'การทำธุรกรรม'!B:B,"รายรับ"),)</f>
        <v/>
      </c>
      <c r="C583" s="36" t="str">
        <f>IF(A583&lt;&gt;"",SUMIFS('การทำธุรกรรม'!E:E,'การทำธุรกรรม'!F:F,A583,'การทำธุรกรรม'!B:B,"รายจ่าย"),)</f>
        <v/>
      </c>
      <c r="D583" s="36" t="str">
        <f t="shared" si="1"/>
        <v/>
      </c>
    </row>
    <row r="584">
      <c r="A584" s="8"/>
      <c r="B584" s="36" t="str">
        <f>IF(A584&lt;&gt;"",SUMIFS('การทำธุรกรรม'!E:E,'การทำธุรกรรม'!F:F,A584,'การทำธุรกรรม'!B:B,"รายรับ"),)</f>
        <v/>
      </c>
      <c r="C584" s="36" t="str">
        <f>IF(A584&lt;&gt;"",SUMIFS('การทำธุรกรรม'!E:E,'การทำธุรกรรม'!F:F,A584,'การทำธุรกรรม'!B:B,"รายจ่าย"),)</f>
        <v/>
      </c>
      <c r="D584" s="36" t="str">
        <f t="shared" si="1"/>
        <v/>
      </c>
    </row>
    <row r="585">
      <c r="A585" s="8"/>
      <c r="B585" s="36" t="str">
        <f>IF(A585&lt;&gt;"",SUMIFS('การทำธุรกรรม'!E:E,'การทำธุรกรรม'!F:F,A585,'การทำธุรกรรม'!B:B,"รายรับ"),)</f>
        <v/>
      </c>
      <c r="C585" s="36" t="str">
        <f>IF(A585&lt;&gt;"",SUMIFS('การทำธุรกรรม'!E:E,'การทำธุรกรรม'!F:F,A585,'การทำธุรกรรม'!B:B,"รายจ่าย"),)</f>
        <v/>
      </c>
      <c r="D585" s="36" t="str">
        <f t="shared" si="1"/>
        <v/>
      </c>
    </row>
    <row r="586">
      <c r="A586" s="8"/>
      <c r="B586" s="36" t="str">
        <f>IF(A586&lt;&gt;"",SUMIFS('การทำธุรกรรม'!E:E,'การทำธุรกรรม'!F:F,A586,'การทำธุรกรรม'!B:B,"รายรับ"),)</f>
        <v/>
      </c>
      <c r="C586" s="36" t="str">
        <f>IF(A586&lt;&gt;"",SUMIFS('การทำธุรกรรม'!E:E,'การทำธุรกรรม'!F:F,A586,'การทำธุรกรรม'!B:B,"รายจ่าย"),)</f>
        <v/>
      </c>
      <c r="D586" s="36" t="str">
        <f t="shared" si="1"/>
        <v/>
      </c>
    </row>
    <row r="587">
      <c r="A587" s="8"/>
      <c r="B587" s="36" t="str">
        <f>IF(A587&lt;&gt;"",SUMIFS('การทำธุรกรรม'!E:E,'การทำธุรกรรม'!F:F,A587,'การทำธุรกรรม'!B:B,"รายรับ"),)</f>
        <v/>
      </c>
      <c r="C587" s="36" t="str">
        <f>IF(A587&lt;&gt;"",SUMIFS('การทำธุรกรรม'!E:E,'การทำธุรกรรม'!F:F,A587,'การทำธุรกรรม'!B:B,"รายจ่าย"),)</f>
        <v/>
      </c>
      <c r="D587" s="36" t="str">
        <f t="shared" si="1"/>
        <v/>
      </c>
    </row>
    <row r="588">
      <c r="A588" s="8"/>
      <c r="B588" s="36" t="str">
        <f>IF(A588&lt;&gt;"",SUMIFS('การทำธุรกรรม'!E:E,'การทำธุรกรรม'!F:F,A588,'การทำธุรกรรม'!B:B,"รายรับ"),)</f>
        <v/>
      </c>
      <c r="C588" s="36" t="str">
        <f>IF(A588&lt;&gt;"",SUMIFS('การทำธุรกรรม'!E:E,'การทำธุรกรรม'!F:F,A588,'การทำธุรกรรม'!B:B,"รายจ่าย"),)</f>
        <v/>
      </c>
      <c r="D588" s="36" t="str">
        <f t="shared" si="1"/>
        <v/>
      </c>
    </row>
    <row r="589">
      <c r="A589" s="8"/>
      <c r="B589" s="36" t="str">
        <f>IF(A589&lt;&gt;"",SUMIFS('การทำธุรกรรม'!E:E,'การทำธุรกรรม'!F:F,A589,'การทำธุรกรรม'!B:B,"รายรับ"),)</f>
        <v/>
      </c>
      <c r="C589" s="36" t="str">
        <f>IF(A589&lt;&gt;"",SUMIFS('การทำธุรกรรม'!E:E,'การทำธุรกรรม'!F:F,A589,'การทำธุรกรรม'!B:B,"รายจ่าย"),)</f>
        <v/>
      </c>
      <c r="D589" s="36" t="str">
        <f t="shared" si="1"/>
        <v/>
      </c>
    </row>
    <row r="590">
      <c r="A590" s="8"/>
      <c r="B590" s="36" t="str">
        <f>IF(A590&lt;&gt;"",SUMIFS('การทำธุรกรรม'!E:E,'การทำธุรกรรม'!F:F,A590,'การทำธุรกรรม'!B:B,"รายรับ"),)</f>
        <v/>
      </c>
      <c r="C590" s="36" t="str">
        <f>IF(A590&lt;&gt;"",SUMIFS('การทำธุรกรรม'!E:E,'การทำธุรกรรม'!F:F,A590,'การทำธุรกรรม'!B:B,"รายจ่าย"),)</f>
        <v/>
      </c>
      <c r="D590" s="36" t="str">
        <f t="shared" si="1"/>
        <v/>
      </c>
    </row>
    <row r="591">
      <c r="A591" s="8"/>
      <c r="B591" s="36" t="str">
        <f>IF(A591&lt;&gt;"",SUMIFS('การทำธุรกรรม'!E:E,'การทำธุรกรรม'!F:F,A591,'การทำธุรกรรม'!B:B,"รายรับ"),)</f>
        <v/>
      </c>
      <c r="C591" s="36" t="str">
        <f>IF(A591&lt;&gt;"",SUMIFS('การทำธุรกรรม'!E:E,'การทำธุรกรรม'!F:F,A591,'การทำธุรกรรม'!B:B,"รายจ่าย"),)</f>
        <v/>
      </c>
      <c r="D591" s="36" t="str">
        <f t="shared" si="1"/>
        <v/>
      </c>
    </row>
    <row r="592">
      <c r="A592" s="8"/>
      <c r="B592" s="36" t="str">
        <f>IF(A592&lt;&gt;"",SUMIFS('การทำธุรกรรม'!E:E,'การทำธุรกรรม'!F:F,A592,'การทำธุรกรรม'!B:B,"รายรับ"),)</f>
        <v/>
      </c>
      <c r="C592" s="36" t="str">
        <f>IF(A592&lt;&gt;"",SUMIFS('การทำธุรกรรม'!E:E,'การทำธุรกรรม'!F:F,A592,'การทำธุรกรรม'!B:B,"รายจ่าย"),)</f>
        <v/>
      </c>
      <c r="D592" s="36" t="str">
        <f t="shared" si="1"/>
        <v/>
      </c>
    </row>
    <row r="593">
      <c r="A593" s="8"/>
      <c r="B593" s="36" t="str">
        <f>IF(A593&lt;&gt;"",SUMIFS('การทำธุรกรรม'!E:E,'การทำธุรกรรม'!F:F,A593,'การทำธุรกรรม'!B:B,"รายรับ"),)</f>
        <v/>
      </c>
      <c r="C593" s="36" t="str">
        <f>IF(A593&lt;&gt;"",SUMIFS('การทำธุรกรรม'!E:E,'การทำธุรกรรม'!F:F,A593,'การทำธุรกรรม'!B:B,"รายจ่าย"),)</f>
        <v/>
      </c>
      <c r="D593" s="36" t="str">
        <f t="shared" si="1"/>
        <v/>
      </c>
    </row>
    <row r="594">
      <c r="A594" s="8"/>
      <c r="B594" s="36" t="str">
        <f>IF(A594&lt;&gt;"",SUMIFS('การทำธุรกรรม'!E:E,'การทำธุรกรรม'!F:F,A594,'การทำธุรกรรม'!B:B,"รายรับ"),)</f>
        <v/>
      </c>
      <c r="C594" s="36" t="str">
        <f>IF(A594&lt;&gt;"",SUMIFS('การทำธุรกรรม'!E:E,'การทำธุรกรรม'!F:F,A594,'การทำธุรกรรม'!B:B,"รายจ่าย"),)</f>
        <v/>
      </c>
      <c r="D594" s="36" t="str">
        <f t="shared" si="1"/>
        <v/>
      </c>
    </row>
    <row r="595">
      <c r="A595" s="8"/>
      <c r="B595" s="36" t="str">
        <f>IF(A595&lt;&gt;"",SUMIFS('การทำธุรกรรม'!E:E,'การทำธุรกรรม'!F:F,A595,'การทำธุรกรรม'!B:B,"รายรับ"),)</f>
        <v/>
      </c>
      <c r="C595" s="36" t="str">
        <f>IF(A595&lt;&gt;"",SUMIFS('การทำธุรกรรม'!E:E,'การทำธุรกรรม'!F:F,A595,'การทำธุรกรรม'!B:B,"รายจ่าย"),)</f>
        <v/>
      </c>
      <c r="D595" s="36" t="str">
        <f t="shared" si="1"/>
        <v/>
      </c>
    </row>
    <row r="596">
      <c r="A596" s="8"/>
      <c r="B596" s="36" t="str">
        <f>IF(A596&lt;&gt;"",SUMIFS('การทำธุรกรรม'!E:E,'การทำธุรกรรม'!F:F,A596,'การทำธุรกรรม'!B:B,"รายรับ"),)</f>
        <v/>
      </c>
      <c r="C596" s="36" t="str">
        <f>IF(A596&lt;&gt;"",SUMIFS('การทำธุรกรรม'!E:E,'การทำธุรกรรม'!F:F,A596,'การทำธุรกรรม'!B:B,"รายจ่าย"),)</f>
        <v/>
      </c>
      <c r="D596" s="36" t="str">
        <f t="shared" si="1"/>
        <v/>
      </c>
    </row>
    <row r="597">
      <c r="A597" s="8"/>
      <c r="B597" s="36" t="str">
        <f>IF(A597&lt;&gt;"",SUMIFS('การทำธุรกรรม'!E:E,'การทำธุรกรรม'!F:F,A597,'การทำธุรกรรม'!B:B,"รายรับ"),)</f>
        <v/>
      </c>
      <c r="C597" s="36" t="str">
        <f>IF(A597&lt;&gt;"",SUMIFS('การทำธุรกรรม'!E:E,'การทำธุรกรรม'!F:F,A597,'การทำธุรกรรม'!B:B,"รายจ่าย"),)</f>
        <v/>
      </c>
      <c r="D597" s="36" t="str">
        <f t="shared" si="1"/>
        <v/>
      </c>
    </row>
    <row r="598">
      <c r="A598" s="8"/>
      <c r="B598" s="36" t="str">
        <f>IF(A598&lt;&gt;"",SUMIFS('การทำธุรกรรม'!E:E,'การทำธุรกรรม'!F:F,A598,'การทำธุรกรรม'!B:B,"รายรับ"),)</f>
        <v/>
      </c>
      <c r="C598" s="36" t="str">
        <f>IF(A598&lt;&gt;"",SUMIFS('การทำธุรกรรม'!E:E,'การทำธุรกรรม'!F:F,A598,'การทำธุรกรรม'!B:B,"รายจ่าย"),)</f>
        <v/>
      </c>
      <c r="D598" s="36" t="str">
        <f t="shared" si="1"/>
        <v/>
      </c>
    </row>
    <row r="599">
      <c r="A599" s="8"/>
      <c r="B599" s="36" t="str">
        <f>IF(A599&lt;&gt;"",SUMIFS('การทำธุรกรรม'!E:E,'การทำธุรกรรม'!F:F,A599,'การทำธุรกรรม'!B:B,"รายรับ"),)</f>
        <v/>
      </c>
      <c r="C599" s="36" t="str">
        <f>IF(A599&lt;&gt;"",SUMIFS('การทำธุรกรรม'!E:E,'การทำธุรกรรม'!F:F,A599,'การทำธุรกรรม'!B:B,"รายจ่าย"),)</f>
        <v/>
      </c>
      <c r="D599" s="36" t="str">
        <f t="shared" si="1"/>
        <v/>
      </c>
    </row>
    <row r="600">
      <c r="A600" s="8"/>
      <c r="B600" s="36" t="str">
        <f>IF(A600&lt;&gt;"",SUMIFS('การทำธุรกรรม'!E:E,'การทำธุรกรรม'!F:F,A600,'การทำธุรกรรม'!B:B,"รายรับ"),)</f>
        <v/>
      </c>
      <c r="C600" s="36" t="str">
        <f>IF(A600&lt;&gt;"",SUMIFS('การทำธุรกรรม'!E:E,'การทำธุรกรรม'!F:F,A600,'การทำธุรกรรม'!B:B,"รายจ่าย"),)</f>
        <v/>
      </c>
      <c r="D600" s="36" t="str">
        <f t="shared" si="1"/>
        <v/>
      </c>
    </row>
    <row r="601">
      <c r="A601" s="8"/>
      <c r="B601" s="36" t="str">
        <f>IF(A601&lt;&gt;"",SUMIFS('การทำธุรกรรม'!E:E,'การทำธุรกรรม'!F:F,A601,'การทำธุรกรรม'!B:B,"รายรับ"),)</f>
        <v/>
      </c>
      <c r="C601" s="36" t="str">
        <f>IF(A601&lt;&gt;"",SUMIFS('การทำธุรกรรม'!E:E,'การทำธุรกรรม'!F:F,A601,'การทำธุรกรรม'!B:B,"รายจ่าย"),)</f>
        <v/>
      </c>
      <c r="D601" s="36" t="str">
        <f t="shared" si="1"/>
        <v/>
      </c>
    </row>
    <row r="602">
      <c r="A602" s="8"/>
      <c r="B602" s="36" t="str">
        <f>IF(A602&lt;&gt;"",SUMIFS('การทำธุรกรรม'!E:E,'การทำธุรกรรม'!F:F,A602,'การทำธุรกรรม'!B:B,"รายรับ"),)</f>
        <v/>
      </c>
      <c r="C602" s="36" t="str">
        <f>IF(A602&lt;&gt;"",SUMIFS('การทำธุรกรรม'!E:E,'การทำธุรกรรม'!F:F,A602,'การทำธุรกรรม'!B:B,"รายจ่าย"),)</f>
        <v/>
      </c>
      <c r="D602" s="36" t="str">
        <f t="shared" si="1"/>
        <v/>
      </c>
    </row>
    <row r="603">
      <c r="A603" s="8"/>
      <c r="B603" s="36" t="str">
        <f>IF(A603&lt;&gt;"",SUMIFS('การทำธุรกรรม'!E:E,'การทำธุรกรรม'!F:F,A603,'การทำธุรกรรม'!B:B,"รายรับ"),)</f>
        <v/>
      </c>
      <c r="C603" s="36" t="str">
        <f>IF(A603&lt;&gt;"",SUMIFS('การทำธุรกรรม'!E:E,'การทำธุรกรรม'!F:F,A603,'การทำธุรกรรม'!B:B,"รายจ่าย"),)</f>
        <v/>
      </c>
      <c r="D603" s="36" t="str">
        <f t="shared" si="1"/>
        <v/>
      </c>
    </row>
    <row r="604">
      <c r="A604" s="8"/>
      <c r="B604" s="36" t="str">
        <f>IF(A604&lt;&gt;"",SUMIFS('การทำธุรกรรม'!E:E,'การทำธุรกรรม'!F:F,A604,'การทำธุรกรรม'!B:B,"รายรับ"),)</f>
        <v/>
      </c>
      <c r="C604" s="36" t="str">
        <f>IF(A604&lt;&gt;"",SUMIFS('การทำธุรกรรม'!E:E,'การทำธุรกรรม'!F:F,A604,'การทำธุรกรรม'!B:B,"รายจ่าย"),)</f>
        <v/>
      </c>
      <c r="D604" s="36" t="str">
        <f t="shared" si="1"/>
        <v/>
      </c>
    </row>
    <row r="605">
      <c r="A605" s="8"/>
      <c r="B605" s="36" t="str">
        <f>IF(A605&lt;&gt;"",SUMIFS('การทำธุรกรรม'!E:E,'การทำธุรกรรม'!F:F,A605,'การทำธุรกรรม'!B:B,"รายรับ"),)</f>
        <v/>
      </c>
      <c r="C605" s="36" t="str">
        <f>IF(A605&lt;&gt;"",SUMIFS('การทำธุรกรรม'!E:E,'การทำธุรกรรม'!F:F,A605,'การทำธุรกรรม'!B:B,"รายจ่าย"),)</f>
        <v/>
      </c>
      <c r="D605" s="36" t="str">
        <f t="shared" si="1"/>
        <v/>
      </c>
    </row>
    <row r="606">
      <c r="A606" s="8"/>
      <c r="B606" s="36" t="str">
        <f>IF(A606&lt;&gt;"",SUMIFS('การทำธุรกรรม'!E:E,'การทำธุรกรรม'!F:F,A606,'การทำธุรกรรม'!B:B,"รายรับ"),)</f>
        <v/>
      </c>
      <c r="C606" s="36" t="str">
        <f>IF(A606&lt;&gt;"",SUMIFS('การทำธุรกรรม'!E:E,'การทำธุรกรรม'!F:F,A606,'การทำธุรกรรม'!B:B,"รายจ่าย"),)</f>
        <v/>
      </c>
      <c r="D606" s="36" t="str">
        <f t="shared" si="1"/>
        <v/>
      </c>
    </row>
    <row r="607">
      <c r="A607" s="8"/>
      <c r="B607" s="36" t="str">
        <f>IF(A607&lt;&gt;"",SUMIFS('การทำธุรกรรม'!E:E,'การทำธุรกรรม'!F:F,A607,'การทำธุรกรรม'!B:B,"รายรับ"),)</f>
        <v/>
      </c>
      <c r="C607" s="36" t="str">
        <f>IF(A607&lt;&gt;"",SUMIFS('การทำธุรกรรม'!E:E,'การทำธุรกรรม'!F:F,A607,'การทำธุรกรรม'!B:B,"รายจ่าย"),)</f>
        <v/>
      </c>
      <c r="D607" s="36" t="str">
        <f t="shared" si="1"/>
        <v/>
      </c>
    </row>
    <row r="608">
      <c r="A608" s="8"/>
      <c r="B608" s="36" t="str">
        <f>IF(A608&lt;&gt;"",SUMIFS('การทำธุรกรรม'!E:E,'การทำธุรกรรม'!F:F,A608,'การทำธุรกรรม'!B:B,"รายรับ"),)</f>
        <v/>
      </c>
      <c r="C608" s="36" t="str">
        <f>IF(A608&lt;&gt;"",SUMIFS('การทำธุรกรรม'!E:E,'การทำธุรกรรม'!F:F,A608,'การทำธุรกรรม'!B:B,"รายจ่าย"),)</f>
        <v/>
      </c>
      <c r="D608" s="36" t="str">
        <f t="shared" si="1"/>
        <v/>
      </c>
    </row>
    <row r="609">
      <c r="A609" s="8"/>
      <c r="B609" s="36" t="str">
        <f>IF(A609&lt;&gt;"",SUMIFS('การทำธุรกรรม'!E:E,'การทำธุรกรรม'!F:F,A609,'การทำธุรกรรม'!B:B,"รายรับ"),)</f>
        <v/>
      </c>
      <c r="C609" s="36" t="str">
        <f>IF(A609&lt;&gt;"",SUMIFS('การทำธุรกรรม'!E:E,'การทำธุรกรรม'!F:F,A609,'การทำธุรกรรม'!B:B,"รายจ่าย"),)</f>
        <v/>
      </c>
      <c r="D609" s="36" t="str">
        <f t="shared" si="1"/>
        <v/>
      </c>
    </row>
    <row r="610">
      <c r="A610" s="8"/>
      <c r="B610" s="36" t="str">
        <f>IF(A610&lt;&gt;"",SUMIFS('การทำธุรกรรม'!E:E,'การทำธุรกรรม'!F:F,A610,'การทำธุรกรรม'!B:B,"รายรับ"),)</f>
        <v/>
      </c>
      <c r="C610" s="36" t="str">
        <f>IF(A610&lt;&gt;"",SUMIFS('การทำธุรกรรม'!E:E,'การทำธุรกรรม'!F:F,A610,'การทำธุรกรรม'!B:B,"รายจ่าย"),)</f>
        <v/>
      </c>
      <c r="D610" s="36" t="str">
        <f t="shared" si="1"/>
        <v/>
      </c>
    </row>
    <row r="611">
      <c r="A611" s="8"/>
      <c r="B611" s="36" t="str">
        <f>IF(A611&lt;&gt;"",SUMIFS('การทำธุรกรรม'!E:E,'การทำธุรกรรม'!F:F,A611,'การทำธุรกรรม'!B:B,"รายรับ"),)</f>
        <v/>
      </c>
      <c r="C611" s="36" t="str">
        <f>IF(A611&lt;&gt;"",SUMIFS('การทำธุรกรรม'!E:E,'การทำธุรกรรม'!F:F,A611,'การทำธุรกรรม'!B:B,"รายจ่าย"),)</f>
        <v/>
      </c>
      <c r="D611" s="36" t="str">
        <f t="shared" si="1"/>
        <v/>
      </c>
    </row>
    <row r="612">
      <c r="A612" s="8"/>
      <c r="B612" s="36" t="str">
        <f>IF(A612&lt;&gt;"",SUMIFS('การทำธุรกรรม'!E:E,'การทำธุรกรรม'!F:F,A612,'การทำธุรกรรม'!B:B,"รายรับ"),)</f>
        <v/>
      </c>
      <c r="C612" s="36" t="str">
        <f>IF(A612&lt;&gt;"",SUMIFS('การทำธุรกรรม'!E:E,'การทำธุรกรรม'!F:F,A612,'การทำธุรกรรม'!B:B,"รายจ่าย"),)</f>
        <v/>
      </c>
      <c r="D612" s="36" t="str">
        <f t="shared" si="1"/>
        <v/>
      </c>
    </row>
    <row r="613">
      <c r="A613" s="8"/>
      <c r="B613" s="36" t="str">
        <f>IF(A613&lt;&gt;"",SUMIFS('การทำธุรกรรม'!E:E,'การทำธุรกรรม'!F:F,A613,'การทำธุรกรรม'!B:B,"รายรับ"),)</f>
        <v/>
      </c>
      <c r="C613" s="36" t="str">
        <f>IF(A613&lt;&gt;"",SUMIFS('การทำธุรกรรม'!E:E,'การทำธุรกรรม'!F:F,A613,'การทำธุรกรรม'!B:B,"รายจ่าย"),)</f>
        <v/>
      </c>
      <c r="D613" s="36" t="str">
        <f t="shared" si="1"/>
        <v/>
      </c>
    </row>
    <row r="614">
      <c r="A614" s="8"/>
      <c r="B614" s="36" t="str">
        <f>IF(A614&lt;&gt;"",SUMIFS('การทำธุรกรรม'!E:E,'การทำธุรกรรม'!F:F,A614,'การทำธุรกรรม'!B:B,"รายรับ"),)</f>
        <v/>
      </c>
      <c r="C614" s="36" t="str">
        <f>IF(A614&lt;&gt;"",SUMIFS('การทำธุรกรรม'!E:E,'การทำธุรกรรม'!F:F,A614,'การทำธุรกรรม'!B:B,"รายจ่าย"),)</f>
        <v/>
      </c>
      <c r="D614" s="36" t="str">
        <f t="shared" si="1"/>
        <v/>
      </c>
    </row>
    <row r="615">
      <c r="A615" s="8"/>
      <c r="B615" s="36" t="str">
        <f>IF(A615&lt;&gt;"",SUMIFS('การทำธุรกรรม'!E:E,'การทำธุรกรรม'!F:F,A615,'การทำธุรกรรม'!B:B,"รายรับ"),)</f>
        <v/>
      </c>
      <c r="C615" s="36" t="str">
        <f>IF(A615&lt;&gt;"",SUMIFS('การทำธุรกรรม'!E:E,'การทำธุรกรรม'!F:F,A615,'การทำธุรกรรม'!B:B,"รายจ่าย"),)</f>
        <v/>
      </c>
      <c r="D615" s="36" t="str">
        <f t="shared" si="1"/>
        <v/>
      </c>
    </row>
    <row r="616">
      <c r="A616" s="8"/>
      <c r="B616" s="36" t="str">
        <f>IF(A616&lt;&gt;"",SUMIFS('การทำธุรกรรม'!E:E,'การทำธุรกรรม'!F:F,A616,'การทำธุรกรรม'!B:B,"รายรับ"),)</f>
        <v/>
      </c>
      <c r="C616" s="36" t="str">
        <f>IF(A616&lt;&gt;"",SUMIFS('การทำธุรกรรม'!E:E,'การทำธุรกรรม'!F:F,A616,'การทำธุรกรรม'!B:B,"รายจ่าย"),)</f>
        <v/>
      </c>
      <c r="D616" s="36" t="str">
        <f t="shared" si="1"/>
        <v/>
      </c>
    </row>
    <row r="617">
      <c r="A617" s="8"/>
      <c r="B617" s="36" t="str">
        <f>IF(A617&lt;&gt;"",SUMIFS('การทำธุรกรรม'!E:E,'การทำธุรกรรม'!F:F,A617,'การทำธุรกรรม'!B:B,"รายรับ"),)</f>
        <v/>
      </c>
      <c r="C617" s="36" t="str">
        <f>IF(A617&lt;&gt;"",SUMIFS('การทำธุรกรรม'!E:E,'การทำธุรกรรม'!F:F,A617,'การทำธุรกรรม'!B:B,"รายจ่าย"),)</f>
        <v/>
      </c>
      <c r="D617" s="36" t="str">
        <f t="shared" si="1"/>
        <v/>
      </c>
    </row>
    <row r="618">
      <c r="A618" s="8"/>
      <c r="B618" s="36" t="str">
        <f>IF(A618&lt;&gt;"",SUMIFS('การทำธุรกรรม'!E:E,'การทำธุรกรรม'!F:F,A618,'การทำธุรกรรม'!B:B,"รายรับ"),)</f>
        <v/>
      </c>
      <c r="C618" s="36" t="str">
        <f>IF(A618&lt;&gt;"",SUMIFS('การทำธุรกรรม'!E:E,'การทำธุรกรรม'!F:F,A618,'การทำธุรกรรม'!B:B,"รายจ่าย"),)</f>
        <v/>
      </c>
      <c r="D618" s="36" t="str">
        <f t="shared" si="1"/>
        <v/>
      </c>
    </row>
    <row r="619">
      <c r="A619" s="8"/>
      <c r="B619" s="36" t="str">
        <f>IF(A619&lt;&gt;"",SUMIFS('การทำธุรกรรม'!E:E,'การทำธุรกรรม'!F:F,A619,'การทำธุรกรรม'!B:B,"รายรับ"),)</f>
        <v/>
      </c>
      <c r="C619" s="36" t="str">
        <f>IF(A619&lt;&gt;"",SUMIFS('การทำธุรกรรม'!E:E,'การทำธุรกรรม'!F:F,A619,'การทำธุรกรรม'!B:B,"รายจ่าย"),)</f>
        <v/>
      </c>
      <c r="D619" s="36" t="str">
        <f t="shared" si="1"/>
        <v/>
      </c>
    </row>
    <row r="620">
      <c r="A620" s="8"/>
      <c r="B620" s="36" t="str">
        <f>IF(A620&lt;&gt;"",SUMIFS('การทำธุรกรรม'!E:E,'การทำธุรกรรม'!F:F,A620,'การทำธุรกรรม'!B:B,"รายรับ"),)</f>
        <v/>
      </c>
      <c r="C620" s="36" t="str">
        <f>IF(A620&lt;&gt;"",SUMIFS('การทำธุรกรรม'!E:E,'การทำธุรกรรม'!F:F,A620,'การทำธุรกรรม'!B:B,"รายจ่าย"),)</f>
        <v/>
      </c>
      <c r="D620" s="36" t="str">
        <f t="shared" si="1"/>
        <v/>
      </c>
    </row>
    <row r="621">
      <c r="A621" s="8"/>
      <c r="B621" s="36" t="str">
        <f>IF(A621&lt;&gt;"",SUMIFS('การทำธุรกรรม'!E:E,'การทำธุรกรรม'!F:F,A621,'การทำธุรกรรม'!B:B,"รายรับ"),)</f>
        <v/>
      </c>
      <c r="C621" s="36" t="str">
        <f>IF(A621&lt;&gt;"",SUMIFS('การทำธุรกรรม'!E:E,'การทำธุรกรรม'!F:F,A621,'การทำธุรกรรม'!B:B,"รายจ่าย"),)</f>
        <v/>
      </c>
      <c r="D621" s="36" t="str">
        <f t="shared" si="1"/>
        <v/>
      </c>
    </row>
    <row r="622">
      <c r="A622" s="8"/>
      <c r="B622" s="36" t="str">
        <f>IF(A622&lt;&gt;"",SUMIFS('การทำธุรกรรม'!E:E,'การทำธุรกรรม'!F:F,A622,'การทำธุรกรรม'!B:B,"รายรับ"),)</f>
        <v/>
      </c>
      <c r="C622" s="36" t="str">
        <f>IF(A622&lt;&gt;"",SUMIFS('การทำธุรกรรม'!E:E,'การทำธุรกรรม'!F:F,A622,'การทำธุรกรรม'!B:B,"รายจ่าย"),)</f>
        <v/>
      </c>
      <c r="D622" s="36" t="str">
        <f t="shared" si="1"/>
        <v/>
      </c>
    </row>
    <row r="623">
      <c r="A623" s="8"/>
      <c r="B623" s="36" t="str">
        <f>IF(A623&lt;&gt;"",SUMIFS('การทำธุรกรรม'!E:E,'การทำธุรกรรม'!F:F,A623,'การทำธุรกรรม'!B:B,"รายรับ"),)</f>
        <v/>
      </c>
      <c r="C623" s="36" t="str">
        <f>IF(A623&lt;&gt;"",SUMIFS('การทำธุรกรรม'!E:E,'การทำธุรกรรม'!F:F,A623,'การทำธุรกรรม'!B:B,"รายจ่าย"),)</f>
        <v/>
      </c>
      <c r="D623" s="36" t="str">
        <f t="shared" si="1"/>
        <v/>
      </c>
    </row>
    <row r="624">
      <c r="A624" s="8"/>
      <c r="B624" s="36" t="str">
        <f>IF(A624&lt;&gt;"",SUMIFS('การทำธุรกรรม'!E:E,'การทำธุรกรรม'!F:F,A624,'การทำธุรกรรม'!B:B,"รายรับ"),)</f>
        <v/>
      </c>
      <c r="C624" s="36" t="str">
        <f>IF(A624&lt;&gt;"",SUMIFS('การทำธุรกรรม'!E:E,'การทำธุรกรรม'!F:F,A624,'การทำธุรกรรม'!B:B,"รายจ่าย"),)</f>
        <v/>
      </c>
      <c r="D624" s="36" t="str">
        <f t="shared" si="1"/>
        <v/>
      </c>
    </row>
    <row r="625">
      <c r="A625" s="8"/>
      <c r="B625" s="36" t="str">
        <f>IF(A625&lt;&gt;"",SUMIFS('การทำธุรกรรม'!E:E,'การทำธุรกรรม'!F:F,A625,'การทำธุรกรรม'!B:B,"รายรับ"),)</f>
        <v/>
      </c>
      <c r="C625" s="36" t="str">
        <f>IF(A625&lt;&gt;"",SUMIFS('การทำธุรกรรม'!E:E,'การทำธุรกรรม'!F:F,A625,'การทำธุรกรรม'!B:B,"รายจ่าย"),)</f>
        <v/>
      </c>
      <c r="D625" s="36" t="str">
        <f t="shared" si="1"/>
        <v/>
      </c>
    </row>
    <row r="626">
      <c r="A626" s="8"/>
      <c r="B626" s="36" t="str">
        <f>IF(A626&lt;&gt;"",SUMIFS('การทำธุรกรรม'!E:E,'การทำธุรกรรม'!F:F,A626,'การทำธุรกรรม'!B:B,"รายรับ"),)</f>
        <v/>
      </c>
      <c r="C626" s="36" t="str">
        <f>IF(A626&lt;&gt;"",SUMIFS('การทำธุรกรรม'!E:E,'การทำธุรกรรม'!F:F,A626,'การทำธุรกรรม'!B:B,"รายจ่าย"),)</f>
        <v/>
      </c>
      <c r="D626" s="36" t="str">
        <f t="shared" si="1"/>
        <v/>
      </c>
    </row>
    <row r="627">
      <c r="A627" s="8"/>
      <c r="B627" s="36" t="str">
        <f>IF(A627&lt;&gt;"",SUMIFS('การทำธุรกรรม'!E:E,'การทำธุรกรรม'!F:F,A627,'การทำธุรกรรม'!B:B,"รายรับ"),)</f>
        <v/>
      </c>
      <c r="C627" s="36" t="str">
        <f>IF(A627&lt;&gt;"",SUMIFS('การทำธุรกรรม'!E:E,'การทำธุรกรรม'!F:F,A627,'การทำธุรกรรม'!B:B,"รายจ่าย"),)</f>
        <v/>
      </c>
      <c r="D627" s="36" t="str">
        <f t="shared" si="1"/>
        <v/>
      </c>
    </row>
    <row r="628">
      <c r="A628" s="8"/>
      <c r="B628" s="36" t="str">
        <f>IF(A628&lt;&gt;"",SUMIFS('การทำธุรกรรม'!E:E,'การทำธุรกรรม'!F:F,A628,'การทำธุรกรรม'!B:B,"รายรับ"),)</f>
        <v/>
      </c>
      <c r="C628" s="36" t="str">
        <f>IF(A628&lt;&gt;"",SUMIFS('การทำธุรกรรม'!E:E,'การทำธุรกรรม'!F:F,A628,'การทำธุรกรรม'!B:B,"รายจ่าย"),)</f>
        <v/>
      </c>
      <c r="D628" s="36" t="str">
        <f t="shared" si="1"/>
        <v/>
      </c>
    </row>
    <row r="629">
      <c r="A629" s="8"/>
      <c r="B629" s="36" t="str">
        <f>IF(A629&lt;&gt;"",SUMIFS('การทำธุรกรรม'!E:E,'การทำธุรกรรม'!F:F,A629,'การทำธุรกรรม'!B:B,"รายรับ"),)</f>
        <v/>
      </c>
      <c r="C629" s="36" t="str">
        <f>IF(A629&lt;&gt;"",SUMIFS('การทำธุรกรรม'!E:E,'การทำธุรกรรม'!F:F,A629,'การทำธุรกรรม'!B:B,"รายจ่าย"),)</f>
        <v/>
      </c>
      <c r="D629" s="36" t="str">
        <f t="shared" si="1"/>
        <v/>
      </c>
    </row>
    <row r="630">
      <c r="A630" s="8"/>
      <c r="B630" s="36" t="str">
        <f>IF(A630&lt;&gt;"",SUMIFS('การทำธุรกรรม'!E:E,'การทำธุรกรรม'!F:F,A630,'การทำธุรกรรม'!B:B,"รายรับ"),)</f>
        <v/>
      </c>
      <c r="C630" s="36" t="str">
        <f>IF(A630&lt;&gt;"",SUMIFS('การทำธุรกรรม'!E:E,'การทำธุรกรรม'!F:F,A630,'การทำธุรกรรม'!B:B,"รายจ่าย"),)</f>
        <v/>
      </c>
      <c r="D630" s="36" t="str">
        <f t="shared" si="1"/>
        <v/>
      </c>
    </row>
    <row r="631">
      <c r="A631" s="8"/>
      <c r="B631" s="36" t="str">
        <f>IF(A631&lt;&gt;"",SUMIFS('การทำธุรกรรม'!E:E,'การทำธุรกรรม'!F:F,A631,'การทำธุรกรรม'!B:B,"รายรับ"),)</f>
        <v/>
      </c>
      <c r="C631" s="36" t="str">
        <f>IF(A631&lt;&gt;"",SUMIFS('การทำธุรกรรม'!E:E,'การทำธุรกรรม'!F:F,A631,'การทำธุรกรรม'!B:B,"รายจ่าย"),)</f>
        <v/>
      </c>
      <c r="D631" s="36" t="str">
        <f t="shared" si="1"/>
        <v/>
      </c>
    </row>
    <row r="632">
      <c r="A632" s="8"/>
      <c r="B632" s="36" t="str">
        <f>IF(A632&lt;&gt;"",SUMIFS('การทำธุรกรรม'!E:E,'การทำธุรกรรม'!F:F,A632,'การทำธุรกรรม'!B:B,"รายรับ"),)</f>
        <v/>
      </c>
      <c r="C632" s="36" t="str">
        <f>IF(A632&lt;&gt;"",SUMIFS('การทำธุรกรรม'!E:E,'การทำธุรกรรม'!F:F,A632,'การทำธุรกรรม'!B:B,"รายจ่าย"),)</f>
        <v/>
      </c>
      <c r="D632" s="36" t="str">
        <f t="shared" si="1"/>
        <v/>
      </c>
    </row>
    <row r="633">
      <c r="A633" s="8"/>
      <c r="B633" s="36" t="str">
        <f>IF(A633&lt;&gt;"",SUMIFS('การทำธุรกรรม'!E:E,'การทำธุรกรรม'!F:F,A633,'การทำธุรกรรม'!B:B,"รายรับ"),)</f>
        <v/>
      </c>
      <c r="C633" s="36" t="str">
        <f>IF(A633&lt;&gt;"",SUMIFS('การทำธุรกรรม'!E:E,'การทำธุรกรรม'!F:F,A633,'การทำธุรกรรม'!B:B,"รายจ่าย"),)</f>
        <v/>
      </c>
      <c r="D633" s="36" t="str">
        <f t="shared" si="1"/>
        <v/>
      </c>
    </row>
    <row r="634">
      <c r="A634" s="8"/>
      <c r="B634" s="36" t="str">
        <f>IF(A634&lt;&gt;"",SUMIFS('การทำธุรกรรม'!E:E,'การทำธุรกรรม'!F:F,A634,'การทำธุรกรรม'!B:B,"รายรับ"),)</f>
        <v/>
      </c>
      <c r="C634" s="36" t="str">
        <f>IF(A634&lt;&gt;"",SUMIFS('การทำธุรกรรม'!E:E,'การทำธุรกรรม'!F:F,A634,'การทำธุรกรรม'!B:B,"รายจ่าย"),)</f>
        <v/>
      </c>
      <c r="D634" s="36" t="str">
        <f t="shared" si="1"/>
        <v/>
      </c>
    </row>
    <row r="635">
      <c r="A635" s="8"/>
      <c r="B635" s="36" t="str">
        <f>IF(A635&lt;&gt;"",SUMIFS('การทำธุรกรรม'!E:E,'การทำธุรกรรม'!F:F,A635,'การทำธุรกรรม'!B:B,"รายรับ"),)</f>
        <v/>
      </c>
      <c r="C635" s="36" t="str">
        <f>IF(A635&lt;&gt;"",SUMIFS('การทำธุรกรรม'!E:E,'การทำธุรกรรม'!F:F,A635,'การทำธุรกรรม'!B:B,"รายจ่าย"),)</f>
        <v/>
      </c>
      <c r="D635" s="36" t="str">
        <f t="shared" si="1"/>
        <v/>
      </c>
    </row>
    <row r="636">
      <c r="A636" s="8"/>
      <c r="B636" s="36" t="str">
        <f>IF(A636&lt;&gt;"",SUMIFS('การทำธุรกรรม'!E:E,'การทำธุรกรรม'!F:F,A636,'การทำธุรกรรม'!B:B,"รายรับ"),)</f>
        <v/>
      </c>
      <c r="C636" s="36" t="str">
        <f>IF(A636&lt;&gt;"",SUMIFS('การทำธุรกรรม'!E:E,'การทำธุรกรรม'!F:F,A636,'การทำธุรกรรม'!B:B,"รายจ่าย"),)</f>
        <v/>
      </c>
      <c r="D636" s="36" t="str">
        <f t="shared" si="1"/>
        <v/>
      </c>
    </row>
    <row r="637">
      <c r="A637" s="8"/>
      <c r="B637" s="36" t="str">
        <f>IF(A637&lt;&gt;"",SUMIFS('การทำธุรกรรม'!E:E,'การทำธุรกรรม'!F:F,A637,'การทำธุรกรรม'!B:B,"รายรับ"),)</f>
        <v/>
      </c>
      <c r="C637" s="36" t="str">
        <f>IF(A637&lt;&gt;"",SUMIFS('การทำธุรกรรม'!E:E,'การทำธุรกรรม'!F:F,A637,'การทำธุรกรรม'!B:B,"รายจ่าย"),)</f>
        <v/>
      </c>
      <c r="D637" s="36" t="str">
        <f t="shared" si="1"/>
        <v/>
      </c>
    </row>
    <row r="638">
      <c r="A638" s="8"/>
      <c r="B638" s="36" t="str">
        <f>IF(A638&lt;&gt;"",SUMIFS('การทำธุรกรรม'!E:E,'การทำธุรกรรม'!F:F,A638,'การทำธุรกรรม'!B:B,"รายรับ"),)</f>
        <v/>
      </c>
      <c r="C638" s="36" t="str">
        <f>IF(A638&lt;&gt;"",SUMIFS('การทำธุรกรรม'!E:E,'การทำธุรกรรม'!F:F,A638,'การทำธุรกรรม'!B:B,"รายจ่าย"),)</f>
        <v/>
      </c>
      <c r="D638" s="36" t="str">
        <f t="shared" si="1"/>
        <v/>
      </c>
    </row>
    <row r="639">
      <c r="A639" s="8"/>
      <c r="B639" s="36" t="str">
        <f>IF(A639&lt;&gt;"",SUMIFS('การทำธุรกรรม'!E:E,'การทำธุรกรรม'!F:F,A639,'การทำธุรกรรม'!B:B,"รายรับ"),)</f>
        <v/>
      </c>
      <c r="C639" s="36" t="str">
        <f>IF(A639&lt;&gt;"",SUMIFS('การทำธุรกรรม'!E:E,'การทำธุรกรรม'!F:F,A639,'การทำธุรกรรม'!B:B,"รายจ่าย"),)</f>
        <v/>
      </c>
      <c r="D639" s="36" t="str">
        <f t="shared" si="1"/>
        <v/>
      </c>
    </row>
    <row r="640">
      <c r="A640" s="8"/>
      <c r="B640" s="36" t="str">
        <f>IF(A640&lt;&gt;"",SUMIFS('การทำธุรกรรม'!E:E,'การทำธุรกรรม'!F:F,A640,'การทำธุรกรรม'!B:B,"รายรับ"),)</f>
        <v/>
      </c>
      <c r="C640" s="36" t="str">
        <f>IF(A640&lt;&gt;"",SUMIFS('การทำธุรกรรม'!E:E,'การทำธุรกรรม'!F:F,A640,'การทำธุรกรรม'!B:B,"รายจ่าย"),)</f>
        <v/>
      </c>
      <c r="D640" s="36" t="str">
        <f t="shared" si="1"/>
        <v/>
      </c>
    </row>
    <row r="641">
      <c r="A641" s="8"/>
      <c r="B641" s="36" t="str">
        <f>IF(A641&lt;&gt;"",SUMIFS('การทำธุรกรรม'!E:E,'การทำธุรกรรม'!F:F,A641,'การทำธุรกรรม'!B:B,"รายรับ"),)</f>
        <v/>
      </c>
      <c r="C641" s="36" t="str">
        <f>IF(A641&lt;&gt;"",SUMIFS('การทำธุรกรรม'!E:E,'การทำธุรกรรม'!F:F,A641,'การทำธุรกรรม'!B:B,"รายจ่าย"),)</f>
        <v/>
      </c>
      <c r="D641" s="36" t="str">
        <f t="shared" si="1"/>
        <v/>
      </c>
    </row>
    <row r="642">
      <c r="A642" s="8"/>
      <c r="B642" s="36" t="str">
        <f>IF(A642&lt;&gt;"",SUMIFS('การทำธุรกรรม'!E:E,'การทำธุรกรรม'!F:F,A642,'การทำธุรกรรม'!B:B,"รายรับ"),)</f>
        <v/>
      </c>
      <c r="C642" s="36" t="str">
        <f>IF(A642&lt;&gt;"",SUMIFS('การทำธุรกรรม'!E:E,'การทำธุรกรรม'!F:F,A642,'การทำธุรกรรม'!B:B,"รายจ่าย"),)</f>
        <v/>
      </c>
      <c r="D642" s="36" t="str">
        <f t="shared" si="1"/>
        <v/>
      </c>
    </row>
    <row r="643">
      <c r="A643" s="8"/>
      <c r="B643" s="36" t="str">
        <f>IF(A643&lt;&gt;"",SUMIFS('การทำธุรกรรม'!E:E,'การทำธุรกรรม'!F:F,A643,'การทำธุรกรรม'!B:B,"รายรับ"),)</f>
        <v/>
      </c>
      <c r="C643" s="36" t="str">
        <f>IF(A643&lt;&gt;"",SUMIFS('การทำธุรกรรม'!E:E,'การทำธุรกรรม'!F:F,A643,'การทำธุรกรรม'!B:B,"รายจ่าย"),)</f>
        <v/>
      </c>
      <c r="D643" s="36" t="str">
        <f t="shared" si="1"/>
        <v/>
      </c>
    </row>
    <row r="644">
      <c r="A644" s="8"/>
      <c r="B644" s="36" t="str">
        <f>IF(A644&lt;&gt;"",SUMIFS('การทำธุรกรรม'!E:E,'การทำธุรกรรม'!F:F,A644,'การทำธุรกรรม'!B:B,"รายรับ"),)</f>
        <v/>
      </c>
      <c r="C644" s="36" t="str">
        <f>IF(A644&lt;&gt;"",SUMIFS('การทำธุรกรรม'!E:E,'การทำธุรกรรม'!F:F,A644,'การทำธุรกรรม'!B:B,"รายจ่าย"),)</f>
        <v/>
      </c>
      <c r="D644" s="36" t="str">
        <f t="shared" si="1"/>
        <v/>
      </c>
    </row>
    <row r="645">
      <c r="A645" s="8"/>
      <c r="B645" s="36" t="str">
        <f>IF(A645&lt;&gt;"",SUMIFS('การทำธุรกรรม'!E:E,'การทำธุรกรรม'!F:F,A645,'การทำธุรกรรม'!B:B,"รายรับ"),)</f>
        <v/>
      </c>
      <c r="C645" s="36" t="str">
        <f>IF(A645&lt;&gt;"",SUMIFS('การทำธุรกรรม'!E:E,'การทำธุรกรรม'!F:F,A645,'การทำธุรกรรม'!B:B,"รายจ่าย"),)</f>
        <v/>
      </c>
      <c r="D645" s="36" t="str">
        <f t="shared" si="1"/>
        <v/>
      </c>
    </row>
    <row r="646">
      <c r="A646" s="8"/>
      <c r="B646" s="36" t="str">
        <f>IF(A646&lt;&gt;"",SUMIFS('การทำธุรกรรม'!E:E,'การทำธุรกรรม'!F:F,A646,'การทำธุรกรรม'!B:B,"รายรับ"),)</f>
        <v/>
      </c>
      <c r="C646" s="36" t="str">
        <f>IF(A646&lt;&gt;"",SUMIFS('การทำธุรกรรม'!E:E,'การทำธุรกรรม'!F:F,A646,'การทำธุรกรรม'!B:B,"รายจ่าย"),)</f>
        <v/>
      </c>
      <c r="D646" s="36" t="str">
        <f t="shared" si="1"/>
        <v/>
      </c>
    </row>
    <row r="647">
      <c r="A647" s="8"/>
      <c r="B647" s="36" t="str">
        <f>IF(A647&lt;&gt;"",SUMIFS('การทำธุรกรรม'!E:E,'การทำธุรกรรม'!F:F,A647,'การทำธุรกรรม'!B:B,"รายรับ"),)</f>
        <v/>
      </c>
      <c r="C647" s="36" t="str">
        <f>IF(A647&lt;&gt;"",SUMIFS('การทำธุรกรรม'!E:E,'การทำธุรกรรม'!F:F,A647,'การทำธุรกรรม'!B:B,"รายจ่าย"),)</f>
        <v/>
      </c>
      <c r="D647" s="36" t="str">
        <f t="shared" si="1"/>
        <v/>
      </c>
    </row>
    <row r="648">
      <c r="A648" s="8"/>
      <c r="B648" s="36" t="str">
        <f>IF(A648&lt;&gt;"",SUMIFS('การทำธุรกรรม'!E:E,'การทำธุรกรรม'!F:F,A648,'การทำธุรกรรม'!B:B,"รายรับ"),)</f>
        <v/>
      </c>
      <c r="C648" s="36" t="str">
        <f>IF(A648&lt;&gt;"",SUMIFS('การทำธุรกรรม'!E:E,'การทำธุรกรรม'!F:F,A648,'การทำธุรกรรม'!B:B,"รายจ่าย"),)</f>
        <v/>
      </c>
      <c r="D648" s="36" t="str">
        <f t="shared" si="1"/>
        <v/>
      </c>
    </row>
    <row r="649">
      <c r="A649" s="8"/>
      <c r="B649" s="36" t="str">
        <f>IF(A649&lt;&gt;"",SUMIFS('การทำธุรกรรม'!E:E,'การทำธุรกรรม'!F:F,A649,'การทำธุรกรรม'!B:B,"รายรับ"),)</f>
        <v/>
      </c>
      <c r="C649" s="36" t="str">
        <f>IF(A649&lt;&gt;"",SUMIFS('การทำธุรกรรม'!E:E,'การทำธุรกรรม'!F:F,A649,'การทำธุรกรรม'!B:B,"รายจ่าย"),)</f>
        <v/>
      </c>
      <c r="D649" s="36" t="str">
        <f t="shared" si="1"/>
        <v/>
      </c>
    </row>
    <row r="650">
      <c r="A650" s="8"/>
      <c r="B650" s="36" t="str">
        <f>IF(A650&lt;&gt;"",SUMIFS('การทำธุรกรรม'!E:E,'การทำธุรกรรม'!F:F,A650,'การทำธุรกรรม'!B:B,"รายรับ"),)</f>
        <v/>
      </c>
      <c r="C650" s="36" t="str">
        <f>IF(A650&lt;&gt;"",SUMIFS('การทำธุรกรรม'!E:E,'การทำธุรกรรม'!F:F,A650,'การทำธุรกรรม'!B:B,"รายจ่าย"),)</f>
        <v/>
      </c>
      <c r="D650" s="36" t="str">
        <f t="shared" si="1"/>
        <v/>
      </c>
    </row>
    <row r="651">
      <c r="A651" s="8"/>
      <c r="B651" s="36" t="str">
        <f>IF(A651&lt;&gt;"",SUMIFS('การทำธุรกรรม'!E:E,'การทำธุรกรรม'!F:F,A651,'การทำธุรกรรม'!B:B,"รายรับ"),)</f>
        <v/>
      </c>
      <c r="C651" s="36" t="str">
        <f>IF(A651&lt;&gt;"",SUMIFS('การทำธุรกรรม'!E:E,'การทำธุรกรรม'!F:F,A651,'การทำธุรกรรม'!B:B,"รายจ่าย"),)</f>
        <v/>
      </c>
      <c r="D651" s="36" t="str">
        <f t="shared" si="1"/>
        <v/>
      </c>
    </row>
    <row r="652">
      <c r="A652" s="8"/>
      <c r="B652" s="36" t="str">
        <f>IF(A652&lt;&gt;"",SUMIFS('การทำธุรกรรม'!E:E,'การทำธุรกรรม'!F:F,A652,'การทำธุรกรรม'!B:B,"รายรับ"),)</f>
        <v/>
      </c>
      <c r="C652" s="36" t="str">
        <f>IF(A652&lt;&gt;"",SUMIFS('การทำธุรกรรม'!E:E,'การทำธุรกรรม'!F:F,A652,'การทำธุรกรรม'!B:B,"รายจ่าย"),)</f>
        <v/>
      </c>
      <c r="D652" s="36" t="str">
        <f t="shared" si="1"/>
        <v/>
      </c>
    </row>
    <row r="653">
      <c r="A653" s="8"/>
      <c r="B653" s="36" t="str">
        <f>IF(A653&lt;&gt;"",SUMIFS('การทำธุรกรรม'!E:E,'การทำธุรกรรม'!F:F,A653,'การทำธุรกรรม'!B:B,"รายรับ"),)</f>
        <v/>
      </c>
      <c r="C653" s="36" t="str">
        <f>IF(A653&lt;&gt;"",SUMIFS('การทำธุรกรรม'!E:E,'การทำธุรกรรม'!F:F,A653,'การทำธุรกรรม'!B:B,"รายจ่าย"),)</f>
        <v/>
      </c>
      <c r="D653" s="36" t="str">
        <f t="shared" si="1"/>
        <v/>
      </c>
    </row>
    <row r="654">
      <c r="A654" s="8"/>
      <c r="B654" s="36" t="str">
        <f>IF(A654&lt;&gt;"",SUMIFS('การทำธุรกรรม'!E:E,'การทำธุรกรรม'!F:F,A654,'การทำธุรกรรม'!B:B,"รายรับ"),)</f>
        <v/>
      </c>
      <c r="C654" s="36" t="str">
        <f>IF(A654&lt;&gt;"",SUMIFS('การทำธุรกรรม'!E:E,'การทำธุรกรรม'!F:F,A654,'การทำธุรกรรม'!B:B,"รายจ่าย"),)</f>
        <v/>
      </c>
      <c r="D654" s="36" t="str">
        <f t="shared" si="1"/>
        <v/>
      </c>
    </row>
    <row r="655">
      <c r="A655" s="8"/>
      <c r="B655" s="36" t="str">
        <f>IF(A655&lt;&gt;"",SUMIFS('การทำธุรกรรม'!E:E,'การทำธุรกรรม'!F:F,A655,'การทำธุรกรรม'!B:B,"รายรับ"),)</f>
        <v/>
      </c>
      <c r="C655" s="36" t="str">
        <f>IF(A655&lt;&gt;"",SUMIFS('การทำธุรกรรม'!E:E,'การทำธุรกรรม'!F:F,A655,'การทำธุรกรรม'!B:B,"รายจ่าย"),)</f>
        <v/>
      </c>
      <c r="D655" s="36" t="str">
        <f t="shared" si="1"/>
        <v/>
      </c>
    </row>
    <row r="656">
      <c r="A656" s="8"/>
      <c r="B656" s="36" t="str">
        <f>IF(A656&lt;&gt;"",SUMIFS('การทำธุรกรรม'!E:E,'การทำธุรกรรม'!F:F,A656,'การทำธุรกรรม'!B:B,"รายรับ"),)</f>
        <v/>
      </c>
      <c r="C656" s="36" t="str">
        <f>IF(A656&lt;&gt;"",SUMIFS('การทำธุรกรรม'!E:E,'การทำธุรกรรม'!F:F,A656,'การทำธุรกรรม'!B:B,"รายจ่าย"),)</f>
        <v/>
      </c>
      <c r="D656" s="36" t="str">
        <f t="shared" si="1"/>
        <v/>
      </c>
    </row>
    <row r="657">
      <c r="A657" s="8"/>
      <c r="B657" s="36" t="str">
        <f>IF(A657&lt;&gt;"",SUMIFS('การทำธุรกรรม'!E:E,'การทำธุรกรรม'!F:F,A657,'การทำธุรกรรม'!B:B,"รายรับ"),)</f>
        <v/>
      </c>
      <c r="C657" s="36" t="str">
        <f>IF(A657&lt;&gt;"",SUMIFS('การทำธุรกรรม'!E:E,'การทำธุรกรรม'!F:F,A657,'การทำธุรกรรม'!B:B,"รายจ่าย"),)</f>
        <v/>
      </c>
      <c r="D657" s="36" t="str">
        <f t="shared" si="1"/>
        <v/>
      </c>
    </row>
    <row r="658">
      <c r="A658" s="8"/>
      <c r="B658" s="36" t="str">
        <f>IF(A658&lt;&gt;"",SUMIFS('การทำธุรกรรม'!E:E,'การทำธุรกรรม'!F:F,A658,'การทำธุรกรรม'!B:B,"รายรับ"),)</f>
        <v/>
      </c>
      <c r="C658" s="36" t="str">
        <f>IF(A658&lt;&gt;"",SUMIFS('การทำธุรกรรม'!E:E,'การทำธุรกรรม'!F:F,A658,'การทำธุรกรรม'!B:B,"รายจ่าย"),)</f>
        <v/>
      </c>
      <c r="D658" s="36" t="str">
        <f t="shared" si="1"/>
        <v/>
      </c>
    </row>
    <row r="659">
      <c r="A659" s="8"/>
      <c r="B659" s="36" t="str">
        <f>IF(A659&lt;&gt;"",SUMIFS('การทำธุรกรรม'!E:E,'การทำธุรกรรม'!F:F,A659,'การทำธุรกรรม'!B:B,"รายรับ"),)</f>
        <v/>
      </c>
      <c r="C659" s="36" t="str">
        <f>IF(A659&lt;&gt;"",SUMIFS('การทำธุรกรรม'!E:E,'การทำธุรกรรม'!F:F,A659,'การทำธุรกรรม'!B:B,"รายจ่าย"),)</f>
        <v/>
      </c>
      <c r="D659" s="36" t="str">
        <f t="shared" si="1"/>
        <v/>
      </c>
    </row>
    <row r="660">
      <c r="A660" s="8"/>
      <c r="B660" s="36" t="str">
        <f>IF(A660&lt;&gt;"",SUMIFS('การทำธุรกรรม'!E:E,'การทำธุรกรรม'!F:F,A660,'การทำธุรกรรม'!B:B,"รายรับ"),)</f>
        <v/>
      </c>
      <c r="C660" s="36" t="str">
        <f>IF(A660&lt;&gt;"",SUMIFS('การทำธุรกรรม'!E:E,'การทำธุรกรรม'!F:F,A660,'การทำธุรกรรม'!B:B,"รายจ่าย"),)</f>
        <v/>
      </c>
      <c r="D660" s="36" t="str">
        <f t="shared" si="1"/>
        <v/>
      </c>
    </row>
    <row r="661">
      <c r="A661" s="8"/>
      <c r="B661" s="36" t="str">
        <f>IF(A661&lt;&gt;"",SUMIFS('การทำธุรกรรม'!E:E,'การทำธุรกรรม'!F:F,A661,'การทำธุรกรรม'!B:B,"รายรับ"),)</f>
        <v/>
      </c>
      <c r="C661" s="36" t="str">
        <f>IF(A661&lt;&gt;"",SUMIFS('การทำธุรกรรม'!E:E,'การทำธุรกรรม'!F:F,A661,'การทำธุรกรรม'!B:B,"รายจ่าย"),)</f>
        <v/>
      </c>
      <c r="D661" s="36" t="str">
        <f t="shared" si="1"/>
        <v/>
      </c>
    </row>
    <row r="662">
      <c r="A662" s="8"/>
      <c r="B662" s="36" t="str">
        <f>IF(A662&lt;&gt;"",SUMIFS('การทำธุรกรรม'!E:E,'การทำธุรกรรม'!F:F,A662,'การทำธุรกรรม'!B:B,"รายรับ"),)</f>
        <v/>
      </c>
      <c r="C662" s="36" t="str">
        <f>IF(A662&lt;&gt;"",SUMIFS('การทำธุรกรรม'!E:E,'การทำธุรกรรม'!F:F,A662,'การทำธุรกรรม'!B:B,"รายจ่าย"),)</f>
        <v/>
      </c>
      <c r="D662" s="36" t="str">
        <f t="shared" si="1"/>
        <v/>
      </c>
    </row>
    <row r="663">
      <c r="A663" s="8"/>
      <c r="B663" s="36" t="str">
        <f>IF(A663&lt;&gt;"",SUMIFS('การทำธุรกรรม'!E:E,'การทำธุรกรรม'!F:F,A663,'การทำธุรกรรม'!B:B,"รายรับ"),)</f>
        <v/>
      </c>
      <c r="C663" s="36" t="str">
        <f>IF(A663&lt;&gt;"",SUMIFS('การทำธุรกรรม'!E:E,'การทำธุรกรรม'!F:F,A663,'การทำธุรกรรม'!B:B,"รายจ่าย"),)</f>
        <v/>
      </c>
      <c r="D663" s="36" t="str">
        <f t="shared" si="1"/>
        <v/>
      </c>
    </row>
    <row r="664">
      <c r="A664" s="8"/>
      <c r="B664" s="36" t="str">
        <f>IF(A664&lt;&gt;"",SUMIFS('การทำธุรกรรม'!E:E,'การทำธุรกรรม'!F:F,A664,'การทำธุรกรรม'!B:B,"รายรับ"),)</f>
        <v/>
      </c>
      <c r="C664" s="36" t="str">
        <f>IF(A664&lt;&gt;"",SUMIFS('การทำธุรกรรม'!E:E,'การทำธุรกรรม'!F:F,A664,'การทำธุรกรรม'!B:B,"รายจ่าย"),)</f>
        <v/>
      </c>
      <c r="D664" s="36" t="str">
        <f t="shared" si="1"/>
        <v/>
      </c>
    </row>
    <row r="665">
      <c r="A665" s="8"/>
      <c r="B665" s="36" t="str">
        <f>IF(A665&lt;&gt;"",SUMIFS('การทำธุรกรรม'!E:E,'การทำธุรกรรม'!F:F,A665,'การทำธุรกรรม'!B:B,"รายรับ"),)</f>
        <v/>
      </c>
      <c r="C665" s="36" t="str">
        <f>IF(A665&lt;&gt;"",SUMIFS('การทำธุรกรรม'!E:E,'การทำธุรกรรม'!F:F,A665,'การทำธุรกรรม'!B:B,"รายจ่าย"),)</f>
        <v/>
      </c>
      <c r="D665" s="36" t="str">
        <f t="shared" si="1"/>
        <v/>
      </c>
    </row>
    <row r="666">
      <c r="A666" s="8"/>
      <c r="B666" s="36" t="str">
        <f>IF(A666&lt;&gt;"",SUMIFS('การทำธุรกรรม'!E:E,'การทำธุรกรรม'!F:F,A666,'การทำธุรกรรม'!B:B,"รายรับ"),)</f>
        <v/>
      </c>
      <c r="C666" s="36" t="str">
        <f>IF(A666&lt;&gt;"",SUMIFS('การทำธุรกรรม'!E:E,'การทำธุรกรรม'!F:F,A666,'การทำธุรกรรม'!B:B,"รายจ่าย"),)</f>
        <v/>
      </c>
      <c r="D666" s="36" t="str">
        <f t="shared" si="1"/>
        <v/>
      </c>
    </row>
    <row r="667">
      <c r="A667" s="8"/>
      <c r="B667" s="36" t="str">
        <f>IF(A667&lt;&gt;"",SUMIFS('การทำธุรกรรม'!E:E,'การทำธุรกรรม'!F:F,A667,'การทำธุรกรรม'!B:B,"รายรับ"),)</f>
        <v/>
      </c>
      <c r="C667" s="36" t="str">
        <f>IF(A667&lt;&gt;"",SUMIFS('การทำธุรกรรม'!E:E,'การทำธุรกรรม'!F:F,A667,'การทำธุรกรรม'!B:B,"รายจ่าย"),)</f>
        <v/>
      </c>
      <c r="D667" s="36" t="str">
        <f t="shared" si="1"/>
        <v/>
      </c>
    </row>
    <row r="668">
      <c r="A668" s="8"/>
      <c r="B668" s="36" t="str">
        <f>IF(A668&lt;&gt;"",SUMIFS('การทำธุรกรรม'!E:E,'การทำธุรกรรม'!F:F,A668,'การทำธุรกรรม'!B:B,"รายรับ"),)</f>
        <v/>
      </c>
      <c r="C668" s="36" t="str">
        <f>IF(A668&lt;&gt;"",SUMIFS('การทำธุรกรรม'!E:E,'การทำธุรกรรม'!F:F,A668,'การทำธุรกรรม'!B:B,"รายจ่าย"),)</f>
        <v/>
      </c>
      <c r="D668" s="36" t="str">
        <f t="shared" si="1"/>
        <v/>
      </c>
    </row>
    <row r="669">
      <c r="A669" s="8"/>
      <c r="B669" s="36" t="str">
        <f>IF(A669&lt;&gt;"",SUMIFS('การทำธุรกรรม'!E:E,'การทำธุรกรรม'!F:F,A669,'การทำธุรกรรม'!B:B,"รายรับ"),)</f>
        <v/>
      </c>
      <c r="C669" s="36" t="str">
        <f>IF(A669&lt;&gt;"",SUMIFS('การทำธุรกรรม'!E:E,'การทำธุรกรรม'!F:F,A669,'การทำธุรกรรม'!B:B,"รายจ่าย"),)</f>
        <v/>
      </c>
      <c r="D669" s="36" t="str">
        <f t="shared" si="1"/>
        <v/>
      </c>
    </row>
    <row r="670">
      <c r="A670" s="8"/>
      <c r="B670" s="36" t="str">
        <f>IF(A670&lt;&gt;"",SUMIFS('การทำธุรกรรม'!E:E,'การทำธุรกรรม'!F:F,A670,'การทำธุรกรรม'!B:B,"รายรับ"),)</f>
        <v/>
      </c>
      <c r="C670" s="36" t="str">
        <f>IF(A670&lt;&gt;"",SUMIFS('การทำธุรกรรม'!E:E,'การทำธุรกรรม'!F:F,A670,'การทำธุรกรรม'!B:B,"รายจ่าย"),)</f>
        <v/>
      </c>
      <c r="D670" s="36" t="str">
        <f t="shared" si="1"/>
        <v/>
      </c>
    </row>
    <row r="671">
      <c r="A671" s="8"/>
      <c r="B671" s="36" t="str">
        <f>IF(A671&lt;&gt;"",SUMIFS('การทำธุรกรรม'!E:E,'การทำธุรกรรม'!F:F,A671,'การทำธุรกรรม'!B:B,"รายรับ"),)</f>
        <v/>
      </c>
      <c r="C671" s="36" t="str">
        <f>IF(A671&lt;&gt;"",SUMIFS('การทำธุรกรรม'!E:E,'การทำธุรกรรม'!F:F,A671,'การทำธุรกรรม'!B:B,"รายจ่าย"),)</f>
        <v/>
      </c>
      <c r="D671" s="36" t="str">
        <f t="shared" si="1"/>
        <v/>
      </c>
    </row>
    <row r="672">
      <c r="A672" s="8"/>
      <c r="B672" s="36" t="str">
        <f>IF(A672&lt;&gt;"",SUMIFS('การทำธุรกรรม'!E:E,'การทำธุรกรรม'!F:F,A672,'การทำธุรกรรม'!B:B,"รายรับ"),)</f>
        <v/>
      </c>
      <c r="C672" s="36" t="str">
        <f>IF(A672&lt;&gt;"",SUMIFS('การทำธุรกรรม'!E:E,'การทำธุรกรรม'!F:F,A672,'การทำธุรกรรม'!B:B,"รายจ่าย"),)</f>
        <v/>
      </c>
      <c r="D672" s="36" t="str">
        <f t="shared" si="1"/>
        <v/>
      </c>
    </row>
    <row r="673">
      <c r="A673" s="8"/>
      <c r="B673" s="36" t="str">
        <f>IF(A673&lt;&gt;"",SUMIFS('การทำธุรกรรม'!E:E,'การทำธุรกรรม'!F:F,A673,'การทำธุรกรรม'!B:B,"รายรับ"),)</f>
        <v/>
      </c>
      <c r="C673" s="36" t="str">
        <f>IF(A673&lt;&gt;"",SUMIFS('การทำธุรกรรม'!E:E,'การทำธุรกรรม'!F:F,A673,'การทำธุรกรรม'!B:B,"รายจ่าย"),)</f>
        <v/>
      </c>
      <c r="D673" s="36" t="str">
        <f t="shared" si="1"/>
        <v/>
      </c>
    </row>
    <row r="674">
      <c r="A674" s="8"/>
      <c r="B674" s="36" t="str">
        <f>IF(A674&lt;&gt;"",SUMIFS('การทำธุรกรรม'!E:E,'การทำธุรกรรม'!F:F,A674,'การทำธุรกรรม'!B:B,"รายรับ"),)</f>
        <v/>
      </c>
      <c r="C674" s="36" t="str">
        <f>IF(A674&lt;&gt;"",SUMIFS('การทำธุรกรรม'!E:E,'การทำธุรกรรม'!F:F,A674,'การทำธุรกรรม'!B:B,"รายจ่าย"),)</f>
        <v/>
      </c>
      <c r="D674" s="36" t="str">
        <f t="shared" si="1"/>
        <v/>
      </c>
    </row>
    <row r="675">
      <c r="A675" s="8"/>
      <c r="B675" s="36" t="str">
        <f>IF(A675&lt;&gt;"",SUMIFS('การทำธุรกรรม'!E:E,'การทำธุรกรรม'!F:F,A675,'การทำธุรกรรม'!B:B,"รายรับ"),)</f>
        <v/>
      </c>
      <c r="C675" s="36" t="str">
        <f>IF(A675&lt;&gt;"",SUMIFS('การทำธุรกรรม'!E:E,'การทำธุรกรรม'!F:F,A675,'การทำธุรกรรม'!B:B,"รายจ่าย"),)</f>
        <v/>
      </c>
      <c r="D675" s="36" t="str">
        <f t="shared" si="1"/>
        <v/>
      </c>
    </row>
    <row r="676">
      <c r="A676" s="8"/>
      <c r="B676" s="36" t="str">
        <f>IF(A676&lt;&gt;"",SUMIFS('การทำธุรกรรม'!E:E,'การทำธุรกรรม'!F:F,A676,'การทำธุรกรรม'!B:B,"รายรับ"),)</f>
        <v/>
      </c>
      <c r="C676" s="36" t="str">
        <f>IF(A676&lt;&gt;"",SUMIFS('การทำธุรกรรม'!E:E,'การทำธุรกรรม'!F:F,A676,'การทำธุรกรรม'!B:B,"รายจ่าย"),)</f>
        <v/>
      </c>
      <c r="D676" s="36" t="str">
        <f t="shared" si="1"/>
        <v/>
      </c>
    </row>
    <row r="677">
      <c r="A677" s="8"/>
      <c r="B677" s="36" t="str">
        <f>IF(A677&lt;&gt;"",SUMIFS('การทำธุรกรรม'!E:E,'การทำธุรกรรม'!F:F,A677,'การทำธุรกรรม'!B:B,"รายรับ"),)</f>
        <v/>
      </c>
      <c r="C677" s="36" t="str">
        <f>IF(A677&lt;&gt;"",SUMIFS('การทำธุรกรรม'!E:E,'การทำธุรกรรม'!F:F,A677,'การทำธุรกรรม'!B:B,"รายจ่าย"),)</f>
        <v/>
      </c>
      <c r="D677" s="36" t="str">
        <f t="shared" si="1"/>
        <v/>
      </c>
    </row>
    <row r="678">
      <c r="A678" s="8"/>
      <c r="B678" s="36" t="str">
        <f>IF(A678&lt;&gt;"",SUMIFS('การทำธุรกรรม'!E:E,'การทำธุรกรรม'!F:F,A678,'การทำธุรกรรม'!B:B,"รายรับ"),)</f>
        <v/>
      </c>
      <c r="C678" s="36" t="str">
        <f>IF(A678&lt;&gt;"",SUMIFS('การทำธุรกรรม'!E:E,'การทำธุรกรรม'!F:F,A678,'การทำธุรกรรม'!B:B,"รายจ่าย"),)</f>
        <v/>
      </c>
      <c r="D678" s="36" t="str">
        <f t="shared" si="1"/>
        <v/>
      </c>
    </row>
    <row r="679">
      <c r="A679" s="8"/>
      <c r="B679" s="36" t="str">
        <f>IF(A679&lt;&gt;"",SUMIFS('การทำธุรกรรม'!E:E,'การทำธุรกรรม'!F:F,A679,'การทำธุรกรรม'!B:B,"รายรับ"),)</f>
        <v/>
      </c>
      <c r="C679" s="36" t="str">
        <f>IF(A679&lt;&gt;"",SUMIFS('การทำธุรกรรม'!E:E,'การทำธุรกรรม'!F:F,A679,'การทำธุรกรรม'!B:B,"รายจ่าย"),)</f>
        <v/>
      </c>
      <c r="D679" s="36" t="str">
        <f t="shared" si="1"/>
        <v/>
      </c>
    </row>
    <row r="680">
      <c r="A680" s="8"/>
      <c r="B680" s="36" t="str">
        <f>IF(A680&lt;&gt;"",SUMIFS('การทำธุรกรรม'!E:E,'การทำธุรกรรม'!F:F,A680,'การทำธุรกรรม'!B:B,"รายรับ"),)</f>
        <v/>
      </c>
      <c r="C680" s="36" t="str">
        <f>IF(A680&lt;&gt;"",SUMIFS('การทำธุรกรรม'!E:E,'การทำธุรกรรม'!F:F,A680,'การทำธุรกรรม'!B:B,"รายจ่าย"),)</f>
        <v/>
      </c>
      <c r="D680" s="36" t="str">
        <f t="shared" si="1"/>
        <v/>
      </c>
    </row>
    <row r="681">
      <c r="A681" s="8"/>
      <c r="B681" s="36" t="str">
        <f>IF(A681&lt;&gt;"",SUMIFS('การทำธุรกรรม'!E:E,'การทำธุรกรรม'!F:F,A681,'การทำธุรกรรม'!B:B,"รายรับ"),)</f>
        <v/>
      </c>
      <c r="C681" s="36" t="str">
        <f>IF(A681&lt;&gt;"",SUMIFS('การทำธุรกรรม'!E:E,'การทำธุรกรรม'!F:F,A681,'การทำธุรกรรม'!B:B,"รายจ่าย"),)</f>
        <v/>
      </c>
      <c r="D681" s="36" t="str">
        <f t="shared" si="1"/>
        <v/>
      </c>
    </row>
    <row r="682">
      <c r="A682" s="8"/>
      <c r="B682" s="36" t="str">
        <f>IF(A682&lt;&gt;"",SUMIFS('การทำธุรกรรม'!E:E,'การทำธุรกรรม'!F:F,A682,'การทำธุรกรรม'!B:B,"รายรับ"),)</f>
        <v/>
      </c>
      <c r="C682" s="36" t="str">
        <f>IF(A682&lt;&gt;"",SUMIFS('การทำธุรกรรม'!E:E,'การทำธุรกรรม'!F:F,A682,'การทำธุรกรรม'!B:B,"รายจ่าย"),)</f>
        <v/>
      </c>
      <c r="D682" s="36" t="str">
        <f t="shared" si="1"/>
        <v/>
      </c>
    </row>
    <row r="683">
      <c r="A683" s="8"/>
      <c r="B683" s="36" t="str">
        <f>IF(A683&lt;&gt;"",SUMIFS('การทำธุรกรรม'!E:E,'การทำธุรกรรม'!F:F,A683,'การทำธุรกรรม'!B:B,"รายรับ"),)</f>
        <v/>
      </c>
      <c r="C683" s="36" t="str">
        <f>IF(A683&lt;&gt;"",SUMIFS('การทำธุรกรรม'!E:E,'การทำธุรกรรม'!F:F,A683,'การทำธุรกรรม'!B:B,"รายจ่าย"),)</f>
        <v/>
      </c>
      <c r="D683" s="36" t="str">
        <f t="shared" si="1"/>
        <v/>
      </c>
    </row>
    <row r="684">
      <c r="A684" s="8"/>
      <c r="B684" s="36" t="str">
        <f>IF(A684&lt;&gt;"",SUMIFS('การทำธุรกรรม'!E:E,'การทำธุรกรรม'!F:F,A684,'การทำธุรกรรม'!B:B,"รายรับ"),)</f>
        <v/>
      </c>
      <c r="C684" s="36" t="str">
        <f>IF(A684&lt;&gt;"",SUMIFS('การทำธุรกรรม'!E:E,'การทำธุรกรรม'!F:F,A684,'การทำธุรกรรม'!B:B,"รายจ่าย"),)</f>
        <v/>
      </c>
      <c r="D684" s="36" t="str">
        <f t="shared" si="1"/>
        <v/>
      </c>
    </row>
    <row r="685">
      <c r="A685" s="8"/>
      <c r="B685" s="36" t="str">
        <f>IF(A685&lt;&gt;"",SUMIFS('การทำธุรกรรม'!E:E,'การทำธุรกรรม'!F:F,A685,'การทำธุรกรรม'!B:B,"รายรับ"),)</f>
        <v/>
      </c>
      <c r="C685" s="36" t="str">
        <f>IF(A685&lt;&gt;"",SUMIFS('การทำธุรกรรม'!E:E,'การทำธุรกรรม'!F:F,A685,'การทำธุรกรรม'!B:B,"รายจ่าย"),)</f>
        <v/>
      </c>
      <c r="D685" s="36" t="str">
        <f t="shared" si="1"/>
        <v/>
      </c>
    </row>
    <row r="686">
      <c r="A686" s="8"/>
      <c r="B686" s="36" t="str">
        <f>IF(A686&lt;&gt;"",SUMIFS('การทำธุรกรรม'!E:E,'การทำธุรกรรม'!F:F,A686,'การทำธุรกรรม'!B:B,"รายรับ"),)</f>
        <v/>
      </c>
      <c r="C686" s="36" t="str">
        <f>IF(A686&lt;&gt;"",SUMIFS('การทำธุรกรรม'!E:E,'การทำธุรกรรม'!F:F,A686,'การทำธุรกรรม'!B:B,"รายจ่าย"),)</f>
        <v/>
      </c>
      <c r="D686" s="36" t="str">
        <f t="shared" si="1"/>
        <v/>
      </c>
    </row>
    <row r="687">
      <c r="A687" s="8"/>
      <c r="B687" s="36" t="str">
        <f>IF(A687&lt;&gt;"",SUMIFS('การทำธุรกรรม'!E:E,'การทำธุรกรรม'!F:F,A687,'การทำธุรกรรม'!B:B,"รายรับ"),)</f>
        <v/>
      </c>
      <c r="C687" s="36" t="str">
        <f>IF(A687&lt;&gt;"",SUMIFS('การทำธุรกรรม'!E:E,'การทำธุรกรรม'!F:F,A687,'การทำธุรกรรม'!B:B,"รายจ่าย"),)</f>
        <v/>
      </c>
      <c r="D687" s="36" t="str">
        <f t="shared" si="1"/>
        <v/>
      </c>
    </row>
    <row r="688">
      <c r="A688" s="8"/>
      <c r="B688" s="36" t="str">
        <f>IF(A688&lt;&gt;"",SUMIFS('การทำธุรกรรม'!E:E,'การทำธุรกรรม'!F:F,A688,'การทำธุรกรรม'!B:B,"รายรับ"),)</f>
        <v/>
      </c>
      <c r="C688" s="36" t="str">
        <f>IF(A688&lt;&gt;"",SUMIFS('การทำธุรกรรม'!E:E,'การทำธุรกรรม'!F:F,A688,'การทำธุรกรรม'!B:B,"รายจ่าย"),)</f>
        <v/>
      </c>
      <c r="D688" s="36" t="str">
        <f t="shared" si="1"/>
        <v/>
      </c>
    </row>
    <row r="689">
      <c r="A689" s="8"/>
      <c r="B689" s="36" t="str">
        <f>IF(A689&lt;&gt;"",SUMIFS('การทำธุรกรรม'!E:E,'การทำธุรกรรม'!F:F,A689,'การทำธุรกรรม'!B:B,"รายรับ"),)</f>
        <v/>
      </c>
      <c r="C689" s="36" t="str">
        <f>IF(A689&lt;&gt;"",SUMIFS('การทำธุรกรรม'!E:E,'การทำธุรกรรม'!F:F,A689,'การทำธุรกรรม'!B:B,"รายจ่าย"),)</f>
        <v/>
      </c>
      <c r="D689" s="36" t="str">
        <f t="shared" si="1"/>
        <v/>
      </c>
    </row>
    <row r="690">
      <c r="A690" s="8"/>
      <c r="B690" s="36" t="str">
        <f>IF(A690&lt;&gt;"",SUMIFS('การทำธุรกรรม'!E:E,'การทำธุรกรรม'!F:F,A690,'การทำธุรกรรม'!B:B,"รายรับ"),)</f>
        <v/>
      </c>
      <c r="C690" s="36" t="str">
        <f>IF(A690&lt;&gt;"",SUMIFS('การทำธุรกรรม'!E:E,'การทำธุรกรรม'!F:F,A690,'การทำธุรกรรม'!B:B,"รายจ่าย"),)</f>
        <v/>
      </c>
      <c r="D690" s="36" t="str">
        <f t="shared" si="1"/>
        <v/>
      </c>
    </row>
    <row r="691">
      <c r="A691" s="8"/>
      <c r="B691" s="36" t="str">
        <f>IF(A691&lt;&gt;"",SUMIFS('การทำธุรกรรม'!E:E,'การทำธุรกรรม'!F:F,A691,'การทำธุรกรรม'!B:B,"รายรับ"),)</f>
        <v/>
      </c>
      <c r="C691" s="36" t="str">
        <f>IF(A691&lt;&gt;"",SUMIFS('การทำธุรกรรม'!E:E,'การทำธุรกรรม'!F:F,A691,'การทำธุรกรรม'!B:B,"รายจ่าย"),)</f>
        <v/>
      </c>
      <c r="D691" s="36" t="str">
        <f t="shared" si="1"/>
        <v/>
      </c>
    </row>
    <row r="692">
      <c r="A692" s="8"/>
      <c r="B692" s="36" t="str">
        <f>IF(A692&lt;&gt;"",SUMIFS('การทำธุรกรรม'!E:E,'การทำธุรกรรม'!F:F,A692,'การทำธุรกรรม'!B:B,"รายรับ"),)</f>
        <v/>
      </c>
      <c r="C692" s="36" t="str">
        <f>IF(A692&lt;&gt;"",SUMIFS('การทำธุรกรรม'!E:E,'การทำธุรกรรม'!F:F,A692,'การทำธุรกรรม'!B:B,"รายจ่าย"),)</f>
        <v/>
      </c>
      <c r="D692" s="36" t="str">
        <f t="shared" si="1"/>
        <v/>
      </c>
    </row>
    <row r="693">
      <c r="A693" s="8"/>
      <c r="B693" s="36" t="str">
        <f>IF(A693&lt;&gt;"",SUMIFS('การทำธุรกรรม'!E:E,'การทำธุรกรรม'!F:F,A693,'การทำธุรกรรม'!B:B,"รายรับ"),)</f>
        <v/>
      </c>
      <c r="C693" s="36" t="str">
        <f>IF(A693&lt;&gt;"",SUMIFS('การทำธุรกรรม'!E:E,'การทำธุรกรรม'!F:F,A693,'การทำธุรกรรม'!B:B,"รายจ่าย"),)</f>
        <v/>
      </c>
      <c r="D693" s="36" t="str">
        <f t="shared" si="1"/>
        <v/>
      </c>
    </row>
    <row r="694">
      <c r="A694" s="8"/>
      <c r="B694" s="36" t="str">
        <f>IF(A694&lt;&gt;"",SUMIFS('การทำธุรกรรม'!E:E,'การทำธุรกรรม'!F:F,A694,'การทำธุรกรรม'!B:B,"รายรับ"),)</f>
        <v/>
      </c>
      <c r="C694" s="36" t="str">
        <f>IF(A694&lt;&gt;"",SUMIFS('การทำธุรกรรม'!E:E,'การทำธุรกรรม'!F:F,A694,'การทำธุรกรรม'!B:B,"รายจ่าย"),)</f>
        <v/>
      </c>
      <c r="D694" s="36" t="str">
        <f t="shared" si="1"/>
        <v/>
      </c>
    </row>
    <row r="695">
      <c r="A695" s="8"/>
      <c r="B695" s="36" t="str">
        <f>IF(A695&lt;&gt;"",SUMIFS('การทำธุรกรรม'!E:E,'การทำธุรกรรม'!F:F,A695,'การทำธุรกรรม'!B:B,"รายรับ"),)</f>
        <v/>
      </c>
      <c r="C695" s="36" t="str">
        <f>IF(A695&lt;&gt;"",SUMIFS('การทำธุรกรรม'!E:E,'การทำธุรกรรม'!F:F,A695,'การทำธุรกรรม'!B:B,"รายจ่าย"),)</f>
        <v/>
      </c>
      <c r="D695" s="36" t="str">
        <f t="shared" si="1"/>
        <v/>
      </c>
    </row>
    <row r="696">
      <c r="A696" s="8"/>
      <c r="B696" s="36" t="str">
        <f>IF(A696&lt;&gt;"",SUMIFS('การทำธุรกรรม'!E:E,'การทำธุรกรรม'!F:F,A696,'การทำธุรกรรม'!B:B,"รายรับ"),)</f>
        <v/>
      </c>
      <c r="C696" s="36" t="str">
        <f>IF(A696&lt;&gt;"",SUMIFS('การทำธุรกรรม'!E:E,'การทำธุรกรรม'!F:F,A696,'การทำธุรกรรม'!B:B,"รายจ่าย"),)</f>
        <v/>
      </c>
      <c r="D696" s="36" t="str">
        <f t="shared" si="1"/>
        <v/>
      </c>
    </row>
    <row r="697">
      <c r="A697" s="8"/>
      <c r="B697" s="36" t="str">
        <f>IF(A697&lt;&gt;"",SUMIFS('การทำธุรกรรม'!E:E,'การทำธุรกรรม'!F:F,A697,'การทำธุรกรรม'!B:B,"รายรับ"),)</f>
        <v/>
      </c>
      <c r="C697" s="36" t="str">
        <f>IF(A697&lt;&gt;"",SUMIFS('การทำธุรกรรม'!E:E,'การทำธุรกรรม'!F:F,A697,'การทำธุรกรรม'!B:B,"รายจ่าย"),)</f>
        <v/>
      </c>
      <c r="D697" s="36" t="str">
        <f t="shared" si="1"/>
        <v/>
      </c>
    </row>
    <row r="698">
      <c r="A698" s="8"/>
      <c r="B698" s="36" t="str">
        <f>IF(A698&lt;&gt;"",SUMIFS('การทำธุรกรรม'!E:E,'การทำธุรกรรม'!F:F,A698,'การทำธุรกรรม'!B:B,"รายรับ"),)</f>
        <v/>
      </c>
      <c r="C698" s="36" t="str">
        <f>IF(A698&lt;&gt;"",SUMIFS('การทำธุรกรรม'!E:E,'การทำธุรกรรม'!F:F,A698,'การทำธุรกรรม'!B:B,"รายจ่าย"),)</f>
        <v/>
      </c>
      <c r="D698" s="36" t="str">
        <f t="shared" si="1"/>
        <v/>
      </c>
    </row>
    <row r="699">
      <c r="A699" s="8"/>
      <c r="B699" s="36" t="str">
        <f>IF(A699&lt;&gt;"",SUMIFS('การทำธุรกรรม'!E:E,'การทำธุรกรรม'!F:F,A699,'การทำธุรกรรม'!B:B,"รายรับ"),)</f>
        <v/>
      </c>
      <c r="C699" s="36" t="str">
        <f>IF(A699&lt;&gt;"",SUMIFS('การทำธุรกรรม'!E:E,'การทำธุรกรรม'!F:F,A699,'การทำธุรกรรม'!B:B,"รายจ่าย"),)</f>
        <v/>
      </c>
      <c r="D699" s="36" t="str">
        <f t="shared" si="1"/>
        <v/>
      </c>
    </row>
    <row r="700">
      <c r="A700" s="8"/>
      <c r="B700" s="36" t="str">
        <f>IF(A700&lt;&gt;"",SUMIFS('การทำธุรกรรม'!E:E,'การทำธุรกรรม'!F:F,A700,'การทำธุรกรรม'!B:B,"รายรับ"),)</f>
        <v/>
      </c>
      <c r="C700" s="36" t="str">
        <f>IF(A700&lt;&gt;"",SUMIFS('การทำธุรกรรม'!E:E,'การทำธุรกรรม'!F:F,A700,'การทำธุรกรรม'!B:B,"รายจ่าย"),)</f>
        <v/>
      </c>
      <c r="D700" s="36" t="str">
        <f t="shared" si="1"/>
        <v/>
      </c>
    </row>
    <row r="701">
      <c r="A701" s="8"/>
      <c r="B701" s="36" t="str">
        <f>IF(A701&lt;&gt;"",SUMIFS('การทำธุรกรรม'!E:E,'การทำธุรกรรม'!F:F,A701,'การทำธุรกรรม'!B:B,"รายรับ"),)</f>
        <v/>
      </c>
      <c r="C701" s="36" t="str">
        <f>IF(A701&lt;&gt;"",SUMIFS('การทำธุรกรรม'!E:E,'การทำธุรกรรม'!F:F,A701,'การทำธุรกรรม'!B:B,"รายจ่าย"),)</f>
        <v/>
      </c>
      <c r="D701" s="36" t="str">
        <f t="shared" si="1"/>
        <v/>
      </c>
    </row>
    <row r="702">
      <c r="A702" s="8"/>
      <c r="B702" s="36" t="str">
        <f>IF(A702&lt;&gt;"",SUMIFS('การทำธุรกรรม'!E:E,'การทำธุรกรรม'!F:F,A702,'การทำธุรกรรม'!B:B,"รายรับ"),)</f>
        <v/>
      </c>
      <c r="C702" s="36" t="str">
        <f>IF(A702&lt;&gt;"",SUMIFS('การทำธุรกรรม'!E:E,'การทำธุรกรรม'!F:F,A702,'การทำธุรกรรม'!B:B,"รายจ่าย"),)</f>
        <v/>
      </c>
      <c r="D702" s="36" t="str">
        <f t="shared" si="1"/>
        <v/>
      </c>
    </row>
    <row r="703">
      <c r="A703" s="8"/>
      <c r="B703" s="36" t="str">
        <f>IF(A703&lt;&gt;"",SUMIFS('การทำธุรกรรม'!E:E,'การทำธุรกรรม'!F:F,A703,'การทำธุรกรรม'!B:B,"รายรับ"),)</f>
        <v/>
      </c>
      <c r="C703" s="36" t="str">
        <f>IF(A703&lt;&gt;"",SUMIFS('การทำธุรกรรม'!E:E,'การทำธุรกรรม'!F:F,A703,'การทำธุรกรรม'!B:B,"รายจ่าย"),)</f>
        <v/>
      </c>
      <c r="D703" s="36" t="str">
        <f t="shared" si="1"/>
        <v/>
      </c>
    </row>
    <row r="704">
      <c r="A704" s="8"/>
      <c r="B704" s="36" t="str">
        <f>IF(A704&lt;&gt;"",SUMIFS('การทำธุรกรรม'!E:E,'การทำธุรกรรม'!F:F,A704,'การทำธุรกรรม'!B:B,"รายรับ"),)</f>
        <v/>
      </c>
      <c r="C704" s="36" t="str">
        <f>IF(A704&lt;&gt;"",SUMIFS('การทำธุรกรรม'!E:E,'การทำธุรกรรม'!F:F,A704,'การทำธุรกรรม'!B:B,"รายจ่าย"),)</f>
        <v/>
      </c>
      <c r="D704" s="36" t="str">
        <f t="shared" si="1"/>
        <v/>
      </c>
    </row>
    <row r="705">
      <c r="A705" s="8"/>
      <c r="B705" s="36" t="str">
        <f>IF(A705&lt;&gt;"",SUMIFS('การทำธุรกรรม'!E:E,'การทำธุรกรรม'!F:F,A705,'การทำธุรกรรม'!B:B,"รายรับ"),)</f>
        <v/>
      </c>
      <c r="C705" s="36" t="str">
        <f>IF(A705&lt;&gt;"",SUMIFS('การทำธุรกรรม'!E:E,'การทำธุรกรรม'!F:F,A705,'การทำธุรกรรม'!B:B,"รายจ่าย"),)</f>
        <v/>
      </c>
      <c r="D705" s="36" t="str">
        <f t="shared" si="1"/>
        <v/>
      </c>
    </row>
    <row r="706">
      <c r="A706" s="8"/>
      <c r="B706" s="36" t="str">
        <f>IF(A706&lt;&gt;"",SUMIFS('การทำธุรกรรม'!E:E,'การทำธุรกรรม'!F:F,A706,'การทำธุรกรรม'!B:B,"รายรับ"),)</f>
        <v/>
      </c>
      <c r="C706" s="36" t="str">
        <f>IF(A706&lt;&gt;"",SUMIFS('การทำธุรกรรม'!E:E,'การทำธุรกรรม'!F:F,A706,'การทำธุรกรรม'!B:B,"รายจ่าย"),)</f>
        <v/>
      </c>
      <c r="D706" s="36" t="str">
        <f t="shared" si="1"/>
        <v/>
      </c>
    </row>
    <row r="707">
      <c r="A707" s="8"/>
      <c r="B707" s="36" t="str">
        <f>IF(A707&lt;&gt;"",SUMIFS('การทำธุรกรรม'!E:E,'การทำธุรกรรม'!F:F,A707,'การทำธุรกรรม'!B:B,"รายรับ"),)</f>
        <v/>
      </c>
      <c r="C707" s="36" t="str">
        <f>IF(A707&lt;&gt;"",SUMIFS('การทำธุรกรรม'!E:E,'การทำธุรกรรม'!F:F,A707,'การทำธุรกรรม'!B:B,"รายจ่าย"),)</f>
        <v/>
      </c>
      <c r="D707" s="36" t="str">
        <f t="shared" si="1"/>
        <v/>
      </c>
    </row>
    <row r="708">
      <c r="A708" s="8"/>
      <c r="B708" s="36" t="str">
        <f>IF(A708&lt;&gt;"",SUMIFS('การทำธุรกรรม'!E:E,'การทำธุรกรรม'!F:F,A708,'การทำธุรกรรม'!B:B,"รายรับ"),)</f>
        <v/>
      </c>
      <c r="C708" s="36" t="str">
        <f>IF(A708&lt;&gt;"",SUMIFS('การทำธุรกรรม'!E:E,'การทำธุรกรรม'!F:F,A708,'การทำธุรกรรม'!B:B,"รายจ่าย"),)</f>
        <v/>
      </c>
      <c r="D708" s="36" t="str">
        <f t="shared" si="1"/>
        <v/>
      </c>
    </row>
    <row r="709">
      <c r="A709" s="8"/>
      <c r="B709" s="36" t="str">
        <f>IF(A709&lt;&gt;"",SUMIFS('การทำธุรกรรม'!E:E,'การทำธุรกรรม'!F:F,A709,'การทำธุรกรรม'!B:B,"รายรับ"),)</f>
        <v/>
      </c>
      <c r="C709" s="36" t="str">
        <f>IF(A709&lt;&gt;"",SUMIFS('การทำธุรกรรม'!E:E,'การทำธุรกรรม'!F:F,A709,'การทำธุรกรรม'!B:B,"รายจ่าย"),)</f>
        <v/>
      </c>
      <c r="D709" s="36" t="str">
        <f t="shared" si="1"/>
        <v/>
      </c>
    </row>
    <row r="710">
      <c r="A710" s="8"/>
      <c r="B710" s="36" t="str">
        <f>IF(A710&lt;&gt;"",SUMIFS('การทำธุรกรรม'!E:E,'การทำธุรกรรม'!F:F,A710,'การทำธุรกรรม'!B:B,"รายรับ"),)</f>
        <v/>
      </c>
      <c r="C710" s="36" t="str">
        <f>IF(A710&lt;&gt;"",SUMIFS('การทำธุรกรรม'!E:E,'การทำธุรกรรม'!F:F,A710,'การทำธุรกรรม'!B:B,"รายจ่าย"),)</f>
        <v/>
      </c>
      <c r="D710" s="36" t="str">
        <f t="shared" si="1"/>
        <v/>
      </c>
    </row>
    <row r="711">
      <c r="A711" s="8"/>
      <c r="B711" s="36" t="str">
        <f>IF(A711&lt;&gt;"",SUMIFS('การทำธุรกรรม'!E:E,'การทำธุรกรรม'!F:F,A711,'การทำธุรกรรม'!B:B,"รายรับ"),)</f>
        <v/>
      </c>
      <c r="C711" s="36" t="str">
        <f>IF(A711&lt;&gt;"",SUMIFS('การทำธุรกรรม'!E:E,'การทำธุรกรรม'!F:F,A711,'การทำธุรกรรม'!B:B,"รายจ่าย"),)</f>
        <v/>
      </c>
      <c r="D711" s="36" t="str">
        <f t="shared" si="1"/>
        <v/>
      </c>
    </row>
    <row r="712">
      <c r="A712" s="8"/>
      <c r="B712" s="36" t="str">
        <f>IF(A712&lt;&gt;"",SUMIFS('การทำธุรกรรม'!E:E,'การทำธุรกรรม'!F:F,A712,'การทำธุรกรรม'!B:B,"รายรับ"),)</f>
        <v/>
      </c>
      <c r="C712" s="36" t="str">
        <f>IF(A712&lt;&gt;"",SUMIFS('การทำธุรกรรม'!E:E,'การทำธุรกรรม'!F:F,A712,'การทำธุรกรรม'!B:B,"รายจ่าย"),)</f>
        <v/>
      </c>
      <c r="D712" s="36" t="str">
        <f t="shared" si="1"/>
        <v/>
      </c>
    </row>
    <row r="713">
      <c r="A713" s="8"/>
      <c r="B713" s="36" t="str">
        <f>IF(A713&lt;&gt;"",SUMIFS('การทำธุรกรรม'!E:E,'การทำธุรกรรม'!F:F,A713,'การทำธุรกรรม'!B:B,"รายรับ"),)</f>
        <v/>
      </c>
      <c r="C713" s="36" t="str">
        <f>IF(A713&lt;&gt;"",SUMIFS('การทำธุรกรรม'!E:E,'การทำธุรกรรม'!F:F,A713,'การทำธุรกรรม'!B:B,"รายจ่าย"),)</f>
        <v/>
      </c>
      <c r="D713" s="36" t="str">
        <f t="shared" si="1"/>
        <v/>
      </c>
    </row>
    <row r="714">
      <c r="A714" s="8"/>
      <c r="B714" s="36" t="str">
        <f>IF(A714&lt;&gt;"",SUMIFS('การทำธุรกรรม'!E:E,'การทำธุรกรรม'!F:F,A714,'การทำธุรกรรม'!B:B,"รายรับ"),)</f>
        <v/>
      </c>
      <c r="C714" s="36" t="str">
        <f>IF(A714&lt;&gt;"",SUMIFS('การทำธุรกรรม'!E:E,'การทำธุรกรรม'!F:F,A714,'การทำธุรกรรม'!B:B,"รายจ่าย"),)</f>
        <v/>
      </c>
      <c r="D714" s="36" t="str">
        <f t="shared" si="1"/>
        <v/>
      </c>
    </row>
    <row r="715">
      <c r="A715" s="8"/>
      <c r="B715" s="36" t="str">
        <f>IF(A715&lt;&gt;"",SUMIFS('การทำธุรกรรม'!E:E,'การทำธุรกรรม'!F:F,A715,'การทำธุรกรรม'!B:B,"รายรับ"),)</f>
        <v/>
      </c>
      <c r="C715" s="36" t="str">
        <f>IF(A715&lt;&gt;"",SUMIFS('การทำธุรกรรม'!E:E,'การทำธุรกรรม'!F:F,A715,'การทำธุรกรรม'!B:B,"รายจ่าย"),)</f>
        <v/>
      </c>
      <c r="D715" s="36" t="str">
        <f t="shared" si="1"/>
        <v/>
      </c>
    </row>
    <row r="716">
      <c r="A716" s="8"/>
      <c r="B716" s="36" t="str">
        <f>IF(A716&lt;&gt;"",SUMIFS('การทำธุรกรรม'!E:E,'การทำธุรกรรม'!F:F,A716,'การทำธุรกรรม'!B:B,"รายรับ"),)</f>
        <v/>
      </c>
      <c r="C716" s="36" t="str">
        <f>IF(A716&lt;&gt;"",SUMIFS('การทำธุรกรรม'!E:E,'การทำธุรกรรม'!F:F,A716,'การทำธุรกรรม'!B:B,"รายจ่าย"),)</f>
        <v/>
      </c>
      <c r="D716" s="36" t="str">
        <f t="shared" si="1"/>
        <v/>
      </c>
    </row>
    <row r="717">
      <c r="A717" s="8"/>
      <c r="B717" s="36" t="str">
        <f>IF(A717&lt;&gt;"",SUMIFS('การทำธุรกรรม'!E:E,'การทำธุรกรรม'!F:F,A717,'การทำธุรกรรม'!B:B,"รายรับ"),)</f>
        <v/>
      </c>
      <c r="C717" s="36" t="str">
        <f>IF(A717&lt;&gt;"",SUMIFS('การทำธุรกรรม'!E:E,'การทำธุรกรรม'!F:F,A717,'การทำธุรกรรม'!B:B,"รายจ่าย"),)</f>
        <v/>
      </c>
      <c r="D717" s="36" t="str">
        <f t="shared" si="1"/>
        <v/>
      </c>
    </row>
    <row r="718">
      <c r="A718" s="8"/>
      <c r="B718" s="36" t="str">
        <f>IF(A718&lt;&gt;"",SUMIFS('การทำธุรกรรม'!E:E,'การทำธุรกรรม'!F:F,A718,'การทำธุรกรรม'!B:B,"รายรับ"),)</f>
        <v/>
      </c>
      <c r="C718" s="36" t="str">
        <f>IF(A718&lt;&gt;"",SUMIFS('การทำธุรกรรม'!E:E,'การทำธุรกรรม'!F:F,A718,'การทำธุรกรรม'!B:B,"รายจ่าย"),)</f>
        <v/>
      </c>
      <c r="D718" s="36" t="str">
        <f t="shared" si="1"/>
        <v/>
      </c>
    </row>
    <row r="719">
      <c r="A719" s="8"/>
      <c r="B719" s="36" t="str">
        <f>IF(A719&lt;&gt;"",SUMIFS('การทำธุรกรรม'!E:E,'การทำธุรกรรม'!F:F,A719,'การทำธุรกรรม'!B:B,"รายรับ"),)</f>
        <v/>
      </c>
      <c r="C719" s="36" t="str">
        <f>IF(A719&lt;&gt;"",SUMIFS('การทำธุรกรรม'!E:E,'การทำธุรกรรม'!F:F,A719,'การทำธุรกรรม'!B:B,"รายจ่าย"),)</f>
        <v/>
      </c>
      <c r="D719" s="36" t="str">
        <f t="shared" si="1"/>
        <v/>
      </c>
    </row>
    <row r="720">
      <c r="A720" s="8"/>
      <c r="B720" s="36" t="str">
        <f>IF(A720&lt;&gt;"",SUMIFS('การทำธุรกรรม'!E:E,'การทำธุรกรรม'!F:F,A720,'การทำธุรกรรม'!B:B,"รายรับ"),)</f>
        <v/>
      </c>
      <c r="C720" s="36" t="str">
        <f>IF(A720&lt;&gt;"",SUMIFS('การทำธุรกรรม'!E:E,'การทำธุรกรรม'!F:F,A720,'การทำธุรกรรม'!B:B,"รายจ่าย"),)</f>
        <v/>
      </c>
      <c r="D720" s="36" t="str">
        <f t="shared" si="1"/>
        <v/>
      </c>
    </row>
    <row r="721">
      <c r="A721" s="8"/>
      <c r="B721" s="36" t="str">
        <f>IF(A721&lt;&gt;"",SUMIFS('การทำธุรกรรม'!E:E,'การทำธุรกรรม'!F:F,A721,'การทำธุรกรรม'!B:B,"รายรับ"),)</f>
        <v/>
      </c>
      <c r="C721" s="36" t="str">
        <f>IF(A721&lt;&gt;"",SUMIFS('การทำธุรกรรม'!E:E,'การทำธุรกรรม'!F:F,A721,'การทำธุรกรรม'!B:B,"รายจ่าย"),)</f>
        <v/>
      </c>
      <c r="D721" s="36" t="str">
        <f t="shared" si="1"/>
        <v/>
      </c>
    </row>
    <row r="722">
      <c r="A722" s="8"/>
      <c r="B722" s="36" t="str">
        <f>IF(A722&lt;&gt;"",SUMIFS('การทำธุรกรรม'!E:E,'การทำธุรกรรม'!F:F,A722,'การทำธุรกรรม'!B:B,"รายรับ"),)</f>
        <v/>
      </c>
      <c r="C722" s="36" t="str">
        <f>IF(A722&lt;&gt;"",SUMIFS('การทำธุรกรรม'!E:E,'การทำธุรกรรม'!F:F,A722,'การทำธุรกรรม'!B:B,"รายจ่าย"),)</f>
        <v/>
      </c>
      <c r="D722" s="36" t="str">
        <f t="shared" si="1"/>
        <v/>
      </c>
    </row>
    <row r="723">
      <c r="A723" s="8"/>
      <c r="B723" s="36" t="str">
        <f>IF(A723&lt;&gt;"",SUMIFS('การทำธุรกรรม'!E:E,'การทำธุรกรรม'!F:F,A723,'การทำธุรกรรม'!B:B,"รายรับ"),)</f>
        <v/>
      </c>
      <c r="C723" s="36" t="str">
        <f>IF(A723&lt;&gt;"",SUMIFS('การทำธุรกรรม'!E:E,'การทำธุรกรรม'!F:F,A723,'การทำธุรกรรม'!B:B,"รายจ่าย"),)</f>
        <v/>
      </c>
      <c r="D723" s="36" t="str">
        <f t="shared" si="1"/>
        <v/>
      </c>
    </row>
    <row r="724">
      <c r="A724" s="8"/>
      <c r="B724" s="36" t="str">
        <f>IF(A724&lt;&gt;"",SUMIFS('การทำธุรกรรม'!E:E,'การทำธุรกรรม'!F:F,A724,'การทำธุรกรรม'!B:B,"รายรับ"),)</f>
        <v/>
      </c>
      <c r="C724" s="36" t="str">
        <f>IF(A724&lt;&gt;"",SUMIFS('การทำธุรกรรม'!E:E,'การทำธุรกรรม'!F:F,A724,'การทำธุรกรรม'!B:B,"รายจ่าย"),)</f>
        <v/>
      </c>
      <c r="D724" s="36" t="str">
        <f t="shared" si="1"/>
        <v/>
      </c>
    </row>
    <row r="725">
      <c r="A725" s="8"/>
      <c r="B725" s="36" t="str">
        <f>IF(A725&lt;&gt;"",SUMIFS('การทำธุรกรรม'!E:E,'การทำธุรกรรม'!F:F,A725,'การทำธุรกรรม'!B:B,"รายรับ"),)</f>
        <v/>
      </c>
      <c r="C725" s="36" t="str">
        <f>IF(A725&lt;&gt;"",SUMIFS('การทำธุรกรรม'!E:E,'การทำธุรกรรม'!F:F,A725,'การทำธุรกรรม'!B:B,"รายจ่าย"),)</f>
        <v/>
      </c>
      <c r="D725" s="36" t="str">
        <f t="shared" si="1"/>
        <v/>
      </c>
    </row>
    <row r="726">
      <c r="A726" s="8"/>
      <c r="B726" s="36" t="str">
        <f>IF(A726&lt;&gt;"",SUMIFS('การทำธุรกรรม'!E:E,'การทำธุรกรรม'!F:F,A726,'การทำธุรกรรม'!B:B,"รายรับ"),)</f>
        <v/>
      </c>
      <c r="C726" s="36" t="str">
        <f>IF(A726&lt;&gt;"",SUMIFS('การทำธุรกรรม'!E:E,'การทำธุรกรรม'!F:F,A726,'การทำธุรกรรม'!B:B,"รายจ่าย"),)</f>
        <v/>
      </c>
      <c r="D726" s="36" t="str">
        <f t="shared" si="1"/>
        <v/>
      </c>
    </row>
    <row r="727">
      <c r="A727" s="8"/>
      <c r="B727" s="36" t="str">
        <f>IF(A727&lt;&gt;"",SUMIFS('การทำธุรกรรม'!E:E,'การทำธุรกรรม'!F:F,A727,'การทำธุรกรรม'!B:B,"รายรับ"),)</f>
        <v/>
      </c>
      <c r="C727" s="36" t="str">
        <f>IF(A727&lt;&gt;"",SUMIFS('การทำธุรกรรม'!E:E,'การทำธุรกรรม'!F:F,A727,'การทำธุรกรรม'!B:B,"รายจ่าย"),)</f>
        <v/>
      </c>
      <c r="D727" s="36" t="str">
        <f t="shared" si="1"/>
        <v/>
      </c>
    </row>
    <row r="728">
      <c r="A728" s="8"/>
      <c r="B728" s="36" t="str">
        <f>IF(A728&lt;&gt;"",SUMIFS('การทำธุรกรรม'!E:E,'การทำธุรกรรม'!F:F,A728,'การทำธุรกรรม'!B:B,"รายรับ"),)</f>
        <v/>
      </c>
      <c r="C728" s="36" t="str">
        <f>IF(A728&lt;&gt;"",SUMIFS('การทำธุรกรรม'!E:E,'การทำธุรกรรม'!F:F,A728,'การทำธุรกรรม'!B:B,"รายจ่าย"),)</f>
        <v/>
      </c>
      <c r="D728" s="36" t="str">
        <f t="shared" si="1"/>
        <v/>
      </c>
    </row>
    <row r="729">
      <c r="A729" s="8"/>
      <c r="B729" s="36" t="str">
        <f>IF(A729&lt;&gt;"",SUMIFS('การทำธุรกรรม'!E:E,'การทำธุรกรรม'!F:F,A729,'การทำธุรกรรม'!B:B,"รายรับ"),)</f>
        <v/>
      </c>
      <c r="C729" s="36" t="str">
        <f>IF(A729&lt;&gt;"",SUMIFS('การทำธุรกรรม'!E:E,'การทำธุรกรรม'!F:F,A729,'การทำธุรกรรม'!B:B,"รายจ่าย"),)</f>
        <v/>
      </c>
      <c r="D729" s="36" t="str">
        <f t="shared" si="1"/>
        <v/>
      </c>
    </row>
    <row r="730">
      <c r="A730" s="8"/>
      <c r="B730" s="36" t="str">
        <f>IF(A730&lt;&gt;"",SUMIFS('การทำธุรกรรม'!E:E,'การทำธุรกรรม'!F:F,A730,'การทำธุรกรรม'!B:B,"รายรับ"),)</f>
        <v/>
      </c>
      <c r="C730" s="36" t="str">
        <f>IF(A730&lt;&gt;"",SUMIFS('การทำธุรกรรม'!E:E,'การทำธุรกรรม'!F:F,A730,'การทำธุรกรรม'!B:B,"รายจ่าย"),)</f>
        <v/>
      </c>
      <c r="D730" s="36" t="str">
        <f t="shared" si="1"/>
        <v/>
      </c>
    </row>
    <row r="731">
      <c r="A731" s="8"/>
      <c r="B731" s="36" t="str">
        <f>IF(A731&lt;&gt;"",SUMIFS('การทำธุรกรรม'!E:E,'การทำธุรกรรม'!F:F,A731,'การทำธุรกรรม'!B:B,"รายรับ"),)</f>
        <v/>
      </c>
      <c r="C731" s="36" t="str">
        <f>IF(A731&lt;&gt;"",SUMIFS('การทำธุรกรรม'!E:E,'การทำธุรกรรม'!F:F,A731,'การทำธุรกรรม'!B:B,"รายจ่าย"),)</f>
        <v/>
      </c>
      <c r="D731" s="36" t="str">
        <f t="shared" si="1"/>
        <v/>
      </c>
    </row>
    <row r="732">
      <c r="A732" s="8"/>
      <c r="B732" s="36" t="str">
        <f>IF(A732&lt;&gt;"",SUMIFS('การทำธุรกรรม'!E:E,'การทำธุรกรรม'!F:F,A732,'การทำธุรกรรม'!B:B,"รายรับ"),)</f>
        <v/>
      </c>
      <c r="C732" s="36" t="str">
        <f>IF(A732&lt;&gt;"",SUMIFS('การทำธุรกรรม'!E:E,'การทำธุรกรรม'!F:F,A732,'การทำธุรกรรม'!B:B,"รายจ่าย"),)</f>
        <v/>
      </c>
      <c r="D732" s="36" t="str">
        <f t="shared" si="1"/>
        <v/>
      </c>
    </row>
    <row r="733">
      <c r="A733" s="8"/>
      <c r="B733" s="36" t="str">
        <f>IF(A733&lt;&gt;"",SUMIFS('การทำธุรกรรม'!E:E,'การทำธุรกรรม'!F:F,A733,'การทำธุรกรรม'!B:B,"รายรับ"),)</f>
        <v/>
      </c>
      <c r="C733" s="36" t="str">
        <f>IF(A733&lt;&gt;"",SUMIFS('การทำธุรกรรม'!E:E,'การทำธุรกรรม'!F:F,A733,'การทำธุรกรรม'!B:B,"รายจ่าย"),)</f>
        <v/>
      </c>
      <c r="D733" s="36" t="str">
        <f t="shared" si="1"/>
        <v/>
      </c>
    </row>
    <row r="734">
      <c r="A734" s="8"/>
      <c r="B734" s="36" t="str">
        <f>IF(A734&lt;&gt;"",SUMIFS('การทำธุรกรรม'!E:E,'การทำธุรกรรม'!F:F,A734,'การทำธุรกรรม'!B:B,"รายรับ"),)</f>
        <v/>
      </c>
      <c r="C734" s="36" t="str">
        <f>IF(A734&lt;&gt;"",SUMIFS('การทำธุรกรรม'!E:E,'การทำธุรกรรม'!F:F,A734,'การทำธุรกรรม'!B:B,"รายจ่าย"),)</f>
        <v/>
      </c>
      <c r="D734" s="36" t="str">
        <f t="shared" si="1"/>
        <v/>
      </c>
    </row>
    <row r="735">
      <c r="A735" s="8"/>
      <c r="B735" s="36" t="str">
        <f>IF(A735&lt;&gt;"",SUMIFS('การทำธุรกรรม'!E:E,'การทำธุรกรรม'!F:F,A735,'การทำธุรกรรม'!B:B,"รายรับ"),)</f>
        <v/>
      </c>
      <c r="C735" s="36" t="str">
        <f>IF(A735&lt;&gt;"",SUMIFS('การทำธุรกรรม'!E:E,'การทำธุรกรรม'!F:F,A735,'การทำธุรกรรม'!B:B,"รายจ่าย"),)</f>
        <v/>
      </c>
      <c r="D735" s="36" t="str">
        <f t="shared" si="1"/>
        <v/>
      </c>
    </row>
    <row r="736">
      <c r="A736" s="8"/>
      <c r="B736" s="36" t="str">
        <f>IF(A736&lt;&gt;"",SUMIFS('การทำธุรกรรม'!E:E,'การทำธุรกรรม'!F:F,A736,'การทำธุรกรรม'!B:B,"รายรับ"),)</f>
        <v/>
      </c>
      <c r="C736" s="36" t="str">
        <f>IF(A736&lt;&gt;"",SUMIFS('การทำธุรกรรม'!E:E,'การทำธุรกรรม'!F:F,A736,'การทำธุรกรรม'!B:B,"รายจ่าย"),)</f>
        <v/>
      </c>
      <c r="D736" s="36" t="str">
        <f t="shared" si="1"/>
        <v/>
      </c>
    </row>
    <row r="737">
      <c r="A737" s="8"/>
      <c r="B737" s="36" t="str">
        <f>IF(A737&lt;&gt;"",SUMIFS('การทำธุรกรรม'!E:E,'การทำธุรกรรม'!F:F,A737,'การทำธุรกรรม'!B:B,"รายรับ"),)</f>
        <v/>
      </c>
      <c r="C737" s="36" t="str">
        <f>IF(A737&lt;&gt;"",SUMIFS('การทำธุรกรรม'!E:E,'การทำธุรกรรม'!F:F,A737,'การทำธุรกรรม'!B:B,"รายจ่าย"),)</f>
        <v/>
      </c>
      <c r="D737" s="36" t="str">
        <f t="shared" si="1"/>
        <v/>
      </c>
    </row>
    <row r="738">
      <c r="A738" s="8"/>
      <c r="B738" s="36" t="str">
        <f>IF(A738&lt;&gt;"",SUMIFS('การทำธุรกรรม'!E:E,'การทำธุรกรรม'!F:F,A738,'การทำธุรกรรม'!B:B,"รายรับ"),)</f>
        <v/>
      </c>
      <c r="C738" s="36" t="str">
        <f>IF(A738&lt;&gt;"",SUMIFS('การทำธุรกรรม'!E:E,'การทำธุรกรรม'!F:F,A738,'การทำธุรกรรม'!B:B,"รายจ่าย"),)</f>
        <v/>
      </c>
      <c r="D738" s="36" t="str">
        <f t="shared" si="1"/>
        <v/>
      </c>
    </row>
    <row r="739">
      <c r="A739" s="8"/>
      <c r="B739" s="36" t="str">
        <f>IF(A739&lt;&gt;"",SUMIFS('การทำธุรกรรม'!E:E,'การทำธุรกรรม'!F:F,A739,'การทำธุรกรรม'!B:B,"รายรับ"),)</f>
        <v/>
      </c>
      <c r="C739" s="36" t="str">
        <f>IF(A739&lt;&gt;"",SUMIFS('การทำธุรกรรม'!E:E,'การทำธุรกรรม'!F:F,A739,'การทำธุรกรรม'!B:B,"รายจ่าย"),)</f>
        <v/>
      </c>
      <c r="D739" s="36" t="str">
        <f t="shared" si="1"/>
        <v/>
      </c>
    </row>
    <row r="740">
      <c r="A740" s="8"/>
      <c r="B740" s="36" t="str">
        <f>IF(A740&lt;&gt;"",SUMIFS('การทำธุรกรรม'!E:E,'การทำธุรกรรม'!F:F,A740,'การทำธุรกรรม'!B:B,"รายรับ"),)</f>
        <v/>
      </c>
      <c r="C740" s="36" t="str">
        <f>IF(A740&lt;&gt;"",SUMIFS('การทำธุรกรรม'!E:E,'การทำธุรกรรม'!F:F,A740,'การทำธุรกรรม'!B:B,"รายจ่าย"),)</f>
        <v/>
      </c>
      <c r="D740" s="36" t="str">
        <f t="shared" si="1"/>
        <v/>
      </c>
    </row>
    <row r="741">
      <c r="A741" s="8"/>
      <c r="B741" s="36" t="str">
        <f>IF(A741&lt;&gt;"",SUMIFS('การทำธุรกรรม'!E:E,'การทำธุรกรรม'!F:F,A741,'การทำธุรกรรม'!B:B,"รายรับ"),)</f>
        <v/>
      </c>
      <c r="C741" s="36" t="str">
        <f>IF(A741&lt;&gt;"",SUMIFS('การทำธุรกรรม'!E:E,'การทำธุรกรรม'!F:F,A741,'การทำธุรกรรม'!B:B,"รายจ่าย"),)</f>
        <v/>
      </c>
      <c r="D741" s="36" t="str">
        <f t="shared" si="1"/>
        <v/>
      </c>
    </row>
    <row r="742">
      <c r="A742" s="8"/>
      <c r="B742" s="36" t="str">
        <f>IF(A742&lt;&gt;"",SUMIFS('การทำธุรกรรม'!E:E,'การทำธุรกรรม'!F:F,A742,'การทำธุรกรรม'!B:B,"รายรับ"),)</f>
        <v/>
      </c>
      <c r="C742" s="36" t="str">
        <f>IF(A742&lt;&gt;"",SUMIFS('การทำธุรกรรม'!E:E,'การทำธุรกรรม'!F:F,A742,'การทำธุรกรรม'!B:B,"รายจ่าย"),)</f>
        <v/>
      </c>
      <c r="D742" s="36" t="str">
        <f t="shared" si="1"/>
        <v/>
      </c>
    </row>
    <row r="743">
      <c r="A743" s="8"/>
      <c r="B743" s="36" t="str">
        <f>IF(A743&lt;&gt;"",SUMIFS('การทำธุรกรรม'!E:E,'การทำธุรกรรม'!F:F,A743,'การทำธุรกรรม'!B:B,"รายรับ"),)</f>
        <v/>
      </c>
      <c r="C743" s="36" t="str">
        <f>IF(A743&lt;&gt;"",SUMIFS('การทำธุรกรรม'!E:E,'การทำธุรกรรม'!F:F,A743,'การทำธุรกรรม'!B:B,"รายจ่าย"),)</f>
        <v/>
      </c>
      <c r="D743" s="36" t="str">
        <f t="shared" si="1"/>
        <v/>
      </c>
    </row>
    <row r="744">
      <c r="A744" s="8"/>
      <c r="B744" s="36" t="str">
        <f>IF(A744&lt;&gt;"",SUMIFS('การทำธุรกรรม'!E:E,'การทำธุรกรรม'!F:F,A744,'การทำธุรกรรม'!B:B,"รายรับ"),)</f>
        <v/>
      </c>
      <c r="C744" s="36" t="str">
        <f>IF(A744&lt;&gt;"",SUMIFS('การทำธุรกรรม'!E:E,'การทำธุรกรรม'!F:F,A744,'การทำธุรกรรม'!B:B,"รายจ่าย"),)</f>
        <v/>
      </c>
      <c r="D744" s="36" t="str">
        <f t="shared" si="1"/>
        <v/>
      </c>
    </row>
    <row r="745">
      <c r="A745" s="8"/>
      <c r="B745" s="36" t="str">
        <f>IF(A745&lt;&gt;"",SUMIFS('การทำธุรกรรม'!E:E,'การทำธุรกรรม'!F:F,A745,'การทำธุรกรรม'!B:B,"รายรับ"),)</f>
        <v/>
      </c>
      <c r="C745" s="36" t="str">
        <f>IF(A745&lt;&gt;"",SUMIFS('การทำธุรกรรม'!E:E,'การทำธุรกรรม'!F:F,A745,'การทำธุรกรรม'!B:B,"รายจ่าย"),)</f>
        <v/>
      </c>
      <c r="D745" s="36" t="str">
        <f t="shared" si="1"/>
        <v/>
      </c>
    </row>
    <row r="746">
      <c r="A746" s="8"/>
      <c r="B746" s="36" t="str">
        <f>IF(A746&lt;&gt;"",SUMIFS('การทำธุรกรรม'!E:E,'การทำธุรกรรม'!F:F,A746,'การทำธุรกรรม'!B:B,"รายรับ"),)</f>
        <v/>
      </c>
      <c r="C746" s="36" t="str">
        <f>IF(A746&lt;&gt;"",SUMIFS('การทำธุรกรรม'!E:E,'การทำธุรกรรม'!F:F,A746,'การทำธุรกรรม'!B:B,"รายจ่าย"),)</f>
        <v/>
      </c>
      <c r="D746" s="36" t="str">
        <f t="shared" si="1"/>
        <v/>
      </c>
    </row>
    <row r="747">
      <c r="A747" s="8"/>
      <c r="B747" s="36" t="str">
        <f>IF(A747&lt;&gt;"",SUMIFS('การทำธุรกรรม'!E:E,'การทำธุรกรรม'!F:F,A747,'การทำธุรกรรม'!B:B,"รายรับ"),)</f>
        <v/>
      </c>
      <c r="C747" s="36" t="str">
        <f>IF(A747&lt;&gt;"",SUMIFS('การทำธุรกรรม'!E:E,'การทำธุรกรรม'!F:F,A747,'การทำธุรกรรม'!B:B,"รายจ่าย"),)</f>
        <v/>
      </c>
      <c r="D747" s="36" t="str">
        <f t="shared" si="1"/>
        <v/>
      </c>
    </row>
    <row r="748">
      <c r="A748" s="8"/>
      <c r="B748" s="36" t="str">
        <f>IF(A748&lt;&gt;"",SUMIFS('การทำธุรกรรม'!E:E,'การทำธุรกรรม'!F:F,A748,'การทำธุรกรรม'!B:B,"รายรับ"),)</f>
        <v/>
      </c>
      <c r="C748" s="36" t="str">
        <f>IF(A748&lt;&gt;"",SUMIFS('การทำธุรกรรม'!E:E,'การทำธุรกรรม'!F:F,A748,'การทำธุรกรรม'!B:B,"รายจ่าย"),)</f>
        <v/>
      </c>
      <c r="D748" s="36" t="str">
        <f t="shared" si="1"/>
        <v/>
      </c>
    </row>
    <row r="749">
      <c r="A749" s="8"/>
      <c r="B749" s="36" t="str">
        <f>IF(A749&lt;&gt;"",SUMIFS('การทำธุรกรรม'!E:E,'การทำธุรกรรม'!F:F,A749,'การทำธุรกรรม'!B:B,"รายรับ"),)</f>
        <v/>
      </c>
      <c r="C749" s="36" t="str">
        <f>IF(A749&lt;&gt;"",SUMIFS('การทำธุรกรรม'!E:E,'การทำธุรกรรม'!F:F,A749,'การทำธุรกรรม'!B:B,"รายจ่าย"),)</f>
        <v/>
      </c>
      <c r="D749" s="36" t="str">
        <f t="shared" si="1"/>
        <v/>
      </c>
    </row>
    <row r="750">
      <c r="A750" s="8"/>
      <c r="B750" s="36" t="str">
        <f>IF(A750&lt;&gt;"",SUMIFS('การทำธุรกรรม'!E:E,'การทำธุรกรรม'!F:F,A750,'การทำธุรกรรม'!B:B,"รายรับ"),)</f>
        <v/>
      </c>
      <c r="C750" s="36" t="str">
        <f>IF(A750&lt;&gt;"",SUMIFS('การทำธุรกรรม'!E:E,'การทำธุรกรรม'!F:F,A750,'การทำธุรกรรม'!B:B,"รายจ่าย"),)</f>
        <v/>
      </c>
      <c r="D750" s="36" t="str">
        <f t="shared" si="1"/>
        <v/>
      </c>
    </row>
    <row r="751">
      <c r="A751" s="8"/>
      <c r="B751" s="36" t="str">
        <f>IF(A751&lt;&gt;"",SUMIFS('การทำธุรกรรม'!E:E,'การทำธุรกรรม'!F:F,A751,'การทำธุรกรรม'!B:B,"รายรับ"),)</f>
        <v/>
      </c>
      <c r="C751" s="36" t="str">
        <f>IF(A751&lt;&gt;"",SUMIFS('การทำธุรกรรม'!E:E,'การทำธุรกรรม'!F:F,A751,'การทำธุรกรรม'!B:B,"รายจ่าย"),)</f>
        <v/>
      </c>
      <c r="D751" s="36" t="str">
        <f t="shared" si="1"/>
        <v/>
      </c>
    </row>
    <row r="752">
      <c r="A752" s="8"/>
      <c r="B752" s="36" t="str">
        <f>IF(A752&lt;&gt;"",SUMIFS('การทำธุรกรรม'!E:E,'การทำธุรกรรม'!F:F,A752,'การทำธุรกรรม'!B:B,"รายรับ"),)</f>
        <v/>
      </c>
      <c r="C752" s="36" t="str">
        <f>IF(A752&lt;&gt;"",SUMIFS('การทำธุรกรรม'!E:E,'การทำธุรกรรม'!F:F,A752,'การทำธุรกรรม'!B:B,"รายจ่าย"),)</f>
        <v/>
      </c>
      <c r="D752" s="36" t="str">
        <f t="shared" si="1"/>
        <v/>
      </c>
    </row>
    <row r="753">
      <c r="A753" s="8"/>
      <c r="B753" s="36" t="str">
        <f>IF(A753&lt;&gt;"",SUMIFS('การทำธุรกรรม'!E:E,'การทำธุรกรรม'!F:F,A753,'การทำธุรกรรม'!B:B,"รายรับ"),)</f>
        <v/>
      </c>
      <c r="C753" s="36" t="str">
        <f>IF(A753&lt;&gt;"",SUMIFS('การทำธุรกรรม'!E:E,'การทำธุรกรรม'!F:F,A753,'การทำธุรกรรม'!B:B,"รายจ่าย"),)</f>
        <v/>
      </c>
      <c r="D753" s="36" t="str">
        <f t="shared" si="1"/>
        <v/>
      </c>
    </row>
    <row r="754">
      <c r="A754" s="8"/>
      <c r="B754" s="36" t="str">
        <f>IF(A754&lt;&gt;"",SUMIFS('การทำธุรกรรม'!E:E,'การทำธุรกรรม'!F:F,A754,'การทำธุรกรรม'!B:B,"รายรับ"),)</f>
        <v/>
      </c>
      <c r="C754" s="36" t="str">
        <f>IF(A754&lt;&gt;"",SUMIFS('การทำธุรกรรม'!E:E,'การทำธุรกรรม'!F:F,A754,'การทำธุรกรรม'!B:B,"รายจ่าย"),)</f>
        <v/>
      </c>
      <c r="D754" s="36" t="str">
        <f t="shared" si="1"/>
        <v/>
      </c>
    </row>
    <row r="755">
      <c r="A755" s="8"/>
      <c r="B755" s="36" t="str">
        <f>IF(A755&lt;&gt;"",SUMIFS('การทำธุรกรรม'!E:E,'การทำธุรกรรม'!F:F,A755,'การทำธุรกรรม'!B:B,"รายรับ"),)</f>
        <v/>
      </c>
      <c r="C755" s="36" t="str">
        <f>IF(A755&lt;&gt;"",SUMIFS('การทำธุรกรรม'!E:E,'การทำธุรกรรม'!F:F,A755,'การทำธุรกรรม'!B:B,"รายจ่าย"),)</f>
        <v/>
      </c>
      <c r="D755" s="36" t="str">
        <f t="shared" si="1"/>
        <v/>
      </c>
    </row>
    <row r="756">
      <c r="A756" s="8"/>
      <c r="B756" s="36" t="str">
        <f>IF(A756&lt;&gt;"",SUMIFS('การทำธุรกรรม'!E:E,'การทำธุรกรรม'!F:F,A756,'การทำธุรกรรม'!B:B,"รายรับ"),)</f>
        <v/>
      </c>
      <c r="C756" s="36" t="str">
        <f>IF(A756&lt;&gt;"",SUMIFS('การทำธุรกรรม'!E:E,'การทำธุรกรรม'!F:F,A756,'การทำธุรกรรม'!B:B,"รายจ่าย"),)</f>
        <v/>
      </c>
      <c r="D756" s="36" t="str">
        <f t="shared" si="1"/>
        <v/>
      </c>
    </row>
    <row r="757">
      <c r="A757" s="8"/>
      <c r="B757" s="36" t="str">
        <f>IF(A757&lt;&gt;"",SUMIFS('การทำธุรกรรม'!E:E,'การทำธุรกรรม'!F:F,A757,'การทำธุรกรรม'!B:B,"รายรับ"),)</f>
        <v/>
      </c>
      <c r="C757" s="36" t="str">
        <f>IF(A757&lt;&gt;"",SUMIFS('การทำธุรกรรม'!E:E,'การทำธุรกรรม'!F:F,A757,'การทำธุรกรรม'!B:B,"รายจ่าย"),)</f>
        <v/>
      </c>
      <c r="D757" s="36" t="str">
        <f t="shared" si="1"/>
        <v/>
      </c>
    </row>
    <row r="758">
      <c r="A758" s="8"/>
      <c r="B758" s="36" t="str">
        <f>IF(A758&lt;&gt;"",SUMIFS('การทำธุรกรรม'!E:E,'การทำธุรกรรม'!F:F,A758,'การทำธุรกรรม'!B:B,"รายรับ"),)</f>
        <v/>
      </c>
      <c r="C758" s="36" t="str">
        <f>IF(A758&lt;&gt;"",SUMIFS('การทำธุรกรรม'!E:E,'การทำธุรกรรม'!F:F,A758,'การทำธุรกรรม'!B:B,"รายจ่าย"),)</f>
        <v/>
      </c>
      <c r="D758" s="36" t="str">
        <f t="shared" si="1"/>
        <v/>
      </c>
    </row>
    <row r="759">
      <c r="A759" s="8"/>
      <c r="B759" s="36" t="str">
        <f>IF(A759&lt;&gt;"",SUMIFS('การทำธุรกรรม'!E:E,'การทำธุรกรรม'!F:F,A759,'การทำธุรกรรม'!B:B,"รายรับ"),)</f>
        <v/>
      </c>
      <c r="C759" s="36" t="str">
        <f>IF(A759&lt;&gt;"",SUMIFS('การทำธุรกรรม'!E:E,'การทำธุรกรรม'!F:F,A759,'การทำธุรกรรม'!B:B,"รายจ่าย"),)</f>
        <v/>
      </c>
      <c r="D759" s="36" t="str">
        <f t="shared" si="1"/>
        <v/>
      </c>
    </row>
    <row r="760">
      <c r="A760" s="8"/>
      <c r="B760" s="36" t="str">
        <f>IF(A760&lt;&gt;"",SUMIFS('การทำธุรกรรม'!E:E,'การทำธุรกรรม'!F:F,A760,'การทำธุรกรรม'!B:B,"รายรับ"),)</f>
        <v/>
      </c>
      <c r="C760" s="36" t="str">
        <f>IF(A760&lt;&gt;"",SUMIFS('การทำธุรกรรม'!E:E,'การทำธุรกรรม'!F:F,A760,'การทำธุรกรรม'!B:B,"รายจ่าย"),)</f>
        <v/>
      </c>
      <c r="D760" s="36" t="str">
        <f t="shared" si="1"/>
        <v/>
      </c>
    </row>
    <row r="761">
      <c r="A761" s="8"/>
      <c r="B761" s="36" t="str">
        <f>IF(A761&lt;&gt;"",SUMIFS('การทำธุรกรรม'!E:E,'การทำธุรกรรม'!F:F,A761,'การทำธุรกรรม'!B:B,"รายรับ"),)</f>
        <v/>
      </c>
      <c r="C761" s="36" t="str">
        <f>IF(A761&lt;&gt;"",SUMIFS('การทำธุรกรรม'!E:E,'การทำธุรกรรม'!F:F,A761,'การทำธุรกรรม'!B:B,"รายจ่าย"),)</f>
        <v/>
      </c>
      <c r="D761" s="36" t="str">
        <f t="shared" si="1"/>
        <v/>
      </c>
    </row>
    <row r="762">
      <c r="A762" s="8"/>
      <c r="B762" s="36" t="str">
        <f>IF(A762&lt;&gt;"",SUMIFS('การทำธุรกรรม'!E:E,'การทำธุรกรรม'!F:F,A762,'การทำธุรกรรม'!B:B,"รายรับ"),)</f>
        <v/>
      </c>
      <c r="C762" s="36" t="str">
        <f>IF(A762&lt;&gt;"",SUMIFS('การทำธุรกรรม'!E:E,'การทำธุรกรรม'!F:F,A762,'การทำธุรกรรม'!B:B,"รายจ่าย"),)</f>
        <v/>
      </c>
      <c r="D762" s="36" t="str">
        <f t="shared" si="1"/>
        <v/>
      </c>
    </row>
    <row r="763">
      <c r="A763" s="8"/>
      <c r="B763" s="36" t="str">
        <f>IF(A763&lt;&gt;"",SUMIFS('การทำธุรกรรม'!E:E,'การทำธุรกรรม'!F:F,A763,'การทำธุรกรรม'!B:B,"รายรับ"),)</f>
        <v/>
      </c>
      <c r="C763" s="36" t="str">
        <f>IF(A763&lt;&gt;"",SUMIFS('การทำธุรกรรม'!E:E,'การทำธุรกรรม'!F:F,A763,'การทำธุรกรรม'!B:B,"รายจ่าย"),)</f>
        <v/>
      </c>
      <c r="D763" s="36" t="str">
        <f t="shared" si="1"/>
        <v/>
      </c>
    </row>
    <row r="764">
      <c r="A764" s="8"/>
      <c r="B764" s="36" t="str">
        <f>IF(A764&lt;&gt;"",SUMIFS('การทำธุรกรรม'!E:E,'การทำธุรกรรม'!F:F,A764,'การทำธุรกรรม'!B:B,"รายรับ"),)</f>
        <v/>
      </c>
      <c r="C764" s="36" t="str">
        <f>IF(A764&lt;&gt;"",SUMIFS('การทำธุรกรรม'!E:E,'การทำธุรกรรม'!F:F,A764,'การทำธุรกรรม'!B:B,"รายจ่าย"),)</f>
        <v/>
      </c>
      <c r="D764" s="36" t="str">
        <f t="shared" si="1"/>
        <v/>
      </c>
    </row>
    <row r="765">
      <c r="A765" s="8"/>
      <c r="B765" s="36" t="str">
        <f>IF(A765&lt;&gt;"",SUMIFS('การทำธุรกรรม'!E:E,'การทำธุรกรรม'!F:F,A765,'การทำธุรกรรม'!B:B,"รายรับ"),)</f>
        <v/>
      </c>
      <c r="C765" s="36" t="str">
        <f>IF(A765&lt;&gt;"",SUMIFS('การทำธุรกรรม'!E:E,'การทำธุรกรรม'!F:F,A765,'การทำธุรกรรม'!B:B,"รายจ่าย"),)</f>
        <v/>
      </c>
      <c r="D765" s="36" t="str">
        <f t="shared" si="1"/>
        <v/>
      </c>
    </row>
    <row r="766">
      <c r="A766" s="8"/>
      <c r="B766" s="36" t="str">
        <f>IF(A766&lt;&gt;"",SUMIFS('การทำธุรกรรม'!E:E,'การทำธุรกรรม'!F:F,A766,'การทำธุรกรรม'!B:B,"รายรับ"),)</f>
        <v/>
      </c>
      <c r="C766" s="36" t="str">
        <f>IF(A766&lt;&gt;"",SUMIFS('การทำธุรกรรม'!E:E,'การทำธุรกรรม'!F:F,A766,'การทำธุรกรรม'!B:B,"รายจ่าย"),)</f>
        <v/>
      </c>
      <c r="D766" s="36" t="str">
        <f t="shared" si="1"/>
        <v/>
      </c>
    </row>
    <row r="767">
      <c r="A767" s="8"/>
      <c r="B767" s="36" t="str">
        <f>IF(A767&lt;&gt;"",SUMIFS('การทำธุรกรรม'!E:E,'การทำธุรกรรม'!F:F,A767,'การทำธุรกรรม'!B:B,"รายรับ"),)</f>
        <v/>
      </c>
      <c r="C767" s="36" t="str">
        <f>IF(A767&lt;&gt;"",SUMIFS('การทำธุรกรรม'!E:E,'การทำธุรกรรม'!F:F,A767,'การทำธุรกรรม'!B:B,"รายจ่าย"),)</f>
        <v/>
      </c>
      <c r="D767" s="36" t="str">
        <f t="shared" si="1"/>
        <v/>
      </c>
    </row>
    <row r="768">
      <c r="A768" s="8"/>
      <c r="B768" s="36" t="str">
        <f>IF(A768&lt;&gt;"",SUMIFS('การทำธุรกรรม'!E:E,'การทำธุรกรรม'!F:F,A768,'การทำธุรกรรม'!B:B,"รายรับ"),)</f>
        <v/>
      </c>
      <c r="C768" s="36" t="str">
        <f>IF(A768&lt;&gt;"",SUMIFS('การทำธุรกรรม'!E:E,'การทำธุรกรรม'!F:F,A768,'การทำธุรกรรม'!B:B,"รายจ่าย"),)</f>
        <v/>
      </c>
      <c r="D768" s="36" t="str">
        <f t="shared" si="1"/>
        <v/>
      </c>
    </row>
    <row r="769">
      <c r="A769" s="8"/>
      <c r="B769" s="36" t="str">
        <f>IF(A769&lt;&gt;"",SUMIFS('การทำธุรกรรม'!E:E,'การทำธุรกรรม'!F:F,A769,'การทำธุรกรรม'!B:B,"รายรับ"),)</f>
        <v/>
      </c>
      <c r="C769" s="36" t="str">
        <f>IF(A769&lt;&gt;"",SUMIFS('การทำธุรกรรม'!E:E,'การทำธุรกรรม'!F:F,A769,'การทำธุรกรรม'!B:B,"รายจ่าย"),)</f>
        <v/>
      </c>
      <c r="D769" s="36" t="str">
        <f t="shared" si="1"/>
        <v/>
      </c>
    </row>
    <row r="770">
      <c r="A770" s="8"/>
      <c r="B770" s="36" t="str">
        <f>IF(A770&lt;&gt;"",SUMIFS('การทำธุรกรรม'!E:E,'การทำธุรกรรม'!F:F,A770,'การทำธุรกรรม'!B:B,"รายรับ"),)</f>
        <v/>
      </c>
      <c r="C770" s="36" t="str">
        <f>IF(A770&lt;&gt;"",SUMIFS('การทำธุรกรรม'!E:E,'การทำธุรกรรม'!F:F,A770,'การทำธุรกรรม'!B:B,"รายจ่าย"),)</f>
        <v/>
      </c>
      <c r="D770" s="36" t="str">
        <f t="shared" si="1"/>
        <v/>
      </c>
    </row>
    <row r="771">
      <c r="A771" s="8"/>
      <c r="B771" s="36" t="str">
        <f>IF(A771&lt;&gt;"",SUMIFS('การทำธุรกรรม'!E:E,'การทำธุรกรรม'!F:F,A771,'การทำธุรกรรม'!B:B,"รายรับ"),)</f>
        <v/>
      </c>
      <c r="C771" s="36" t="str">
        <f>IF(A771&lt;&gt;"",SUMIFS('การทำธุรกรรม'!E:E,'การทำธุรกรรม'!F:F,A771,'การทำธุรกรรม'!B:B,"รายจ่าย"),)</f>
        <v/>
      </c>
      <c r="D771" s="36" t="str">
        <f t="shared" si="1"/>
        <v/>
      </c>
    </row>
    <row r="772">
      <c r="A772" s="8"/>
      <c r="B772" s="36" t="str">
        <f>IF(A772&lt;&gt;"",SUMIFS('การทำธุรกรรม'!E:E,'การทำธุรกรรม'!F:F,A772,'การทำธุรกรรม'!B:B,"รายรับ"),)</f>
        <v/>
      </c>
      <c r="C772" s="36" t="str">
        <f>IF(A772&lt;&gt;"",SUMIFS('การทำธุรกรรม'!E:E,'การทำธุรกรรม'!F:F,A772,'การทำธุรกรรม'!B:B,"รายจ่าย"),)</f>
        <v/>
      </c>
      <c r="D772" s="36" t="str">
        <f t="shared" si="1"/>
        <v/>
      </c>
    </row>
    <row r="773">
      <c r="A773" s="8"/>
      <c r="B773" s="36" t="str">
        <f>IF(A773&lt;&gt;"",SUMIFS('การทำธุรกรรม'!E:E,'การทำธุรกรรม'!F:F,A773,'การทำธุรกรรม'!B:B,"รายรับ"),)</f>
        <v/>
      </c>
      <c r="C773" s="36" t="str">
        <f>IF(A773&lt;&gt;"",SUMIFS('การทำธุรกรรม'!E:E,'การทำธุรกรรม'!F:F,A773,'การทำธุรกรรม'!B:B,"รายจ่าย"),)</f>
        <v/>
      </c>
      <c r="D773" s="36" t="str">
        <f t="shared" si="1"/>
        <v/>
      </c>
    </row>
    <row r="774">
      <c r="A774" s="8"/>
      <c r="B774" s="36" t="str">
        <f>IF(A774&lt;&gt;"",SUMIFS('การทำธุรกรรม'!E:E,'การทำธุรกรรม'!F:F,A774,'การทำธุรกรรม'!B:B,"รายรับ"),)</f>
        <v/>
      </c>
      <c r="C774" s="36" t="str">
        <f>IF(A774&lt;&gt;"",SUMIFS('การทำธุรกรรม'!E:E,'การทำธุรกรรม'!F:F,A774,'การทำธุรกรรม'!B:B,"รายจ่าย"),)</f>
        <v/>
      </c>
      <c r="D774" s="36" t="str">
        <f t="shared" si="1"/>
        <v/>
      </c>
    </row>
    <row r="775">
      <c r="A775" s="8"/>
      <c r="B775" s="36" t="str">
        <f>IF(A775&lt;&gt;"",SUMIFS('การทำธุรกรรม'!E:E,'การทำธุรกรรม'!F:F,A775,'การทำธุรกรรม'!B:B,"รายรับ"),)</f>
        <v/>
      </c>
      <c r="C775" s="36" t="str">
        <f>IF(A775&lt;&gt;"",SUMIFS('การทำธุรกรรม'!E:E,'การทำธุรกรรม'!F:F,A775,'การทำธุรกรรม'!B:B,"รายจ่าย"),)</f>
        <v/>
      </c>
      <c r="D775" s="36" t="str">
        <f t="shared" si="1"/>
        <v/>
      </c>
    </row>
    <row r="776">
      <c r="A776" s="8"/>
      <c r="B776" s="36" t="str">
        <f>IF(A776&lt;&gt;"",SUMIFS('การทำธุรกรรม'!E:E,'การทำธุรกรรม'!F:F,A776,'การทำธุรกรรม'!B:B,"รายรับ"),)</f>
        <v/>
      </c>
      <c r="C776" s="36" t="str">
        <f>IF(A776&lt;&gt;"",SUMIFS('การทำธุรกรรม'!E:E,'การทำธุรกรรม'!F:F,A776,'การทำธุรกรรม'!B:B,"รายจ่าย"),)</f>
        <v/>
      </c>
      <c r="D776" s="36" t="str">
        <f t="shared" si="1"/>
        <v/>
      </c>
    </row>
    <row r="777">
      <c r="A777" s="8"/>
      <c r="B777" s="36" t="str">
        <f>IF(A777&lt;&gt;"",SUMIFS('การทำธุรกรรม'!E:E,'การทำธุรกรรม'!F:F,A777,'การทำธุรกรรม'!B:B,"รายรับ"),)</f>
        <v/>
      </c>
      <c r="C777" s="36" t="str">
        <f>IF(A777&lt;&gt;"",SUMIFS('การทำธุรกรรม'!E:E,'การทำธุรกรรม'!F:F,A777,'การทำธุรกรรม'!B:B,"รายจ่าย"),)</f>
        <v/>
      </c>
      <c r="D777" s="36" t="str">
        <f t="shared" si="1"/>
        <v/>
      </c>
    </row>
    <row r="778">
      <c r="A778" s="8"/>
      <c r="B778" s="36" t="str">
        <f>IF(A778&lt;&gt;"",SUMIFS('การทำธุรกรรม'!E:E,'การทำธุรกรรม'!F:F,A778,'การทำธุรกรรม'!B:B,"รายรับ"),)</f>
        <v/>
      </c>
      <c r="C778" s="36" t="str">
        <f>IF(A778&lt;&gt;"",SUMIFS('การทำธุรกรรม'!E:E,'การทำธุรกรรม'!F:F,A778,'การทำธุรกรรม'!B:B,"รายจ่าย"),)</f>
        <v/>
      </c>
      <c r="D778" s="36" t="str">
        <f t="shared" si="1"/>
        <v/>
      </c>
    </row>
    <row r="779">
      <c r="A779" s="8"/>
      <c r="B779" s="36" t="str">
        <f>IF(A779&lt;&gt;"",SUMIFS('การทำธุรกรรม'!E:E,'การทำธุรกรรม'!F:F,A779,'การทำธุรกรรม'!B:B,"รายรับ"),)</f>
        <v/>
      </c>
      <c r="C779" s="36" t="str">
        <f>IF(A779&lt;&gt;"",SUMIFS('การทำธุรกรรม'!E:E,'การทำธุรกรรม'!F:F,A779,'การทำธุรกรรม'!B:B,"รายจ่าย"),)</f>
        <v/>
      </c>
      <c r="D779" s="36" t="str">
        <f t="shared" si="1"/>
        <v/>
      </c>
    </row>
    <row r="780">
      <c r="A780" s="8"/>
      <c r="B780" s="36" t="str">
        <f>IF(A780&lt;&gt;"",SUMIFS('การทำธุรกรรม'!E:E,'การทำธุรกรรม'!F:F,A780,'การทำธุรกรรม'!B:B,"รายรับ"),)</f>
        <v/>
      </c>
      <c r="C780" s="36" t="str">
        <f>IF(A780&lt;&gt;"",SUMIFS('การทำธุรกรรม'!E:E,'การทำธุรกรรม'!F:F,A780,'การทำธุรกรรม'!B:B,"รายจ่าย"),)</f>
        <v/>
      </c>
      <c r="D780" s="36" t="str">
        <f t="shared" si="1"/>
        <v/>
      </c>
    </row>
    <row r="781">
      <c r="A781" s="8"/>
      <c r="B781" s="36" t="str">
        <f>IF(A781&lt;&gt;"",SUMIFS('การทำธุรกรรม'!E:E,'การทำธุรกรรม'!F:F,A781,'การทำธุรกรรม'!B:B,"รายรับ"),)</f>
        <v/>
      </c>
      <c r="C781" s="36" t="str">
        <f>IF(A781&lt;&gt;"",SUMIFS('การทำธุรกรรม'!E:E,'การทำธุรกรรม'!F:F,A781,'การทำธุรกรรม'!B:B,"รายจ่าย"),)</f>
        <v/>
      </c>
      <c r="D781" s="36" t="str">
        <f t="shared" si="1"/>
        <v/>
      </c>
    </row>
    <row r="782">
      <c r="A782" s="8"/>
      <c r="B782" s="36" t="str">
        <f>IF(A782&lt;&gt;"",SUMIFS('การทำธุรกรรม'!E:E,'การทำธุรกรรม'!F:F,A782,'การทำธุรกรรม'!B:B,"รายรับ"),)</f>
        <v/>
      </c>
      <c r="C782" s="36" t="str">
        <f>IF(A782&lt;&gt;"",SUMIFS('การทำธุรกรรม'!E:E,'การทำธุรกรรม'!F:F,A782,'การทำธุรกรรม'!B:B,"รายจ่าย"),)</f>
        <v/>
      </c>
      <c r="D782" s="36" t="str">
        <f t="shared" si="1"/>
        <v/>
      </c>
    </row>
    <row r="783">
      <c r="A783" s="8"/>
      <c r="B783" s="36" t="str">
        <f>IF(A783&lt;&gt;"",SUMIFS('การทำธุรกรรม'!E:E,'การทำธุรกรรม'!F:F,A783,'การทำธุรกรรม'!B:B,"รายรับ"),)</f>
        <v/>
      </c>
      <c r="C783" s="36" t="str">
        <f>IF(A783&lt;&gt;"",SUMIFS('การทำธุรกรรม'!E:E,'การทำธุรกรรม'!F:F,A783,'การทำธุรกรรม'!B:B,"รายจ่าย"),)</f>
        <v/>
      </c>
      <c r="D783" s="36" t="str">
        <f t="shared" si="1"/>
        <v/>
      </c>
    </row>
    <row r="784">
      <c r="A784" s="8"/>
      <c r="B784" s="36" t="str">
        <f>IF(A784&lt;&gt;"",SUMIFS('การทำธุรกรรม'!E:E,'การทำธุรกรรม'!F:F,A784,'การทำธุรกรรม'!B:B,"รายรับ"),)</f>
        <v/>
      </c>
      <c r="C784" s="36" t="str">
        <f>IF(A784&lt;&gt;"",SUMIFS('การทำธุรกรรม'!E:E,'การทำธุรกรรม'!F:F,A784,'การทำธุรกรรม'!B:B,"รายจ่าย"),)</f>
        <v/>
      </c>
      <c r="D784" s="36" t="str">
        <f t="shared" si="1"/>
        <v/>
      </c>
    </row>
    <row r="785">
      <c r="A785" s="8"/>
      <c r="B785" s="36" t="str">
        <f>IF(A785&lt;&gt;"",SUMIFS('การทำธุรกรรม'!E:E,'การทำธุรกรรม'!F:F,A785,'การทำธุรกรรม'!B:B,"รายรับ"),)</f>
        <v/>
      </c>
      <c r="C785" s="36" t="str">
        <f>IF(A785&lt;&gt;"",SUMIFS('การทำธุรกรรม'!E:E,'การทำธุรกรรม'!F:F,A785,'การทำธุรกรรม'!B:B,"รายจ่าย"),)</f>
        <v/>
      </c>
      <c r="D785" s="36" t="str">
        <f t="shared" si="1"/>
        <v/>
      </c>
    </row>
    <row r="786">
      <c r="A786" s="8"/>
      <c r="B786" s="36" t="str">
        <f>IF(A786&lt;&gt;"",SUMIFS('การทำธุรกรรม'!E:E,'การทำธุรกรรม'!F:F,A786,'การทำธุรกรรม'!B:B,"รายรับ"),)</f>
        <v/>
      </c>
      <c r="C786" s="36" t="str">
        <f>IF(A786&lt;&gt;"",SUMIFS('การทำธุรกรรม'!E:E,'การทำธุรกรรม'!F:F,A786,'การทำธุรกรรม'!B:B,"รายจ่าย"),)</f>
        <v/>
      </c>
      <c r="D786" s="36" t="str">
        <f t="shared" si="1"/>
        <v/>
      </c>
    </row>
    <row r="787">
      <c r="A787" s="8"/>
      <c r="B787" s="36" t="str">
        <f>IF(A787&lt;&gt;"",SUMIFS('การทำธุรกรรม'!E:E,'การทำธุรกรรม'!F:F,A787,'การทำธุรกรรม'!B:B,"รายรับ"),)</f>
        <v/>
      </c>
      <c r="C787" s="36" t="str">
        <f>IF(A787&lt;&gt;"",SUMIFS('การทำธุรกรรม'!E:E,'การทำธุรกรรม'!F:F,A787,'การทำธุรกรรม'!B:B,"รายจ่าย"),)</f>
        <v/>
      </c>
      <c r="D787" s="36" t="str">
        <f t="shared" si="1"/>
        <v/>
      </c>
    </row>
    <row r="788">
      <c r="A788" s="8"/>
      <c r="B788" s="36" t="str">
        <f>IF(A788&lt;&gt;"",SUMIFS('การทำธุรกรรม'!E:E,'การทำธุรกรรม'!F:F,A788,'การทำธุรกรรม'!B:B,"รายรับ"),)</f>
        <v/>
      </c>
      <c r="C788" s="36" t="str">
        <f>IF(A788&lt;&gt;"",SUMIFS('การทำธุรกรรม'!E:E,'การทำธุรกรรม'!F:F,A788,'การทำธุรกรรม'!B:B,"รายจ่าย"),)</f>
        <v/>
      </c>
      <c r="D788" s="36" t="str">
        <f t="shared" si="1"/>
        <v/>
      </c>
    </row>
    <row r="789">
      <c r="A789" s="8"/>
      <c r="B789" s="36" t="str">
        <f>IF(A789&lt;&gt;"",SUMIFS('การทำธุรกรรม'!E:E,'การทำธุรกรรม'!F:F,A789,'การทำธุรกรรม'!B:B,"รายรับ"),)</f>
        <v/>
      </c>
      <c r="C789" s="36" t="str">
        <f>IF(A789&lt;&gt;"",SUMIFS('การทำธุรกรรม'!E:E,'การทำธุรกรรม'!F:F,A789,'การทำธุรกรรม'!B:B,"รายจ่าย"),)</f>
        <v/>
      </c>
      <c r="D789" s="36" t="str">
        <f t="shared" si="1"/>
        <v/>
      </c>
    </row>
    <row r="790">
      <c r="A790" s="8"/>
      <c r="B790" s="36" t="str">
        <f>IF(A790&lt;&gt;"",SUMIFS('การทำธุรกรรม'!E:E,'การทำธุรกรรม'!F:F,A790,'การทำธุรกรรม'!B:B,"รายรับ"),)</f>
        <v/>
      </c>
      <c r="C790" s="36" t="str">
        <f>IF(A790&lt;&gt;"",SUMIFS('การทำธุรกรรม'!E:E,'การทำธุรกรรม'!F:F,A790,'การทำธุรกรรม'!B:B,"รายจ่าย"),)</f>
        <v/>
      </c>
      <c r="D790" s="36" t="str">
        <f t="shared" si="1"/>
        <v/>
      </c>
    </row>
    <row r="791">
      <c r="A791" s="8"/>
      <c r="B791" s="36" t="str">
        <f>IF(A791&lt;&gt;"",SUMIFS('การทำธุรกรรม'!E:E,'การทำธุรกรรม'!F:F,A791,'การทำธุรกรรม'!B:B,"รายรับ"),)</f>
        <v/>
      </c>
      <c r="C791" s="36" t="str">
        <f>IF(A791&lt;&gt;"",SUMIFS('การทำธุรกรรม'!E:E,'การทำธุรกรรม'!F:F,A791,'การทำธุรกรรม'!B:B,"รายจ่าย"),)</f>
        <v/>
      </c>
      <c r="D791" s="36" t="str">
        <f t="shared" si="1"/>
        <v/>
      </c>
    </row>
    <row r="792">
      <c r="A792" s="8"/>
      <c r="B792" s="36" t="str">
        <f>IF(A792&lt;&gt;"",SUMIFS('การทำธุรกรรม'!E:E,'การทำธุรกรรม'!F:F,A792,'การทำธุรกรรม'!B:B,"รายรับ"),)</f>
        <v/>
      </c>
      <c r="C792" s="36" t="str">
        <f>IF(A792&lt;&gt;"",SUMIFS('การทำธุรกรรม'!E:E,'การทำธุรกรรม'!F:F,A792,'การทำธุรกรรม'!B:B,"รายจ่าย"),)</f>
        <v/>
      </c>
      <c r="D792" s="36" t="str">
        <f t="shared" si="1"/>
        <v/>
      </c>
    </row>
    <row r="793">
      <c r="A793" s="8"/>
      <c r="B793" s="36" t="str">
        <f>IF(A793&lt;&gt;"",SUMIFS('การทำธุรกรรม'!E:E,'การทำธุรกรรม'!F:F,A793,'การทำธุรกรรม'!B:B,"รายรับ"),)</f>
        <v/>
      </c>
      <c r="C793" s="36" t="str">
        <f>IF(A793&lt;&gt;"",SUMIFS('การทำธุรกรรม'!E:E,'การทำธุรกรรม'!F:F,A793,'การทำธุรกรรม'!B:B,"รายจ่าย"),)</f>
        <v/>
      </c>
      <c r="D793" s="36" t="str">
        <f t="shared" si="1"/>
        <v/>
      </c>
    </row>
    <row r="794">
      <c r="A794" s="8"/>
      <c r="B794" s="36" t="str">
        <f>IF(A794&lt;&gt;"",SUMIFS('การทำธุรกรรม'!E:E,'การทำธุรกรรม'!F:F,A794,'การทำธุรกรรม'!B:B,"รายรับ"),)</f>
        <v/>
      </c>
      <c r="C794" s="36" t="str">
        <f>IF(A794&lt;&gt;"",SUMIFS('การทำธุรกรรม'!E:E,'การทำธุรกรรม'!F:F,A794,'การทำธุรกรรม'!B:B,"รายจ่าย"),)</f>
        <v/>
      </c>
      <c r="D794" s="36" t="str">
        <f t="shared" si="1"/>
        <v/>
      </c>
    </row>
    <row r="795">
      <c r="A795" s="8"/>
      <c r="B795" s="36" t="str">
        <f>IF(A795&lt;&gt;"",SUMIFS('การทำธุรกรรม'!E:E,'การทำธุรกรรม'!F:F,A795,'การทำธุรกรรม'!B:B,"รายรับ"),)</f>
        <v/>
      </c>
      <c r="C795" s="36" t="str">
        <f>IF(A795&lt;&gt;"",SUMIFS('การทำธุรกรรม'!E:E,'การทำธุรกรรม'!F:F,A795,'การทำธุรกรรม'!B:B,"รายจ่าย"),)</f>
        <v/>
      </c>
      <c r="D795" s="36" t="str">
        <f t="shared" si="1"/>
        <v/>
      </c>
    </row>
    <row r="796">
      <c r="A796" s="8"/>
      <c r="B796" s="36" t="str">
        <f>IF(A796&lt;&gt;"",SUMIFS('การทำธุรกรรม'!E:E,'การทำธุรกรรม'!F:F,A796,'การทำธุรกรรม'!B:B,"รายรับ"),)</f>
        <v/>
      </c>
      <c r="C796" s="36" t="str">
        <f>IF(A796&lt;&gt;"",SUMIFS('การทำธุรกรรม'!E:E,'การทำธุรกรรม'!F:F,A796,'การทำธุรกรรม'!B:B,"รายจ่าย"),)</f>
        <v/>
      </c>
      <c r="D796" s="36" t="str">
        <f t="shared" si="1"/>
        <v/>
      </c>
    </row>
    <row r="797">
      <c r="A797" s="8"/>
      <c r="B797" s="36" t="str">
        <f>IF(A797&lt;&gt;"",SUMIFS('การทำธุรกรรม'!E:E,'การทำธุรกรรม'!F:F,A797,'การทำธุรกรรม'!B:B,"รายรับ"),)</f>
        <v/>
      </c>
      <c r="C797" s="36" t="str">
        <f>IF(A797&lt;&gt;"",SUMIFS('การทำธุรกรรม'!E:E,'การทำธุรกรรม'!F:F,A797,'การทำธุรกรรม'!B:B,"รายจ่าย"),)</f>
        <v/>
      </c>
      <c r="D797" s="36" t="str">
        <f t="shared" si="1"/>
        <v/>
      </c>
    </row>
    <row r="798">
      <c r="A798" s="8"/>
      <c r="B798" s="36" t="str">
        <f>IF(A798&lt;&gt;"",SUMIFS('การทำธุรกรรม'!E:E,'การทำธุรกรรม'!F:F,A798,'การทำธุรกรรม'!B:B,"รายรับ"),)</f>
        <v/>
      </c>
      <c r="C798" s="36" t="str">
        <f>IF(A798&lt;&gt;"",SUMIFS('การทำธุรกรรม'!E:E,'การทำธุรกรรม'!F:F,A798,'การทำธุรกรรม'!B:B,"รายจ่าย"),)</f>
        <v/>
      </c>
      <c r="D798" s="36" t="str">
        <f t="shared" si="1"/>
        <v/>
      </c>
    </row>
    <row r="799">
      <c r="A799" s="8"/>
      <c r="B799" s="36" t="str">
        <f>IF(A799&lt;&gt;"",SUMIFS('การทำธุรกรรม'!E:E,'การทำธุรกรรม'!F:F,A799,'การทำธุรกรรม'!B:B,"รายรับ"),)</f>
        <v/>
      </c>
      <c r="C799" s="36" t="str">
        <f>IF(A799&lt;&gt;"",SUMIFS('การทำธุรกรรม'!E:E,'การทำธุรกรรม'!F:F,A799,'การทำธุรกรรม'!B:B,"รายจ่าย"),)</f>
        <v/>
      </c>
      <c r="D799" s="36" t="str">
        <f t="shared" si="1"/>
        <v/>
      </c>
    </row>
    <row r="800">
      <c r="A800" s="8"/>
      <c r="B800" s="36" t="str">
        <f>IF(A800&lt;&gt;"",SUMIFS('การทำธุรกรรม'!E:E,'การทำธุรกรรม'!F:F,A800,'การทำธุรกรรม'!B:B,"รายรับ"),)</f>
        <v/>
      </c>
      <c r="C800" s="36" t="str">
        <f>IF(A800&lt;&gt;"",SUMIFS('การทำธุรกรรม'!E:E,'การทำธุรกรรม'!F:F,A800,'การทำธุรกรรม'!B:B,"รายจ่าย"),)</f>
        <v/>
      </c>
      <c r="D800" s="36" t="str">
        <f t="shared" si="1"/>
        <v/>
      </c>
    </row>
    <row r="801">
      <c r="A801" s="8"/>
      <c r="B801" s="36" t="str">
        <f>IF(A801&lt;&gt;"",SUMIFS('การทำธุรกรรม'!E:E,'การทำธุรกรรม'!F:F,A801,'การทำธุรกรรม'!B:B,"รายรับ"),)</f>
        <v/>
      </c>
      <c r="C801" s="36" t="str">
        <f>IF(A801&lt;&gt;"",SUMIFS('การทำธุรกรรม'!E:E,'การทำธุรกรรม'!F:F,A801,'การทำธุรกรรม'!B:B,"รายจ่าย"),)</f>
        <v/>
      </c>
      <c r="D801" s="36" t="str">
        <f t="shared" si="1"/>
        <v/>
      </c>
    </row>
    <row r="802">
      <c r="A802" s="8"/>
      <c r="B802" s="36" t="str">
        <f>IF(A802&lt;&gt;"",SUMIFS('การทำธุรกรรม'!E:E,'การทำธุรกรรม'!F:F,A802,'การทำธุรกรรม'!B:B,"รายรับ"),)</f>
        <v/>
      </c>
      <c r="C802" s="36" t="str">
        <f>IF(A802&lt;&gt;"",SUMIFS('การทำธุรกรรม'!E:E,'การทำธุรกรรม'!F:F,A802,'การทำธุรกรรม'!B:B,"รายจ่าย"),)</f>
        <v/>
      </c>
      <c r="D802" s="36" t="str">
        <f t="shared" si="1"/>
        <v/>
      </c>
    </row>
    <row r="803">
      <c r="A803" s="8"/>
      <c r="B803" s="36" t="str">
        <f>IF(A803&lt;&gt;"",SUMIFS('การทำธุรกรรม'!E:E,'การทำธุรกรรม'!F:F,A803,'การทำธุรกรรม'!B:B,"รายรับ"),)</f>
        <v/>
      </c>
      <c r="C803" s="36" t="str">
        <f>IF(A803&lt;&gt;"",SUMIFS('การทำธุรกรรม'!E:E,'การทำธุรกรรม'!F:F,A803,'การทำธุรกรรม'!B:B,"รายจ่าย"),)</f>
        <v/>
      </c>
      <c r="D803" s="36" t="str">
        <f t="shared" si="1"/>
        <v/>
      </c>
    </row>
    <row r="804">
      <c r="A804" s="8"/>
      <c r="B804" s="36" t="str">
        <f>IF(A804&lt;&gt;"",SUMIFS('การทำธุรกรรม'!E:E,'การทำธุรกรรม'!F:F,A804,'การทำธุรกรรม'!B:B,"รายรับ"),)</f>
        <v/>
      </c>
      <c r="C804" s="36" t="str">
        <f>IF(A804&lt;&gt;"",SUMIFS('การทำธุรกรรม'!E:E,'การทำธุรกรรม'!F:F,A804,'การทำธุรกรรม'!B:B,"รายจ่าย"),)</f>
        <v/>
      </c>
      <c r="D804" s="36" t="str">
        <f t="shared" si="1"/>
        <v/>
      </c>
    </row>
    <row r="805">
      <c r="A805" s="8"/>
      <c r="B805" s="36" t="str">
        <f>IF(A805&lt;&gt;"",SUMIFS('การทำธุรกรรม'!E:E,'การทำธุรกรรม'!F:F,A805,'การทำธุรกรรม'!B:B,"รายรับ"),)</f>
        <v/>
      </c>
      <c r="C805" s="36" t="str">
        <f>IF(A805&lt;&gt;"",SUMIFS('การทำธุรกรรม'!E:E,'การทำธุรกรรม'!F:F,A805,'การทำธุรกรรม'!B:B,"รายจ่าย"),)</f>
        <v/>
      </c>
      <c r="D805" s="36" t="str">
        <f t="shared" si="1"/>
        <v/>
      </c>
    </row>
    <row r="806">
      <c r="A806" s="8"/>
      <c r="B806" s="36" t="str">
        <f>IF(A806&lt;&gt;"",SUMIFS('การทำธุรกรรม'!E:E,'การทำธุรกรรม'!F:F,A806,'การทำธุรกรรม'!B:B,"รายรับ"),)</f>
        <v/>
      </c>
      <c r="C806" s="36" t="str">
        <f>IF(A806&lt;&gt;"",SUMIFS('การทำธุรกรรม'!E:E,'การทำธุรกรรม'!F:F,A806,'การทำธุรกรรม'!B:B,"รายจ่าย"),)</f>
        <v/>
      </c>
      <c r="D806" s="36" t="str">
        <f t="shared" si="1"/>
        <v/>
      </c>
    </row>
    <row r="807">
      <c r="A807" s="8"/>
      <c r="B807" s="36" t="str">
        <f>IF(A807&lt;&gt;"",SUMIFS('การทำธุรกรรม'!E:E,'การทำธุรกรรม'!F:F,A807,'การทำธุรกรรม'!B:B,"รายรับ"),)</f>
        <v/>
      </c>
      <c r="C807" s="36" t="str">
        <f>IF(A807&lt;&gt;"",SUMIFS('การทำธุรกรรม'!E:E,'การทำธุรกรรม'!F:F,A807,'การทำธุรกรรม'!B:B,"รายจ่าย"),)</f>
        <v/>
      </c>
      <c r="D807" s="36" t="str">
        <f t="shared" si="1"/>
        <v/>
      </c>
    </row>
    <row r="808">
      <c r="A808" s="8"/>
      <c r="B808" s="36" t="str">
        <f>IF(A808&lt;&gt;"",SUMIFS('การทำธุรกรรม'!E:E,'การทำธุรกรรม'!F:F,A808,'การทำธุรกรรม'!B:B,"รายรับ"),)</f>
        <v/>
      </c>
      <c r="C808" s="36" t="str">
        <f>IF(A808&lt;&gt;"",SUMIFS('การทำธุรกรรม'!E:E,'การทำธุรกรรม'!F:F,A808,'การทำธุรกรรม'!B:B,"รายจ่าย"),)</f>
        <v/>
      </c>
      <c r="D808" s="36" t="str">
        <f t="shared" si="1"/>
        <v/>
      </c>
    </row>
    <row r="809">
      <c r="A809" s="8"/>
      <c r="B809" s="36" t="str">
        <f>IF(A809&lt;&gt;"",SUMIFS('การทำธุรกรรม'!E:E,'การทำธุรกรรม'!F:F,A809,'การทำธุรกรรม'!B:B,"รายรับ"),)</f>
        <v/>
      </c>
      <c r="C809" s="36" t="str">
        <f>IF(A809&lt;&gt;"",SUMIFS('การทำธุรกรรม'!E:E,'การทำธุรกรรม'!F:F,A809,'การทำธุรกรรม'!B:B,"รายจ่าย"),)</f>
        <v/>
      </c>
      <c r="D809" s="36" t="str">
        <f t="shared" si="1"/>
        <v/>
      </c>
    </row>
    <row r="810">
      <c r="A810" s="8"/>
      <c r="B810" s="36" t="str">
        <f>IF(A810&lt;&gt;"",SUMIFS('การทำธุรกรรม'!E:E,'การทำธุรกรรม'!F:F,A810,'การทำธุรกรรม'!B:B,"รายรับ"),)</f>
        <v/>
      </c>
      <c r="C810" s="36" t="str">
        <f>IF(A810&lt;&gt;"",SUMIFS('การทำธุรกรรม'!E:E,'การทำธุรกรรม'!F:F,A810,'การทำธุรกรรม'!B:B,"รายจ่าย"),)</f>
        <v/>
      </c>
      <c r="D810" s="36" t="str">
        <f t="shared" si="1"/>
        <v/>
      </c>
    </row>
    <row r="811">
      <c r="A811" s="8"/>
      <c r="B811" s="36" t="str">
        <f>IF(A811&lt;&gt;"",SUMIFS('การทำธุรกรรม'!E:E,'การทำธุรกรรม'!F:F,A811,'การทำธุรกรรม'!B:B,"รายรับ"),)</f>
        <v/>
      </c>
      <c r="C811" s="36" t="str">
        <f>IF(A811&lt;&gt;"",SUMIFS('การทำธุรกรรม'!E:E,'การทำธุรกรรม'!F:F,A811,'การทำธุรกรรม'!B:B,"รายจ่าย"),)</f>
        <v/>
      </c>
      <c r="D811" s="36" t="str">
        <f t="shared" si="1"/>
        <v/>
      </c>
    </row>
    <row r="812">
      <c r="A812" s="8"/>
      <c r="B812" s="36" t="str">
        <f>IF(A812&lt;&gt;"",SUMIFS('การทำธุรกรรม'!E:E,'การทำธุรกรรม'!F:F,A812,'การทำธุรกรรม'!B:B,"รายรับ"),)</f>
        <v/>
      </c>
      <c r="C812" s="36" t="str">
        <f>IF(A812&lt;&gt;"",SUMIFS('การทำธุรกรรม'!E:E,'การทำธุรกรรม'!F:F,A812,'การทำธุรกรรม'!B:B,"รายจ่าย"),)</f>
        <v/>
      </c>
      <c r="D812" s="36" t="str">
        <f t="shared" si="1"/>
        <v/>
      </c>
    </row>
    <row r="813">
      <c r="A813" s="8"/>
      <c r="B813" s="36" t="str">
        <f>IF(A813&lt;&gt;"",SUMIFS('การทำธุรกรรม'!E:E,'การทำธุรกรรม'!F:F,A813,'การทำธุรกรรม'!B:B,"รายรับ"),)</f>
        <v/>
      </c>
      <c r="C813" s="36" t="str">
        <f>IF(A813&lt;&gt;"",SUMIFS('การทำธุรกรรม'!E:E,'การทำธุรกรรม'!F:F,A813,'การทำธุรกรรม'!B:B,"รายจ่าย"),)</f>
        <v/>
      </c>
      <c r="D813" s="36" t="str">
        <f t="shared" si="1"/>
        <v/>
      </c>
    </row>
    <row r="814">
      <c r="A814" s="8"/>
      <c r="B814" s="36" t="str">
        <f>IF(A814&lt;&gt;"",SUMIFS('การทำธุรกรรม'!E:E,'การทำธุรกรรม'!F:F,A814,'การทำธุรกรรม'!B:B,"รายรับ"),)</f>
        <v/>
      </c>
      <c r="C814" s="36" t="str">
        <f>IF(A814&lt;&gt;"",SUMIFS('การทำธุรกรรม'!E:E,'การทำธุรกรรม'!F:F,A814,'การทำธุรกรรม'!B:B,"รายจ่าย"),)</f>
        <v/>
      </c>
      <c r="D814" s="36" t="str">
        <f t="shared" si="1"/>
        <v/>
      </c>
    </row>
    <row r="815">
      <c r="A815" s="8"/>
      <c r="B815" s="36" t="str">
        <f>IF(A815&lt;&gt;"",SUMIFS('การทำธุรกรรม'!E:E,'การทำธุรกรรม'!F:F,A815,'การทำธุรกรรม'!B:B,"รายรับ"),)</f>
        <v/>
      </c>
      <c r="C815" s="36" t="str">
        <f>IF(A815&lt;&gt;"",SUMIFS('การทำธุรกรรม'!E:E,'การทำธุรกรรม'!F:F,A815,'การทำธุรกรรม'!B:B,"รายจ่าย"),)</f>
        <v/>
      </c>
      <c r="D815" s="36" t="str">
        <f t="shared" si="1"/>
        <v/>
      </c>
    </row>
    <row r="816">
      <c r="A816" s="8"/>
      <c r="B816" s="36" t="str">
        <f>IF(A816&lt;&gt;"",SUMIFS('การทำธุรกรรม'!E:E,'การทำธุรกรรม'!F:F,A816,'การทำธุรกรรม'!B:B,"รายรับ"),)</f>
        <v/>
      </c>
      <c r="C816" s="36" t="str">
        <f>IF(A816&lt;&gt;"",SUMIFS('การทำธุรกรรม'!E:E,'การทำธุรกรรม'!F:F,A816,'การทำธุรกรรม'!B:B,"รายจ่าย"),)</f>
        <v/>
      </c>
      <c r="D816" s="36" t="str">
        <f t="shared" si="1"/>
        <v/>
      </c>
    </row>
    <row r="817">
      <c r="A817" s="8"/>
      <c r="B817" s="36" t="str">
        <f>IF(A817&lt;&gt;"",SUMIFS('การทำธุรกรรม'!E:E,'การทำธุรกรรม'!F:F,A817,'การทำธุรกรรม'!B:B,"รายรับ"),)</f>
        <v/>
      </c>
      <c r="C817" s="36" t="str">
        <f>IF(A817&lt;&gt;"",SUMIFS('การทำธุรกรรม'!E:E,'การทำธุรกรรม'!F:F,A817,'การทำธุรกรรม'!B:B,"รายจ่าย"),)</f>
        <v/>
      </c>
      <c r="D817" s="36" t="str">
        <f t="shared" si="1"/>
        <v/>
      </c>
    </row>
    <row r="818">
      <c r="A818" s="8"/>
      <c r="B818" s="36" t="str">
        <f>IF(A818&lt;&gt;"",SUMIFS('การทำธุรกรรม'!E:E,'การทำธุรกรรม'!F:F,A818,'การทำธุรกรรม'!B:B,"รายรับ"),)</f>
        <v/>
      </c>
      <c r="C818" s="36" t="str">
        <f>IF(A818&lt;&gt;"",SUMIFS('การทำธุรกรรม'!E:E,'การทำธุรกรรม'!F:F,A818,'การทำธุรกรรม'!B:B,"รายจ่าย"),)</f>
        <v/>
      </c>
      <c r="D818" s="36" t="str">
        <f t="shared" si="1"/>
        <v/>
      </c>
    </row>
    <row r="819">
      <c r="A819" s="8"/>
      <c r="B819" s="36" t="str">
        <f>IF(A819&lt;&gt;"",SUMIFS('การทำธุรกรรม'!E:E,'การทำธุรกรรม'!F:F,A819,'การทำธุรกรรม'!B:B,"รายรับ"),)</f>
        <v/>
      </c>
      <c r="C819" s="36" t="str">
        <f>IF(A819&lt;&gt;"",SUMIFS('การทำธุรกรรม'!E:E,'การทำธุรกรรม'!F:F,A819,'การทำธุรกรรม'!B:B,"รายจ่าย"),)</f>
        <v/>
      </c>
      <c r="D819" s="36" t="str">
        <f t="shared" si="1"/>
        <v/>
      </c>
    </row>
    <row r="820">
      <c r="A820" s="8"/>
      <c r="B820" s="36" t="str">
        <f>IF(A820&lt;&gt;"",SUMIFS('การทำธุรกรรม'!E:E,'การทำธุรกรรม'!F:F,A820,'การทำธุรกรรม'!B:B,"รายรับ"),)</f>
        <v/>
      </c>
      <c r="C820" s="36" t="str">
        <f>IF(A820&lt;&gt;"",SUMIFS('การทำธุรกรรม'!E:E,'การทำธุรกรรม'!F:F,A820,'การทำธุรกรรม'!B:B,"รายจ่าย"),)</f>
        <v/>
      </c>
      <c r="D820" s="36" t="str">
        <f t="shared" si="1"/>
        <v/>
      </c>
    </row>
    <row r="821">
      <c r="A821" s="8"/>
      <c r="B821" s="36" t="str">
        <f>IF(A821&lt;&gt;"",SUMIFS('การทำธุรกรรม'!E:E,'การทำธุรกรรม'!F:F,A821,'การทำธุรกรรม'!B:B,"รายรับ"),)</f>
        <v/>
      </c>
      <c r="C821" s="36" t="str">
        <f>IF(A821&lt;&gt;"",SUMIFS('การทำธุรกรรม'!E:E,'การทำธุรกรรม'!F:F,A821,'การทำธุรกรรม'!B:B,"รายจ่าย"),)</f>
        <v/>
      </c>
      <c r="D821" s="36" t="str">
        <f t="shared" si="1"/>
        <v/>
      </c>
    </row>
    <row r="822">
      <c r="A822" s="8"/>
      <c r="B822" s="36" t="str">
        <f>IF(A822&lt;&gt;"",SUMIFS('การทำธุรกรรม'!E:E,'การทำธุรกรรม'!F:F,A822,'การทำธุรกรรม'!B:B,"รายรับ"),)</f>
        <v/>
      </c>
      <c r="C822" s="36" t="str">
        <f>IF(A822&lt;&gt;"",SUMIFS('การทำธุรกรรม'!E:E,'การทำธุรกรรม'!F:F,A822,'การทำธุรกรรม'!B:B,"รายจ่าย"),)</f>
        <v/>
      </c>
      <c r="D822" s="36" t="str">
        <f t="shared" si="1"/>
        <v/>
      </c>
    </row>
    <row r="823">
      <c r="A823" s="8"/>
      <c r="B823" s="36" t="str">
        <f>IF(A823&lt;&gt;"",SUMIFS('การทำธุรกรรม'!E:E,'การทำธุรกรรม'!F:F,A823,'การทำธุรกรรม'!B:B,"รายรับ"),)</f>
        <v/>
      </c>
      <c r="C823" s="36" t="str">
        <f>IF(A823&lt;&gt;"",SUMIFS('การทำธุรกรรม'!E:E,'การทำธุรกรรม'!F:F,A823,'การทำธุรกรรม'!B:B,"รายจ่าย"),)</f>
        <v/>
      </c>
      <c r="D823" s="36" t="str">
        <f t="shared" si="1"/>
        <v/>
      </c>
    </row>
    <row r="824">
      <c r="A824" s="8"/>
      <c r="B824" s="36" t="str">
        <f>IF(A824&lt;&gt;"",SUMIFS('การทำธุรกรรม'!E:E,'การทำธุรกรรม'!F:F,A824,'การทำธุรกรรม'!B:B,"รายรับ"),)</f>
        <v/>
      </c>
      <c r="C824" s="36" t="str">
        <f>IF(A824&lt;&gt;"",SUMIFS('การทำธุรกรรม'!E:E,'การทำธุรกรรม'!F:F,A824,'การทำธุรกรรม'!B:B,"รายจ่าย"),)</f>
        <v/>
      </c>
      <c r="D824" s="36" t="str">
        <f t="shared" si="1"/>
        <v/>
      </c>
    </row>
    <row r="825">
      <c r="A825" s="8"/>
      <c r="B825" s="36" t="str">
        <f>IF(A825&lt;&gt;"",SUMIFS('การทำธุรกรรม'!E:E,'การทำธุรกรรม'!F:F,A825,'การทำธุรกรรม'!B:B,"รายรับ"),)</f>
        <v/>
      </c>
      <c r="C825" s="36" t="str">
        <f>IF(A825&lt;&gt;"",SUMIFS('การทำธุรกรรม'!E:E,'การทำธุรกรรม'!F:F,A825,'การทำธุรกรรม'!B:B,"รายจ่าย"),)</f>
        <v/>
      </c>
      <c r="D825" s="36" t="str">
        <f t="shared" si="1"/>
        <v/>
      </c>
    </row>
    <row r="826">
      <c r="A826" s="8"/>
      <c r="B826" s="36" t="str">
        <f>IF(A826&lt;&gt;"",SUMIFS('การทำธุรกรรม'!E:E,'การทำธุรกรรม'!F:F,A826,'การทำธุรกรรม'!B:B,"รายรับ"),)</f>
        <v/>
      </c>
      <c r="C826" s="36" t="str">
        <f>IF(A826&lt;&gt;"",SUMIFS('การทำธุรกรรม'!E:E,'การทำธุรกรรม'!F:F,A826,'การทำธุรกรรม'!B:B,"รายจ่าย"),)</f>
        <v/>
      </c>
      <c r="D826" s="36" t="str">
        <f t="shared" si="1"/>
        <v/>
      </c>
    </row>
    <row r="827">
      <c r="A827" s="8"/>
      <c r="B827" s="36" t="str">
        <f>IF(A827&lt;&gt;"",SUMIFS('การทำธุรกรรม'!E:E,'การทำธุรกรรม'!F:F,A827,'การทำธุรกรรม'!B:B,"รายรับ"),)</f>
        <v/>
      </c>
      <c r="C827" s="36" t="str">
        <f>IF(A827&lt;&gt;"",SUMIFS('การทำธุรกรรม'!E:E,'การทำธุรกรรม'!F:F,A827,'การทำธุรกรรม'!B:B,"รายจ่าย"),)</f>
        <v/>
      </c>
      <c r="D827" s="36" t="str">
        <f t="shared" si="1"/>
        <v/>
      </c>
    </row>
    <row r="828">
      <c r="A828" s="8"/>
      <c r="B828" s="36" t="str">
        <f>IF(A828&lt;&gt;"",SUMIFS('การทำธุรกรรม'!E:E,'การทำธุรกรรม'!F:F,A828,'การทำธุรกรรม'!B:B,"รายรับ"),)</f>
        <v/>
      </c>
      <c r="C828" s="36" t="str">
        <f>IF(A828&lt;&gt;"",SUMIFS('การทำธุรกรรม'!E:E,'การทำธุรกรรม'!F:F,A828,'การทำธุรกรรม'!B:B,"รายจ่าย"),)</f>
        <v/>
      </c>
      <c r="D828" s="36" t="str">
        <f t="shared" si="1"/>
        <v/>
      </c>
    </row>
    <row r="829">
      <c r="A829" s="8"/>
      <c r="B829" s="36" t="str">
        <f>IF(A829&lt;&gt;"",SUMIFS('การทำธุรกรรม'!E:E,'การทำธุรกรรม'!F:F,A829,'การทำธุรกรรม'!B:B,"รายรับ"),)</f>
        <v/>
      </c>
      <c r="C829" s="36" t="str">
        <f>IF(A829&lt;&gt;"",SUMIFS('การทำธุรกรรม'!E:E,'การทำธุรกรรม'!F:F,A829,'การทำธุรกรรม'!B:B,"รายจ่าย"),)</f>
        <v/>
      </c>
      <c r="D829" s="36" t="str">
        <f t="shared" si="1"/>
        <v/>
      </c>
    </row>
    <row r="830">
      <c r="A830" s="8"/>
      <c r="B830" s="36" t="str">
        <f>IF(A830&lt;&gt;"",SUMIFS('การทำธุรกรรม'!E:E,'การทำธุรกรรม'!F:F,A830,'การทำธุรกรรม'!B:B,"รายรับ"),)</f>
        <v/>
      </c>
      <c r="C830" s="36" t="str">
        <f>IF(A830&lt;&gt;"",SUMIFS('การทำธุรกรรม'!E:E,'การทำธุรกรรม'!F:F,A830,'การทำธุรกรรม'!B:B,"รายจ่าย"),)</f>
        <v/>
      </c>
      <c r="D830" s="36" t="str">
        <f t="shared" si="1"/>
        <v/>
      </c>
    </row>
    <row r="831">
      <c r="A831" s="8"/>
      <c r="B831" s="36" t="str">
        <f>IF(A831&lt;&gt;"",SUMIFS('การทำธุรกรรม'!E:E,'การทำธุรกรรม'!F:F,A831,'การทำธุรกรรม'!B:B,"รายรับ"),)</f>
        <v/>
      </c>
      <c r="C831" s="36" t="str">
        <f>IF(A831&lt;&gt;"",SUMIFS('การทำธุรกรรม'!E:E,'การทำธุรกรรม'!F:F,A831,'การทำธุรกรรม'!B:B,"รายจ่าย"),)</f>
        <v/>
      </c>
      <c r="D831" s="36" t="str">
        <f t="shared" si="1"/>
        <v/>
      </c>
    </row>
    <row r="832">
      <c r="A832" s="8"/>
      <c r="B832" s="36" t="str">
        <f>IF(A832&lt;&gt;"",SUMIFS('การทำธุรกรรม'!E:E,'การทำธุรกรรม'!F:F,A832,'การทำธุรกรรม'!B:B,"รายรับ"),)</f>
        <v/>
      </c>
      <c r="C832" s="36" t="str">
        <f>IF(A832&lt;&gt;"",SUMIFS('การทำธุรกรรม'!E:E,'การทำธุรกรรม'!F:F,A832,'การทำธุรกรรม'!B:B,"รายจ่าย"),)</f>
        <v/>
      </c>
      <c r="D832" s="36" t="str">
        <f t="shared" si="1"/>
        <v/>
      </c>
    </row>
    <row r="833">
      <c r="A833" s="8"/>
      <c r="B833" s="36" t="str">
        <f>IF(A833&lt;&gt;"",SUMIFS('การทำธุรกรรม'!E:E,'การทำธุรกรรม'!F:F,A833,'การทำธุรกรรม'!B:B,"รายรับ"),)</f>
        <v/>
      </c>
      <c r="C833" s="36" t="str">
        <f>IF(A833&lt;&gt;"",SUMIFS('การทำธุรกรรม'!E:E,'การทำธุรกรรม'!F:F,A833,'การทำธุรกรรม'!B:B,"รายจ่าย"),)</f>
        <v/>
      </c>
      <c r="D833" s="36" t="str">
        <f t="shared" si="1"/>
        <v/>
      </c>
    </row>
    <row r="834">
      <c r="A834" s="8"/>
      <c r="B834" s="36" t="str">
        <f>IF(A834&lt;&gt;"",SUMIFS('การทำธุรกรรม'!E:E,'การทำธุรกรรม'!F:F,A834,'การทำธุรกรรม'!B:B,"รายรับ"),)</f>
        <v/>
      </c>
      <c r="C834" s="36" t="str">
        <f>IF(A834&lt;&gt;"",SUMIFS('การทำธุรกรรม'!E:E,'การทำธุรกรรม'!F:F,A834,'การทำธุรกรรม'!B:B,"รายจ่าย"),)</f>
        <v/>
      </c>
      <c r="D834" s="36" t="str">
        <f t="shared" si="1"/>
        <v/>
      </c>
    </row>
    <row r="835">
      <c r="A835" s="8"/>
      <c r="B835" s="36" t="str">
        <f>IF(A835&lt;&gt;"",SUMIFS('การทำธุรกรรม'!E:E,'การทำธุรกรรม'!F:F,A835,'การทำธุรกรรม'!B:B,"รายรับ"),)</f>
        <v/>
      </c>
      <c r="C835" s="36" t="str">
        <f>IF(A835&lt;&gt;"",SUMIFS('การทำธุรกรรม'!E:E,'การทำธุรกรรม'!F:F,A835,'การทำธุรกรรม'!B:B,"รายจ่าย"),)</f>
        <v/>
      </c>
      <c r="D835" s="36" t="str">
        <f t="shared" si="1"/>
        <v/>
      </c>
    </row>
    <row r="836">
      <c r="A836" s="8"/>
      <c r="B836" s="36" t="str">
        <f>IF(A836&lt;&gt;"",SUMIFS('การทำธุรกรรม'!E:E,'การทำธุรกรรม'!F:F,A836,'การทำธุรกรรม'!B:B,"รายรับ"),)</f>
        <v/>
      </c>
      <c r="C836" s="36" t="str">
        <f>IF(A836&lt;&gt;"",SUMIFS('การทำธุรกรรม'!E:E,'การทำธุรกรรม'!F:F,A836,'การทำธุรกรรม'!B:B,"รายจ่าย"),)</f>
        <v/>
      </c>
      <c r="D836" s="36" t="str">
        <f t="shared" si="1"/>
        <v/>
      </c>
    </row>
    <row r="837">
      <c r="A837" s="8"/>
      <c r="B837" s="36" t="str">
        <f>IF(A837&lt;&gt;"",SUMIFS('การทำธุรกรรม'!E:E,'การทำธุรกรรม'!F:F,A837,'การทำธุรกรรม'!B:B,"รายรับ"),)</f>
        <v/>
      </c>
      <c r="C837" s="36" t="str">
        <f>IF(A837&lt;&gt;"",SUMIFS('การทำธุรกรรม'!E:E,'การทำธุรกรรม'!F:F,A837,'การทำธุรกรรม'!B:B,"รายจ่าย"),)</f>
        <v/>
      </c>
      <c r="D837" s="36" t="str">
        <f t="shared" si="1"/>
        <v/>
      </c>
    </row>
    <row r="838">
      <c r="A838" s="8"/>
      <c r="B838" s="36" t="str">
        <f>IF(A838&lt;&gt;"",SUMIFS('การทำธุรกรรม'!E:E,'การทำธุรกรรม'!F:F,A838,'การทำธุรกรรม'!B:B,"รายรับ"),)</f>
        <v/>
      </c>
      <c r="C838" s="36" t="str">
        <f>IF(A838&lt;&gt;"",SUMIFS('การทำธุรกรรม'!E:E,'การทำธุรกรรม'!F:F,A838,'การทำธุรกรรม'!B:B,"รายจ่าย"),)</f>
        <v/>
      </c>
      <c r="D838" s="36" t="str">
        <f t="shared" si="1"/>
        <v/>
      </c>
    </row>
    <row r="839">
      <c r="A839" s="8"/>
      <c r="B839" s="36" t="str">
        <f>IF(A839&lt;&gt;"",SUMIFS('การทำธุรกรรม'!E:E,'การทำธุรกรรม'!F:F,A839,'การทำธุรกรรม'!B:B,"รายรับ"),)</f>
        <v/>
      </c>
      <c r="C839" s="36" t="str">
        <f>IF(A839&lt;&gt;"",SUMIFS('การทำธุรกรรม'!E:E,'การทำธุรกรรม'!F:F,A839,'การทำธุรกรรม'!B:B,"รายจ่าย"),)</f>
        <v/>
      </c>
      <c r="D839" s="36" t="str">
        <f t="shared" si="1"/>
        <v/>
      </c>
    </row>
    <row r="840">
      <c r="A840" s="8"/>
      <c r="B840" s="36" t="str">
        <f>IF(A840&lt;&gt;"",SUMIFS('การทำธุรกรรม'!E:E,'การทำธุรกรรม'!F:F,A840,'การทำธุรกรรม'!B:B,"รายรับ"),)</f>
        <v/>
      </c>
      <c r="C840" s="36" t="str">
        <f>IF(A840&lt;&gt;"",SUMIFS('การทำธุรกรรม'!E:E,'การทำธุรกรรม'!F:F,A840,'การทำธุรกรรม'!B:B,"รายจ่าย"),)</f>
        <v/>
      </c>
      <c r="D840" s="36" t="str">
        <f t="shared" si="1"/>
        <v/>
      </c>
    </row>
    <row r="841">
      <c r="A841" s="8"/>
      <c r="B841" s="36" t="str">
        <f>IF(A841&lt;&gt;"",SUMIFS('การทำธุรกรรม'!E:E,'การทำธุรกรรม'!F:F,A841,'การทำธุรกรรม'!B:B,"รายรับ"),)</f>
        <v/>
      </c>
      <c r="C841" s="36" t="str">
        <f>IF(A841&lt;&gt;"",SUMIFS('การทำธุรกรรม'!E:E,'การทำธุรกรรม'!F:F,A841,'การทำธุรกรรม'!B:B,"รายจ่าย"),)</f>
        <v/>
      </c>
      <c r="D841" s="36" t="str">
        <f t="shared" si="1"/>
        <v/>
      </c>
    </row>
    <row r="842">
      <c r="A842" s="8"/>
      <c r="B842" s="36" t="str">
        <f>IF(A842&lt;&gt;"",SUMIFS('การทำธุรกรรม'!E:E,'การทำธุรกรรม'!F:F,A842,'การทำธุรกรรม'!B:B,"รายรับ"),)</f>
        <v/>
      </c>
      <c r="C842" s="36" t="str">
        <f>IF(A842&lt;&gt;"",SUMIFS('การทำธุรกรรม'!E:E,'การทำธุรกรรม'!F:F,A842,'การทำธุรกรรม'!B:B,"รายจ่าย"),)</f>
        <v/>
      </c>
      <c r="D842" s="36" t="str">
        <f t="shared" si="1"/>
        <v/>
      </c>
    </row>
    <row r="843">
      <c r="A843" s="8"/>
      <c r="B843" s="36" t="str">
        <f>IF(A843&lt;&gt;"",SUMIFS('การทำธุรกรรม'!E:E,'การทำธุรกรรม'!F:F,A843,'การทำธุรกรรม'!B:B,"รายรับ"),)</f>
        <v/>
      </c>
      <c r="C843" s="36" t="str">
        <f>IF(A843&lt;&gt;"",SUMIFS('การทำธุรกรรม'!E:E,'การทำธุรกรรม'!F:F,A843,'การทำธุรกรรม'!B:B,"รายจ่าย"),)</f>
        <v/>
      </c>
      <c r="D843" s="36" t="str">
        <f t="shared" si="1"/>
        <v/>
      </c>
    </row>
    <row r="844">
      <c r="A844" s="8"/>
      <c r="B844" s="36" t="str">
        <f>IF(A844&lt;&gt;"",SUMIFS('การทำธุรกรรม'!E:E,'การทำธุรกรรม'!F:F,A844,'การทำธุรกรรม'!B:B,"รายรับ"),)</f>
        <v/>
      </c>
      <c r="C844" s="36" t="str">
        <f>IF(A844&lt;&gt;"",SUMIFS('การทำธุรกรรม'!E:E,'การทำธุรกรรม'!F:F,A844,'การทำธุรกรรม'!B:B,"รายจ่าย"),)</f>
        <v/>
      </c>
      <c r="D844" s="36" t="str">
        <f t="shared" si="1"/>
        <v/>
      </c>
    </row>
    <row r="845">
      <c r="A845" s="8"/>
      <c r="B845" s="36" t="str">
        <f>IF(A845&lt;&gt;"",SUMIFS('การทำธุรกรรม'!E:E,'การทำธุรกรรม'!F:F,A845,'การทำธุรกรรม'!B:B,"รายรับ"),)</f>
        <v/>
      </c>
      <c r="C845" s="36" t="str">
        <f>IF(A845&lt;&gt;"",SUMIFS('การทำธุรกรรม'!E:E,'การทำธุรกรรม'!F:F,A845,'การทำธุรกรรม'!B:B,"รายจ่าย"),)</f>
        <v/>
      </c>
      <c r="D845" s="36" t="str">
        <f t="shared" si="1"/>
        <v/>
      </c>
    </row>
    <row r="846">
      <c r="A846" s="8"/>
      <c r="B846" s="36" t="str">
        <f>IF(A846&lt;&gt;"",SUMIFS('การทำธุรกรรม'!E:E,'การทำธุรกรรม'!F:F,A846,'การทำธุรกรรม'!B:B,"รายรับ"),)</f>
        <v/>
      </c>
      <c r="C846" s="36" t="str">
        <f>IF(A846&lt;&gt;"",SUMIFS('การทำธุรกรรม'!E:E,'การทำธุรกรรม'!F:F,A846,'การทำธุรกรรม'!B:B,"รายจ่าย"),)</f>
        <v/>
      </c>
      <c r="D846" s="36" t="str">
        <f t="shared" si="1"/>
        <v/>
      </c>
    </row>
    <row r="847">
      <c r="A847" s="8"/>
      <c r="B847" s="36" t="str">
        <f>IF(A847&lt;&gt;"",SUMIFS('การทำธุรกรรม'!E:E,'การทำธุรกรรม'!F:F,A847,'การทำธุรกรรม'!B:B,"รายรับ"),)</f>
        <v/>
      </c>
      <c r="C847" s="36" t="str">
        <f>IF(A847&lt;&gt;"",SUMIFS('การทำธุรกรรม'!E:E,'การทำธุรกรรม'!F:F,A847,'การทำธุรกรรม'!B:B,"รายจ่าย"),)</f>
        <v/>
      </c>
      <c r="D847" s="36" t="str">
        <f t="shared" si="1"/>
        <v/>
      </c>
    </row>
    <row r="848">
      <c r="A848" s="8"/>
      <c r="B848" s="36" t="str">
        <f>IF(A848&lt;&gt;"",SUMIFS('การทำธุรกรรม'!E:E,'การทำธุรกรรม'!F:F,A848,'การทำธุรกรรม'!B:B,"รายรับ"),)</f>
        <v/>
      </c>
      <c r="C848" s="36" t="str">
        <f>IF(A848&lt;&gt;"",SUMIFS('การทำธุรกรรม'!E:E,'การทำธุรกรรม'!F:F,A848,'การทำธุรกรรม'!B:B,"รายจ่าย"),)</f>
        <v/>
      </c>
      <c r="D848" s="36" t="str">
        <f t="shared" si="1"/>
        <v/>
      </c>
    </row>
    <row r="849">
      <c r="A849" s="8"/>
      <c r="B849" s="36" t="str">
        <f>IF(A849&lt;&gt;"",SUMIFS('การทำธุรกรรม'!E:E,'การทำธุรกรรม'!F:F,A849,'การทำธุรกรรม'!B:B,"รายรับ"),)</f>
        <v/>
      </c>
      <c r="C849" s="36" t="str">
        <f>IF(A849&lt;&gt;"",SUMIFS('การทำธุรกรรม'!E:E,'การทำธุรกรรม'!F:F,A849,'การทำธุรกรรม'!B:B,"รายจ่าย"),)</f>
        <v/>
      </c>
      <c r="D849" s="36" t="str">
        <f t="shared" si="1"/>
        <v/>
      </c>
    </row>
    <row r="850">
      <c r="A850" s="8"/>
      <c r="B850" s="36" t="str">
        <f>IF(A850&lt;&gt;"",SUMIFS('การทำธุรกรรม'!E:E,'การทำธุรกรรม'!F:F,A850,'การทำธุรกรรม'!B:B,"รายรับ"),)</f>
        <v/>
      </c>
      <c r="C850" s="36" t="str">
        <f>IF(A850&lt;&gt;"",SUMIFS('การทำธุรกรรม'!E:E,'การทำธุรกรรม'!F:F,A850,'การทำธุรกรรม'!B:B,"รายจ่าย"),)</f>
        <v/>
      </c>
      <c r="D850" s="36" t="str">
        <f t="shared" si="1"/>
        <v/>
      </c>
    </row>
    <row r="851">
      <c r="A851" s="8"/>
      <c r="B851" s="36" t="str">
        <f>IF(A851&lt;&gt;"",SUMIFS('การทำธุรกรรม'!E:E,'การทำธุรกรรม'!F:F,A851,'การทำธุรกรรม'!B:B,"รายรับ"),)</f>
        <v/>
      </c>
      <c r="C851" s="36" t="str">
        <f>IF(A851&lt;&gt;"",SUMIFS('การทำธุรกรรม'!E:E,'การทำธุรกรรม'!F:F,A851,'การทำธุรกรรม'!B:B,"รายจ่าย"),)</f>
        <v/>
      </c>
      <c r="D851" s="36" t="str">
        <f t="shared" si="1"/>
        <v/>
      </c>
    </row>
    <row r="852">
      <c r="A852" s="8"/>
      <c r="B852" s="36" t="str">
        <f>IF(A852&lt;&gt;"",SUMIFS('การทำธุรกรรม'!E:E,'การทำธุรกรรม'!F:F,A852,'การทำธุรกรรม'!B:B,"รายรับ"),)</f>
        <v/>
      </c>
      <c r="C852" s="36" t="str">
        <f>IF(A852&lt;&gt;"",SUMIFS('การทำธุรกรรม'!E:E,'การทำธุรกรรม'!F:F,A852,'การทำธุรกรรม'!B:B,"รายจ่าย"),)</f>
        <v/>
      </c>
      <c r="D852" s="36" t="str">
        <f t="shared" si="1"/>
        <v/>
      </c>
    </row>
    <row r="853">
      <c r="A853" s="8"/>
      <c r="B853" s="36" t="str">
        <f>IF(A853&lt;&gt;"",SUMIFS('การทำธุรกรรม'!E:E,'การทำธุรกรรม'!F:F,A853,'การทำธุรกรรม'!B:B,"รายรับ"),)</f>
        <v/>
      </c>
      <c r="C853" s="36" t="str">
        <f>IF(A853&lt;&gt;"",SUMIFS('การทำธุรกรรม'!E:E,'การทำธุรกรรม'!F:F,A853,'การทำธุรกรรม'!B:B,"รายจ่าย"),)</f>
        <v/>
      </c>
      <c r="D853" s="36" t="str">
        <f t="shared" si="1"/>
        <v/>
      </c>
    </row>
    <row r="854">
      <c r="A854" s="8"/>
      <c r="B854" s="36" t="str">
        <f>IF(A854&lt;&gt;"",SUMIFS('การทำธุรกรรม'!E:E,'การทำธุรกรรม'!F:F,A854,'การทำธุรกรรม'!B:B,"รายรับ"),)</f>
        <v/>
      </c>
      <c r="C854" s="36" t="str">
        <f>IF(A854&lt;&gt;"",SUMIFS('การทำธุรกรรม'!E:E,'การทำธุรกรรม'!F:F,A854,'การทำธุรกรรม'!B:B,"รายจ่าย"),)</f>
        <v/>
      </c>
      <c r="D854" s="36" t="str">
        <f t="shared" si="1"/>
        <v/>
      </c>
    </row>
    <row r="855">
      <c r="A855" s="8"/>
      <c r="B855" s="36" t="str">
        <f>IF(A855&lt;&gt;"",SUMIFS('การทำธุรกรรม'!E:E,'การทำธุรกรรม'!F:F,A855,'การทำธุรกรรม'!B:B,"รายรับ"),)</f>
        <v/>
      </c>
      <c r="C855" s="36" t="str">
        <f>IF(A855&lt;&gt;"",SUMIFS('การทำธุรกรรม'!E:E,'การทำธุรกรรม'!F:F,A855,'การทำธุรกรรม'!B:B,"รายจ่าย"),)</f>
        <v/>
      </c>
      <c r="D855" s="36" t="str">
        <f t="shared" si="1"/>
        <v/>
      </c>
    </row>
    <row r="856">
      <c r="A856" s="8"/>
      <c r="B856" s="36" t="str">
        <f>IF(A856&lt;&gt;"",SUMIFS('การทำธุรกรรม'!E:E,'การทำธุรกรรม'!F:F,A856,'การทำธุรกรรม'!B:B,"รายรับ"),)</f>
        <v/>
      </c>
      <c r="C856" s="36" t="str">
        <f>IF(A856&lt;&gt;"",SUMIFS('การทำธุรกรรม'!E:E,'การทำธุรกรรม'!F:F,A856,'การทำธุรกรรม'!B:B,"รายจ่าย"),)</f>
        <v/>
      </c>
      <c r="D856" s="36" t="str">
        <f t="shared" si="1"/>
        <v/>
      </c>
    </row>
    <row r="857">
      <c r="A857" s="8"/>
      <c r="B857" s="36" t="str">
        <f>IF(A857&lt;&gt;"",SUMIFS('การทำธุรกรรม'!E:E,'การทำธุรกรรม'!F:F,A857,'การทำธุรกรรม'!B:B,"รายรับ"),)</f>
        <v/>
      </c>
      <c r="C857" s="36" t="str">
        <f>IF(A857&lt;&gt;"",SUMIFS('การทำธุรกรรม'!E:E,'การทำธุรกรรม'!F:F,A857,'การทำธุรกรรม'!B:B,"รายจ่าย"),)</f>
        <v/>
      </c>
      <c r="D857" s="36" t="str">
        <f t="shared" si="1"/>
        <v/>
      </c>
    </row>
    <row r="858">
      <c r="A858" s="8"/>
      <c r="B858" s="36" t="str">
        <f>IF(A858&lt;&gt;"",SUMIFS('การทำธุรกรรม'!E:E,'การทำธุรกรรม'!F:F,A858,'การทำธุรกรรม'!B:B,"รายรับ"),)</f>
        <v/>
      </c>
      <c r="C858" s="36" t="str">
        <f>IF(A858&lt;&gt;"",SUMIFS('การทำธุรกรรม'!E:E,'การทำธุรกรรม'!F:F,A858,'การทำธุรกรรม'!B:B,"รายจ่าย"),)</f>
        <v/>
      </c>
      <c r="D858" s="36" t="str">
        <f t="shared" si="1"/>
        <v/>
      </c>
    </row>
    <row r="859">
      <c r="A859" s="8"/>
      <c r="B859" s="36" t="str">
        <f>IF(A859&lt;&gt;"",SUMIFS('การทำธุรกรรม'!E:E,'การทำธุรกรรม'!F:F,A859,'การทำธุรกรรม'!B:B,"รายรับ"),)</f>
        <v/>
      </c>
      <c r="C859" s="36" t="str">
        <f>IF(A859&lt;&gt;"",SUMIFS('การทำธุรกรรม'!E:E,'การทำธุรกรรม'!F:F,A859,'การทำธุรกรรม'!B:B,"รายจ่าย"),)</f>
        <v/>
      </c>
      <c r="D859" s="36" t="str">
        <f t="shared" si="1"/>
        <v/>
      </c>
    </row>
    <row r="860">
      <c r="A860" s="8"/>
      <c r="B860" s="36" t="str">
        <f>IF(A860&lt;&gt;"",SUMIFS('การทำธุรกรรม'!E:E,'การทำธุรกรรม'!F:F,A860,'การทำธุรกรรม'!B:B,"รายรับ"),)</f>
        <v/>
      </c>
      <c r="C860" s="36" t="str">
        <f>IF(A860&lt;&gt;"",SUMIFS('การทำธุรกรรม'!E:E,'การทำธุรกรรม'!F:F,A860,'การทำธุรกรรม'!B:B,"รายจ่าย"),)</f>
        <v/>
      </c>
      <c r="D860" s="36" t="str">
        <f t="shared" si="1"/>
        <v/>
      </c>
    </row>
    <row r="861">
      <c r="A861" s="8"/>
      <c r="B861" s="36" t="str">
        <f>IF(A861&lt;&gt;"",SUMIFS('การทำธุรกรรม'!E:E,'การทำธุรกรรม'!F:F,A861,'การทำธุรกรรม'!B:B,"รายรับ"),)</f>
        <v/>
      </c>
      <c r="C861" s="36" t="str">
        <f>IF(A861&lt;&gt;"",SUMIFS('การทำธุรกรรม'!E:E,'การทำธุรกรรม'!F:F,A861,'การทำธุรกรรม'!B:B,"รายจ่าย"),)</f>
        <v/>
      </c>
      <c r="D861" s="36" t="str">
        <f t="shared" si="1"/>
        <v/>
      </c>
    </row>
    <row r="862">
      <c r="A862" s="8"/>
      <c r="B862" s="36" t="str">
        <f>IF(A862&lt;&gt;"",SUMIFS('การทำธุรกรรม'!E:E,'การทำธุรกรรม'!F:F,A862,'การทำธุรกรรม'!B:B,"รายรับ"),)</f>
        <v/>
      </c>
      <c r="C862" s="36" t="str">
        <f>IF(A862&lt;&gt;"",SUMIFS('การทำธุรกรรม'!E:E,'การทำธุรกรรม'!F:F,A862,'การทำธุรกรรม'!B:B,"รายจ่าย"),)</f>
        <v/>
      </c>
      <c r="D862" s="36" t="str">
        <f t="shared" si="1"/>
        <v/>
      </c>
    </row>
    <row r="863">
      <c r="A863" s="8"/>
      <c r="B863" s="36" t="str">
        <f>IF(A863&lt;&gt;"",SUMIFS('การทำธุรกรรม'!E:E,'การทำธุรกรรม'!F:F,A863,'การทำธุรกรรม'!B:B,"รายรับ"),)</f>
        <v/>
      </c>
      <c r="C863" s="36" t="str">
        <f>IF(A863&lt;&gt;"",SUMIFS('การทำธุรกรรม'!E:E,'การทำธุรกรรม'!F:F,A863,'การทำธุรกรรม'!B:B,"รายจ่าย"),)</f>
        <v/>
      </c>
      <c r="D863" s="36" t="str">
        <f t="shared" si="1"/>
        <v/>
      </c>
    </row>
    <row r="864">
      <c r="A864" s="8"/>
      <c r="B864" s="36" t="str">
        <f>IF(A864&lt;&gt;"",SUMIFS('การทำธุรกรรม'!E:E,'การทำธุรกรรม'!F:F,A864,'การทำธุรกรรม'!B:B,"รายรับ"),)</f>
        <v/>
      </c>
      <c r="C864" s="36" t="str">
        <f>IF(A864&lt;&gt;"",SUMIFS('การทำธุรกรรม'!E:E,'การทำธุรกรรม'!F:F,A864,'การทำธุรกรรม'!B:B,"รายจ่าย"),)</f>
        <v/>
      </c>
      <c r="D864" s="36" t="str">
        <f t="shared" si="1"/>
        <v/>
      </c>
    </row>
    <row r="865">
      <c r="A865" s="8"/>
      <c r="B865" s="36" t="str">
        <f>IF(A865&lt;&gt;"",SUMIFS('การทำธุรกรรม'!E:E,'การทำธุรกรรม'!F:F,A865,'การทำธุรกรรม'!B:B,"รายรับ"),)</f>
        <v/>
      </c>
      <c r="C865" s="36" t="str">
        <f>IF(A865&lt;&gt;"",SUMIFS('การทำธุรกรรม'!E:E,'การทำธุรกรรม'!F:F,A865,'การทำธุรกรรม'!B:B,"รายจ่าย"),)</f>
        <v/>
      </c>
      <c r="D865" s="36" t="str">
        <f t="shared" si="1"/>
        <v/>
      </c>
    </row>
    <row r="866">
      <c r="A866" s="8"/>
      <c r="B866" s="36" t="str">
        <f>IF(A866&lt;&gt;"",SUMIFS('การทำธุรกรรม'!E:E,'การทำธุรกรรม'!F:F,A866,'การทำธุรกรรม'!B:B,"รายรับ"),)</f>
        <v/>
      </c>
      <c r="C866" s="36" t="str">
        <f>IF(A866&lt;&gt;"",SUMIFS('การทำธุรกรรม'!E:E,'การทำธุรกรรม'!F:F,A866,'การทำธุรกรรม'!B:B,"รายจ่าย"),)</f>
        <v/>
      </c>
      <c r="D866" s="36" t="str">
        <f t="shared" si="1"/>
        <v/>
      </c>
    </row>
    <row r="867">
      <c r="A867" s="8"/>
      <c r="B867" s="36" t="str">
        <f>IF(A867&lt;&gt;"",SUMIFS('การทำธุรกรรม'!E:E,'การทำธุรกรรม'!F:F,A867,'การทำธุรกรรม'!B:B,"รายรับ"),)</f>
        <v/>
      </c>
      <c r="C867" s="36" t="str">
        <f>IF(A867&lt;&gt;"",SUMIFS('การทำธุรกรรม'!E:E,'การทำธุรกรรม'!F:F,A867,'การทำธุรกรรม'!B:B,"รายจ่าย"),)</f>
        <v/>
      </c>
      <c r="D867" s="36" t="str">
        <f t="shared" si="1"/>
        <v/>
      </c>
    </row>
    <row r="868">
      <c r="A868" s="8"/>
      <c r="B868" s="36" t="str">
        <f>IF(A868&lt;&gt;"",SUMIFS('การทำธุรกรรม'!E:E,'การทำธุรกรรม'!F:F,A868,'การทำธุรกรรม'!B:B,"รายรับ"),)</f>
        <v/>
      </c>
      <c r="C868" s="36" t="str">
        <f>IF(A868&lt;&gt;"",SUMIFS('การทำธุรกรรม'!E:E,'การทำธุรกรรม'!F:F,A868,'การทำธุรกรรม'!B:B,"รายจ่าย"),)</f>
        <v/>
      </c>
      <c r="D868" s="36" t="str">
        <f t="shared" si="1"/>
        <v/>
      </c>
    </row>
    <row r="869">
      <c r="A869" s="8"/>
      <c r="B869" s="36" t="str">
        <f>IF(A869&lt;&gt;"",SUMIFS('การทำธุรกรรม'!E:E,'การทำธุรกรรม'!F:F,A869,'การทำธุรกรรม'!B:B,"รายรับ"),)</f>
        <v/>
      </c>
      <c r="C869" s="36" t="str">
        <f>IF(A869&lt;&gt;"",SUMIFS('การทำธุรกรรม'!E:E,'การทำธุรกรรม'!F:F,A869,'การทำธุรกรรม'!B:B,"รายจ่าย"),)</f>
        <v/>
      </c>
      <c r="D869" s="36" t="str">
        <f t="shared" si="1"/>
        <v/>
      </c>
    </row>
    <row r="870">
      <c r="A870" s="8"/>
      <c r="B870" s="36" t="str">
        <f>IF(A870&lt;&gt;"",SUMIFS('การทำธุรกรรม'!E:E,'การทำธุรกรรม'!F:F,A870,'การทำธุรกรรม'!B:B,"รายรับ"),)</f>
        <v/>
      </c>
      <c r="C870" s="36" t="str">
        <f>IF(A870&lt;&gt;"",SUMIFS('การทำธุรกรรม'!E:E,'การทำธุรกรรม'!F:F,A870,'การทำธุรกรรม'!B:B,"รายจ่าย"),)</f>
        <v/>
      </c>
      <c r="D870" s="36" t="str">
        <f t="shared" si="1"/>
        <v/>
      </c>
    </row>
    <row r="871">
      <c r="A871" s="8"/>
      <c r="B871" s="36" t="str">
        <f>IF(A871&lt;&gt;"",SUMIFS('การทำธุรกรรม'!E:E,'การทำธุรกรรม'!F:F,A871,'การทำธุรกรรม'!B:B,"รายรับ"),)</f>
        <v/>
      </c>
      <c r="C871" s="36" t="str">
        <f>IF(A871&lt;&gt;"",SUMIFS('การทำธุรกรรม'!E:E,'การทำธุรกรรม'!F:F,A871,'การทำธุรกรรม'!B:B,"รายจ่าย"),)</f>
        <v/>
      </c>
      <c r="D871" s="36" t="str">
        <f t="shared" si="1"/>
        <v/>
      </c>
    </row>
    <row r="872">
      <c r="A872" s="8"/>
      <c r="B872" s="36" t="str">
        <f>IF(A872&lt;&gt;"",SUMIFS('การทำธุรกรรม'!E:E,'การทำธุรกรรม'!F:F,A872,'การทำธุรกรรม'!B:B,"รายรับ"),)</f>
        <v/>
      </c>
      <c r="C872" s="36" t="str">
        <f>IF(A872&lt;&gt;"",SUMIFS('การทำธุรกรรม'!E:E,'การทำธุรกรรม'!F:F,A872,'การทำธุรกรรม'!B:B,"รายจ่าย"),)</f>
        <v/>
      </c>
      <c r="D872" s="36" t="str">
        <f t="shared" si="1"/>
        <v/>
      </c>
    </row>
    <row r="873">
      <c r="A873" s="8"/>
      <c r="B873" s="36" t="str">
        <f>IF(A873&lt;&gt;"",SUMIFS('การทำธุรกรรม'!E:E,'การทำธุรกรรม'!F:F,A873,'การทำธุรกรรม'!B:B,"รายรับ"),)</f>
        <v/>
      </c>
      <c r="C873" s="36" t="str">
        <f>IF(A873&lt;&gt;"",SUMIFS('การทำธุรกรรม'!E:E,'การทำธุรกรรม'!F:F,A873,'การทำธุรกรรม'!B:B,"รายจ่าย"),)</f>
        <v/>
      </c>
      <c r="D873" s="36" t="str">
        <f t="shared" si="1"/>
        <v/>
      </c>
    </row>
    <row r="874">
      <c r="A874" s="8"/>
      <c r="B874" s="36" t="str">
        <f>IF(A874&lt;&gt;"",SUMIFS('การทำธุรกรรม'!E:E,'การทำธุรกรรม'!F:F,A874,'การทำธุรกรรม'!B:B,"รายรับ"),)</f>
        <v/>
      </c>
      <c r="C874" s="36" t="str">
        <f>IF(A874&lt;&gt;"",SUMIFS('การทำธุรกรรม'!E:E,'การทำธุรกรรม'!F:F,A874,'การทำธุรกรรม'!B:B,"รายจ่าย"),)</f>
        <v/>
      </c>
      <c r="D874" s="36" t="str">
        <f t="shared" si="1"/>
        <v/>
      </c>
    </row>
    <row r="875">
      <c r="A875" s="8"/>
      <c r="B875" s="36" t="str">
        <f>IF(A875&lt;&gt;"",SUMIFS('การทำธุรกรรม'!E:E,'การทำธุรกรรม'!F:F,A875,'การทำธุรกรรม'!B:B,"รายรับ"),)</f>
        <v/>
      </c>
      <c r="C875" s="36" t="str">
        <f>IF(A875&lt;&gt;"",SUMIFS('การทำธุรกรรม'!E:E,'การทำธุรกรรม'!F:F,A875,'การทำธุรกรรม'!B:B,"รายจ่าย"),)</f>
        <v/>
      </c>
      <c r="D875" s="36" t="str">
        <f t="shared" si="1"/>
        <v/>
      </c>
    </row>
    <row r="876">
      <c r="A876" s="8"/>
      <c r="B876" s="36" t="str">
        <f>IF(A876&lt;&gt;"",SUMIFS('การทำธุรกรรม'!E:E,'การทำธุรกรรม'!F:F,A876,'การทำธุรกรรม'!B:B,"รายรับ"),)</f>
        <v/>
      </c>
      <c r="C876" s="36" t="str">
        <f>IF(A876&lt;&gt;"",SUMIFS('การทำธุรกรรม'!E:E,'การทำธุรกรรม'!F:F,A876,'การทำธุรกรรม'!B:B,"รายจ่าย"),)</f>
        <v/>
      </c>
      <c r="D876" s="36" t="str">
        <f t="shared" si="1"/>
        <v/>
      </c>
    </row>
    <row r="877">
      <c r="A877" s="8"/>
      <c r="B877" s="36" t="str">
        <f>IF(A877&lt;&gt;"",SUMIFS('การทำธุรกรรม'!E:E,'การทำธุรกรรม'!F:F,A877,'การทำธุรกรรม'!B:B,"รายรับ"),)</f>
        <v/>
      </c>
      <c r="C877" s="36" t="str">
        <f>IF(A877&lt;&gt;"",SUMIFS('การทำธุรกรรม'!E:E,'การทำธุรกรรม'!F:F,A877,'การทำธุรกรรม'!B:B,"รายจ่าย"),)</f>
        <v/>
      </c>
      <c r="D877" s="36" t="str">
        <f t="shared" si="1"/>
        <v/>
      </c>
    </row>
    <row r="878">
      <c r="A878" s="8"/>
      <c r="B878" s="36" t="str">
        <f>IF(A878&lt;&gt;"",SUMIFS('การทำธุรกรรม'!E:E,'การทำธุรกรรม'!F:F,A878,'การทำธุรกรรม'!B:B,"รายรับ"),)</f>
        <v/>
      </c>
      <c r="C878" s="36" t="str">
        <f>IF(A878&lt;&gt;"",SUMIFS('การทำธุรกรรม'!E:E,'การทำธุรกรรม'!F:F,A878,'การทำธุรกรรม'!B:B,"รายจ่าย"),)</f>
        <v/>
      </c>
      <c r="D878" s="36" t="str">
        <f t="shared" si="1"/>
        <v/>
      </c>
    </row>
    <row r="879">
      <c r="A879" s="8"/>
      <c r="B879" s="36" t="str">
        <f>IF(A879&lt;&gt;"",SUMIFS('การทำธุรกรรม'!E:E,'การทำธุรกรรม'!F:F,A879,'การทำธุรกรรม'!B:B,"รายรับ"),)</f>
        <v/>
      </c>
      <c r="C879" s="36" t="str">
        <f>IF(A879&lt;&gt;"",SUMIFS('การทำธุรกรรม'!E:E,'การทำธุรกรรม'!F:F,A879,'การทำธุรกรรม'!B:B,"รายจ่าย"),)</f>
        <v/>
      </c>
      <c r="D879" s="36" t="str">
        <f t="shared" si="1"/>
        <v/>
      </c>
    </row>
    <row r="880">
      <c r="A880" s="8"/>
      <c r="B880" s="36" t="str">
        <f>IF(A880&lt;&gt;"",SUMIFS('การทำธุรกรรม'!E:E,'การทำธุรกรรม'!F:F,A880,'การทำธุรกรรม'!B:B,"รายรับ"),)</f>
        <v/>
      </c>
      <c r="C880" s="36" t="str">
        <f>IF(A880&lt;&gt;"",SUMIFS('การทำธุรกรรม'!E:E,'การทำธุรกรรม'!F:F,A880,'การทำธุรกรรม'!B:B,"รายจ่าย"),)</f>
        <v/>
      </c>
      <c r="D880" s="36" t="str">
        <f t="shared" si="1"/>
        <v/>
      </c>
    </row>
    <row r="881">
      <c r="A881" s="8"/>
      <c r="B881" s="36" t="str">
        <f>IF(A881&lt;&gt;"",SUMIFS('การทำธุรกรรม'!E:E,'การทำธุรกรรม'!F:F,A881,'การทำธุรกรรม'!B:B,"รายรับ"),)</f>
        <v/>
      </c>
      <c r="C881" s="36" t="str">
        <f>IF(A881&lt;&gt;"",SUMIFS('การทำธุรกรรม'!E:E,'การทำธุรกรรม'!F:F,A881,'การทำธุรกรรม'!B:B,"รายจ่าย"),)</f>
        <v/>
      </c>
      <c r="D881" s="36" t="str">
        <f t="shared" si="1"/>
        <v/>
      </c>
    </row>
    <row r="882">
      <c r="A882" s="8"/>
      <c r="B882" s="36" t="str">
        <f>IF(A882&lt;&gt;"",SUMIFS('การทำธุรกรรม'!E:E,'การทำธุรกรรม'!F:F,A882,'การทำธุรกรรม'!B:B,"รายรับ"),)</f>
        <v/>
      </c>
      <c r="C882" s="36" t="str">
        <f>IF(A882&lt;&gt;"",SUMIFS('การทำธุรกรรม'!E:E,'การทำธุรกรรม'!F:F,A882,'การทำธุรกรรม'!B:B,"รายจ่าย"),)</f>
        <v/>
      </c>
      <c r="D882" s="36" t="str">
        <f t="shared" si="1"/>
        <v/>
      </c>
    </row>
    <row r="883">
      <c r="A883" s="8"/>
      <c r="B883" s="36" t="str">
        <f>IF(A883&lt;&gt;"",SUMIFS('การทำธุรกรรม'!E:E,'การทำธุรกรรม'!F:F,A883,'การทำธุรกรรม'!B:B,"รายรับ"),)</f>
        <v/>
      </c>
      <c r="C883" s="36" t="str">
        <f>IF(A883&lt;&gt;"",SUMIFS('การทำธุรกรรม'!E:E,'การทำธุรกรรม'!F:F,A883,'การทำธุรกรรม'!B:B,"รายจ่าย"),)</f>
        <v/>
      </c>
      <c r="D883" s="36" t="str">
        <f t="shared" si="1"/>
        <v/>
      </c>
    </row>
    <row r="884">
      <c r="A884" s="8"/>
      <c r="B884" s="36" t="str">
        <f>IF(A884&lt;&gt;"",SUMIFS('การทำธุรกรรม'!E:E,'การทำธุรกรรม'!F:F,A884,'การทำธุรกรรม'!B:B,"รายรับ"),)</f>
        <v/>
      </c>
      <c r="C884" s="36" t="str">
        <f>IF(A884&lt;&gt;"",SUMIFS('การทำธุรกรรม'!E:E,'การทำธุรกรรม'!F:F,A884,'การทำธุรกรรม'!B:B,"รายจ่าย"),)</f>
        <v/>
      </c>
      <c r="D884" s="36" t="str">
        <f t="shared" si="1"/>
        <v/>
      </c>
    </row>
    <row r="885">
      <c r="A885" s="8"/>
      <c r="B885" s="36" t="str">
        <f>IF(A885&lt;&gt;"",SUMIFS('การทำธุรกรรม'!E:E,'การทำธุรกรรม'!F:F,A885,'การทำธุรกรรม'!B:B,"รายรับ"),)</f>
        <v/>
      </c>
      <c r="C885" s="36" t="str">
        <f>IF(A885&lt;&gt;"",SUMIFS('การทำธุรกรรม'!E:E,'การทำธุรกรรม'!F:F,A885,'การทำธุรกรรม'!B:B,"รายจ่าย"),)</f>
        <v/>
      </c>
      <c r="D885" s="36" t="str">
        <f t="shared" si="1"/>
        <v/>
      </c>
    </row>
    <row r="886">
      <c r="A886" s="8"/>
      <c r="B886" s="36" t="str">
        <f>IF(A886&lt;&gt;"",SUMIFS('การทำธุรกรรม'!E:E,'การทำธุรกรรม'!F:F,A886,'การทำธุรกรรม'!B:B,"รายรับ"),)</f>
        <v/>
      </c>
      <c r="C886" s="36" t="str">
        <f>IF(A886&lt;&gt;"",SUMIFS('การทำธุรกรรม'!E:E,'การทำธุรกรรม'!F:F,A886,'การทำธุรกรรม'!B:B,"รายจ่าย"),)</f>
        <v/>
      </c>
      <c r="D886" s="36" t="str">
        <f t="shared" si="1"/>
        <v/>
      </c>
    </row>
    <row r="887">
      <c r="A887" s="8"/>
      <c r="B887" s="36" t="str">
        <f>IF(A887&lt;&gt;"",SUMIFS('การทำธุรกรรม'!E:E,'การทำธุรกรรม'!F:F,A887,'การทำธุรกรรม'!B:B,"รายรับ"),)</f>
        <v/>
      </c>
      <c r="C887" s="36" t="str">
        <f>IF(A887&lt;&gt;"",SUMIFS('การทำธุรกรรม'!E:E,'การทำธุรกรรม'!F:F,A887,'การทำธุรกรรม'!B:B,"รายจ่าย"),)</f>
        <v/>
      </c>
      <c r="D887" s="36" t="str">
        <f t="shared" si="1"/>
        <v/>
      </c>
    </row>
    <row r="888">
      <c r="A888" s="8"/>
      <c r="B888" s="36" t="str">
        <f>IF(A888&lt;&gt;"",SUMIFS('การทำธุรกรรม'!E:E,'การทำธุรกรรม'!F:F,A888,'การทำธุรกรรม'!B:B,"รายรับ"),)</f>
        <v/>
      </c>
      <c r="C888" s="36" t="str">
        <f>IF(A888&lt;&gt;"",SUMIFS('การทำธุรกรรม'!E:E,'การทำธุรกรรม'!F:F,A888,'การทำธุรกรรม'!B:B,"รายจ่าย"),)</f>
        <v/>
      </c>
      <c r="D888" s="36" t="str">
        <f t="shared" si="1"/>
        <v/>
      </c>
    </row>
    <row r="889">
      <c r="A889" s="8"/>
      <c r="B889" s="36" t="str">
        <f>IF(A889&lt;&gt;"",SUMIFS('การทำธุรกรรม'!E:E,'การทำธุรกรรม'!F:F,A889,'การทำธุรกรรม'!B:B,"รายรับ"),)</f>
        <v/>
      </c>
      <c r="C889" s="36" t="str">
        <f>IF(A889&lt;&gt;"",SUMIFS('การทำธุรกรรม'!E:E,'การทำธุรกรรม'!F:F,A889,'การทำธุรกรรม'!B:B,"รายจ่าย"),)</f>
        <v/>
      </c>
      <c r="D889" s="36" t="str">
        <f t="shared" si="1"/>
        <v/>
      </c>
    </row>
    <row r="890">
      <c r="A890" s="8"/>
      <c r="B890" s="36" t="str">
        <f>IF(A890&lt;&gt;"",SUMIFS('การทำธุรกรรม'!E:E,'การทำธุรกรรม'!F:F,A890,'การทำธุรกรรม'!B:B,"รายรับ"),)</f>
        <v/>
      </c>
      <c r="C890" s="36" t="str">
        <f>IF(A890&lt;&gt;"",SUMIFS('การทำธุรกรรม'!E:E,'การทำธุรกรรม'!F:F,A890,'การทำธุรกรรม'!B:B,"รายจ่าย"),)</f>
        <v/>
      </c>
      <c r="D890" s="36" t="str">
        <f t="shared" si="1"/>
        <v/>
      </c>
    </row>
    <row r="891">
      <c r="A891" s="8"/>
      <c r="B891" s="36" t="str">
        <f>IF(A891&lt;&gt;"",SUMIFS('การทำธุรกรรม'!E:E,'การทำธุรกรรม'!F:F,A891,'การทำธุรกรรม'!B:B,"รายรับ"),)</f>
        <v/>
      </c>
      <c r="C891" s="36" t="str">
        <f>IF(A891&lt;&gt;"",SUMIFS('การทำธุรกรรม'!E:E,'การทำธุรกรรม'!F:F,A891,'การทำธุรกรรม'!B:B,"รายจ่าย"),)</f>
        <v/>
      </c>
      <c r="D891" s="36" t="str">
        <f t="shared" si="1"/>
        <v/>
      </c>
    </row>
    <row r="892">
      <c r="A892" s="8"/>
      <c r="B892" s="36" t="str">
        <f>IF(A892&lt;&gt;"",SUMIFS('การทำธุรกรรม'!E:E,'การทำธุรกรรม'!F:F,A892,'การทำธุรกรรม'!B:B,"รายรับ"),)</f>
        <v/>
      </c>
      <c r="C892" s="36" t="str">
        <f>IF(A892&lt;&gt;"",SUMIFS('การทำธุรกรรม'!E:E,'การทำธุรกรรม'!F:F,A892,'การทำธุรกรรม'!B:B,"รายจ่าย"),)</f>
        <v/>
      </c>
      <c r="D892" s="36" t="str">
        <f t="shared" si="1"/>
        <v/>
      </c>
    </row>
    <row r="893">
      <c r="A893" s="8"/>
      <c r="B893" s="36" t="str">
        <f>IF(A893&lt;&gt;"",SUMIFS('การทำธุรกรรม'!E:E,'การทำธุรกรรม'!F:F,A893,'การทำธุรกรรม'!B:B,"รายรับ"),)</f>
        <v/>
      </c>
      <c r="C893" s="36" t="str">
        <f>IF(A893&lt;&gt;"",SUMIFS('การทำธุรกรรม'!E:E,'การทำธุรกรรม'!F:F,A893,'การทำธุรกรรม'!B:B,"รายจ่าย"),)</f>
        <v/>
      </c>
      <c r="D893" s="36" t="str">
        <f t="shared" si="1"/>
        <v/>
      </c>
    </row>
    <row r="894">
      <c r="A894" s="8"/>
      <c r="B894" s="36" t="str">
        <f>IF(A894&lt;&gt;"",SUMIFS('การทำธุรกรรม'!E:E,'การทำธุรกรรม'!F:F,A894,'การทำธุรกรรม'!B:B,"รายรับ"),)</f>
        <v/>
      </c>
      <c r="C894" s="36" t="str">
        <f>IF(A894&lt;&gt;"",SUMIFS('การทำธุรกรรม'!E:E,'การทำธุรกรรม'!F:F,A894,'การทำธุรกรรม'!B:B,"รายจ่าย"),)</f>
        <v/>
      </c>
      <c r="D894" s="36" t="str">
        <f t="shared" si="1"/>
        <v/>
      </c>
    </row>
    <row r="895">
      <c r="A895" s="8"/>
      <c r="B895" s="36" t="str">
        <f>IF(A895&lt;&gt;"",SUMIFS('การทำธุรกรรม'!E:E,'การทำธุรกรรม'!F:F,A895,'การทำธุรกรรม'!B:B,"รายรับ"),)</f>
        <v/>
      </c>
      <c r="C895" s="36" t="str">
        <f>IF(A895&lt;&gt;"",SUMIFS('การทำธุรกรรม'!E:E,'การทำธุรกรรม'!F:F,A895,'การทำธุรกรรม'!B:B,"รายจ่าย"),)</f>
        <v/>
      </c>
      <c r="D895" s="36" t="str">
        <f t="shared" si="1"/>
        <v/>
      </c>
    </row>
    <row r="896">
      <c r="A896" s="8"/>
      <c r="B896" s="36" t="str">
        <f>IF(A896&lt;&gt;"",SUMIFS('การทำธุรกรรม'!E:E,'การทำธุรกรรม'!F:F,A896,'การทำธุรกรรม'!B:B,"รายรับ"),)</f>
        <v/>
      </c>
      <c r="C896" s="36" t="str">
        <f>IF(A896&lt;&gt;"",SUMIFS('การทำธุรกรรม'!E:E,'การทำธุรกรรม'!F:F,A896,'การทำธุรกรรม'!B:B,"รายจ่าย"),)</f>
        <v/>
      </c>
      <c r="D896" s="36" t="str">
        <f t="shared" si="1"/>
        <v/>
      </c>
    </row>
    <row r="897">
      <c r="A897" s="8"/>
      <c r="B897" s="36" t="str">
        <f>IF(A897&lt;&gt;"",SUMIFS('การทำธุรกรรม'!E:E,'การทำธุรกรรม'!F:F,A897,'การทำธุรกรรม'!B:B,"รายรับ"),)</f>
        <v/>
      </c>
      <c r="C897" s="36" t="str">
        <f>IF(A897&lt;&gt;"",SUMIFS('การทำธุรกรรม'!E:E,'การทำธุรกรรม'!F:F,A897,'การทำธุรกรรม'!B:B,"รายจ่าย"),)</f>
        <v/>
      </c>
      <c r="D897" s="36" t="str">
        <f t="shared" si="1"/>
        <v/>
      </c>
    </row>
    <row r="898">
      <c r="A898" s="8"/>
      <c r="B898" s="36" t="str">
        <f>IF(A898&lt;&gt;"",SUMIFS('การทำธุรกรรม'!E:E,'การทำธุรกรรม'!F:F,A898,'การทำธุรกรรม'!B:B,"รายรับ"),)</f>
        <v/>
      </c>
      <c r="C898" s="36" t="str">
        <f>IF(A898&lt;&gt;"",SUMIFS('การทำธุรกรรม'!E:E,'การทำธุรกรรม'!F:F,A898,'การทำธุรกรรม'!B:B,"รายจ่าย"),)</f>
        <v/>
      </c>
      <c r="D898" s="36" t="str">
        <f t="shared" si="1"/>
        <v/>
      </c>
    </row>
    <row r="899">
      <c r="A899" s="8"/>
      <c r="B899" s="36" t="str">
        <f>IF(A899&lt;&gt;"",SUMIFS('การทำธุรกรรม'!E:E,'การทำธุรกรรม'!F:F,A899,'การทำธุรกรรม'!B:B,"รายรับ"),)</f>
        <v/>
      </c>
      <c r="C899" s="36" t="str">
        <f>IF(A899&lt;&gt;"",SUMIFS('การทำธุรกรรม'!E:E,'การทำธุรกรรม'!F:F,A899,'การทำธุรกรรม'!B:B,"รายจ่าย"),)</f>
        <v/>
      </c>
      <c r="D899" s="36" t="str">
        <f t="shared" si="1"/>
        <v/>
      </c>
    </row>
    <row r="900">
      <c r="A900" s="8"/>
      <c r="B900" s="36" t="str">
        <f>IF(A900&lt;&gt;"",SUMIFS('การทำธุรกรรม'!E:E,'การทำธุรกรรม'!F:F,A900,'การทำธุรกรรม'!B:B,"รายรับ"),)</f>
        <v/>
      </c>
      <c r="C900" s="36" t="str">
        <f>IF(A900&lt;&gt;"",SUMIFS('การทำธุรกรรม'!E:E,'การทำธุรกรรม'!F:F,A900,'การทำธุรกรรม'!B:B,"รายจ่าย"),)</f>
        <v/>
      </c>
      <c r="D900" s="36" t="str">
        <f t="shared" si="1"/>
        <v/>
      </c>
    </row>
    <row r="901">
      <c r="A901" s="8"/>
      <c r="B901" s="36" t="str">
        <f>IF(A901&lt;&gt;"",SUMIFS('การทำธุรกรรม'!E:E,'การทำธุรกรรม'!F:F,A901,'การทำธุรกรรม'!B:B,"รายรับ"),)</f>
        <v/>
      </c>
      <c r="C901" s="36" t="str">
        <f>IF(A901&lt;&gt;"",SUMIFS('การทำธุรกรรม'!E:E,'การทำธุรกรรม'!F:F,A901,'การทำธุรกรรม'!B:B,"รายจ่าย"),)</f>
        <v/>
      </c>
      <c r="D901" s="36" t="str">
        <f t="shared" si="1"/>
        <v/>
      </c>
    </row>
    <row r="902">
      <c r="A902" s="8"/>
      <c r="B902" s="36" t="str">
        <f>IF(A902&lt;&gt;"",SUMIFS('การทำธุรกรรม'!E:E,'การทำธุรกรรม'!F:F,A902,'การทำธุรกรรม'!B:B,"รายรับ"),)</f>
        <v/>
      </c>
      <c r="C902" s="36" t="str">
        <f>IF(A902&lt;&gt;"",SUMIFS('การทำธุรกรรม'!E:E,'การทำธุรกรรม'!F:F,A902,'การทำธุรกรรม'!B:B,"รายจ่าย"),)</f>
        <v/>
      </c>
      <c r="D902" s="36" t="str">
        <f t="shared" si="1"/>
        <v/>
      </c>
    </row>
    <row r="903">
      <c r="A903" s="8"/>
      <c r="B903" s="36" t="str">
        <f>IF(A903&lt;&gt;"",SUMIFS('การทำธุรกรรม'!E:E,'การทำธุรกรรม'!F:F,A903,'การทำธุรกรรม'!B:B,"รายรับ"),)</f>
        <v/>
      </c>
      <c r="C903" s="36" t="str">
        <f>IF(A903&lt;&gt;"",SUMIFS('การทำธุรกรรม'!E:E,'การทำธุรกรรม'!F:F,A903,'การทำธุรกรรม'!B:B,"รายจ่าย"),)</f>
        <v/>
      </c>
      <c r="D903" s="36" t="str">
        <f t="shared" si="1"/>
        <v/>
      </c>
    </row>
    <row r="904">
      <c r="A904" s="8"/>
      <c r="B904" s="36" t="str">
        <f>IF(A904&lt;&gt;"",SUMIFS('การทำธุรกรรม'!E:E,'การทำธุรกรรม'!F:F,A904,'การทำธุรกรรม'!B:B,"รายรับ"),)</f>
        <v/>
      </c>
      <c r="C904" s="36" t="str">
        <f>IF(A904&lt;&gt;"",SUMIFS('การทำธุรกรรม'!E:E,'การทำธุรกรรม'!F:F,A904,'การทำธุรกรรม'!B:B,"รายจ่าย"),)</f>
        <v/>
      </c>
      <c r="D904" s="36" t="str">
        <f t="shared" si="1"/>
        <v/>
      </c>
    </row>
    <row r="905">
      <c r="A905" s="8"/>
      <c r="B905" s="36" t="str">
        <f>IF(A905&lt;&gt;"",SUMIFS('การทำธุรกรรม'!E:E,'การทำธุรกรรม'!F:F,A905,'การทำธุรกรรม'!B:B,"รายรับ"),)</f>
        <v/>
      </c>
      <c r="C905" s="36" t="str">
        <f>IF(A905&lt;&gt;"",SUMIFS('การทำธุรกรรม'!E:E,'การทำธุรกรรม'!F:F,A905,'การทำธุรกรรม'!B:B,"รายจ่าย"),)</f>
        <v/>
      </c>
      <c r="D905" s="36" t="str">
        <f t="shared" si="1"/>
        <v/>
      </c>
    </row>
    <row r="906">
      <c r="A906" s="8"/>
      <c r="B906" s="36" t="str">
        <f>IF(A906&lt;&gt;"",SUMIFS('การทำธุรกรรม'!E:E,'การทำธุรกรรม'!F:F,A906,'การทำธุรกรรม'!B:B,"รายรับ"),)</f>
        <v/>
      </c>
      <c r="C906" s="36" t="str">
        <f>IF(A906&lt;&gt;"",SUMIFS('การทำธุรกรรม'!E:E,'การทำธุรกรรม'!F:F,A906,'การทำธุรกรรม'!B:B,"รายจ่าย"),)</f>
        <v/>
      </c>
      <c r="D906" s="36" t="str">
        <f t="shared" si="1"/>
        <v/>
      </c>
    </row>
    <row r="907">
      <c r="A907" s="8"/>
      <c r="B907" s="36" t="str">
        <f>IF(A907&lt;&gt;"",SUMIFS('การทำธุรกรรม'!E:E,'การทำธุรกรรม'!F:F,A907,'การทำธุรกรรม'!B:B,"รายรับ"),)</f>
        <v/>
      </c>
      <c r="C907" s="36" t="str">
        <f>IF(A907&lt;&gt;"",SUMIFS('การทำธุรกรรม'!E:E,'การทำธุรกรรม'!F:F,A907,'การทำธุรกรรม'!B:B,"รายจ่าย"),)</f>
        <v/>
      </c>
      <c r="D907" s="36" t="str">
        <f t="shared" si="1"/>
        <v/>
      </c>
    </row>
    <row r="908">
      <c r="A908" s="8"/>
      <c r="B908" s="36" t="str">
        <f>IF(A908&lt;&gt;"",SUMIFS('การทำธุรกรรม'!E:E,'การทำธุรกรรม'!F:F,A908,'การทำธุรกรรม'!B:B,"รายรับ"),)</f>
        <v/>
      </c>
      <c r="C908" s="36" t="str">
        <f>IF(A908&lt;&gt;"",SUMIFS('การทำธุรกรรม'!E:E,'การทำธุรกรรม'!F:F,A908,'การทำธุรกรรม'!B:B,"รายจ่าย"),)</f>
        <v/>
      </c>
      <c r="D908" s="36" t="str">
        <f t="shared" si="1"/>
        <v/>
      </c>
    </row>
    <row r="909">
      <c r="A909" s="8"/>
      <c r="B909" s="36" t="str">
        <f>IF(A909&lt;&gt;"",SUMIFS('การทำธุรกรรม'!E:E,'การทำธุรกรรม'!F:F,A909,'การทำธุรกรรม'!B:B,"รายรับ"),)</f>
        <v/>
      </c>
      <c r="C909" s="36" t="str">
        <f>IF(A909&lt;&gt;"",SUMIFS('การทำธุรกรรม'!E:E,'การทำธุรกรรม'!F:F,A909,'การทำธุรกรรม'!B:B,"รายจ่าย"),)</f>
        <v/>
      </c>
      <c r="D909" s="36" t="str">
        <f t="shared" si="1"/>
        <v/>
      </c>
    </row>
    <row r="910">
      <c r="A910" s="8"/>
      <c r="B910" s="36" t="str">
        <f>IF(A910&lt;&gt;"",SUMIFS('การทำธุรกรรม'!E:E,'การทำธุรกรรม'!F:F,A910,'การทำธุรกรรม'!B:B,"รายรับ"),)</f>
        <v/>
      </c>
      <c r="C910" s="36" t="str">
        <f>IF(A910&lt;&gt;"",SUMIFS('การทำธุรกรรม'!E:E,'การทำธุรกรรม'!F:F,A910,'การทำธุรกรรม'!B:B,"รายจ่าย"),)</f>
        <v/>
      </c>
      <c r="D910" s="36" t="str">
        <f t="shared" si="1"/>
        <v/>
      </c>
    </row>
    <row r="911">
      <c r="A911" s="8"/>
      <c r="B911" s="36" t="str">
        <f>IF(A911&lt;&gt;"",SUMIFS('การทำธุรกรรม'!E:E,'การทำธุรกรรม'!F:F,A911,'การทำธุรกรรม'!B:B,"รายรับ"),)</f>
        <v/>
      </c>
      <c r="C911" s="36" t="str">
        <f>IF(A911&lt;&gt;"",SUMIFS('การทำธุรกรรม'!E:E,'การทำธุรกรรม'!F:F,A911,'การทำธุรกรรม'!B:B,"รายจ่าย"),)</f>
        <v/>
      </c>
      <c r="D911" s="36" t="str">
        <f t="shared" si="1"/>
        <v/>
      </c>
    </row>
    <row r="912">
      <c r="A912" s="8"/>
      <c r="B912" s="36" t="str">
        <f>IF(A912&lt;&gt;"",SUMIFS('การทำธุรกรรม'!E:E,'การทำธุรกรรม'!F:F,A912,'การทำธุรกรรม'!B:B,"รายรับ"),)</f>
        <v/>
      </c>
      <c r="C912" s="36" t="str">
        <f>IF(A912&lt;&gt;"",SUMIFS('การทำธุรกรรม'!E:E,'การทำธุรกรรม'!F:F,A912,'การทำธุรกรรม'!B:B,"รายจ่าย"),)</f>
        <v/>
      </c>
      <c r="D912" s="36" t="str">
        <f t="shared" si="1"/>
        <v/>
      </c>
    </row>
    <row r="913">
      <c r="A913" s="8"/>
      <c r="B913" s="36" t="str">
        <f>IF(A913&lt;&gt;"",SUMIFS('การทำธุรกรรม'!E:E,'การทำธุรกรรม'!F:F,A913,'การทำธุรกรรม'!B:B,"รายรับ"),)</f>
        <v/>
      </c>
      <c r="C913" s="36" t="str">
        <f>IF(A913&lt;&gt;"",SUMIFS('การทำธุรกรรม'!E:E,'การทำธุรกรรม'!F:F,A913,'การทำธุรกรรม'!B:B,"รายจ่าย"),)</f>
        <v/>
      </c>
      <c r="D913" s="36" t="str">
        <f t="shared" si="1"/>
        <v/>
      </c>
    </row>
    <row r="914">
      <c r="A914" s="8"/>
      <c r="B914" s="36" t="str">
        <f>IF(A914&lt;&gt;"",SUMIFS('การทำธุรกรรม'!E:E,'การทำธุรกรรม'!F:F,A914,'การทำธุรกรรม'!B:B,"รายรับ"),)</f>
        <v/>
      </c>
      <c r="C914" s="36" t="str">
        <f>IF(A914&lt;&gt;"",SUMIFS('การทำธุรกรรม'!E:E,'การทำธุรกรรม'!F:F,A914,'การทำธุรกรรม'!B:B,"รายจ่าย"),)</f>
        <v/>
      </c>
      <c r="D914" s="36" t="str">
        <f t="shared" si="1"/>
        <v/>
      </c>
    </row>
    <row r="915">
      <c r="A915" s="8"/>
      <c r="B915" s="36" t="str">
        <f>IF(A915&lt;&gt;"",SUMIFS('การทำธุรกรรม'!E:E,'การทำธุรกรรม'!F:F,A915,'การทำธุรกรรม'!B:B,"รายรับ"),)</f>
        <v/>
      </c>
      <c r="C915" s="36" t="str">
        <f>IF(A915&lt;&gt;"",SUMIFS('การทำธุรกรรม'!E:E,'การทำธุรกรรม'!F:F,A915,'การทำธุรกรรม'!B:B,"รายจ่าย"),)</f>
        <v/>
      </c>
      <c r="D915" s="36" t="str">
        <f t="shared" si="1"/>
        <v/>
      </c>
    </row>
    <row r="916">
      <c r="A916" s="8"/>
      <c r="B916" s="36" t="str">
        <f>IF(A916&lt;&gt;"",SUMIFS('การทำธุรกรรม'!E:E,'การทำธุรกรรม'!F:F,A916,'การทำธุรกรรม'!B:B,"รายรับ"),)</f>
        <v/>
      </c>
      <c r="C916" s="36" t="str">
        <f>IF(A916&lt;&gt;"",SUMIFS('การทำธุรกรรม'!E:E,'การทำธุรกรรม'!F:F,A916,'การทำธุรกรรม'!B:B,"รายจ่าย"),)</f>
        <v/>
      </c>
      <c r="D916" s="36" t="str">
        <f t="shared" si="1"/>
        <v/>
      </c>
    </row>
    <row r="917">
      <c r="A917" s="8"/>
      <c r="B917" s="36" t="str">
        <f>IF(A917&lt;&gt;"",SUMIFS('การทำธุรกรรม'!E:E,'การทำธุรกรรม'!F:F,A917,'การทำธุรกรรม'!B:B,"รายรับ"),)</f>
        <v/>
      </c>
      <c r="C917" s="36" t="str">
        <f>IF(A917&lt;&gt;"",SUMIFS('การทำธุรกรรม'!E:E,'การทำธุรกรรม'!F:F,A917,'การทำธุรกรรม'!B:B,"รายจ่าย"),)</f>
        <v/>
      </c>
      <c r="D917" s="36" t="str">
        <f t="shared" si="1"/>
        <v/>
      </c>
    </row>
    <row r="918">
      <c r="A918" s="8"/>
      <c r="B918" s="36" t="str">
        <f>IF(A918&lt;&gt;"",SUMIFS('การทำธุรกรรม'!E:E,'การทำธุรกรรม'!F:F,A918,'การทำธุรกรรม'!B:B,"รายรับ"),)</f>
        <v/>
      </c>
      <c r="C918" s="36" t="str">
        <f>IF(A918&lt;&gt;"",SUMIFS('การทำธุรกรรม'!E:E,'การทำธุรกรรม'!F:F,A918,'การทำธุรกรรม'!B:B,"รายจ่าย"),)</f>
        <v/>
      </c>
      <c r="D918" s="36" t="str">
        <f t="shared" si="1"/>
        <v/>
      </c>
    </row>
    <row r="919">
      <c r="A919" s="8"/>
      <c r="B919" s="36" t="str">
        <f>IF(A919&lt;&gt;"",SUMIFS('การทำธุรกรรม'!E:E,'การทำธุรกรรม'!F:F,A919,'การทำธุรกรรม'!B:B,"รายรับ"),)</f>
        <v/>
      </c>
      <c r="C919" s="36" t="str">
        <f>IF(A919&lt;&gt;"",SUMIFS('การทำธุรกรรม'!E:E,'การทำธุรกรรม'!F:F,A919,'การทำธุรกรรม'!B:B,"รายจ่าย"),)</f>
        <v/>
      </c>
      <c r="D919" s="36" t="str">
        <f t="shared" si="1"/>
        <v/>
      </c>
    </row>
    <row r="920">
      <c r="A920" s="8"/>
      <c r="B920" s="36" t="str">
        <f>IF(A920&lt;&gt;"",SUMIFS('การทำธุรกรรม'!E:E,'การทำธุรกรรม'!F:F,A920,'การทำธุรกรรม'!B:B,"รายรับ"),)</f>
        <v/>
      </c>
      <c r="C920" s="36" t="str">
        <f>IF(A920&lt;&gt;"",SUMIFS('การทำธุรกรรม'!E:E,'การทำธุรกรรม'!F:F,A920,'การทำธุรกรรม'!B:B,"รายจ่าย"),)</f>
        <v/>
      </c>
      <c r="D920" s="36" t="str">
        <f t="shared" si="1"/>
        <v/>
      </c>
    </row>
    <row r="921">
      <c r="A921" s="8"/>
      <c r="B921" s="36" t="str">
        <f>IF(A921&lt;&gt;"",SUMIFS('การทำธุรกรรม'!E:E,'การทำธุรกรรม'!F:F,A921,'การทำธุรกรรม'!B:B,"รายรับ"),)</f>
        <v/>
      </c>
      <c r="C921" s="36" t="str">
        <f>IF(A921&lt;&gt;"",SUMIFS('การทำธุรกรรม'!E:E,'การทำธุรกรรม'!F:F,A921,'การทำธุรกรรม'!B:B,"รายจ่าย"),)</f>
        <v/>
      </c>
      <c r="D921" s="36" t="str">
        <f t="shared" si="1"/>
        <v/>
      </c>
    </row>
    <row r="922">
      <c r="A922" s="8"/>
      <c r="B922" s="36" t="str">
        <f>IF(A922&lt;&gt;"",SUMIFS('การทำธุรกรรม'!E:E,'การทำธุรกรรม'!F:F,A922,'การทำธุรกรรม'!B:B,"รายรับ"),)</f>
        <v/>
      </c>
      <c r="C922" s="36" t="str">
        <f>IF(A922&lt;&gt;"",SUMIFS('การทำธุรกรรม'!E:E,'การทำธุรกรรม'!F:F,A922,'การทำธุรกรรม'!B:B,"รายจ่าย"),)</f>
        <v/>
      </c>
      <c r="D922" s="36" t="str">
        <f t="shared" si="1"/>
        <v/>
      </c>
    </row>
    <row r="923">
      <c r="A923" s="8"/>
      <c r="B923" s="36" t="str">
        <f>IF(A923&lt;&gt;"",SUMIFS('การทำธุรกรรม'!E:E,'การทำธุรกรรม'!F:F,A923,'การทำธุรกรรม'!B:B,"รายรับ"),)</f>
        <v/>
      </c>
      <c r="C923" s="36" t="str">
        <f>IF(A923&lt;&gt;"",SUMIFS('การทำธุรกรรม'!E:E,'การทำธุรกรรม'!F:F,A923,'การทำธุรกรรม'!B:B,"รายจ่าย"),)</f>
        <v/>
      </c>
      <c r="D923" s="36" t="str">
        <f t="shared" si="1"/>
        <v/>
      </c>
    </row>
    <row r="924">
      <c r="A924" s="8"/>
      <c r="B924" s="36" t="str">
        <f>IF(A924&lt;&gt;"",SUMIFS('การทำธุรกรรม'!E:E,'การทำธุรกรรม'!F:F,A924,'การทำธุรกรรม'!B:B,"รายรับ"),)</f>
        <v/>
      </c>
      <c r="C924" s="36" t="str">
        <f>IF(A924&lt;&gt;"",SUMIFS('การทำธุรกรรม'!E:E,'การทำธุรกรรม'!F:F,A924,'การทำธุรกรรม'!B:B,"รายจ่าย"),)</f>
        <v/>
      </c>
      <c r="D924" s="36" t="str">
        <f t="shared" si="1"/>
        <v/>
      </c>
    </row>
    <row r="925">
      <c r="A925" s="8"/>
      <c r="B925" s="36" t="str">
        <f>IF(A925&lt;&gt;"",SUMIFS('การทำธุรกรรม'!E:E,'การทำธุรกรรม'!F:F,A925,'การทำธุรกรรม'!B:B,"รายรับ"),)</f>
        <v/>
      </c>
      <c r="C925" s="36" t="str">
        <f>IF(A925&lt;&gt;"",SUMIFS('การทำธุรกรรม'!E:E,'การทำธุรกรรม'!F:F,A925,'การทำธุรกรรม'!B:B,"รายจ่าย"),)</f>
        <v/>
      </c>
      <c r="D925" s="36" t="str">
        <f t="shared" si="1"/>
        <v/>
      </c>
    </row>
    <row r="926">
      <c r="A926" s="8"/>
      <c r="B926" s="36" t="str">
        <f>IF(A926&lt;&gt;"",SUMIFS('การทำธุรกรรม'!E:E,'การทำธุรกรรม'!F:F,A926,'การทำธุรกรรม'!B:B,"รายรับ"),)</f>
        <v/>
      </c>
      <c r="C926" s="36" t="str">
        <f>IF(A926&lt;&gt;"",SUMIFS('การทำธุรกรรม'!E:E,'การทำธุรกรรม'!F:F,A926,'การทำธุรกรรม'!B:B,"รายจ่าย"),)</f>
        <v/>
      </c>
      <c r="D926" s="36" t="str">
        <f t="shared" si="1"/>
        <v/>
      </c>
    </row>
    <row r="927">
      <c r="A927" s="8"/>
      <c r="B927" s="36" t="str">
        <f>IF(A927&lt;&gt;"",SUMIFS('การทำธุรกรรม'!E:E,'การทำธุรกรรม'!F:F,A927,'การทำธุรกรรม'!B:B,"รายรับ"),)</f>
        <v/>
      </c>
      <c r="C927" s="36" t="str">
        <f>IF(A927&lt;&gt;"",SUMIFS('การทำธุรกรรม'!E:E,'การทำธุรกรรม'!F:F,A927,'การทำธุรกรรม'!B:B,"รายจ่าย"),)</f>
        <v/>
      </c>
      <c r="D927" s="36" t="str">
        <f t="shared" si="1"/>
        <v/>
      </c>
    </row>
    <row r="928">
      <c r="A928" s="8"/>
      <c r="B928" s="36" t="str">
        <f>IF(A928&lt;&gt;"",SUMIFS('การทำธุรกรรม'!E:E,'การทำธุรกรรม'!F:F,A928,'การทำธุรกรรม'!B:B,"รายรับ"),)</f>
        <v/>
      </c>
      <c r="C928" s="36" t="str">
        <f>IF(A928&lt;&gt;"",SUMIFS('การทำธุรกรรม'!E:E,'การทำธุรกรรม'!F:F,A928,'การทำธุรกรรม'!B:B,"รายจ่าย"),)</f>
        <v/>
      </c>
      <c r="D928" s="36" t="str">
        <f t="shared" si="1"/>
        <v/>
      </c>
    </row>
    <row r="929">
      <c r="A929" s="8"/>
      <c r="B929" s="36" t="str">
        <f>IF(A929&lt;&gt;"",SUMIFS('การทำธุรกรรม'!E:E,'การทำธุรกรรม'!F:F,A929,'การทำธุรกรรม'!B:B,"รายรับ"),)</f>
        <v/>
      </c>
      <c r="C929" s="36" t="str">
        <f>IF(A929&lt;&gt;"",SUMIFS('การทำธุรกรรม'!E:E,'การทำธุรกรรม'!F:F,A929,'การทำธุรกรรม'!B:B,"รายจ่าย"),)</f>
        <v/>
      </c>
      <c r="D929" s="36" t="str">
        <f t="shared" si="1"/>
        <v/>
      </c>
    </row>
    <row r="930">
      <c r="A930" s="8"/>
      <c r="B930" s="36" t="str">
        <f>IF(A930&lt;&gt;"",SUMIFS('การทำธุรกรรม'!E:E,'การทำธุรกรรม'!F:F,A930,'การทำธุรกรรม'!B:B,"รายรับ"),)</f>
        <v/>
      </c>
      <c r="C930" s="36" t="str">
        <f>IF(A930&lt;&gt;"",SUMIFS('การทำธุรกรรม'!E:E,'การทำธุรกรรม'!F:F,A930,'การทำธุรกรรม'!B:B,"รายจ่าย"),)</f>
        <v/>
      </c>
      <c r="D930" s="36" t="str">
        <f t="shared" si="1"/>
        <v/>
      </c>
    </row>
    <row r="931">
      <c r="A931" s="8"/>
      <c r="B931" s="36" t="str">
        <f>IF(A931&lt;&gt;"",SUMIFS('การทำธุรกรรม'!E:E,'การทำธุรกรรม'!F:F,A931,'การทำธุรกรรม'!B:B,"รายรับ"),)</f>
        <v/>
      </c>
      <c r="C931" s="36" t="str">
        <f>IF(A931&lt;&gt;"",SUMIFS('การทำธุรกรรม'!E:E,'การทำธุรกรรม'!F:F,A931,'การทำธุรกรรม'!B:B,"รายจ่าย"),)</f>
        <v/>
      </c>
      <c r="D931" s="36" t="str">
        <f t="shared" si="1"/>
        <v/>
      </c>
    </row>
    <row r="932">
      <c r="A932" s="8"/>
      <c r="B932" s="36" t="str">
        <f>IF(A932&lt;&gt;"",SUMIFS('การทำธุรกรรม'!E:E,'การทำธุรกรรม'!F:F,A932,'การทำธุรกรรม'!B:B,"รายรับ"),)</f>
        <v/>
      </c>
      <c r="C932" s="36" t="str">
        <f>IF(A932&lt;&gt;"",SUMIFS('การทำธุรกรรม'!E:E,'การทำธุรกรรม'!F:F,A932,'การทำธุรกรรม'!B:B,"รายจ่าย"),)</f>
        <v/>
      </c>
      <c r="D932" s="36" t="str">
        <f t="shared" si="1"/>
        <v/>
      </c>
    </row>
    <row r="933">
      <c r="A933" s="8"/>
      <c r="B933" s="36" t="str">
        <f>IF(A933&lt;&gt;"",SUMIFS('การทำธุรกรรม'!E:E,'การทำธุรกรรม'!F:F,A933,'การทำธุรกรรม'!B:B,"รายรับ"),)</f>
        <v/>
      </c>
      <c r="C933" s="36" t="str">
        <f>IF(A933&lt;&gt;"",SUMIFS('การทำธุรกรรม'!E:E,'การทำธุรกรรม'!F:F,A933,'การทำธุรกรรม'!B:B,"รายจ่าย"),)</f>
        <v/>
      </c>
      <c r="D933" s="36" t="str">
        <f t="shared" si="1"/>
        <v/>
      </c>
    </row>
    <row r="934">
      <c r="A934" s="8"/>
      <c r="B934" s="36" t="str">
        <f>IF(A934&lt;&gt;"",SUMIFS('การทำธุรกรรม'!E:E,'การทำธุรกรรม'!F:F,A934,'การทำธุรกรรม'!B:B,"รายรับ"),)</f>
        <v/>
      </c>
      <c r="C934" s="36" t="str">
        <f>IF(A934&lt;&gt;"",SUMIFS('การทำธุรกรรม'!E:E,'การทำธุรกรรม'!F:F,A934,'การทำธุรกรรม'!B:B,"รายจ่าย"),)</f>
        <v/>
      </c>
      <c r="D934" s="36" t="str">
        <f t="shared" si="1"/>
        <v/>
      </c>
    </row>
    <row r="935">
      <c r="A935" s="8"/>
      <c r="B935" s="36" t="str">
        <f>IF(A935&lt;&gt;"",SUMIFS('การทำธุรกรรม'!E:E,'การทำธุรกรรม'!F:F,A935,'การทำธุรกรรม'!B:B,"รายรับ"),)</f>
        <v/>
      </c>
      <c r="C935" s="36" t="str">
        <f>IF(A935&lt;&gt;"",SUMIFS('การทำธุรกรรม'!E:E,'การทำธุรกรรม'!F:F,A935,'การทำธุรกรรม'!B:B,"รายจ่าย"),)</f>
        <v/>
      </c>
      <c r="D935" s="36" t="str">
        <f t="shared" si="1"/>
        <v/>
      </c>
    </row>
    <row r="936">
      <c r="A936" s="8"/>
      <c r="B936" s="36" t="str">
        <f>IF(A936&lt;&gt;"",SUMIFS('การทำธุรกรรม'!E:E,'การทำธุรกรรม'!F:F,A936,'การทำธุรกรรม'!B:B,"รายรับ"),)</f>
        <v/>
      </c>
      <c r="C936" s="36" t="str">
        <f>IF(A936&lt;&gt;"",SUMIFS('การทำธุรกรรม'!E:E,'การทำธุรกรรม'!F:F,A936,'การทำธุรกรรม'!B:B,"รายจ่าย"),)</f>
        <v/>
      </c>
      <c r="D936" s="36" t="str">
        <f t="shared" si="1"/>
        <v/>
      </c>
    </row>
    <row r="937">
      <c r="A937" s="8"/>
      <c r="B937" s="36" t="str">
        <f>IF(A937&lt;&gt;"",SUMIFS('การทำธุรกรรม'!E:E,'การทำธุรกรรม'!F:F,A937,'การทำธุรกรรม'!B:B,"รายรับ"),)</f>
        <v/>
      </c>
      <c r="C937" s="36" t="str">
        <f>IF(A937&lt;&gt;"",SUMIFS('การทำธุรกรรม'!E:E,'การทำธุรกรรม'!F:F,A937,'การทำธุรกรรม'!B:B,"รายจ่าย"),)</f>
        <v/>
      </c>
      <c r="D937" s="36" t="str">
        <f t="shared" si="1"/>
        <v/>
      </c>
    </row>
    <row r="938">
      <c r="A938" s="8"/>
      <c r="B938" s="36" t="str">
        <f>IF(A938&lt;&gt;"",SUMIFS('การทำธุรกรรม'!E:E,'การทำธุรกรรม'!F:F,A938,'การทำธุรกรรม'!B:B,"รายรับ"),)</f>
        <v/>
      </c>
      <c r="C938" s="36" t="str">
        <f>IF(A938&lt;&gt;"",SUMIFS('การทำธุรกรรม'!E:E,'การทำธุรกรรม'!F:F,A938,'การทำธุรกรรม'!B:B,"รายจ่าย"),)</f>
        <v/>
      </c>
      <c r="D938" s="36" t="str">
        <f t="shared" si="1"/>
        <v/>
      </c>
    </row>
    <row r="939">
      <c r="A939" s="8"/>
      <c r="B939" s="36" t="str">
        <f>IF(A939&lt;&gt;"",SUMIFS('การทำธุรกรรม'!E:E,'การทำธุรกรรม'!F:F,A939,'การทำธุรกรรม'!B:B,"รายรับ"),)</f>
        <v/>
      </c>
      <c r="C939" s="36" t="str">
        <f>IF(A939&lt;&gt;"",SUMIFS('การทำธุรกรรม'!E:E,'การทำธุรกรรม'!F:F,A939,'การทำธุรกรรม'!B:B,"รายจ่าย"),)</f>
        <v/>
      </c>
      <c r="D939" s="36" t="str">
        <f t="shared" si="1"/>
        <v/>
      </c>
    </row>
    <row r="940">
      <c r="A940" s="8"/>
      <c r="B940" s="36" t="str">
        <f>IF(A940&lt;&gt;"",SUMIFS('การทำธุรกรรม'!E:E,'การทำธุรกรรม'!F:F,A940,'การทำธุรกรรม'!B:B,"รายรับ"),)</f>
        <v/>
      </c>
      <c r="C940" s="36" t="str">
        <f>IF(A940&lt;&gt;"",SUMIFS('การทำธุรกรรม'!E:E,'การทำธุรกรรม'!F:F,A940,'การทำธุรกรรม'!B:B,"รายจ่าย"),)</f>
        <v/>
      </c>
      <c r="D940" s="36" t="str">
        <f t="shared" si="1"/>
        <v/>
      </c>
    </row>
    <row r="941">
      <c r="A941" s="8"/>
      <c r="B941" s="36" t="str">
        <f>IF(A941&lt;&gt;"",SUMIFS('การทำธุรกรรม'!E:E,'การทำธุรกรรม'!F:F,A941,'การทำธุรกรรม'!B:B,"รายรับ"),)</f>
        <v/>
      </c>
      <c r="C941" s="36" t="str">
        <f>IF(A941&lt;&gt;"",SUMIFS('การทำธุรกรรม'!E:E,'การทำธุรกรรม'!F:F,A941,'การทำธุรกรรม'!B:B,"รายจ่าย"),)</f>
        <v/>
      </c>
      <c r="D941" s="36" t="str">
        <f t="shared" si="1"/>
        <v/>
      </c>
    </row>
    <row r="942">
      <c r="A942" s="8"/>
      <c r="B942" s="36" t="str">
        <f>IF(A942&lt;&gt;"",SUMIFS('การทำธุรกรรม'!E:E,'การทำธุรกรรม'!F:F,A942,'การทำธุรกรรม'!B:B,"รายรับ"),)</f>
        <v/>
      </c>
      <c r="C942" s="36" t="str">
        <f>IF(A942&lt;&gt;"",SUMIFS('การทำธุรกรรม'!E:E,'การทำธุรกรรม'!F:F,A942,'การทำธุรกรรม'!B:B,"รายจ่าย"),)</f>
        <v/>
      </c>
      <c r="D942" s="36" t="str">
        <f t="shared" si="1"/>
        <v/>
      </c>
    </row>
    <row r="943">
      <c r="A943" s="8"/>
      <c r="B943" s="36" t="str">
        <f>IF(A943&lt;&gt;"",SUMIFS('การทำธุรกรรม'!E:E,'การทำธุรกรรม'!F:F,A943,'การทำธุรกรรม'!B:B,"รายรับ"),)</f>
        <v/>
      </c>
      <c r="C943" s="36" t="str">
        <f>IF(A943&lt;&gt;"",SUMIFS('การทำธุรกรรม'!E:E,'การทำธุรกรรม'!F:F,A943,'การทำธุรกรรม'!B:B,"รายจ่าย"),)</f>
        <v/>
      </c>
      <c r="D943" s="36" t="str">
        <f t="shared" si="1"/>
        <v/>
      </c>
    </row>
    <row r="944">
      <c r="A944" s="8"/>
      <c r="B944" s="36" t="str">
        <f>IF(A944&lt;&gt;"",SUMIFS('การทำธุรกรรม'!E:E,'การทำธุรกรรม'!F:F,A944,'การทำธุรกรรม'!B:B,"รายรับ"),)</f>
        <v/>
      </c>
      <c r="C944" s="36" t="str">
        <f>IF(A944&lt;&gt;"",SUMIFS('การทำธุรกรรม'!E:E,'การทำธุรกรรม'!F:F,A944,'การทำธุรกรรม'!B:B,"รายจ่าย"),)</f>
        <v/>
      </c>
      <c r="D944" s="36" t="str">
        <f t="shared" si="1"/>
        <v/>
      </c>
    </row>
    <row r="945">
      <c r="A945" s="8"/>
      <c r="B945" s="36" t="str">
        <f>IF(A945&lt;&gt;"",SUMIFS('การทำธุรกรรม'!E:E,'การทำธุรกรรม'!F:F,A945,'การทำธุรกรรม'!B:B,"รายรับ"),)</f>
        <v/>
      </c>
      <c r="C945" s="36" t="str">
        <f>IF(A945&lt;&gt;"",SUMIFS('การทำธุรกรรม'!E:E,'การทำธุรกรรม'!F:F,A945,'การทำธุรกรรม'!B:B,"รายจ่าย"),)</f>
        <v/>
      </c>
      <c r="D945" s="36" t="str">
        <f t="shared" si="1"/>
        <v/>
      </c>
    </row>
    <row r="946">
      <c r="A946" s="8"/>
      <c r="B946" s="36" t="str">
        <f>IF(A946&lt;&gt;"",SUMIFS('การทำธุรกรรม'!E:E,'การทำธุรกรรม'!F:F,A946,'การทำธุรกรรม'!B:B,"รายรับ"),)</f>
        <v/>
      </c>
      <c r="C946" s="36" t="str">
        <f>IF(A946&lt;&gt;"",SUMIFS('การทำธุรกรรม'!E:E,'การทำธุรกรรม'!F:F,A946,'การทำธุรกรรม'!B:B,"รายจ่าย"),)</f>
        <v/>
      </c>
      <c r="D946" s="36" t="str">
        <f t="shared" si="1"/>
        <v/>
      </c>
    </row>
    <row r="947">
      <c r="A947" s="8"/>
      <c r="B947" s="36" t="str">
        <f>IF(A947&lt;&gt;"",SUMIFS('การทำธุรกรรม'!E:E,'การทำธุรกรรม'!F:F,A947,'การทำธุรกรรม'!B:B,"รายรับ"),)</f>
        <v/>
      </c>
      <c r="C947" s="36" t="str">
        <f>IF(A947&lt;&gt;"",SUMIFS('การทำธุรกรรม'!E:E,'การทำธุรกรรม'!F:F,A947,'การทำธุรกรรม'!B:B,"รายจ่าย"),)</f>
        <v/>
      </c>
      <c r="D947" s="36" t="str">
        <f t="shared" si="1"/>
        <v/>
      </c>
    </row>
    <row r="948">
      <c r="A948" s="8"/>
      <c r="B948" s="36" t="str">
        <f>IF(A948&lt;&gt;"",SUMIFS('การทำธุรกรรม'!E:E,'การทำธุรกรรม'!F:F,A948,'การทำธุรกรรม'!B:B,"รายรับ"),)</f>
        <v/>
      </c>
      <c r="C948" s="36" t="str">
        <f>IF(A948&lt;&gt;"",SUMIFS('การทำธุรกรรม'!E:E,'การทำธุรกรรม'!F:F,A948,'การทำธุรกรรม'!B:B,"รายจ่าย"),)</f>
        <v/>
      </c>
      <c r="D948" s="36" t="str">
        <f t="shared" si="1"/>
        <v/>
      </c>
    </row>
    <row r="949">
      <c r="A949" s="8"/>
      <c r="B949" s="36" t="str">
        <f>IF(A949&lt;&gt;"",SUMIFS('การทำธุรกรรม'!E:E,'การทำธุรกรรม'!F:F,A949,'การทำธุรกรรม'!B:B,"รายรับ"),)</f>
        <v/>
      </c>
      <c r="C949" s="36" t="str">
        <f>IF(A949&lt;&gt;"",SUMIFS('การทำธุรกรรม'!E:E,'การทำธุรกรรม'!F:F,A949,'การทำธุรกรรม'!B:B,"รายจ่าย"),)</f>
        <v/>
      </c>
      <c r="D949" s="36" t="str">
        <f t="shared" si="1"/>
        <v/>
      </c>
    </row>
    <row r="950">
      <c r="A950" s="8"/>
      <c r="B950" s="36" t="str">
        <f>IF(A950&lt;&gt;"",SUMIFS('การทำธุรกรรม'!E:E,'การทำธุรกรรม'!F:F,A950,'การทำธุรกรรม'!B:B,"รายรับ"),)</f>
        <v/>
      </c>
      <c r="C950" s="36" t="str">
        <f>IF(A950&lt;&gt;"",SUMIFS('การทำธุรกรรม'!E:E,'การทำธุรกรรม'!F:F,A950,'การทำธุรกรรม'!B:B,"รายจ่าย"),)</f>
        <v/>
      </c>
      <c r="D950" s="36" t="str">
        <f t="shared" si="1"/>
        <v/>
      </c>
    </row>
    <row r="951">
      <c r="A951" s="8"/>
      <c r="B951" s="36" t="str">
        <f>IF(A951&lt;&gt;"",SUMIFS('การทำธุรกรรม'!E:E,'การทำธุรกรรม'!F:F,A951,'การทำธุรกรรม'!B:B,"รายรับ"),)</f>
        <v/>
      </c>
      <c r="C951" s="36" t="str">
        <f>IF(A951&lt;&gt;"",SUMIFS('การทำธุรกรรม'!E:E,'การทำธุรกรรม'!F:F,A951,'การทำธุรกรรม'!B:B,"รายจ่าย"),)</f>
        <v/>
      </c>
      <c r="D951" s="36" t="str">
        <f t="shared" si="1"/>
        <v/>
      </c>
    </row>
    <row r="952">
      <c r="A952" s="8"/>
      <c r="B952" s="36" t="str">
        <f>IF(A952&lt;&gt;"",SUMIFS('การทำธุรกรรม'!E:E,'การทำธุรกรรม'!F:F,A952,'การทำธุรกรรม'!B:B,"รายรับ"),)</f>
        <v/>
      </c>
      <c r="C952" s="36" t="str">
        <f>IF(A952&lt;&gt;"",SUMIFS('การทำธุรกรรม'!E:E,'การทำธุรกรรม'!F:F,A952,'การทำธุรกรรม'!B:B,"รายจ่าย"),)</f>
        <v/>
      </c>
      <c r="D952" s="36" t="str">
        <f t="shared" si="1"/>
        <v/>
      </c>
    </row>
    <row r="953">
      <c r="A953" s="8"/>
      <c r="B953" s="36" t="str">
        <f>IF(A953&lt;&gt;"",SUMIFS('การทำธุรกรรม'!E:E,'การทำธุรกรรม'!F:F,A953,'การทำธุรกรรม'!B:B,"รายรับ"),)</f>
        <v/>
      </c>
      <c r="C953" s="36" t="str">
        <f>IF(A953&lt;&gt;"",SUMIFS('การทำธุรกรรม'!E:E,'การทำธุรกรรม'!F:F,A953,'การทำธุรกรรม'!B:B,"รายจ่าย"),)</f>
        <v/>
      </c>
      <c r="D953" s="36" t="str">
        <f t="shared" si="1"/>
        <v/>
      </c>
    </row>
    <row r="954">
      <c r="A954" s="8"/>
      <c r="B954" s="36" t="str">
        <f>IF(A954&lt;&gt;"",SUMIFS('การทำธุรกรรม'!E:E,'การทำธุรกรรม'!F:F,A954,'การทำธุรกรรม'!B:B,"รายรับ"),)</f>
        <v/>
      </c>
      <c r="C954" s="36" t="str">
        <f>IF(A954&lt;&gt;"",SUMIFS('การทำธุรกรรม'!E:E,'การทำธุรกรรม'!F:F,A954,'การทำธุรกรรม'!B:B,"รายจ่าย"),)</f>
        <v/>
      </c>
      <c r="D954" s="36" t="str">
        <f t="shared" si="1"/>
        <v/>
      </c>
    </row>
    <row r="955">
      <c r="A955" s="8"/>
      <c r="B955" s="36" t="str">
        <f>IF(A955&lt;&gt;"",SUMIFS('การทำธุรกรรม'!E:E,'การทำธุรกรรม'!F:F,A955,'การทำธุรกรรม'!B:B,"รายรับ"),)</f>
        <v/>
      </c>
      <c r="C955" s="36" t="str">
        <f>IF(A955&lt;&gt;"",SUMIFS('การทำธุรกรรม'!E:E,'การทำธุรกรรม'!F:F,A955,'การทำธุรกรรม'!B:B,"รายจ่าย"),)</f>
        <v/>
      </c>
      <c r="D955" s="36" t="str">
        <f t="shared" si="1"/>
        <v/>
      </c>
    </row>
    <row r="956">
      <c r="A956" s="8"/>
      <c r="B956" s="36" t="str">
        <f>IF(A956&lt;&gt;"",SUMIFS('การทำธุรกรรม'!E:E,'การทำธุรกรรม'!F:F,A956,'การทำธุรกรรม'!B:B,"รายรับ"),)</f>
        <v/>
      </c>
      <c r="C956" s="36" t="str">
        <f>IF(A956&lt;&gt;"",SUMIFS('การทำธุรกรรม'!E:E,'การทำธุรกรรม'!F:F,A956,'การทำธุรกรรม'!B:B,"รายจ่าย"),)</f>
        <v/>
      </c>
      <c r="D956" s="36" t="str">
        <f t="shared" si="1"/>
        <v/>
      </c>
    </row>
    <row r="957">
      <c r="A957" s="8"/>
      <c r="B957" s="36" t="str">
        <f>IF(A957&lt;&gt;"",SUMIFS('การทำธุรกรรม'!E:E,'การทำธุรกรรม'!F:F,A957,'การทำธุรกรรม'!B:B,"รายรับ"),)</f>
        <v/>
      </c>
      <c r="C957" s="36" t="str">
        <f>IF(A957&lt;&gt;"",SUMIFS('การทำธุรกรรม'!E:E,'การทำธุรกรรม'!F:F,A957,'การทำธุรกรรม'!B:B,"รายจ่าย"),)</f>
        <v/>
      </c>
      <c r="D957" s="36" t="str">
        <f t="shared" si="1"/>
        <v/>
      </c>
    </row>
    <row r="958">
      <c r="A958" s="8"/>
      <c r="B958" s="36" t="str">
        <f>IF(A958&lt;&gt;"",SUMIFS('การทำธุรกรรม'!E:E,'การทำธุรกรรม'!F:F,A958,'การทำธุรกรรม'!B:B,"รายรับ"),)</f>
        <v/>
      </c>
      <c r="C958" s="36" t="str">
        <f>IF(A958&lt;&gt;"",SUMIFS('การทำธุรกรรม'!E:E,'การทำธุรกรรม'!F:F,A958,'การทำธุรกรรม'!B:B,"รายจ่าย"),)</f>
        <v/>
      </c>
      <c r="D958" s="36" t="str">
        <f t="shared" si="1"/>
        <v/>
      </c>
    </row>
    <row r="959">
      <c r="A959" s="8"/>
      <c r="B959" s="36" t="str">
        <f>IF(A959&lt;&gt;"",SUMIFS('การทำธุรกรรม'!E:E,'การทำธุรกรรม'!F:F,A959,'การทำธุรกรรม'!B:B,"รายรับ"),)</f>
        <v/>
      </c>
      <c r="C959" s="36" t="str">
        <f>IF(A959&lt;&gt;"",SUMIFS('การทำธุรกรรม'!E:E,'การทำธุรกรรม'!F:F,A959,'การทำธุรกรรม'!B:B,"รายจ่าย"),)</f>
        <v/>
      </c>
      <c r="D959" s="36" t="str">
        <f t="shared" si="1"/>
        <v/>
      </c>
    </row>
    <row r="960">
      <c r="A960" s="8"/>
      <c r="B960" s="36" t="str">
        <f>IF(A960&lt;&gt;"",SUMIFS('การทำธุรกรรม'!E:E,'การทำธุรกรรม'!F:F,A960,'การทำธุรกรรม'!B:B,"รายรับ"),)</f>
        <v/>
      </c>
      <c r="C960" s="36" t="str">
        <f>IF(A960&lt;&gt;"",SUMIFS('การทำธุรกรรม'!E:E,'การทำธุรกรรม'!F:F,A960,'การทำธุรกรรม'!B:B,"รายจ่าย"),)</f>
        <v/>
      </c>
      <c r="D960" s="36" t="str">
        <f t="shared" si="1"/>
        <v/>
      </c>
    </row>
    <row r="961">
      <c r="A961" s="8"/>
      <c r="B961" s="36" t="str">
        <f>IF(A961&lt;&gt;"",SUMIFS('การทำธุรกรรม'!E:E,'การทำธุรกรรม'!F:F,A961,'การทำธุรกรรม'!B:B,"รายรับ"),)</f>
        <v/>
      </c>
      <c r="C961" s="36" t="str">
        <f>IF(A961&lt;&gt;"",SUMIFS('การทำธุรกรรม'!E:E,'การทำธุรกรรม'!F:F,A961,'การทำธุรกรรม'!B:B,"รายจ่าย"),)</f>
        <v/>
      </c>
      <c r="D961" s="36" t="str">
        <f t="shared" si="1"/>
        <v/>
      </c>
    </row>
    <row r="962">
      <c r="A962" s="8"/>
      <c r="B962" s="36" t="str">
        <f>IF(A962&lt;&gt;"",SUMIFS('การทำธุรกรรม'!E:E,'การทำธุรกรรม'!F:F,A962,'การทำธุรกรรม'!B:B,"รายรับ"),)</f>
        <v/>
      </c>
      <c r="C962" s="36" t="str">
        <f>IF(A962&lt;&gt;"",SUMIFS('การทำธุรกรรม'!E:E,'การทำธุรกรรม'!F:F,A962,'การทำธุรกรรม'!B:B,"รายจ่าย"),)</f>
        <v/>
      </c>
      <c r="D962" s="36" t="str">
        <f t="shared" si="1"/>
        <v/>
      </c>
    </row>
    <row r="963">
      <c r="A963" s="8"/>
      <c r="B963" s="36" t="str">
        <f>IF(A963&lt;&gt;"",SUMIFS('การทำธุรกรรม'!E:E,'การทำธุรกรรม'!F:F,A963,'การทำธุรกรรม'!B:B,"รายรับ"),)</f>
        <v/>
      </c>
      <c r="C963" s="36" t="str">
        <f>IF(A963&lt;&gt;"",SUMIFS('การทำธุรกรรม'!E:E,'การทำธุรกรรม'!F:F,A963,'การทำธุรกรรม'!B:B,"รายจ่าย"),)</f>
        <v/>
      </c>
      <c r="D963" s="36" t="str">
        <f t="shared" si="1"/>
        <v/>
      </c>
    </row>
    <row r="964">
      <c r="A964" s="8"/>
      <c r="B964" s="36" t="str">
        <f>IF(A964&lt;&gt;"",SUMIFS('การทำธุรกรรม'!E:E,'การทำธุรกรรม'!F:F,A964,'การทำธุรกรรม'!B:B,"รายรับ"),)</f>
        <v/>
      </c>
      <c r="C964" s="36" t="str">
        <f>IF(A964&lt;&gt;"",SUMIFS('การทำธุรกรรม'!E:E,'การทำธุรกรรม'!F:F,A964,'การทำธุรกรรม'!B:B,"รายจ่าย"),)</f>
        <v/>
      </c>
      <c r="D964" s="36" t="str">
        <f t="shared" si="1"/>
        <v/>
      </c>
    </row>
    <row r="965">
      <c r="A965" s="8"/>
      <c r="B965" s="36" t="str">
        <f>IF(A965&lt;&gt;"",SUMIFS('การทำธุรกรรม'!E:E,'การทำธุรกรรม'!F:F,A965,'การทำธุรกรรม'!B:B,"รายรับ"),)</f>
        <v/>
      </c>
      <c r="C965" s="36" t="str">
        <f>IF(A965&lt;&gt;"",SUMIFS('การทำธุรกรรม'!E:E,'การทำธุรกรรม'!F:F,A965,'การทำธุรกรรม'!B:B,"รายจ่าย"),)</f>
        <v/>
      </c>
      <c r="D965" s="36" t="str">
        <f t="shared" si="1"/>
        <v/>
      </c>
    </row>
    <row r="966">
      <c r="A966" s="8"/>
      <c r="B966" s="36" t="str">
        <f>IF(A966&lt;&gt;"",SUMIFS('การทำธุรกรรม'!E:E,'การทำธุรกรรม'!F:F,A966,'การทำธุรกรรม'!B:B,"รายรับ"),)</f>
        <v/>
      </c>
      <c r="C966" s="36" t="str">
        <f>IF(A966&lt;&gt;"",SUMIFS('การทำธุรกรรม'!E:E,'การทำธุรกรรม'!F:F,A966,'การทำธุรกรรม'!B:B,"รายจ่าย"),)</f>
        <v/>
      </c>
      <c r="D966" s="36" t="str">
        <f t="shared" si="1"/>
        <v/>
      </c>
    </row>
    <row r="967">
      <c r="A967" s="8"/>
      <c r="B967" s="36" t="str">
        <f>IF(A967&lt;&gt;"",SUMIFS('การทำธุรกรรม'!E:E,'การทำธุรกรรม'!F:F,A967,'การทำธุรกรรม'!B:B,"รายรับ"),)</f>
        <v/>
      </c>
      <c r="C967" s="36" t="str">
        <f>IF(A967&lt;&gt;"",SUMIFS('การทำธุรกรรม'!E:E,'การทำธุรกรรม'!F:F,A967,'การทำธุรกรรม'!B:B,"รายจ่าย"),)</f>
        <v/>
      </c>
      <c r="D967" s="36" t="str">
        <f t="shared" si="1"/>
        <v/>
      </c>
    </row>
    <row r="968">
      <c r="A968" s="8"/>
      <c r="B968" s="36" t="str">
        <f>IF(A968&lt;&gt;"",SUMIFS('การทำธุรกรรม'!E:E,'การทำธุรกรรม'!F:F,A968,'การทำธุรกรรม'!B:B,"รายรับ"),)</f>
        <v/>
      </c>
      <c r="C968" s="36" t="str">
        <f>IF(A968&lt;&gt;"",SUMIFS('การทำธุรกรรม'!E:E,'การทำธุรกรรม'!F:F,A968,'การทำธุรกรรม'!B:B,"รายจ่าย"),)</f>
        <v/>
      </c>
      <c r="D968" s="36" t="str">
        <f t="shared" si="1"/>
        <v/>
      </c>
    </row>
    <row r="969">
      <c r="A969" s="8"/>
      <c r="B969" s="36" t="str">
        <f>IF(A969&lt;&gt;"",SUMIFS('การทำธุรกรรม'!E:E,'การทำธุรกรรม'!F:F,A969,'การทำธุรกรรม'!B:B,"รายรับ"),)</f>
        <v/>
      </c>
      <c r="C969" s="36" t="str">
        <f>IF(A969&lt;&gt;"",SUMIFS('การทำธุรกรรม'!E:E,'การทำธุรกรรม'!F:F,A969,'การทำธุรกรรม'!B:B,"รายจ่าย"),)</f>
        <v/>
      </c>
      <c r="D969" s="36" t="str">
        <f t="shared" si="1"/>
        <v/>
      </c>
    </row>
    <row r="970">
      <c r="A970" s="8"/>
      <c r="B970" s="36" t="str">
        <f>IF(A970&lt;&gt;"",SUMIFS('การทำธุรกรรม'!E:E,'การทำธุรกรรม'!F:F,A970,'การทำธุรกรรม'!B:B,"รายรับ"),)</f>
        <v/>
      </c>
      <c r="C970" s="36" t="str">
        <f>IF(A970&lt;&gt;"",SUMIFS('การทำธุรกรรม'!E:E,'การทำธุรกรรม'!F:F,A970,'การทำธุรกรรม'!B:B,"รายจ่าย"),)</f>
        <v/>
      </c>
      <c r="D970" s="36" t="str">
        <f t="shared" si="1"/>
        <v/>
      </c>
    </row>
    <row r="971">
      <c r="A971" s="8"/>
      <c r="B971" s="36" t="str">
        <f>IF(A971&lt;&gt;"",SUMIFS('การทำธุรกรรม'!E:E,'การทำธุรกรรม'!F:F,A971,'การทำธุรกรรม'!B:B,"รายรับ"),)</f>
        <v/>
      </c>
      <c r="C971" s="36" t="str">
        <f>IF(A971&lt;&gt;"",SUMIFS('การทำธุรกรรม'!E:E,'การทำธุรกรรม'!F:F,A971,'การทำธุรกรรม'!B:B,"รายจ่าย"),)</f>
        <v/>
      </c>
      <c r="D971" s="36" t="str">
        <f t="shared" si="1"/>
        <v/>
      </c>
    </row>
    <row r="972">
      <c r="A972" s="8"/>
      <c r="B972" s="36" t="str">
        <f>IF(A972&lt;&gt;"",SUMIFS('การทำธุรกรรม'!E:E,'การทำธุรกรรม'!F:F,A972,'การทำธุรกรรม'!B:B,"รายรับ"),)</f>
        <v/>
      </c>
      <c r="C972" s="36" t="str">
        <f>IF(A972&lt;&gt;"",SUMIFS('การทำธุรกรรม'!E:E,'การทำธุรกรรม'!F:F,A972,'การทำธุรกรรม'!B:B,"รายจ่าย"),)</f>
        <v/>
      </c>
      <c r="D972" s="36" t="str">
        <f t="shared" si="1"/>
        <v/>
      </c>
    </row>
    <row r="973">
      <c r="A973" s="8"/>
      <c r="B973" s="36" t="str">
        <f>IF(A973&lt;&gt;"",SUMIFS('การทำธุรกรรม'!E:E,'การทำธุรกรรม'!F:F,A973,'การทำธุรกรรม'!B:B,"รายรับ"),)</f>
        <v/>
      </c>
      <c r="C973" s="36" t="str">
        <f>IF(A973&lt;&gt;"",SUMIFS('การทำธุรกรรม'!E:E,'การทำธุรกรรม'!F:F,A973,'การทำธุรกรรม'!B:B,"รายจ่าย"),)</f>
        <v/>
      </c>
      <c r="D973" s="36" t="str">
        <f t="shared" si="1"/>
        <v/>
      </c>
    </row>
    <row r="974">
      <c r="A974" s="8"/>
      <c r="B974" s="36" t="str">
        <f>IF(A974&lt;&gt;"",SUMIFS('การทำธุรกรรม'!E:E,'การทำธุรกรรม'!F:F,A974,'การทำธุรกรรม'!B:B,"รายรับ"),)</f>
        <v/>
      </c>
      <c r="C974" s="36" t="str">
        <f>IF(A974&lt;&gt;"",SUMIFS('การทำธุรกรรม'!E:E,'การทำธุรกรรม'!F:F,A974,'การทำธุรกรรม'!B:B,"รายจ่าย"),)</f>
        <v/>
      </c>
      <c r="D974" s="36" t="str">
        <f t="shared" si="1"/>
        <v/>
      </c>
    </row>
    <row r="975">
      <c r="A975" s="8"/>
      <c r="B975" s="36" t="str">
        <f>IF(A975&lt;&gt;"",SUMIFS('การทำธุรกรรม'!E:E,'การทำธุรกรรม'!F:F,A975,'การทำธุรกรรม'!B:B,"รายรับ"),)</f>
        <v/>
      </c>
      <c r="C975" s="36" t="str">
        <f>IF(A975&lt;&gt;"",SUMIFS('การทำธุรกรรม'!E:E,'การทำธุรกรรม'!F:F,A975,'การทำธุรกรรม'!B:B,"รายจ่าย"),)</f>
        <v/>
      </c>
      <c r="D975" s="36" t="str">
        <f t="shared" si="1"/>
        <v/>
      </c>
    </row>
    <row r="976">
      <c r="A976" s="8"/>
      <c r="B976" s="36" t="str">
        <f>IF(A976&lt;&gt;"",SUMIFS('การทำธุรกรรม'!E:E,'การทำธุรกรรม'!F:F,A976,'การทำธุรกรรม'!B:B,"รายรับ"),)</f>
        <v/>
      </c>
      <c r="C976" s="36" t="str">
        <f>IF(A976&lt;&gt;"",SUMIFS('การทำธุรกรรม'!E:E,'การทำธุรกรรม'!F:F,A976,'การทำธุรกรรม'!B:B,"รายจ่าย"),)</f>
        <v/>
      </c>
      <c r="D976" s="36" t="str">
        <f t="shared" si="1"/>
        <v/>
      </c>
    </row>
    <row r="977">
      <c r="A977" s="8"/>
      <c r="B977" s="36" t="str">
        <f>IF(A977&lt;&gt;"",SUMIFS('การทำธุรกรรม'!E:E,'การทำธุรกรรม'!F:F,A977,'การทำธุรกรรม'!B:B,"รายรับ"),)</f>
        <v/>
      </c>
      <c r="C977" s="36" t="str">
        <f>IF(A977&lt;&gt;"",SUMIFS('การทำธุรกรรม'!E:E,'การทำธุรกรรม'!F:F,A977,'การทำธุรกรรม'!B:B,"รายจ่าย"),)</f>
        <v/>
      </c>
      <c r="D977" s="36" t="str">
        <f t="shared" si="1"/>
        <v/>
      </c>
    </row>
    <row r="978">
      <c r="A978" s="8"/>
      <c r="B978" s="36" t="str">
        <f>IF(A978&lt;&gt;"",SUMIFS('การทำธุรกรรม'!E:E,'การทำธุรกรรม'!F:F,A978,'การทำธุรกรรม'!B:B,"รายรับ"),)</f>
        <v/>
      </c>
      <c r="C978" s="36" t="str">
        <f>IF(A978&lt;&gt;"",SUMIFS('การทำธุรกรรม'!E:E,'การทำธุรกรรม'!F:F,A978,'การทำธุรกรรม'!B:B,"รายจ่าย"),)</f>
        <v/>
      </c>
      <c r="D978" s="36" t="str">
        <f t="shared" si="1"/>
        <v/>
      </c>
    </row>
    <row r="979">
      <c r="A979" s="8"/>
      <c r="B979" s="36" t="str">
        <f>IF(A979&lt;&gt;"",SUMIFS('การทำธุรกรรม'!E:E,'การทำธุรกรรม'!F:F,A979,'การทำธุรกรรม'!B:B,"รายรับ"),)</f>
        <v/>
      </c>
      <c r="C979" s="36" t="str">
        <f>IF(A979&lt;&gt;"",SUMIFS('การทำธุรกรรม'!E:E,'การทำธุรกรรม'!F:F,A979,'การทำธุรกรรม'!B:B,"รายจ่าย"),)</f>
        <v/>
      </c>
      <c r="D979" s="36" t="str">
        <f t="shared" si="1"/>
        <v/>
      </c>
    </row>
    <row r="980">
      <c r="A980" s="8"/>
      <c r="B980" s="36" t="str">
        <f>IF(A980&lt;&gt;"",SUMIFS('การทำธุรกรรม'!E:E,'การทำธุรกรรม'!F:F,A980,'การทำธุรกรรม'!B:B,"รายรับ"),)</f>
        <v/>
      </c>
      <c r="C980" s="36" t="str">
        <f>IF(A980&lt;&gt;"",SUMIFS('การทำธุรกรรม'!E:E,'การทำธุรกรรม'!F:F,A980,'การทำธุรกรรม'!B:B,"รายจ่าย"),)</f>
        <v/>
      </c>
      <c r="D980" s="36" t="str">
        <f t="shared" si="1"/>
        <v/>
      </c>
    </row>
    <row r="981">
      <c r="A981" s="8"/>
      <c r="B981" s="36" t="str">
        <f>IF(A981&lt;&gt;"",SUMIFS('การทำธุรกรรม'!E:E,'การทำธุรกรรม'!F:F,A981,'การทำธุรกรรม'!B:B,"รายรับ"),)</f>
        <v/>
      </c>
      <c r="C981" s="36" t="str">
        <f>IF(A981&lt;&gt;"",SUMIFS('การทำธุรกรรม'!E:E,'การทำธุรกรรม'!F:F,A981,'การทำธุรกรรม'!B:B,"รายจ่าย"),)</f>
        <v/>
      </c>
      <c r="D981" s="36" t="str">
        <f t="shared" si="1"/>
        <v/>
      </c>
    </row>
    <row r="982">
      <c r="A982" s="8"/>
      <c r="B982" s="36" t="str">
        <f>IF(A982&lt;&gt;"",SUMIFS('การทำธุรกรรม'!E:E,'การทำธุรกรรม'!F:F,A982,'การทำธุรกรรม'!B:B,"รายรับ"),)</f>
        <v/>
      </c>
      <c r="C982" s="36" t="str">
        <f>IF(A982&lt;&gt;"",SUMIFS('การทำธุรกรรม'!E:E,'การทำธุรกรรม'!F:F,A982,'การทำธุรกรรม'!B:B,"รายจ่าย"),)</f>
        <v/>
      </c>
      <c r="D982" s="36" t="str">
        <f t="shared" si="1"/>
        <v/>
      </c>
    </row>
    <row r="983">
      <c r="A983" s="8"/>
      <c r="B983" s="36" t="str">
        <f>IF(A983&lt;&gt;"",SUMIFS('การทำธุรกรรม'!E:E,'การทำธุรกรรม'!F:F,A983,'การทำธุรกรรม'!B:B,"รายรับ"),)</f>
        <v/>
      </c>
      <c r="C983" s="36" t="str">
        <f>IF(A983&lt;&gt;"",SUMIFS('การทำธุรกรรม'!E:E,'การทำธุรกรรม'!F:F,A983,'การทำธุรกรรม'!B:B,"รายจ่าย"),)</f>
        <v/>
      </c>
      <c r="D983" s="36" t="str">
        <f t="shared" si="1"/>
        <v/>
      </c>
    </row>
    <row r="984">
      <c r="A984" s="8"/>
      <c r="B984" s="36" t="str">
        <f>IF(A984&lt;&gt;"",SUMIFS('การทำธุรกรรม'!E:E,'การทำธุรกรรม'!F:F,A984,'การทำธุรกรรม'!B:B,"รายรับ"),)</f>
        <v/>
      </c>
      <c r="C984" s="36" t="str">
        <f>IF(A984&lt;&gt;"",SUMIFS('การทำธุรกรรม'!E:E,'การทำธุรกรรม'!F:F,A984,'การทำธุรกรรม'!B:B,"รายจ่าย"),)</f>
        <v/>
      </c>
      <c r="D984" s="36" t="str">
        <f t="shared" si="1"/>
        <v/>
      </c>
    </row>
    <row r="985">
      <c r="A985" s="8"/>
      <c r="B985" s="36" t="str">
        <f>IF(A985&lt;&gt;"",SUMIFS('การทำธุรกรรม'!E:E,'การทำธุรกรรม'!F:F,A985,'การทำธุรกรรม'!B:B,"รายรับ"),)</f>
        <v/>
      </c>
      <c r="C985" s="36" t="str">
        <f>IF(A985&lt;&gt;"",SUMIFS('การทำธุรกรรม'!E:E,'การทำธุรกรรม'!F:F,A985,'การทำธุรกรรม'!B:B,"รายจ่าย"),)</f>
        <v/>
      </c>
      <c r="D985" s="36" t="str">
        <f t="shared" si="1"/>
        <v/>
      </c>
    </row>
    <row r="986">
      <c r="A986" s="8"/>
      <c r="B986" s="36" t="str">
        <f>IF(A986&lt;&gt;"",SUMIFS('การทำธุรกรรม'!E:E,'การทำธุรกรรม'!F:F,A986,'การทำธุรกรรม'!B:B,"รายรับ"),)</f>
        <v/>
      </c>
      <c r="C986" s="36" t="str">
        <f>IF(A986&lt;&gt;"",SUMIFS('การทำธุรกรรม'!E:E,'การทำธุรกรรม'!F:F,A986,'การทำธุรกรรม'!B:B,"รายจ่าย"),)</f>
        <v/>
      </c>
      <c r="D986" s="36" t="str">
        <f t="shared" si="1"/>
        <v/>
      </c>
    </row>
    <row r="987">
      <c r="A987" s="8"/>
      <c r="B987" s="36" t="str">
        <f>IF(A987&lt;&gt;"",SUMIFS('การทำธุรกรรม'!E:E,'การทำธุรกรรม'!F:F,A987,'การทำธุรกรรม'!B:B,"รายรับ"),)</f>
        <v/>
      </c>
      <c r="C987" s="36" t="str">
        <f>IF(A987&lt;&gt;"",SUMIFS('การทำธุรกรรม'!E:E,'การทำธุรกรรม'!F:F,A987,'การทำธุรกรรม'!B:B,"รายจ่าย"),)</f>
        <v/>
      </c>
      <c r="D987" s="36" t="str">
        <f t="shared" si="1"/>
        <v/>
      </c>
    </row>
    <row r="988">
      <c r="A988" s="8"/>
      <c r="B988" s="36" t="str">
        <f>IF(A988&lt;&gt;"",SUMIFS('การทำธุรกรรม'!E:E,'การทำธุรกรรม'!F:F,A988,'การทำธุรกรรม'!B:B,"รายรับ"),)</f>
        <v/>
      </c>
      <c r="C988" s="36" t="str">
        <f>IF(A988&lt;&gt;"",SUMIFS('การทำธุรกรรม'!E:E,'การทำธุรกรรม'!F:F,A988,'การทำธุรกรรม'!B:B,"รายจ่าย"),)</f>
        <v/>
      </c>
      <c r="D988" s="36" t="str">
        <f t="shared" si="1"/>
        <v/>
      </c>
    </row>
    <row r="989">
      <c r="A989" s="8"/>
      <c r="B989" s="36" t="str">
        <f>IF(A989&lt;&gt;"",SUMIFS('การทำธุรกรรม'!E:E,'การทำธุรกรรม'!F:F,A989,'การทำธุรกรรม'!B:B,"รายรับ"),)</f>
        <v/>
      </c>
      <c r="C989" s="36" t="str">
        <f>IF(A989&lt;&gt;"",SUMIFS('การทำธุรกรรม'!E:E,'การทำธุรกรรม'!F:F,A989,'การทำธุรกรรม'!B:B,"รายจ่าย"),)</f>
        <v/>
      </c>
      <c r="D989" s="36" t="str">
        <f t="shared" si="1"/>
        <v/>
      </c>
    </row>
    <row r="990">
      <c r="A990" s="8"/>
      <c r="B990" s="36" t="str">
        <f>IF(A990&lt;&gt;"",SUMIFS('การทำธุรกรรม'!E:E,'การทำธุรกรรม'!F:F,A990,'การทำธุรกรรม'!B:B,"รายรับ"),)</f>
        <v/>
      </c>
      <c r="C990" s="36" t="str">
        <f>IF(A990&lt;&gt;"",SUMIFS('การทำธุรกรรม'!E:E,'การทำธุรกรรม'!F:F,A990,'การทำธุรกรรม'!B:B,"รายจ่าย"),)</f>
        <v/>
      </c>
      <c r="D990" s="36" t="str">
        <f t="shared" si="1"/>
        <v/>
      </c>
    </row>
    <row r="991">
      <c r="A991" s="8"/>
      <c r="B991" s="36" t="str">
        <f>IF(A991&lt;&gt;"",SUMIFS('การทำธุรกรรม'!E:E,'การทำธุรกรรม'!F:F,A991,'การทำธุรกรรม'!B:B,"รายรับ"),)</f>
        <v/>
      </c>
      <c r="C991" s="36" t="str">
        <f>IF(A991&lt;&gt;"",SUMIFS('การทำธุรกรรม'!E:E,'การทำธุรกรรม'!F:F,A991,'การทำธุรกรรม'!B:B,"รายจ่าย"),)</f>
        <v/>
      </c>
      <c r="D991" s="36" t="str">
        <f t="shared" si="1"/>
        <v/>
      </c>
    </row>
    <row r="992">
      <c r="A992" s="8"/>
      <c r="B992" s="36" t="str">
        <f>IF(A992&lt;&gt;"",SUMIFS('การทำธุรกรรม'!E:E,'การทำธุรกรรม'!F:F,A992,'การทำธุรกรรม'!B:B,"รายรับ"),)</f>
        <v/>
      </c>
      <c r="C992" s="36" t="str">
        <f>IF(A992&lt;&gt;"",SUMIFS('การทำธุรกรรม'!E:E,'การทำธุรกรรม'!F:F,A992,'การทำธุรกรรม'!B:B,"รายจ่าย"),)</f>
        <v/>
      </c>
      <c r="D992" s="36" t="str">
        <f t="shared" si="1"/>
        <v/>
      </c>
    </row>
    <row r="993">
      <c r="A993" s="8"/>
      <c r="B993" s="36" t="str">
        <f>IF(A993&lt;&gt;"",SUMIFS('การทำธุรกรรม'!E:E,'การทำธุรกรรม'!F:F,A993,'การทำธุรกรรม'!B:B,"รายรับ"),)</f>
        <v/>
      </c>
      <c r="C993" s="36" t="str">
        <f>IF(A993&lt;&gt;"",SUMIFS('การทำธุรกรรม'!E:E,'การทำธุรกรรม'!F:F,A993,'การทำธุรกรรม'!B:B,"รายจ่าย"),)</f>
        <v/>
      </c>
      <c r="D993" s="36" t="str">
        <f t="shared" si="1"/>
        <v/>
      </c>
    </row>
    <row r="994">
      <c r="A994" s="8"/>
      <c r="B994" s="36" t="str">
        <f>IF(A994&lt;&gt;"",SUMIFS('การทำธุรกรรม'!E:E,'การทำธุรกรรม'!F:F,A994,'การทำธุรกรรม'!B:B,"รายรับ"),)</f>
        <v/>
      </c>
      <c r="C994" s="36" t="str">
        <f>IF(A994&lt;&gt;"",SUMIFS('การทำธุรกรรม'!E:E,'การทำธุรกรรม'!F:F,A994,'การทำธุรกรรม'!B:B,"รายจ่าย"),)</f>
        <v/>
      </c>
      <c r="D994" s="36" t="str">
        <f t="shared" si="1"/>
        <v/>
      </c>
    </row>
    <row r="995">
      <c r="A995" s="8"/>
      <c r="B995" s="36" t="str">
        <f>IF(A995&lt;&gt;"",SUMIFS('การทำธุรกรรม'!E:E,'การทำธุรกรรม'!F:F,A995,'การทำธุรกรรม'!B:B,"รายรับ"),)</f>
        <v/>
      </c>
      <c r="C995" s="36" t="str">
        <f>IF(A995&lt;&gt;"",SUMIFS('การทำธุรกรรม'!E:E,'การทำธุรกรรม'!F:F,A995,'การทำธุรกรรม'!B:B,"รายจ่าย"),)</f>
        <v/>
      </c>
      <c r="D995" s="36" t="str">
        <f t="shared" si="1"/>
        <v/>
      </c>
    </row>
    <row r="996">
      <c r="A996" s="8"/>
      <c r="B996" s="36" t="str">
        <f>IF(A996&lt;&gt;"",SUMIFS('การทำธุรกรรม'!E:E,'การทำธุรกรรม'!F:F,A996,'การทำธุรกรรม'!B:B,"รายรับ"),)</f>
        <v/>
      </c>
      <c r="C996" s="36" t="str">
        <f>IF(A996&lt;&gt;"",SUMIFS('การทำธุรกรรม'!E:E,'การทำธุรกรรม'!F:F,A996,'การทำธุรกรรม'!B:B,"รายจ่าย"),)</f>
        <v/>
      </c>
      <c r="D996" s="36" t="str">
        <f t="shared" si="1"/>
        <v/>
      </c>
    </row>
    <row r="997">
      <c r="A997" s="8"/>
      <c r="B997" s="36" t="str">
        <f>IF(A997&lt;&gt;"",SUMIFS('การทำธุรกรรม'!E:E,'การทำธุรกรรม'!F:F,A997,'การทำธุรกรรม'!B:B,"รายรับ"),)</f>
        <v/>
      </c>
      <c r="C997" s="36" t="str">
        <f>IF(A997&lt;&gt;"",SUMIFS('การทำธุรกรรม'!E:E,'การทำธุรกรรม'!F:F,A997,'การทำธุรกรรม'!B:B,"รายจ่าย"),)</f>
        <v/>
      </c>
      <c r="D997" s="36" t="str">
        <f t="shared" si="1"/>
        <v/>
      </c>
    </row>
    <row r="998">
      <c r="A998" s="8"/>
      <c r="B998" s="36" t="str">
        <f>IF(A998&lt;&gt;"",SUMIFS('การทำธุรกรรม'!E:E,'การทำธุรกรรม'!F:F,A998,'การทำธุรกรรม'!B:B,"รายรับ"),)</f>
        <v/>
      </c>
      <c r="C998" s="36" t="str">
        <f>IF(A998&lt;&gt;"",SUMIFS('การทำธุรกรรม'!E:E,'การทำธุรกรรม'!F:F,A998,'การทำธุรกรรม'!B:B,"รายจ่าย"),)</f>
        <v/>
      </c>
      <c r="D998" s="36" t="str">
        <f t="shared" si="1"/>
        <v/>
      </c>
    </row>
    <row r="999">
      <c r="A999" s="8"/>
      <c r="B999" s="36" t="str">
        <f>IF(A999&lt;&gt;"",SUMIFS('การทำธุรกรรม'!E:E,'การทำธุรกรรม'!F:F,A999,'การทำธุรกรรม'!B:B,"รายรับ"),)</f>
        <v/>
      </c>
      <c r="C999" s="36" t="str">
        <f>IF(A999&lt;&gt;"",SUMIFS('การทำธุรกรรม'!E:E,'การทำธุรกรรม'!F:F,A999,'การทำธุรกรรม'!B:B,"รายจ่าย"),)</f>
        <v/>
      </c>
      <c r="D999" s="36" t="str">
        <f t="shared" si="1"/>
        <v/>
      </c>
    </row>
    <row r="1000">
      <c r="A1000" s="8"/>
      <c r="B1000" s="36" t="str">
        <f>IF(A1000&lt;&gt;"",SUMIFS('การทำธุรกรรม'!E:E,'การทำธุรกรรม'!F:F,A1000,'การทำธุรกรรม'!B:B,"รายรับ"),)</f>
        <v/>
      </c>
      <c r="C1000" s="36" t="str">
        <f>IF(A1000&lt;&gt;"",SUMIFS('การทำธุรกรรม'!E:E,'การทำธุรกรรม'!F:F,A1000,'การทำธุรกรรม'!B:B,"รายจ่าย"),)</f>
        <v/>
      </c>
      <c r="D1000" s="36" t="str">
        <f t="shared" si="1"/>
        <v/>
      </c>
    </row>
  </sheetData>
  <drawing r:id="rId1"/>
</worksheet>
</file>
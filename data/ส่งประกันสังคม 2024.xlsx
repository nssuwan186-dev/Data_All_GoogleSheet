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่งประกันสังคมมกราคม 2567 " sheetId="1" r:id="rId5"/>
    <sheet state="visible" name="ส่งประกันสังคมกุมภาพั 2567 " sheetId="2" r:id="rId6"/>
    <sheet state="visible" name="ส่งประกันสังคมมีนาคม 2567" sheetId="3" r:id="rId7"/>
    <sheet state="visible" name="ส่งประกันสังคมเมษายน 2567 " sheetId="4" r:id="rId8"/>
    <sheet state="visible" name="ส่งประกันสังคมพฤษภาคม 2567  " sheetId="5" r:id="rId9"/>
    <sheet state="visible" name="ส่งประกันสังคมมิถุนายน 2567  " sheetId="6" r:id="rId10"/>
    <sheet state="visible" name="ส่งประกันสังคมก.ค.2567-3คน" sheetId="7" r:id="rId11"/>
    <sheet state="visible" name="ส่งประกันสังคม ส.ค.2567-3คน " sheetId="8" r:id="rId12"/>
    <sheet state="visible" name="ส่งประกันสังคม ก.ย.2567-3คน" sheetId="9" r:id="rId13"/>
    <sheet state="visible" name="ส่งประกันสังคม ต.ค.2567-2คน" sheetId="10" r:id="rId14"/>
    <sheet state="visible" name="ส่งประกันสังคม พ.ย.2567-2คน" sheetId="11" r:id="rId15"/>
    <sheet state="visible" name="ส่งประกันสังคม ธ.ค.2567-2คน " sheetId="12" r:id="rId16"/>
    <sheet state="visible" name="ส่งประกันสังคม ม.ค.2568-2คน" sheetId="13" r:id="rId17"/>
    <sheet state="visible" name="ส่งประกันสังคม ก.พ.2568-2คน" sheetId="14" r:id="rId18"/>
    <sheet state="visible" name="ส่งประกันสังคม มี.ค.2568-2คน" sheetId="15" r:id="rId19"/>
    <sheet state="visible" name="สำเนาของ ส่งประกันสังคม มี.ค.25" sheetId="16" r:id="rId20"/>
    <sheet state="visible" name="ส่งประกันสังคม พ.ค.2568-2คน" sheetId="17" r:id="rId21"/>
    <sheet state="visible" name="ส่งประกันสังคม มิ.ย.2568-2คน" sheetId="18" r:id="rId22"/>
    <sheet state="visible" name="ส่งประกันสังคม ก.ค.2568-2คน" sheetId="19" r:id="rId23"/>
    <sheet state="visible" name="ส่งประกันสังคม ส.ค.2568-2คน" sheetId="20" r:id="rId24"/>
    <sheet state="visible" name="สำเนาของ ส่งประกันสังคม ส.ค.256" sheetId="21" r:id="rId25"/>
    <sheet state="visible" name="ชีต1" sheetId="22" r:id="rId26"/>
  </sheets>
  <definedNames/>
  <calcPr/>
</workbook>
</file>

<file path=xl/sharedStrings.xml><?xml version="1.0" encoding="utf-8"?>
<sst xmlns="http://schemas.openxmlformats.org/spreadsheetml/2006/main" count="545" uniqueCount="66">
  <si>
    <t>เอกสารนี้ถูกแก้ไขโดยสคริปต์</t>
  </si>
  <si>
    <t>บริษัท วิพัฒน์โฮเทล ดีเวลลอปเมนท์ จำกัด</t>
  </si>
  <si>
    <t>ค่าจ้างระหว่างวันที่  1 - 31 มกราคม 2567</t>
  </si>
  <si>
    <t>ลำดับ</t>
  </si>
  <si>
    <t>รายชื่อ</t>
  </si>
  <si>
    <t>ตำแหน่ง</t>
  </si>
  <si>
    <t>ค่าจ้าง/เดือน</t>
  </si>
  <si>
    <t>หักประกันสังคม</t>
  </si>
  <si>
    <t>นายจ้างสมทบ</t>
  </si>
  <si>
    <t>รวมเงินที่นำส่ง</t>
  </si>
  <si>
    <t>รวมเงินเดือน</t>
  </si>
  <si>
    <t>ลายเซ็นผู้รับเงิน</t>
  </si>
  <si>
    <t>หมายเหตุ</t>
  </si>
  <si>
    <t>นายสิทธิพล  ริตะนะ</t>
  </si>
  <si>
    <t>ช่าง</t>
  </si>
  <si>
    <t>นางสาวสุพัตรา มาลัยเพิ่ม</t>
  </si>
  <si>
    <t>แม่บ้าน</t>
  </si>
  <si>
    <t>นางสาวขวัญชนก รันเดล</t>
  </si>
  <si>
    <t>นายผลประสิทธ์ เกตุพิมน</t>
  </si>
  <si>
    <t>ร.ป.ภ.</t>
  </si>
  <si>
    <t xml:space="preserve">              ลงชื่อ ........................................................ ผู้จัดการ</t>
  </si>
  <si>
    <t xml:space="preserve"> </t>
  </si>
  <si>
    <t xml:space="preserve">                              ( นายณัฎฐรัชต์  บุรัตน์ )</t>
  </si>
  <si>
    <t>ลงชื่อ ........................................................ ผู้มีอำนาจอนุมัติ</t>
  </si>
  <si>
    <t xml:space="preserve">                       ผู้จัดทำโดย ......................................................พนักงานบัญชี</t>
  </si>
  <si>
    <t xml:space="preserve">               ( นางวิพัฒน์   กาลจักร )</t>
  </si>
  <si>
    <t xml:space="preserve">           ( ว่าที่ร้อยตรีหญิง จิรดา  ล่ำสัน)</t>
  </si>
  <si>
    <t>ใบสำคัญจ่ายเงินเดือนและค่าจ้าง ( จ่ายประกันสังคมพนักงาน )</t>
  </si>
  <si>
    <t>ค่าจ้างระหว่างวันที่  1 - 29 กุมภาพันธ์ 2567</t>
  </si>
  <si>
    <t xml:space="preserve">                 ผู้จัดทำโดย ......................................................พนักงานบัญชี</t>
  </si>
  <si>
    <t xml:space="preserve">           (ว่าที่ร้อยตรีหญิง จิรดา  ล่ำสัน )</t>
  </si>
  <si>
    <t>ค่าจ้างระหว่างวันที่  1 - 31 มีนาคม 2567</t>
  </si>
  <si>
    <t>ค่าจ้างระหว่างวันที่  1 - 30 เมษายน 2567</t>
  </si>
  <si>
    <t>ว่าที่ ร.ต. จิรดา ล่ำสัน</t>
  </si>
  <si>
    <t>บัญชี</t>
  </si>
  <si>
    <t>นายพงษ์เพชร กันนารัตน์</t>
  </si>
  <si>
    <t>คนสวน</t>
  </si>
  <si>
    <t>ค่าจ้างระหว่างวันที่  1 - 31 พฤษภาคม 2567</t>
  </si>
  <si>
    <t>( นางสาวพรธิดา  กะจ่างศรี)</t>
  </si>
  <si>
    <t>ค่าจ้างระหว่างวันที่  1 - 30 มิถุนายน 2567</t>
  </si>
  <si>
    <t xml:space="preserve">                         -</t>
  </si>
  <si>
    <t>ค่าจ้างระหว่างวันที่  1 - 31 กรกฎาคม 2567</t>
  </si>
  <si>
    <t xml:space="preserve">                              ( นางธฤษิดา  ศรีชลภัทร )</t>
  </si>
  <si>
    <t>( นางสมจิตร  จันทร์เมือง)</t>
  </si>
  <si>
    <t>ค่าจ้างระหว่างวันที่  1 - 31 สิงหาคม 2567</t>
  </si>
  <si>
    <t>( นายณัฐภัทร สุวรรณโส)</t>
  </si>
  <si>
    <t>ค่าจ้างระหว่างวันที่  1 - 30 กันยายน 2567</t>
  </si>
  <si>
    <t>ค่าจ้างระหว่างวันที่  1 - 31 ตุลาคม 2567</t>
  </si>
  <si>
    <t>ค่าจ้างระหว่างวันที่  1 - 30 พฤศจิกายน 2567</t>
  </si>
  <si>
    <t xml:space="preserve">              ลงชื่อ ........................................................ ( ผู้จัดการ )</t>
  </si>
  <si>
    <t xml:space="preserve">                              ( นาง ธฤษิดา  ศรีชลภัทร )</t>
  </si>
  <si>
    <t>ลงชื่อ ........................................................ ( ผู้มีอำนาจอนุมัติ )</t>
  </si>
  <si>
    <t xml:space="preserve">                 ผู้จัดทำโดย ...................................................... ( พนักงานบัญชี )</t>
  </si>
  <si>
    <t xml:space="preserve">               ( นาง วิพัฒน์   กาลจักร )</t>
  </si>
  <si>
    <t>( นาย ณัฐภัทร สุวรรณโส)</t>
  </si>
  <si>
    <t>ค่าจ้างระหว่างวันที่  1 - 31 ธันวาคม 2567</t>
  </si>
  <si>
    <t>ค่าจ้างระหว่างวันที่  1 - 31 มกราคม 2568</t>
  </si>
  <si>
    <t>ค่าจ้างระหว่างวันที่  1 - 31 กุมภาพันธ์ 2568</t>
  </si>
  <si>
    <t>ค่าจ้างระหว่างวันที่  1 - 30 เมษายน 2568</t>
  </si>
  <si>
    <t xml:space="preserve">                   ( นาง วิพัฒน์   กาลจักร )</t>
  </si>
  <si>
    <t xml:space="preserve">      ( นาย ณัฐภัทร สุวรรณโส)</t>
  </si>
  <si>
    <t>ค่าจ้างระหว่างวันที่  1 - 31 พฤษภาคม 2568</t>
  </si>
  <si>
    <t>ค่าจ้างระหว่างวันที่  1 - 31 กรกฏาคม 2568</t>
  </si>
  <si>
    <t>ค่าจ้างระหว่างวันที่  1 - 31 สิงหาคม 2568</t>
  </si>
  <si>
    <t>ค่าจ้างระหว่างวันที่  1 - 31 ธันวาคม 2568</t>
  </si>
  <si>
    <t xml:space="preserve">      ( นาย ณัฐภัทร สุวรรณโส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</si>
</sst>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1">
    <font>
      <sz val="11.0"/>
      <color theme="1"/>
      <name val="Calibri"/>
      <scheme val="minor"/>
    </font>
    <font>
      <b/>
      <sz val="18.0"/>
      <color theme="1"/>
      <name val="AngsanaUPC"/>
    </font>
    <font>
      <sz val="16.0"/>
      <color theme="1"/>
      <name val="AngsanaUPC"/>
    </font>
    <font>
      <sz val="16.0"/>
      <color theme="1"/>
      <name val="Angsana New"/>
    </font>
    <font>
      <sz val="18.0"/>
      <color theme="1"/>
      <name val="AngsanaUPC"/>
    </font>
    <font>
      <sz val="18.0"/>
      <color theme="1"/>
      <name val="Angsana New"/>
    </font>
    <font>
      <sz val="18.0"/>
      <color theme="1"/>
      <name val="Tahoma"/>
    </font>
    <font>
      <b/>
      <sz val="16.0"/>
      <color theme="1"/>
      <name val="AngsanaUPC"/>
    </font>
    <font/>
    <font>
      <sz val="11.0"/>
      <color theme="1"/>
      <name val="Tahoma"/>
    </font>
    <font>
      <b/>
      <sz val="24.0"/>
      <color theme="1"/>
      <name val="AngsanaUPC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3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164" xfId="0" applyFont="1" applyNumberFormat="1"/>
    <xf borderId="2" fillId="0" fontId="2" numFmtId="164" xfId="0" applyBorder="1" applyFont="1" applyNumberFormat="1"/>
    <xf borderId="1" fillId="0" fontId="2" numFmtId="164" xfId="0" applyBorder="1" applyFont="1" applyNumberFormat="1"/>
    <xf borderId="0" fillId="0" fontId="2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3" fillId="3" fontId="2" numFmtId="0" xfId="0" applyBorder="1" applyFill="1" applyFont="1"/>
    <xf borderId="4" fillId="3" fontId="7" numFmtId="0" xfId="0" applyAlignment="1" applyBorder="1" applyFont="1">
      <alignment horizontal="center"/>
    </xf>
    <xf borderId="5" fillId="0" fontId="8" numFmtId="0" xfId="0" applyBorder="1" applyFont="1"/>
    <xf borderId="6" fillId="0" fontId="8" numFmtId="0" xfId="0" applyBorder="1" applyFont="1"/>
    <xf borderId="3" fillId="3" fontId="9" numFmtId="0" xfId="0" applyBorder="1" applyFont="1"/>
    <xf borderId="4" fillId="3" fontId="2" numFmtId="0" xfId="0" applyAlignment="1" applyBorder="1" applyFont="1">
      <alignment horizontal="center"/>
    </xf>
    <xf borderId="1" fillId="3" fontId="4" numFmtId="17" xfId="0" applyAlignment="1" applyBorder="1" applyFont="1" applyNumberFormat="1">
      <alignment horizontal="center"/>
    </xf>
    <xf borderId="1" fillId="3" fontId="4" numFmtId="0" xfId="0" applyAlignment="1" applyBorder="1" applyFont="1">
      <alignment horizontal="center"/>
    </xf>
    <xf borderId="1" fillId="3" fontId="4" numFmtId="17" xfId="0" applyBorder="1" applyFont="1" applyNumberFormat="1"/>
    <xf borderId="3" fillId="3" fontId="4" numFmtId="17" xfId="0" applyAlignment="1" applyBorder="1" applyFont="1" applyNumberFormat="1">
      <alignment horizontal="center"/>
    </xf>
    <xf borderId="3" fillId="3" fontId="4" numFmtId="0" xfId="0" applyAlignment="1" applyBorder="1" applyFont="1">
      <alignment horizontal="center"/>
    </xf>
    <xf borderId="3" fillId="3" fontId="4" numFmtId="17" xfId="0" applyBorder="1" applyFont="1" applyNumberFormat="1"/>
    <xf borderId="0" fillId="0" fontId="2" numFmtId="0" xfId="0" applyAlignment="1" applyFont="1">
      <alignment horizontal="right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vertical="center"/>
    </xf>
    <xf borderId="7" fillId="0" fontId="1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3.86"/>
    <col customWidth="1" min="3" max="3" width="12.14"/>
    <col customWidth="1" min="4" max="4" width="12.71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0.43"/>
    <col customWidth="1" min="11" max="26" width="8.71"/>
  </cols>
  <sheetData>
    <row r="1" ht="14.25" customHeight="1">
      <c r="A1" s="1" t="s">
        <v>0</v>
      </c>
      <c r="K1" s="2"/>
      <c r="L1" s="2"/>
    </row>
    <row r="2" ht="14.25" customHeight="1">
      <c r="A2" s="3" t="s">
        <v>1</v>
      </c>
      <c r="B2" s="4"/>
      <c r="C2" s="3"/>
      <c r="D2" s="3"/>
      <c r="E2" s="3"/>
      <c r="F2" s="3"/>
      <c r="G2" s="3"/>
      <c r="H2" s="3"/>
      <c r="I2" s="3"/>
      <c r="J2" s="3"/>
      <c r="K2" s="2"/>
      <c r="L2" s="2"/>
    </row>
    <row r="3" ht="14.25" customHeight="1">
      <c r="A3" s="5" t="s">
        <v>2</v>
      </c>
      <c r="K3" s="2"/>
      <c r="L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  <c r="L4" s="2"/>
    </row>
    <row r="5" ht="14.25" customHeight="1">
      <c r="A5" s="7">
        <v>1.0</v>
      </c>
      <c r="B5" s="8" t="s">
        <v>13</v>
      </c>
      <c r="C5" s="7" t="s">
        <v>14</v>
      </c>
      <c r="D5" s="9">
        <v>9000.0</v>
      </c>
      <c r="E5" s="10">
        <v>450.0</v>
      </c>
      <c r="F5" s="10">
        <v>450.0</v>
      </c>
      <c r="G5" s="10">
        <f t="shared" ref="G5:G9" si="1">E5+F5</f>
        <v>900</v>
      </c>
      <c r="H5" s="10">
        <f t="shared" ref="H5:H9" si="2">D5-E5</f>
        <v>8550</v>
      </c>
      <c r="I5" s="8"/>
      <c r="J5" s="8"/>
      <c r="K5" s="2"/>
      <c r="L5" s="2"/>
    </row>
    <row r="6" ht="14.25" customHeight="1">
      <c r="A6" s="7">
        <v>2.0</v>
      </c>
      <c r="B6" s="8" t="s">
        <v>15</v>
      </c>
      <c r="C6" s="7" t="s">
        <v>16</v>
      </c>
      <c r="D6" s="9">
        <v>9000.0</v>
      </c>
      <c r="E6" s="10">
        <v>450.0</v>
      </c>
      <c r="F6" s="10">
        <v>450.0</v>
      </c>
      <c r="G6" s="10">
        <f t="shared" si="1"/>
        <v>900</v>
      </c>
      <c r="H6" s="10">
        <f t="shared" si="2"/>
        <v>8550</v>
      </c>
      <c r="I6" s="8"/>
      <c r="J6" s="8"/>
      <c r="K6" s="11"/>
      <c r="L6" s="11"/>
    </row>
    <row r="7" ht="14.25" customHeight="1">
      <c r="A7" s="7">
        <v>3.0</v>
      </c>
      <c r="B7" s="8" t="s">
        <v>17</v>
      </c>
      <c r="C7" s="7" t="s">
        <v>16</v>
      </c>
      <c r="D7" s="9">
        <v>9000.0</v>
      </c>
      <c r="E7" s="10">
        <v>450.0</v>
      </c>
      <c r="F7" s="10">
        <v>450.0</v>
      </c>
      <c r="G7" s="10">
        <f t="shared" si="1"/>
        <v>900</v>
      </c>
      <c r="H7" s="10">
        <f t="shared" si="2"/>
        <v>8550</v>
      </c>
      <c r="I7" s="8"/>
      <c r="J7" s="8"/>
      <c r="K7" s="2"/>
      <c r="L7" s="2"/>
    </row>
    <row r="8" ht="14.25" customHeight="1">
      <c r="A8" s="7">
        <v>4.0</v>
      </c>
      <c r="B8" s="8" t="s">
        <v>18</v>
      </c>
      <c r="C8" s="7" t="s">
        <v>19</v>
      </c>
      <c r="D8" s="9">
        <v>12000.0</v>
      </c>
      <c r="E8" s="10">
        <v>600.0</v>
      </c>
      <c r="F8" s="10">
        <v>600.0</v>
      </c>
      <c r="G8" s="10">
        <f t="shared" si="1"/>
        <v>1200</v>
      </c>
      <c r="H8" s="10">
        <f t="shared" si="2"/>
        <v>11400</v>
      </c>
      <c r="I8" s="8"/>
      <c r="J8" s="8"/>
      <c r="K8" s="2"/>
      <c r="L8" s="2"/>
    </row>
    <row r="9" ht="14.25" customHeight="1">
      <c r="A9" s="7"/>
      <c r="B9" s="8"/>
      <c r="C9" s="7"/>
      <c r="D9" s="9"/>
      <c r="E9" s="10"/>
      <c r="F9" s="10"/>
      <c r="G9" s="10">
        <f t="shared" si="1"/>
        <v>0</v>
      </c>
      <c r="H9" s="10">
        <f t="shared" si="2"/>
        <v>0</v>
      </c>
      <c r="I9" s="8"/>
      <c r="J9" s="8"/>
      <c r="K9" s="2"/>
      <c r="L9" s="2"/>
    </row>
    <row r="10" ht="14.25" customHeight="1">
      <c r="A10" s="2"/>
      <c r="B10" s="2"/>
      <c r="C10" s="2"/>
      <c r="D10" s="12">
        <f t="shared" ref="D10:H10" si="3">SUM(D5:D9)</f>
        <v>39000</v>
      </c>
      <c r="E10" s="12">
        <f t="shared" si="3"/>
        <v>1950</v>
      </c>
      <c r="F10" s="12">
        <f t="shared" si="3"/>
        <v>1950</v>
      </c>
      <c r="G10" s="12">
        <f t="shared" si="3"/>
        <v>3900</v>
      </c>
      <c r="H10" s="13">
        <f t="shared" si="3"/>
        <v>37050</v>
      </c>
      <c r="I10" s="2"/>
      <c r="J10" s="2"/>
      <c r="K10" s="2"/>
      <c r="L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14"/>
      <c r="J12" s="14"/>
      <c r="K12" s="2"/>
      <c r="L12" s="2"/>
    </row>
    <row r="13" ht="14.25" customHeight="1">
      <c r="A13" s="2"/>
      <c r="B13" s="2"/>
      <c r="C13" s="2"/>
      <c r="D13" s="2" t="s">
        <v>20</v>
      </c>
      <c r="E13" s="2"/>
      <c r="F13" s="2"/>
      <c r="G13" s="2"/>
      <c r="H13" s="2"/>
      <c r="I13" s="14"/>
      <c r="J13" s="14"/>
      <c r="K13" s="2"/>
      <c r="L13" s="2"/>
    </row>
    <row r="14" ht="14.25" customHeight="1">
      <c r="A14" s="2"/>
      <c r="B14" s="15" t="s">
        <v>21</v>
      </c>
      <c r="C14" s="2"/>
      <c r="D14" s="2" t="s">
        <v>22</v>
      </c>
      <c r="E14" s="2"/>
      <c r="F14" s="2"/>
      <c r="G14" s="2"/>
      <c r="H14" s="2"/>
      <c r="I14" s="14"/>
      <c r="J14" s="14"/>
      <c r="K14" s="2"/>
      <c r="L14" s="2"/>
    </row>
    <row r="15" ht="14.25" customHeight="1">
      <c r="A15" s="2" t="s">
        <v>21</v>
      </c>
      <c r="B15" s="15"/>
      <c r="C15" s="15"/>
      <c r="D15" s="15"/>
      <c r="E15" s="15"/>
      <c r="F15" s="15"/>
      <c r="G15" s="15"/>
      <c r="H15" s="15"/>
      <c r="I15" s="15"/>
      <c r="J15" s="16"/>
      <c r="K15" s="2"/>
      <c r="L15" s="2"/>
    </row>
    <row r="16" ht="14.25" customHeight="1">
      <c r="A16" s="2"/>
      <c r="B16" s="15"/>
      <c r="C16" s="15"/>
      <c r="D16" s="15"/>
      <c r="E16" s="15"/>
      <c r="F16" s="15"/>
      <c r="G16" s="15"/>
      <c r="H16" s="15"/>
      <c r="I16" s="15"/>
      <c r="J16" s="16"/>
      <c r="K16" s="2"/>
      <c r="L16" s="2"/>
    </row>
    <row r="17" ht="14.25" customHeight="1">
      <c r="A17" s="2" t="s">
        <v>23</v>
      </c>
      <c r="B17" s="2"/>
      <c r="C17" s="2"/>
      <c r="D17" s="2"/>
      <c r="E17" s="2"/>
      <c r="F17" s="2" t="s">
        <v>24</v>
      </c>
      <c r="G17" s="2"/>
      <c r="H17" s="2"/>
      <c r="I17" s="2"/>
      <c r="J17" s="17"/>
      <c r="K17" s="18"/>
      <c r="L17" s="2"/>
    </row>
    <row r="18" ht="14.25" customHeight="1">
      <c r="A18" s="2" t="s">
        <v>25</v>
      </c>
      <c r="B18" s="2"/>
      <c r="C18" s="2"/>
      <c r="D18" s="2"/>
      <c r="E18" s="2"/>
      <c r="F18" s="2"/>
      <c r="G18" s="14" t="s">
        <v>26</v>
      </c>
      <c r="I18" s="2"/>
      <c r="J18" s="15"/>
      <c r="K18" s="16"/>
      <c r="L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17"/>
      <c r="L19" s="2"/>
    </row>
    <row r="20" ht="14.25" customHeight="1">
      <c r="A20" s="19"/>
      <c r="B20" s="20"/>
      <c r="C20" s="21"/>
      <c r="D20" s="21"/>
      <c r="E20" s="22"/>
      <c r="F20" s="19"/>
      <c r="G20" s="19"/>
      <c r="H20" s="19"/>
      <c r="I20" s="19"/>
      <c r="J20" s="19"/>
      <c r="K20" s="19"/>
      <c r="L20" s="19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2.2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6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23"/>
      <c r="B23" s="24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5.2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8.75" customHeight="1">
      <c r="A25" s="23"/>
      <c r="B25" s="25"/>
      <c r="C25" s="26"/>
      <c r="D25" s="27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5"/>
      <c r="C26" s="26"/>
      <c r="D26" s="27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5"/>
      <c r="C27" s="26"/>
      <c r="D27" s="27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8:H18"/>
    <mergeCell ref="B20:E20"/>
    <mergeCell ref="B23:C23"/>
  </mergeCells>
  <printOptions/>
  <pageMargins bottom="0.07874015748031496" footer="0.0" header="0.0" left="0.5905511811023623" right="0.07874015748031496" top="0.7480314960629921"/>
  <pageSetup paperSize="9" scale="9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0.43"/>
    <col customWidth="1" min="11" max="26" width="8.71"/>
  </cols>
  <sheetData>
    <row r="1" ht="14.25" customHeight="1">
      <c r="A1" s="5" t="s">
        <v>27</v>
      </c>
      <c r="K1" s="2"/>
      <c r="L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</row>
    <row r="3" ht="14.25" customHeight="1">
      <c r="A3" s="5" t="s">
        <v>28</v>
      </c>
      <c r="K3" s="2"/>
      <c r="L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  <c r="L4" s="2"/>
    </row>
    <row r="5" ht="14.25" customHeight="1">
      <c r="A5" s="7">
        <v>1.0</v>
      </c>
      <c r="B5" s="8" t="s">
        <v>13</v>
      </c>
      <c r="C5" s="7" t="s">
        <v>14</v>
      </c>
      <c r="D5" s="9">
        <v>9000.0</v>
      </c>
      <c r="E5" s="10">
        <v>450.0</v>
      </c>
      <c r="F5" s="10">
        <v>450.0</v>
      </c>
      <c r="G5" s="10">
        <f t="shared" ref="G5:G9" si="1">E5+F5</f>
        <v>900</v>
      </c>
      <c r="H5" s="10">
        <f t="shared" ref="H5:H9" si="2">D5-E5</f>
        <v>8550</v>
      </c>
      <c r="I5" s="8"/>
      <c r="J5" s="8"/>
      <c r="K5" s="2"/>
      <c r="L5" s="2"/>
    </row>
    <row r="6" ht="14.25" customHeight="1">
      <c r="A6" s="7">
        <v>2.0</v>
      </c>
      <c r="B6" s="8" t="s">
        <v>15</v>
      </c>
      <c r="C6" s="7" t="s">
        <v>16</v>
      </c>
      <c r="D6" s="9">
        <v>9000.0</v>
      </c>
      <c r="E6" s="10">
        <v>450.0</v>
      </c>
      <c r="F6" s="10">
        <v>450.0</v>
      </c>
      <c r="G6" s="10">
        <f t="shared" si="1"/>
        <v>900</v>
      </c>
      <c r="H6" s="10">
        <f t="shared" si="2"/>
        <v>8550</v>
      </c>
      <c r="I6" s="8"/>
      <c r="J6" s="8"/>
      <c r="K6" s="11"/>
      <c r="L6" s="11"/>
    </row>
    <row r="7" ht="14.25" customHeight="1">
      <c r="A7" s="7">
        <v>3.0</v>
      </c>
      <c r="B7" s="8" t="s">
        <v>17</v>
      </c>
      <c r="C7" s="7" t="s">
        <v>16</v>
      </c>
      <c r="D7" s="9">
        <v>9000.0</v>
      </c>
      <c r="E7" s="10">
        <v>450.0</v>
      </c>
      <c r="F7" s="10">
        <v>450.0</v>
      </c>
      <c r="G7" s="10">
        <f t="shared" si="1"/>
        <v>900</v>
      </c>
      <c r="H7" s="10">
        <f t="shared" si="2"/>
        <v>8550</v>
      </c>
      <c r="I7" s="8"/>
      <c r="J7" s="8"/>
      <c r="K7" s="2"/>
      <c r="L7" s="2"/>
    </row>
    <row r="8" ht="14.25" customHeight="1">
      <c r="A8" s="7">
        <v>4.0</v>
      </c>
      <c r="B8" s="8" t="s">
        <v>18</v>
      </c>
      <c r="C8" s="7" t="s">
        <v>19</v>
      </c>
      <c r="D8" s="9">
        <v>12000.0</v>
      </c>
      <c r="E8" s="10">
        <v>600.0</v>
      </c>
      <c r="F8" s="10">
        <v>600.0</v>
      </c>
      <c r="G8" s="10">
        <f t="shared" si="1"/>
        <v>1200</v>
      </c>
      <c r="H8" s="10">
        <f t="shared" si="2"/>
        <v>11400</v>
      </c>
      <c r="I8" s="8"/>
      <c r="J8" s="8"/>
      <c r="K8" s="2"/>
      <c r="L8" s="2"/>
    </row>
    <row r="9" ht="14.25" customHeight="1">
      <c r="A9" s="7"/>
      <c r="B9" s="8"/>
      <c r="C9" s="7"/>
      <c r="D9" s="9"/>
      <c r="E9" s="10"/>
      <c r="F9" s="10"/>
      <c r="G9" s="10">
        <f t="shared" si="1"/>
        <v>0</v>
      </c>
      <c r="H9" s="10">
        <f t="shared" si="2"/>
        <v>0</v>
      </c>
      <c r="I9" s="8"/>
      <c r="J9" s="8"/>
      <c r="K9" s="2"/>
      <c r="L9" s="2"/>
    </row>
    <row r="10" ht="14.25" customHeight="1">
      <c r="A10" s="2"/>
      <c r="B10" s="2"/>
      <c r="C10" s="2"/>
      <c r="D10" s="12">
        <f t="shared" ref="D10:H10" si="3">SUM(D5:D9)</f>
        <v>39000</v>
      </c>
      <c r="E10" s="12">
        <f t="shared" si="3"/>
        <v>1950</v>
      </c>
      <c r="F10" s="12">
        <f t="shared" si="3"/>
        <v>1950</v>
      </c>
      <c r="G10" s="12">
        <f t="shared" si="3"/>
        <v>3900</v>
      </c>
      <c r="H10" s="13">
        <f t="shared" si="3"/>
        <v>37050</v>
      </c>
      <c r="I10" s="2"/>
      <c r="J10" s="2"/>
      <c r="K10" s="2"/>
      <c r="L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14"/>
      <c r="J12" s="14"/>
      <c r="K12" s="2"/>
      <c r="L12" s="2"/>
    </row>
    <row r="13" ht="14.25" customHeight="1">
      <c r="A13" s="2"/>
      <c r="B13" s="2"/>
      <c r="C13" s="2"/>
      <c r="D13" s="2" t="s">
        <v>20</v>
      </c>
      <c r="E13" s="2"/>
      <c r="F13" s="2"/>
      <c r="G13" s="2"/>
      <c r="H13" s="2"/>
      <c r="I13" s="14"/>
      <c r="J13" s="14"/>
      <c r="K13" s="2"/>
      <c r="L13" s="2"/>
    </row>
    <row r="14" ht="14.25" customHeight="1">
      <c r="A14" s="2"/>
      <c r="B14" s="15" t="s">
        <v>21</v>
      </c>
      <c r="C14" s="2"/>
      <c r="D14" s="2" t="s">
        <v>22</v>
      </c>
      <c r="E14" s="2"/>
      <c r="F14" s="2"/>
      <c r="G14" s="2"/>
      <c r="H14" s="2"/>
      <c r="I14" s="14"/>
      <c r="J14" s="14"/>
      <c r="K14" s="2"/>
      <c r="L14" s="2"/>
    </row>
    <row r="15" ht="14.25" customHeight="1">
      <c r="A15" s="2" t="s">
        <v>21</v>
      </c>
      <c r="B15" s="15"/>
      <c r="C15" s="15"/>
      <c r="D15" s="15"/>
      <c r="E15" s="15"/>
      <c r="F15" s="15"/>
      <c r="G15" s="15"/>
      <c r="H15" s="15"/>
      <c r="I15" s="15"/>
      <c r="J15" s="16"/>
      <c r="K15" s="2"/>
      <c r="L15" s="2"/>
    </row>
    <row r="16" ht="14.25" customHeight="1">
      <c r="A16" s="2"/>
      <c r="B16" s="15"/>
      <c r="C16" s="15"/>
      <c r="D16" s="15"/>
      <c r="E16" s="15"/>
      <c r="F16" s="15"/>
      <c r="G16" s="15"/>
      <c r="H16" s="15"/>
      <c r="I16" s="15"/>
      <c r="J16" s="16"/>
      <c r="K16" s="2"/>
      <c r="L16" s="2"/>
    </row>
    <row r="17" ht="14.25" customHeight="1">
      <c r="A17" s="2" t="s">
        <v>23</v>
      </c>
      <c r="B17" s="2"/>
      <c r="C17" s="2"/>
      <c r="D17" s="2"/>
      <c r="E17" s="2"/>
      <c r="F17" s="2" t="s">
        <v>29</v>
      </c>
      <c r="G17" s="2"/>
      <c r="H17" s="2"/>
      <c r="I17" s="2"/>
      <c r="J17" s="17"/>
      <c r="K17" s="18"/>
      <c r="L17" s="2"/>
    </row>
    <row r="18" ht="14.25" customHeight="1">
      <c r="A18" s="2" t="s">
        <v>25</v>
      </c>
      <c r="B18" s="2"/>
      <c r="C18" s="2"/>
      <c r="D18" s="2"/>
      <c r="E18" s="2"/>
      <c r="F18" s="2"/>
      <c r="G18" s="14" t="s">
        <v>30</v>
      </c>
      <c r="I18" s="2"/>
      <c r="J18" s="15"/>
      <c r="K18" s="16"/>
      <c r="L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17"/>
      <c r="L19" s="2"/>
    </row>
    <row r="20" ht="14.25" customHeight="1">
      <c r="A20" s="19"/>
      <c r="B20" s="20"/>
      <c r="C20" s="21"/>
      <c r="D20" s="21"/>
      <c r="E20" s="22"/>
      <c r="F20" s="19"/>
      <c r="G20" s="19"/>
      <c r="H20" s="19"/>
      <c r="I20" s="19"/>
      <c r="J20" s="19"/>
      <c r="K20" s="19"/>
      <c r="L20" s="19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2.2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6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23"/>
      <c r="B23" s="24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5.2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8.75" customHeight="1">
      <c r="A25" s="23"/>
      <c r="B25" s="25"/>
      <c r="C25" s="26"/>
      <c r="D25" s="27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5"/>
      <c r="C26" s="26"/>
      <c r="D26" s="27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5"/>
      <c r="C27" s="26"/>
      <c r="D27" s="27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8:H18"/>
    <mergeCell ref="B20:E20"/>
    <mergeCell ref="B23:C23"/>
  </mergeCells>
  <printOptions/>
  <pageMargins bottom="0.07874015748031496" footer="0.0" header="0.0" left="0.5905511811023623" right="0.07874015748031496" top="0.7480314960629921"/>
  <pageSetup paperSize="9" scale="9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0.43"/>
    <col customWidth="1" min="11" max="26" width="8.71"/>
  </cols>
  <sheetData>
    <row r="1" ht="14.25" customHeight="1">
      <c r="A1" s="5" t="s">
        <v>27</v>
      </c>
      <c r="K1" s="2"/>
      <c r="L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</row>
    <row r="3" ht="14.25" customHeight="1">
      <c r="A3" s="5" t="s">
        <v>31</v>
      </c>
      <c r="K3" s="2"/>
      <c r="L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  <c r="L4" s="2"/>
    </row>
    <row r="5" ht="14.25" customHeight="1">
      <c r="A5" s="7">
        <v>1.0</v>
      </c>
      <c r="B5" s="8" t="s">
        <v>13</v>
      </c>
      <c r="C5" s="7" t="s">
        <v>14</v>
      </c>
      <c r="D5" s="9">
        <v>9000.0</v>
      </c>
      <c r="E5" s="10">
        <v>450.0</v>
      </c>
      <c r="F5" s="10">
        <v>450.0</v>
      </c>
      <c r="G5" s="10">
        <f t="shared" ref="G5:G9" si="1">E5+F5</f>
        <v>900</v>
      </c>
      <c r="H5" s="10">
        <f t="shared" ref="H5:H9" si="2">D5-E5</f>
        <v>8550</v>
      </c>
      <c r="I5" s="8"/>
      <c r="J5" s="8"/>
      <c r="K5" s="2"/>
      <c r="L5" s="2"/>
    </row>
    <row r="6" ht="14.25" customHeight="1">
      <c r="A6" s="7">
        <v>2.0</v>
      </c>
      <c r="B6" s="8" t="s">
        <v>15</v>
      </c>
      <c r="C6" s="7" t="s">
        <v>16</v>
      </c>
      <c r="D6" s="9">
        <v>9000.0</v>
      </c>
      <c r="E6" s="10">
        <v>450.0</v>
      </c>
      <c r="F6" s="10">
        <v>450.0</v>
      </c>
      <c r="G6" s="10">
        <f t="shared" si="1"/>
        <v>900</v>
      </c>
      <c r="H6" s="10">
        <f t="shared" si="2"/>
        <v>8550</v>
      </c>
      <c r="I6" s="8"/>
      <c r="J6" s="8"/>
      <c r="K6" s="11"/>
      <c r="L6" s="11"/>
    </row>
    <row r="7" ht="14.25" customHeight="1">
      <c r="A7" s="7">
        <v>3.0</v>
      </c>
      <c r="B7" s="8" t="s">
        <v>17</v>
      </c>
      <c r="C7" s="7" t="s">
        <v>16</v>
      </c>
      <c r="D7" s="9">
        <v>9000.0</v>
      </c>
      <c r="E7" s="10">
        <v>450.0</v>
      </c>
      <c r="F7" s="10">
        <v>450.0</v>
      </c>
      <c r="G7" s="10">
        <f t="shared" si="1"/>
        <v>900</v>
      </c>
      <c r="H7" s="10">
        <f t="shared" si="2"/>
        <v>8550</v>
      </c>
      <c r="I7" s="8"/>
      <c r="J7" s="8"/>
      <c r="K7" s="2"/>
      <c r="L7" s="2"/>
    </row>
    <row r="8" ht="14.25" customHeight="1">
      <c r="A8" s="7">
        <v>4.0</v>
      </c>
      <c r="B8" s="8" t="s">
        <v>18</v>
      </c>
      <c r="C8" s="7" t="s">
        <v>19</v>
      </c>
      <c r="D8" s="9">
        <v>12000.0</v>
      </c>
      <c r="E8" s="10">
        <v>600.0</v>
      </c>
      <c r="F8" s="10">
        <v>600.0</v>
      </c>
      <c r="G8" s="10">
        <f t="shared" si="1"/>
        <v>1200</v>
      </c>
      <c r="H8" s="10">
        <f t="shared" si="2"/>
        <v>11400</v>
      </c>
      <c r="I8" s="8"/>
      <c r="J8" s="8"/>
      <c r="K8" s="2"/>
      <c r="L8" s="2"/>
    </row>
    <row r="9" ht="14.25" customHeight="1">
      <c r="A9" s="7"/>
      <c r="B9" s="8"/>
      <c r="C9" s="7"/>
      <c r="D9" s="9"/>
      <c r="E9" s="10"/>
      <c r="F9" s="10"/>
      <c r="G9" s="10">
        <f t="shared" si="1"/>
        <v>0</v>
      </c>
      <c r="H9" s="10">
        <f t="shared" si="2"/>
        <v>0</v>
      </c>
      <c r="I9" s="8"/>
      <c r="J9" s="8"/>
      <c r="K9" s="2"/>
      <c r="L9" s="2"/>
    </row>
    <row r="10" ht="14.25" customHeight="1">
      <c r="A10" s="2"/>
      <c r="B10" s="2"/>
      <c r="C10" s="2"/>
      <c r="D10" s="12">
        <f t="shared" ref="D10:H10" si="3">SUM(D5:D9)</f>
        <v>39000</v>
      </c>
      <c r="E10" s="12">
        <f t="shared" si="3"/>
        <v>1950</v>
      </c>
      <c r="F10" s="12">
        <f t="shared" si="3"/>
        <v>1950</v>
      </c>
      <c r="G10" s="12">
        <f t="shared" si="3"/>
        <v>3900</v>
      </c>
      <c r="H10" s="13">
        <f t="shared" si="3"/>
        <v>37050</v>
      </c>
      <c r="I10" s="2"/>
      <c r="J10" s="2"/>
      <c r="K10" s="2"/>
      <c r="L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14"/>
      <c r="J12" s="14"/>
      <c r="K12" s="2"/>
      <c r="L12" s="2"/>
    </row>
    <row r="13" ht="14.25" customHeight="1">
      <c r="A13" s="2"/>
      <c r="B13" s="2"/>
      <c r="C13" s="2"/>
      <c r="D13" s="2" t="s">
        <v>20</v>
      </c>
      <c r="E13" s="2"/>
      <c r="F13" s="2"/>
      <c r="G13" s="2"/>
      <c r="H13" s="2"/>
      <c r="I13" s="14"/>
      <c r="J13" s="14"/>
      <c r="K13" s="2"/>
      <c r="L13" s="2"/>
    </row>
    <row r="14" ht="14.25" customHeight="1">
      <c r="A14" s="2"/>
      <c r="B14" s="15" t="s">
        <v>21</v>
      </c>
      <c r="C14" s="2"/>
      <c r="D14" s="2" t="s">
        <v>22</v>
      </c>
      <c r="E14" s="2"/>
      <c r="F14" s="2"/>
      <c r="G14" s="2"/>
      <c r="H14" s="2"/>
      <c r="I14" s="14"/>
      <c r="J14" s="14"/>
      <c r="K14" s="2"/>
      <c r="L14" s="2"/>
    </row>
    <row r="15" ht="14.25" customHeight="1">
      <c r="A15" s="2" t="s">
        <v>21</v>
      </c>
      <c r="B15" s="15"/>
      <c r="C15" s="15"/>
      <c r="D15" s="15"/>
      <c r="E15" s="15"/>
      <c r="F15" s="15"/>
      <c r="G15" s="15"/>
      <c r="H15" s="15"/>
      <c r="I15" s="15"/>
      <c r="J15" s="16"/>
      <c r="K15" s="2"/>
      <c r="L15" s="2"/>
    </row>
    <row r="16" ht="14.25" customHeight="1">
      <c r="A16" s="2"/>
      <c r="B16" s="15"/>
      <c r="C16" s="15"/>
      <c r="D16" s="15"/>
      <c r="E16" s="15"/>
      <c r="F16" s="15"/>
      <c r="G16" s="15"/>
      <c r="H16" s="15"/>
      <c r="I16" s="15"/>
      <c r="J16" s="16"/>
      <c r="K16" s="2"/>
      <c r="L16" s="2"/>
    </row>
    <row r="17" ht="14.25" customHeight="1">
      <c r="A17" s="2" t="s">
        <v>23</v>
      </c>
      <c r="B17" s="2"/>
      <c r="C17" s="2"/>
      <c r="D17" s="2"/>
      <c r="E17" s="2"/>
      <c r="F17" s="2" t="s">
        <v>29</v>
      </c>
      <c r="G17" s="2"/>
      <c r="H17" s="2"/>
      <c r="I17" s="2"/>
      <c r="J17" s="17"/>
      <c r="K17" s="18"/>
      <c r="L17" s="2"/>
    </row>
    <row r="18" ht="14.25" customHeight="1">
      <c r="A18" s="2" t="s">
        <v>25</v>
      </c>
      <c r="B18" s="2"/>
      <c r="C18" s="2"/>
      <c r="D18" s="2"/>
      <c r="E18" s="2"/>
      <c r="F18" s="2"/>
      <c r="G18" s="14" t="s">
        <v>30</v>
      </c>
      <c r="I18" s="2"/>
      <c r="J18" s="15"/>
      <c r="K18" s="16"/>
      <c r="L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17"/>
      <c r="L19" s="2"/>
    </row>
    <row r="20" ht="14.25" customHeight="1">
      <c r="A20" s="19"/>
      <c r="B20" s="20"/>
      <c r="C20" s="21"/>
      <c r="D20" s="21"/>
      <c r="E20" s="22"/>
      <c r="F20" s="19"/>
      <c r="G20" s="19"/>
      <c r="H20" s="19"/>
      <c r="I20" s="19"/>
      <c r="J20" s="19"/>
      <c r="K20" s="19"/>
      <c r="L20" s="19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2.2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6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23"/>
      <c r="B23" s="24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5.2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8.75" customHeight="1">
      <c r="A25" s="23"/>
      <c r="B25" s="25"/>
      <c r="C25" s="26"/>
      <c r="D25" s="27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5"/>
      <c r="C26" s="26"/>
      <c r="D26" s="27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5"/>
      <c r="C27" s="26"/>
      <c r="D27" s="27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8:H18"/>
    <mergeCell ref="B20:E20"/>
    <mergeCell ref="B23:C23"/>
  </mergeCells>
  <printOptions/>
  <pageMargins bottom="0.07874015748031496" footer="0.0" header="0.0" left="0.5905511811023623" right="0.07874015748031496" top="0.7480314960629921"/>
  <pageSetup paperSize="9" scale="9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0.43"/>
    <col customWidth="1" min="11" max="26" width="8.71"/>
  </cols>
  <sheetData>
    <row r="1" ht="14.25" customHeight="1">
      <c r="A1" s="5" t="s">
        <v>27</v>
      </c>
      <c r="K1" s="2"/>
      <c r="L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</row>
    <row r="3" ht="14.25" customHeight="1">
      <c r="A3" s="5" t="s">
        <v>32</v>
      </c>
      <c r="K3" s="2"/>
      <c r="L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  <c r="L4" s="2"/>
    </row>
    <row r="5" ht="14.25" customHeight="1">
      <c r="A5" s="7">
        <v>1.0</v>
      </c>
      <c r="B5" s="8" t="s">
        <v>13</v>
      </c>
      <c r="C5" s="7" t="s">
        <v>14</v>
      </c>
      <c r="D5" s="9">
        <v>9000.0</v>
      </c>
      <c r="E5" s="10">
        <v>450.0</v>
      </c>
      <c r="F5" s="10">
        <v>450.0</v>
      </c>
      <c r="G5" s="10">
        <f t="shared" ref="G5:G11" si="1">E5+F5</f>
        <v>900</v>
      </c>
      <c r="H5" s="10">
        <f t="shared" ref="H5:H11" si="2">D5-E5</f>
        <v>8550</v>
      </c>
      <c r="I5" s="8"/>
      <c r="J5" s="8"/>
      <c r="K5" s="2"/>
      <c r="L5" s="2"/>
    </row>
    <row r="6" ht="14.25" customHeight="1">
      <c r="A6" s="7">
        <v>2.0</v>
      </c>
      <c r="B6" s="8" t="s">
        <v>15</v>
      </c>
      <c r="C6" s="7" t="s">
        <v>16</v>
      </c>
      <c r="D6" s="9">
        <v>9000.0</v>
      </c>
      <c r="E6" s="10">
        <v>450.0</v>
      </c>
      <c r="F6" s="10">
        <v>450.0</v>
      </c>
      <c r="G6" s="10">
        <f t="shared" si="1"/>
        <v>900</v>
      </c>
      <c r="H6" s="10">
        <f t="shared" si="2"/>
        <v>8550</v>
      </c>
      <c r="I6" s="8"/>
      <c r="J6" s="8"/>
      <c r="K6" s="11"/>
      <c r="L6" s="11"/>
    </row>
    <row r="7" ht="14.25" customHeight="1">
      <c r="A7" s="7">
        <v>3.0</v>
      </c>
      <c r="B7" s="8" t="s">
        <v>18</v>
      </c>
      <c r="C7" s="7" t="s">
        <v>19</v>
      </c>
      <c r="D7" s="9">
        <v>12000.0</v>
      </c>
      <c r="E7" s="10">
        <v>600.0</v>
      </c>
      <c r="F7" s="10">
        <v>600.0</v>
      </c>
      <c r="G7" s="10">
        <f t="shared" si="1"/>
        <v>1200</v>
      </c>
      <c r="H7" s="10">
        <f t="shared" si="2"/>
        <v>11400</v>
      </c>
      <c r="I7" s="8"/>
      <c r="J7" s="8"/>
      <c r="K7" s="2"/>
      <c r="L7" s="2"/>
    </row>
    <row r="8" ht="14.25" customHeight="1">
      <c r="A8" s="7">
        <v>4.0</v>
      </c>
      <c r="B8" s="8" t="s">
        <v>17</v>
      </c>
      <c r="C8" s="7" t="s">
        <v>16</v>
      </c>
      <c r="D8" s="9">
        <v>9000.0</v>
      </c>
      <c r="E8" s="10">
        <v>450.0</v>
      </c>
      <c r="F8" s="10">
        <v>450.0</v>
      </c>
      <c r="G8" s="10">
        <f t="shared" si="1"/>
        <v>900</v>
      </c>
      <c r="H8" s="10">
        <f t="shared" si="2"/>
        <v>8550</v>
      </c>
      <c r="I8" s="8"/>
      <c r="J8" s="8"/>
      <c r="K8" s="2"/>
      <c r="L8" s="2"/>
    </row>
    <row r="9" ht="14.25" customHeight="1">
      <c r="A9" s="7">
        <v>5.0</v>
      </c>
      <c r="B9" s="8" t="s">
        <v>33</v>
      </c>
      <c r="C9" s="7" t="s">
        <v>34</v>
      </c>
      <c r="D9" s="9">
        <v>9000.0</v>
      </c>
      <c r="E9" s="10">
        <v>450.0</v>
      </c>
      <c r="F9" s="10">
        <v>450.0</v>
      </c>
      <c r="G9" s="10">
        <f t="shared" si="1"/>
        <v>900</v>
      </c>
      <c r="H9" s="10">
        <f t="shared" si="2"/>
        <v>8550</v>
      </c>
      <c r="I9" s="8"/>
      <c r="J9" s="8"/>
      <c r="K9" s="2"/>
      <c r="L9" s="2"/>
    </row>
    <row r="10" ht="14.25" customHeight="1">
      <c r="A10" s="7">
        <v>6.0</v>
      </c>
      <c r="B10" s="8" t="s">
        <v>35</v>
      </c>
      <c r="C10" s="7" t="s">
        <v>36</v>
      </c>
      <c r="D10" s="9">
        <v>9000.0</v>
      </c>
      <c r="E10" s="10">
        <v>450.0</v>
      </c>
      <c r="F10" s="10">
        <v>450.0</v>
      </c>
      <c r="G10" s="10">
        <f t="shared" si="1"/>
        <v>900</v>
      </c>
      <c r="H10" s="10">
        <f t="shared" si="2"/>
        <v>8550</v>
      </c>
      <c r="I10" s="8"/>
      <c r="J10" s="8"/>
      <c r="K10" s="2"/>
      <c r="L10" s="2"/>
    </row>
    <row r="11" ht="14.25" customHeight="1">
      <c r="A11" s="7"/>
      <c r="B11" s="8"/>
      <c r="C11" s="7"/>
      <c r="D11" s="9"/>
      <c r="E11" s="10"/>
      <c r="F11" s="10"/>
      <c r="G11" s="10">
        <f t="shared" si="1"/>
        <v>0</v>
      </c>
      <c r="H11" s="10">
        <f t="shared" si="2"/>
        <v>0</v>
      </c>
      <c r="I11" s="8"/>
      <c r="J11" s="8"/>
      <c r="K11" s="2"/>
      <c r="L11" s="2"/>
    </row>
    <row r="12" ht="14.25" customHeight="1">
      <c r="A12" s="2"/>
      <c r="B12" s="2"/>
      <c r="C12" s="2"/>
      <c r="D12" s="12">
        <f t="shared" ref="D12:H12" si="3">SUM(D5:D11)</f>
        <v>57000</v>
      </c>
      <c r="E12" s="12">
        <f t="shared" si="3"/>
        <v>2850</v>
      </c>
      <c r="F12" s="12">
        <f t="shared" si="3"/>
        <v>2850</v>
      </c>
      <c r="G12" s="12">
        <f t="shared" si="3"/>
        <v>5700</v>
      </c>
      <c r="H12" s="13">
        <f t="shared" si="3"/>
        <v>54150</v>
      </c>
      <c r="I12" s="2"/>
      <c r="J12" s="2"/>
      <c r="K12" s="2"/>
      <c r="L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14"/>
      <c r="J14" s="14"/>
      <c r="K14" s="2"/>
      <c r="L14" s="2"/>
    </row>
    <row r="15" ht="14.25" customHeight="1">
      <c r="A15" s="2"/>
      <c r="B15" s="2"/>
      <c r="C15" s="2"/>
      <c r="D15" s="2" t="s">
        <v>20</v>
      </c>
      <c r="E15" s="2"/>
      <c r="F15" s="2"/>
      <c r="G15" s="2"/>
      <c r="H15" s="2"/>
      <c r="I15" s="14"/>
      <c r="J15" s="14"/>
      <c r="K15" s="2"/>
      <c r="L15" s="2"/>
    </row>
    <row r="16" ht="14.25" customHeight="1">
      <c r="A16" s="2"/>
      <c r="B16" s="15" t="s">
        <v>21</v>
      </c>
      <c r="C16" s="2"/>
      <c r="D16" s="2" t="s">
        <v>22</v>
      </c>
      <c r="E16" s="2"/>
      <c r="F16" s="2"/>
      <c r="G16" s="2"/>
      <c r="H16" s="2"/>
      <c r="I16" s="14"/>
      <c r="J16" s="14"/>
      <c r="K16" s="2"/>
      <c r="L16" s="2"/>
    </row>
    <row r="17" ht="14.25" customHeight="1">
      <c r="A17" s="2" t="s">
        <v>21</v>
      </c>
      <c r="B17" s="15"/>
      <c r="C17" s="15"/>
      <c r="D17" s="15"/>
      <c r="E17" s="15"/>
      <c r="F17" s="15"/>
      <c r="G17" s="15"/>
      <c r="H17" s="15"/>
      <c r="I17" s="15"/>
      <c r="J17" s="16"/>
      <c r="K17" s="2"/>
      <c r="L17" s="2"/>
    </row>
    <row r="18" ht="14.25" customHeight="1">
      <c r="A18" s="2"/>
      <c r="B18" s="15"/>
      <c r="C18" s="15"/>
      <c r="D18" s="15"/>
      <c r="E18" s="15"/>
      <c r="F18" s="15"/>
      <c r="G18" s="15"/>
      <c r="H18" s="15"/>
      <c r="I18" s="15"/>
      <c r="J18" s="16"/>
      <c r="K18" s="2"/>
      <c r="L18" s="2"/>
    </row>
    <row r="19" ht="14.25" customHeight="1">
      <c r="A19" s="2" t="s">
        <v>23</v>
      </c>
      <c r="B19" s="2"/>
      <c r="C19" s="2"/>
      <c r="D19" s="2"/>
      <c r="E19" s="2"/>
      <c r="F19" s="2" t="s">
        <v>29</v>
      </c>
      <c r="G19" s="2"/>
      <c r="H19" s="2"/>
      <c r="I19" s="2"/>
      <c r="J19" s="17"/>
      <c r="K19" s="18"/>
      <c r="L19" s="2"/>
    </row>
    <row r="20" ht="14.25" customHeight="1">
      <c r="A20" s="2" t="s">
        <v>25</v>
      </c>
      <c r="B20" s="2"/>
      <c r="C20" s="2"/>
      <c r="D20" s="2"/>
      <c r="E20" s="2"/>
      <c r="F20" s="2"/>
      <c r="G20" s="14" t="s">
        <v>30</v>
      </c>
      <c r="I20" s="2"/>
      <c r="J20" s="15"/>
      <c r="K20" s="16"/>
      <c r="L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17"/>
      <c r="L21" s="2"/>
    </row>
    <row r="22" ht="14.25" customHeight="1">
      <c r="A22" s="19"/>
      <c r="B22" s="20"/>
      <c r="C22" s="21"/>
      <c r="D22" s="21"/>
      <c r="E22" s="22"/>
      <c r="F22" s="19"/>
      <c r="G22" s="19"/>
      <c r="H22" s="19"/>
      <c r="I22" s="19"/>
      <c r="J22" s="19"/>
      <c r="K22" s="19"/>
      <c r="L22" s="19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2.2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6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23"/>
      <c r="B25" s="24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5.2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5"/>
      <c r="C27" s="26"/>
      <c r="D27" s="27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75" customHeight="1">
      <c r="A28" s="23"/>
      <c r="B28" s="25"/>
      <c r="C28" s="26"/>
      <c r="D28" s="27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8.75" customHeight="1">
      <c r="A29" s="23"/>
      <c r="B29" s="25"/>
      <c r="C29" s="26"/>
      <c r="D29" s="27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20:H20"/>
    <mergeCell ref="B22:E22"/>
    <mergeCell ref="B25:C25"/>
  </mergeCells>
  <printOptions/>
  <pageMargins bottom="0.07874015748031496" footer="0.0" header="0.0" left="0.5905511811023623" right="0.07874015748031496" top="0.7480314960629921"/>
  <pageSetup paperSize="9" scale="9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0.43"/>
    <col customWidth="1" min="11" max="26" width="8.71"/>
  </cols>
  <sheetData>
    <row r="1" ht="14.25" customHeight="1">
      <c r="A1" s="5" t="s">
        <v>27</v>
      </c>
      <c r="K1" s="2"/>
      <c r="L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</row>
    <row r="3" ht="14.25" customHeight="1">
      <c r="A3" s="5" t="s">
        <v>37</v>
      </c>
      <c r="K3" s="2"/>
      <c r="L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  <c r="L4" s="2"/>
    </row>
    <row r="5" ht="14.25" customHeight="1">
      <c r="A5" s="7">
        <v>1.0</v>
      </c>
      <c r="B5" s="8" t="s">
        <v>13</v>
      </c>
      <c r="C5" s="7" t="s">
        <v>14</v>
      </c>
      <c r="D5" s="9">
        <v>9000.0</v>
      </c>
      <c r="E5" s="10">
        <v>450.0</v>
      </c>
      <c r="F5" s="10">
        <v>450.0</v>
      </c>
      <c r="G5" s="10">
        <f t="shared" ref="G5:G10" si="1">E5+F5</f>
        <v>900</v>
      </c>
      <c r="H5" s="10">
        <f t="shared" ref="H5:H10" si="2">D5-E5</f>
        <v>8550</v>
      </c>
      <c r="I5" s="8"/>
      <c r="J5" s="8"/>
      <c r="K5" s="2"/>
      <c r="L5" s="2"/>
    </row>
    <row r="6" ht="14.25" customHeight="1">
      <c r="A6" s="7">
        <v>2.0</v>
      </c>
      <c r="B6" s="8" t="s">
        <v>15</v>
      </c>
      <c r="C6" s="7" t="s">
        <v>16</v>
      </c>
      <c r="D6" s="9">
        <v>9000.0</v>
      </c>
      <c r="E6" s="10">
        <v>450.0</v>
      </c>
      <c r="F6" s="10">
        <v>450.0</v>
      </c>
      <c r="G6" s="10">
        <f t="shared" si="1"/>
        <v>900</v>
      </c>
      <c r="H6" s="10">
        <f t="shared" si="2"/>
        <v>8550</v>
      </c>
      <c r="I6" s="8"/>
      <c r="J6" s="8"/>
      <c r="K6" s="11"/>
      <c r="L6" s="11"/>
    </row>
    <row r="7" ht="14.25" customHeight="1">
      <c r="A7" s="7">
        <v>3.0</v>
      </c>
      <c r="B7" s="8" t="s">
        <v>17</v>
      </c>
      <c r="C7" s="7" t="s">
        <v>16</v>
      </c>
      <c r="D7" s="9">
        <v>4500.0</v>
      </c>
      <c r="E7" s="10">
        <v>225.0</v>
      </c>
      <c r="F7" s="10">
        <v>225.0</v>
      </c>
      <c r="G7" s="10">
        <f t="shared" si="1"/>
        <v>450</v>
      </c>
      <c r="H7" s="10">
        <f t="shared" si="2"/>
        <v>4275</v>
      </c>
      <c r="I7" s="8"/>
      <c r="J7" s="8"/>
      <c r="K7" s="2"/>
      <c r="L7" s="2"/>
    </row>
    <row r="8" ht="14.25" customHeight="1">
      <c r="A8" s="7">
        <v>4.0</v>
      </c>
      <c r="B8" s="8" t="s">
        <v>33</v>
      </c>
      <c r="C8" s="7" t="s">
        <v>34</v>
      </c>
      <c r="D8" s="9">
        <v>4500.0</v>
      </c>
      <c r="E8" s="10">
        <v>225.0</v>
      </c>
      <c r="F8" s="10">
        <v>225.0</v>
      </c>
      <c r="G8" s="10">
        <f t="shared" si="1"/>
        <v>450</v>
      </c>
      <c r="H8" s="10">
        <f t="shared" si="2"/>
        <v>4275</v>
      </c>
      <c r="I8" s="8"/>
      <c r="J8" s="8"/>
      <c r="K8" s="2"/>
      <c r="L8" s="2"/>
    </row>
    <row r="9" ht="14.25" customHeight="1">
      <c r="A9" s="7">
        <v>5.0</v>
      </c>
      <c r="B9" s="8" t="s">
        <v>35</v>
      </c>
      <c r="C9" s="7" t="s">
        <v>36</v>
      </c>
      <c r="D9" s="9">
        <v>9000.0</v>
      </c>
      <c r="E9" s="10">
        <v>450.0</v>
      </c>
      <c r="F9" s="10">
        <v>450.0</v>
      </c>
      <c r="G9" s="10">
        <f t="shared" si="1"/>
        <v>900</v>
      </c>
      <c r="H9" s="10">
        <f t="shared" si="2"/>
        <v>8550</v>
      </c>
      <c r="I9" s="8"/>
      <c r="J9" s="8"/>
      <c r="K9" s="2"/>
      <c r="L9" s="2"/>
    </row>
    <row r="10" ht="14.25" customHeight="1">
      <c r="A10" s="7"/>
      <c r="B10" s="8"/>
      <c r="C10" s="7"/>
      <c r="D10" s="9"/>
      <c r="E10" s="10"/>
      <c r="F10" s="10"/>
      <c r="G10" s="10">
        <f t="shared" si="1"/>
        <v>0</v>
      </c>
      <c r="H10" s="10">
        <f t="shared" si="2"/>
        <v>0</v>
      </c>
      <c r="I10" s="8"/>
      <c r="J10" s="8"/>
      <c r="K10" s="2"/>
      <c r="L10" s="2"/>
    </row>
    <row r="11" ht="14.25" customHeight="1">
      <c r="A11" s="2"/>
      <c r="B11" s="2"/>
      <c r="C11" s="2"/>
      <c r="D11" s="12">
        <f t="shared" ref="D11:H11" si="3">SUM(D5:D10)</f>
        <v>36000</v>
      </c>
      <c r="E11" s="12">
        <f t="shared" si="3"/>
        <v>1800</v>
      </c>
      <c r="F11" s="12">
        <f t="shared" si="3"/>
        <v>1800</v>
      </c>
      <c r="G11" s="12">
        <f t="shared" si="3"/>
        <v>3600</v>
      </c>
      <c r="H11" s="13">
        <f t="shared" si="3"/>
        <v>34200</v>
      </c>
      <c r="I11" s="2"/>
      <c r="J11" s="2"/>
      <c r="K11" s="2"/>
      <c r="L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  <c r="K13" s="2"/>
      <c r="L13" s="2"/>
    </row>
    <row r="14" ht="14.25" customHeight="1">
      <c r="A14" s="2"/>
      <c r="B14" s="2"/>
      <c r="C14" s="2"/>
      <c r="D14" s="2" t="s">
        <v>20</v>
      </c>
      <c r="E14" s="2"/>
      <c r="F14" s="2"/>
      <c r="G14" s="2"/>
      <c r="H14" s="2"/>
      <c r="I14" s="14"/>
      <c r="J14" s="14"/>
      <c r="K14" s="2"/>
      <c r="L14" s="2"/>
    </row>
    <row r="15" ht="14.25" customHeight="1">
      <c r="A15" s="2"/>
      <c r="B15" s="15" t="s">
        <v>21</v>
      </c>
      <c r="C15" s="2"/>
      <c r="D15" s="2" t="s">
        <v>22</v>
      </c>
      <c r="E15" s="2"/>
      <c r="F15" s="2"/>
      <c r="G15" s="2"/>
      <c r="H15" s="2"/>
      <c r="I15" s="14"/>
      <c r="J15" s="14"/>
      <c r="K15" s="2"/>
      <c r="L15" s="2"/>
    </row>
    <row r="16" ht="14.25" customHeight="1">
      <c r="A16" s="2" t="s">
        <v>21</v>
      </c>
      <c r="B16" s="15"/>
      <c r="C16" s="15"/>
      <c r="D16" s="15"/>
      <c r="E16" s="15"/>
      <c r="F16" s="15"/>
      <c r="G16" s="15"/>
      <c r="H16" s="15"/>
      <c r="I16" s="15"/>
      <c r="J16" s="16"/>
      <c r="K16" s="2"/>
      <c r="L16" s="2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  <c r="K17" s="2"/>
      <c r="L17" s="2"/>
    </row>
    <row r="18" ht="14.25" customHeight="1">
      <c r="A18" s="2" t="s">
        <v>23</v>
      </c>
      <c r="B18" s="2"/>
      <c r="C18" s="2"/>
      <c r="D18" s="2"/>
      <c r="E18" s="2"/>
      <c r="F18" s="2" t="s">
        <v>29</v>
      </c>
      <c r="G18" s="2"/>
      <c r="H18" s="2"/>
      <c r="I18" s="2"/>
      <c r="J18" s="17"/>
      <c r="K18" s="18"/>
      <c r="L18" s="2"/>
    </row>
    <row r="19" ht="14.25" customHeight="1">
      <c r="A19" s="2" t="s">
        <v>25</v>
      </c>
      <c r="B19" s="2"/>
      <c r="C19" s="2"/>
      <c r="D19" s="2"/>
      <c r="E19" s="2"/>
      <c r="F19" s="2"/>
      <c r="G19" s="14" t="s">
        <v>38</v>
      </c>
      <c r="I19" s="2"/>
      <c r="J19" s="15"/>
      <c r="K19" s="16"/>
      <c r="L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17"/>
      <c r="L20" s="2"/>
    </row>
    <row r="21" ht="14.25" customHeight="1">
      <c r="A21" s="19"/>
      <c r="B21" s="20"/>
      <c r="C21" s="21"/>
      <c r="D21" s="21"/>
      <c r="E21" s="22"/>
      <c r="F21" s="19"/>
      <c r="G21" s="19"/>
      <c r="H21" s="19"/>
      <c r="I21" s="19"/>
      <c r="J21" s="19"/>
      <c r="K21" s="19"/>
      <c r="L21" s="19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6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3"/>
      <c r="B24" s="24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5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5"/>
      <c r="C26" s="26"/>
      <c r="D26" s="27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5"/>
      <c r="C27" s="26"/>
      <c r="D27" s="27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75" customHeight="1">
      <c r="A28" s="23"/>
      <c r="B28" s="25"/>
      <c r="C28" s="26"/>
      <c r="D28" s="27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9:H19"/>
    <mergeCell ref="B21:E21"/>
    <mergeCell ref="B24:C24"/>
  </mergeCells>
  <printOptions/>
  <pageMargins bottom="0.07874015748031496" footer="0.0" header="0.0" left="0.5905511811023623" right="0.07874015748031496" top="0.7480314960629921"/>
  <pageSetup paperSize="9" scale="9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0.43"/>
    <col customWidth="1" min="11" max="26" width="8.71"/>
  </cols>
  <sheetData>
    <row r="1" ht="14.25" customHeight="1">
      <c r="A1" s="5" t="s">
        <v>27</v>
      </c>
      <c r="K1" s="2"/>
      <c r="L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</row>
    <row r="3" ht="14.25" customHeight="1">
      <c r="A3" s="5" t="s">
        <v>39</v>
      </c>
      <c r="K3" s="2"/>
      <c r="L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  <c r="L4" s="2"/>
    </row>
    <row r="5" ht="14.25" customHeight="1">
      <c r="A5" s="7">
        <v>1.0</v>
      </c>
      <c r="B5" s="8" t="s">
        <v>15</v>
      </c>
      <c r="C5" s="7" t="s">
        <v>16</v>
      </c>
      <c r="D5" s="9">
        <v>9000.0</v>
      </c>
      <c r="E5" s="10">
        <v>450.0</v>
      </c>
      <c r="F5" s="10">
        <v>450.0</v>
      </c>
      <c r="G5" s="10">
        <v>900.0</v>
      </c>
      <c r="H5" s="10">
        <v>8550.0</v>
      </c>
      <c r="I5" s="8"/>
      <c r="J5" s="8"/>
      <c r="K5" s="2"/>
      <c r="L5" s="2"/>
    </row>
    <row r="6" ht="14.25" customHeight="1">
      <c r="A6" s="7">
        <v>2.0</v>
      </c>
      <c r="B6" s="8" t="s">
        <v>35</v>
      </c>
      <c r="C6" s="7" t="s">
        <v>36</v>
      </c>
      <c r="D6" s="9">
        <v>9000.0</v>
      </c>
      <c r="E6" s="10">
        <v>450.0</v>
      </c>
      <c r="F6" s="10">
        <v>450.0</v>
      </c>
      <c r="G6" s="10">
        <v>900.0</v>
      </c>
      <c r="H6" s="10">
        <f>D6-E6</f>
        <v>8550</v>
      </c>
      <c r="I6" s="8"/>
      <c r="J6" s="8"/>
      <c r="K6" s="11"/>
      <c r="L6" s="11"/>
    </row>
    <row r="7" ht="14.25" customHeight="1">
      <c r="A7" s="7">
        <v>3.0</v>
      </c>
      <c r="B7" s="8" t="s">
        <v>13</v>
      </c>
      <c r="C7" s="7" t="s">
        <v>14</v>
      </c>
      <c r="D7" s="9">
        <v>9000.0</v>
      </c>
      <c r="E7" s="10">
        <v>450.0</v>
      </c>
      <c r="F7" s="10">
        <v>450.0</v>
      </c>
      <c r="G7" s="10">
        <v>900.0</v>
      </c>
      <c r="H7" s="10">
        <v>8550.0</v>
      </c>
      <c r="I7" s="8"/>
      <c r="J7" s="8"/>
      <c r="K7" s="2"/>
      <c r="L7" s="2"/>
    </row>
    <row r="8" ht="14.25" customHeight="1">
      <c r="A8" s="7">
        <v>4.0</v>
      </c>
      <c r="B8" s="8"/>
      <c r="C8" s="7"/>
      <c r="D8" s="9"/>
      <c r="E8" s="10"/>
      <c r="F8" s="10"/>
      <c r="G8" s="10"/>
      <c r="H8" s="10"/>
      <c r="I8" s="8"/>
      <c r="J8" s="8"/>
      <c r="K8" s="2"/>
      <c r="L8" s="2"/>
    </row>
    <row r="9" ht="14.25" customHeight="1">
      <c r="A9" s="7">
        <v>5.0</v>
      </c>
      <c r="B9" s="8"/>
      <c r="C9" s="7"/>
      <c r="D9" s="9"/>
      <c r="E9" s="10"/>
      <c r="F9" s="10"/>
      <c r="G9" s="10" t="s">
        <v>40</v>
      </c>
      <c r="H9" s="10">
        <f t="shared" ref="H9:H10" si="1">D9-E9</f>
        <v>0</v>
      </c>
      <c r="I9" s="8"/>
      <c r="J9" s="8"/>
      <c r="K9" s="2"/>
      <c r="L9" s="2"/>
    </row>
    <row r="10" ht="14.25" customHeight="1">
      <c r="A10" s="7"/>
      <c r="B10" s="8"/>
      <c r="C10" s="7"/>
      <c r="D10" s="9"/>
      <c r="E10" s="10"/>
      <c r="F10" s="10"/>
      <c r="G10" s="10">
        <f>E10+F10</f>
        <v>0</v>
      </c>
      <c r="H10" s="10">
        <f t="shared" si="1"/>
        <v>0</v>
      </c>
      <c r="I10" s="8"/>
      <c r="J10" s="8"/>
      <c r="K10" s="2"/>
      <c r="L10" s="2"/>
    </row>
    <row r="11" ht="14.25" customHeight="1">
      <c r="A11" s="2"/>
      <c r="B11" s="2"/>
      <c r="C11" s="2"/>
      <c r="D11" s="12">
        <f t="shared" ref="D11:H11" si="2">SUM(D5:D10)</f>
        <v>27000</v>
      </c>
      <c r="E11" s="12">
        <f t="shared" si="2"/>
        <v>1350</v>
      </c>
      <c r="F11" s="12">
        <f t="shared" si="2"/>
        <v>1350</v>
      </c>
      <c r="G11" s="12">
        <f t="shared" si="2"/>
        <v>2700</v>
      </c>
      <c r="H11" s="13">
        <f t="shared" si="2"/>
        <v>25650</v>
      </c>
      <c r="I11" s="2"/>
      <c r="J11" s="2"/>
      <c r="K11" s="2"/>
      <c r="L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  <c r="K13" s="2"/>
      <c r="L13" s="2"/>
    </row>
    <row r="14" ht="14.25" customHeight="1">
      <c r="A14" s="2"/>
      <c r="B14" s="2"/>
      <c r="C14" s="2"/>
      <c r="D14" s="2" t="s">
        <v>20</v>
      </c>
      <c r="E14" s="2"/>
      <c r="F14" s="2"/>
      <c r="G14" s="2"/>
      <c r="H14" s="2"/>
      <c r="I14" s="14"/>
      <c r="J14" s="14"/>
      <c r="K14" s="2"/>
      <c r="L14" s="2"/>
    </row>
    <row r="15" ht="14.25" customHeight="1">
      <c r="A15" s="2"/>
      <c r="B15" s="15" t="s">
        <v>21</v>
      </c>
      <c r="C15" s="2"/>
      <c r="D15" s="2" t="s">
        <v>22</v>
      </c>
      <c r="E15" s="2"/>
      <c r="F15" s="2"/>
      <c r="G15" s="2"/>
      <c r="H15" s="2"/>
      <c r="I15" s="14"/>
      <c r="J15" s="14"/>
      <c r="K15" s="2"/>
      <c r="L15" s="2"/>
    </row>
    <row r="16" ht="14.25" customHeight="1">
      <c r="A16" s="2" t="s">
        <v>21</v>
      </c>
      <c r="B16" s="15"/>
      <c r="C16" s="15"/>
      <c r="D16" s="15"/>
      <c r="E16" s="15"/>
      <c r="F16" s="15"/>
      <c r="G16" s="15"/>
      <c r="H16" s="15"/>
      <c r="I16" s="15"/>
      <c r="J16" s="16"/>
      <c r="K16" s="2"/>
      <c r="L16" s="2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  <c r="K17" s="2"/>
      <c r="L17" s="2"/>
    </row>
    <row r="18" ht="14.25" customHeight="1">
      <c r="A18" s="2" t="s">
        <v>23</v>
      </c>
      <c r="B18" s="2"/>
      <c r="C18" s="2"/>
      <c r="D18" s="2"/>
      <c r="E18" s="2"/>
      <c r="F18" s="2" t="s">
        <v>29</v>
      </c>
      <c r="G18" s="2"/>
      <c r="H18" s="2"/>
      <c r="I18" s="2"/>
      <c r="J18" s="17"/>
      <c r="K18" s="18"/>
      <c r="L18" s="2"/>
    </row>
    <row r="19" ht="14.25" customHeight="1">
      <c r="A19" s="2" t="s">
        <v>25</v>
      </c>
      <c r="B19" s="2"/>
      <c r="C19" s="2"/>
      <c r="D19" s="2"/>
      <c r="E19" s="2"/>
      <c r="F19" s="2"/>
      <c r="G19" s="14" t="s">
        <v>38</v>
      </c>
      <c r="I19" s="2"/>
      <c r="J19" s="15"/>
      <c r="K19" s="16"/>
      <c r="L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17"/>
      <c r="L20" s="2"/>
    </row>
    <row r="21" ht="14.25" customHeight="1">
      <c r="A21" s="19"/>
      <c r="B21" s="20"/>
      <c r="C21" s="21"/>
      <c r="D21" s="21"/>
      <c r="E21" s="22"/>
      <c r="F21" s="19"/>
      <c r="G21" s="19"/>
      <c r="H21" s="19"/>
      <c r="I21" s="19"/>
      <c r="J21" s="19"/>
      <c r="K21" s="19"/>
      <c r="L21" s="19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6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3"/>
      <c r="B24" s="24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5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5"/>
      <c r="C26" s="26"/>
      <c r="D26" s="27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5"/>
      <c r="C27" s="26"/>
      <c r="D27" s="27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75" customHeight="1">
      <c r="A28" s="23"/>
      <c r="B28" s="25"/>
      <c r="C28" s="26"/>
      <c r="D28" s="27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9:H19"/>
    <mergeCell ref="B21:E21"/>
    <mergeCell ref="B24:C24"/>
  </mergeCells>
  <printOptions/>
  <pageMargins bottom="0.07874015748031496" footer="0.0" header="0.0" left="0.5905511811023623" right="0.07874015748031496" top="0.7480314960629921"/>
  <pageSetup paperSize="9" scale="9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0.43"/>
    <col customWidth="1" min="11" max="26" width="8.71"/>
  </cols>
  <sheetData>
    <row r="1" ht="14.25" customHeight="1">
      <c r="A1" s="5" t="s">
        <v>27</v>
      </c>
      <c r="K1" s="2"/>
      <c r="L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</row>
    <row r="3" ht="14.25" customHeight="1">
      <c r="A3" s="5" t="s">
        <v>41</v>
      </c>
      <c r="K3" s="2"/>
      <c r="L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  <c r="L4" s="2"/>
    </row>
    <row r="5" ht="14.25" customHeight="1">
      <c r="A5" s="7">
        <v>1.0</v>
      </c>
      <c r="B5" s="8" t="s">
        <v>15</v>
      </c>
      <c r="C5" s="7" t="s">
        <v>16</v>
      </c>
      <c r="D5" s="9">
        <v>9000.0</v>
      </c>
      <c r="E5" s="10">
        <v>450.0</v>
      </c>
      <c r="F5" s="10">
        <v>450.0</v>
      </c>
      <c r="G5" s="10">
        <v>900.0</v>
      </c>
      <c r="H5" s="10">
        <v>8550.0</v>
      </c>
      <c r="I5" s="8"/>
      <c r="J5" s="8"/>
      <c r="K5" s="2"/>
      <c r="L5" s="2"/>
    </row>
    <row r="6" ht="14.25" customHeight="1">
      <c r="A6" s="7">
        <v>2.0</v>
      </c>
      <c r="B6" s="8" t="s">
        <v>35</v>
      </c>
      <c r="C6" s="7" t="s">
        <v>36</v>
      </c>
      <c r="D6" s="9">
        <v>9000.0</v>
      </c>
      <c r="E6" s="10">
        <v>450.0</v>
      </c>
      <c r="F6" s="10">
        <v>450.0</v>
      </c>
      <c r="G6" s="10">
        <v>900.0</v>
      </c>
      <c r="H6" s="10">
        <f>D6-E6</f>
        <v>8550</v>
      </c>
      <c r="I6" s="8"/>
      <c r="J6" s="8"/>
      <c r="K6" s="11"/>
      <c r="L6" s="11"/>
    </row>
    <row r="7" ht="14.25" customHeight="1">
      <c r="A7" s="7">
        <v>3.0</v>
      </c>
      <c r="B7" s="8" t="s">
        <v>13</v>
      </c>
      <c r="C7" s="7" t="s">
        <v>14</v>
      </c>
      <c r="D7" s="9">
        <v>9000.0</v>
      </c>
      <c r="E7" s="10">
        <v>450.0</v>
      </c>
      <c r="F7" s="10">
        <v>450.0</v>
      </c>
      <c r="G7" s="10">
        <v>900.0</v>
      </c>
      <c r="H7" s="10">
        <v>8550.0</v>
      </c>
      <c r="I7" s="8"/>
      <c r="J7" s="8"/>
      <c r="K7" s="2"/>
      <c r="L7" s="2"/>
    </row>
    <row r="8" ht="14.25" customHeight="1">
      <c r="A8" s="7"/>
      <c r="B8" s="8"/>
      <c r="C8" s="7"/>
      <c r="D8" s="9"/>
      <c r="E8" s="10"/>
      <c r="F8" s="10"/>
      <c r="G8" s="10"/>
      <c r="H8" s="10"/>
      <c r="I8" s="8"/>
      <c r="J8" s="8"/>
      <c r="K8" s="2"/>
      <c r="L8" s="2"/>
    </row>
    <row r="9" ht="14.25" customHeight="1">
      <c r="A9" s="7"/>
      <c r="B9" s="8"/>
      <c r="C9" s="7"/>
      <c r="D9" s="9"/>
      <c r="E9" s="10"/>
      <c r="F9" s="10"/>
      <c r="G9" s="10" t="s">
        <v>40</v>
      </c>
      <c r="H9" s="10">
        <f t="shared" ref="H9:H10" si="1">D9-E9</f>
        <v>0</v>
      </c>
      <c r="I9" s="8"/>
      <c r="J9" s="8"/>
      <c r="K9" s="2"/>
      <c r="L9" s="2"/>
    </row>
    <row r="10" ht="14.25" customHeight="1">
      <c r="A10" s="7"/>
      <c r="B10" s="8"/>
      <c r="C10" s="7"/>
      <c r="D10" s="9"/>
      <c r="E10" s="10"/>
      <c r="F10" s="10"/>
      <c r="G10" s="10">
        <f>E10+F10</f>
        <v>0</v>
      </c>
      <c r="H10" s="10">
        <f t="shared" si="1"/>
        <v>0</v>
      </c>
      <c r="I10" s="8"/>
      <c r="J10" s="8"/>
      <c r="K10" s="2"/>
      <c r="L10" s="2"/>
    </row>
    <row r="11" ht="14.25" customHeight="1">
      <c r="A11" s="2"/>
      <c r="B11" s="2"/>
      <c r="C11" s="2"/>
      <c r="D11" s="12">
        <f t="shared" ref="D11:H11" si="2">SUM(D5:D10)</f>
        <v>27000</v>
      </c>
      <c r="E11" s="12">
        <f t="shared" si="2"/>
        <v>1350</v>
      </c>
      <c r="F11" s="12">
        <f t="shared" si="2"/>
        <v>1350</v>
      </c>
      <c r="G11" s="12">
        <f t="shared" si="2"/>
        <v>2700</v>
      </c>
      <c r="H11" s="13">
        <f t="shared" si="2"/>
        <v>25650</v>
      </c>
      <c r="I11" s="2"/>
      <c r="J11" s="2"/>
      <c r="K11" s="2"/>
      <c r="L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  <c r="K13" s="2"/>
      <c r="L13" s="2"/>
    </row>
    <row r="14" ht="14.25" customHeight="1">
      <c r="A14" s="2"/>
      <c r="B14" s="2"/>
      <c r="C14" s="2"/>
      <c r="D14" s="2" t="s">
        <v>20</v>
      </c>
      <c r="E14" s="2"/>
      <c r="F14" s="2"/>
      <c r="G14" s="2"/>
      <c r="H14" s="2"/>
      <c r="I14" s="14"/>
      <c r="J14" s="14"/>
      <c r="K14" s="2"/>
      <c r="L14" s="2"/>
    </row>
    <row r="15" ht="14.25" customHeight="1">
      <c r="A15" s="2"/>
      <c r="B15" s="15" t="s">
        <v>21</v>
      </c>
      <c r="C15" s="2"/>
      <c r="D15" s="2" t="s">
        <v>42</v>
      </c>
      <c r="E15" s="2"/>
      <c r="F15" s="2"/>
      <c r="G15" s="2"/>
      <c r="H15" s="2"/>
      <c r="I15" s="14"/>
      <c r="J15" s="14"/>
      <c r="K15" s="2"/>
      <c r="L15" s="2"/>
    </row>
    <row r="16" ht="14.25" customHeight="1">
      <c r="A16" s="2" t="s">
        <v>21</v>
      </c>
      <c r="B16" s="15"/>
      <c r="C16" s="15"/>
      <c r="D16" s="15"/>
      <c r="E16" s="15"/>
      <c r="F16" s="15"/>
      <c r="G16" s="15"/>
      <c r="H16" s="15"/>
      <c r="I16" s="15"/>
      <c r="J16" s="16"/>
      <c r="K16" s="2"/>
      <c r="L16" s="2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  <c r="K17" s="2"/>
      <c r="L17" s="2"/>
    </row>
    <row r="18" ht="14.25" customHeight="1">
      <c r="A18" s="2" t="s">
        <v>23</v>
      </c>
      <c r="B18" s="2"/>
      <c r="C18" s="2"/>
      <c r="D18" s="2"/>
      <c r="E18" s="2"/>
      <c r="F18" s="2" t="s">
        <v>29</v>
      </c>
      <c r="G18" s="2"/>
      <c r="H18" s="2"/>
      <c r="I18" s="2"/>
      <c r="J18" s="17"/>
      <c r="K18" s="18"/>
      <c r="L18" s="2"/>
    </row>
    <row r="19" ht="14.25" customHeight="1">
      <c r="A19" s="2" t="s">
        <v>25</v>
      </c>
      <c r="B19" s="2"/>
      <c r="C19" s="2"/>
      <c r="D19" s="2"/>
      <c r="E19" s="2"/>
      <c r="F19" s="2"/>
      <c r="G19" s="14" t="s">
        <v>43</v>
      </c>
      <c r="I19" s="2"/>
      <c r="J19" s="15"/>
      <c r="K19" s="16"/>
      <c r="L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17"/>
      <c r="L20" s="2"/>
    </row>
    <row r="21" ht="14.25" customHeight="1">
      <c r="A21" s="19"/>
      <c r="B21" s="20"/>
      <c r="C21" s="21"/>
      <c r="D21" s="21"/>
      <c r="E21" s="22"/>
      <c r="F21" s="19"/>
      <c r="G21" s="19"/>
      <c r="H21" s="19"/>
      <c r="I21" s="19"/>
      <c r="J21" s="19"/>
      <c r="K21" s="19"/>
      <c r="L21" s="19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6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3"/>
      <c r="B24" s="24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5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5"/>
      <c r="C26" s="26"/>
      <c r="D26" s="27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5"/>
      <c r="C27" s="26"/>
      <c r="D27" s="27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75" customHeight="1">
      <c r="A28" s="23"/>
      <c r="B28" s="25"/>
      <c r="C28" s="26"/>
      <c r="D28" s="27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9:H19"/>
    <mergeCell ref="B21:E21"/>
    <mergeCell ref="B24:C24"/>
  </mergeCells>
  <printOptions/>
  <pageMargins bottom="0.07874015748031496" footer="0.0" header="0.0" left="0.5905511811023623" right="0.07874015748031496" top="0.7480314960629921"/>
  <pageSetup paperSize="9" scale="9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0.43"/>
    <col customWidth="1" min="11" max="26" width="8.71"/>
  </cols>
  <sheetData>
    <row r="1" ht="14.25" customHeight="1">
      <c r="A1" s="5" t="s">
        <v>27</v>
      </c>
      <c r="K1" s="2"/>
      <c r="L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</row>
    <row r="3" ht="14.25" customHeight="1">
      <c r="A3" s="5" t="s">
        <v>44</v>
      </c>
      <c r="K3" s="2"/>
      <c r="L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  <c r="L4" s="2"/>
    </row>
    <row r="5" ht="14.25" customHeight="1">
      <c r="A5" s="7">
        <v>1.0</v>
      </c>
      <c r="B5" s="8" t="s">
        <v>15</v>
      </c>
      <c r="C5" s="7" t="s">
        <v>16</v>
      </c>
      <c r="D5" s="9">
        <v>9000.0</v>
      </c>
      <c r="E5" s="10">
        <v>450.0</v>
      </c>
      <c r="F5" s="10">
        <v>450.0</v>
      </c>
      <c r="G5" s="10">
        <v>900.0</v>
      </c>
      <c r="H5" s="10">
        <v>8550.0</v>
      </c>
      <c r="I5" s="8"/>
      <c r="J5" s="8"/>
      <c r="K5" s="2"/>
      <c r="L5" s="2"/>
    </row>
    <row r="6" ht="14.25" customHeight="1">
      <c r="A6" s="7">
        <v>2.0</v>
      </c>
      <c r="B6" s="8" t="s">
        <v>35</v>
      </c>
      <c r="C6" s="7" t="s">
        <v>36</v>
      </c>
      <c r="D6" s="9">
        <v>9000.0</v>
      </c>
      <c r="E6" s="10">
        <v>450.0</v>
      </c>
      <c r="F6" s="10">
        <v>450.0</v>
      </c>
      <c r="G6" s="10">
        <v>900.0</v>
      </c>
      <c r="H6" s="10">
        <v>8550.0</v>
      </c>
      <c r="I6" s="8"/>
      <c r="J6" s="8"/>
      <c r="K6" s="11"/>
      <c r="L6" s="11"/>
    </row>
    <row r="7" ht="14.25" customHeight="1">
      <c r="A7" s="7">
        <v>3.0</v>
      </c>
      <c r="B7" s="8" t="s">
        <v>13</v>
      </c>
      <c r="C7" s="7" t="s">
        <v>14</v>
      </c>
      <c r="D7" s="9">
        <v>9000.0</v>
      </c>
      <c r="E7" s="10">
        <v>450.0</v>
      </c>
      <c r="F7" s="10">
        <v>450.0</v>
      </c>
      <c r="G7" s="10">
        <v>900.0</v>
      </c>
      <c r="H7" s="10">
        <v>8550.0</v>
      </c>
      <c r="I7" s="8"/>
      <c r="J7" s="8"/>
      <c r="K7" s="2"/>
      <c r="L7" s="2"/>
    </row>
    <row r="8" ht="14.25" customHeight="1">
      <c r="A8" s="7"/>
      <c r="B8" s="8"/>
      <c r="C8" s="7"/>
      <c r="D8" s="9"/>
      <c r="E8" s="10"/>
      <c r="F8" s="10"/>
      <c r="G8" s="10"/>
      <c r="H8" s="10"/>
      <c r="I8" s="8"/>
      <c r="J8" s="8"/>
      <c r="K8" s="2"/>
      <c r="L8" s="2"/>
    </row>
    <row r="9" ht="14.25" customHeight="1">
      <c r="A9" s="7"/>
      <c r="B9" s="8"/>
      <c r="C9" s="7"/>
      <c r="D9" s="9"/>
      <c r="E9" s="10"/>
      <c r="F9" s="10"/>
      <c r="G9" s="10" t="s">
        <v>40</v>
      </c>
      <c r="H9" s="10">
        <f t="shared" ref="H9:H10" si="1">D9-E9</f>
        <v>0</v>
      </c>
      <c r="I9" s="8"/>
      <c r="J9" s="8"/>
      <c r="K9" s="2"/>
      <c r="L9" s="2"/>
    </row>
    <row r="10" ht="14.25" customHeight="1">
      <c r="A10" s="7"/>
      <c r="B10" s="8"/>
      <c r="C10" s="7"/>
      <c r="D10" s="9"/>
      <c r="E10" s="10"/>
      <c r="F10" s="10"/>
      <c r="G10" s="10">
        <f>E10+F10</f>
        <v>0</v>
      </c>
      <c r="H10" s="10">
        <f t="shared" si="1"/>
        <v>0</v>
      </c>
      <c r="I10" s="8"/>
      <c r="J10" s="8"/>
      <c r="K10" s="2"/>
      <c r="L10" s="2"/>
    </row>
    <row r="11" ht="14.25" customHeight="1">
      <c r="A11" s="2"/>
      <c r="B11" s="2"/>
      <c r="C11" s="2"/>
      <c r="D11" s="12">
        <f t="shared" ref="D11:H11" si="2">SUM(D5:D10)</f>
        <v>27000</v>
      </c>
      <c r="E11" s="12">
        <f t="shared" si="2"/>
        <v>1350</v>
      </c>
      <c r="F11" s="12">
        <f t="shared" si="2"/>
        <v>1350</v>
      </c>
      <c r="G11" s="12">
        <f t="shared" si="2"/>
        <v>2700</v>
      </c>
      <c r="H11" s="13">
        <f t="shared" si="2"/>
        <v>25650</v>
      </c>
      <c r="I11" s="2"/>
      <c r="J11" s="2"/>
      <c r="K11" s="2"/>
      <c r="L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  <c r="K13" s="2"/>
      <c r="L13" s="2"/>
    </row>
    <row r="14" ht="14.25" customHeight="1">
      <c r="A14" s="2"/>
      <c r="B14" s="2"/>
      <c r="C14" s="2"/>
      <c r="D14" s="2" t="s">
        <v>20</v>
      </c>
      <c r="E14" s="2"/>
      <c r="F14" s="2"/>
      <c r="G14" s="2"/>
      <c r="H14" s="2"/>
      <c r="I14" s="14"/>
      <c r="J14" s="14"/>
      <c r="K14" s="2"/>
      <c r="L14" s="2"/>
    </row>
    <row r="15" ht="14.25" customHeight="1">
      <c r="A15" s="2"/>
      <c r="B15" s="15" t="s">
        <v>21</v>
      </c>
      <c r="C15" s="2"/>
      <c r="D15" s="2" t="s">
        <v>42</v>
      </c>
      <c r="E15" s="2"/>
      <c r="F15" s="2"/>
      <c r="G15" s="2"/>
      <c r="H15" s="2"/>
      <c r="I15" s="14"/>
      <c r="J15" s="14"/>
      <c r="K15" s="2"/>
      <c r="L15" s="2"/>
    </row>
    <row r="16" ht="14.25" customHeight="1">
      <c r="A16" s="2" t="s">
        <v>21</v>
      </c>
      <c r="B16" s="15"/>
      <c r="C16" s="15"/>
      <c r="D16" s="15"/>
      <c r="E16" s="15"/>
      <c r="F16" s="15"/>
      <c r="G16" s="15"/>
      <c r="H16" s="15"/>
      <c r="I16" s="15"/>
      <c r="J16" s="16"/>
      <c r="K16" s="2"/>
      <c r="L16" s="2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  <c r="K17" s="2"/>
      <c r="L17" s="2"/>
    </row>
    <row r="18" ht="14.25" customHeight="1">
      <c r="A18" s="2" t="s">
        <v>23</v>
      </c>
      <c r="B18" s="2"/>
      <c r="C18" s="2"/>
      <c r="D18" s="2"/>
      <c r="E18" s="2"/>
      <c r="F18" s="2" t="s">
        <v>29</v>
      </c>
      <c r="G18" s="2"/>
      <c r="H18" s="2"/>
      <c r="I18" s="2"/>
      <c r="J18" s="17"/>
      <c r="K18" s="18"/>
      <c r="L18" s="2"/>
    </row>
    <row r="19" ht="14.25" customHeight="1">
      <c r="A19" s="2" t="s">
        <v>25</v>
      </c>
      <c r="B19" s="2"/>
      <c r="C19" s="2"/>
      <c r="D19" s="2"/>
      <c r="E19" s="2"/>
      <c r="F19" s="2"/>
      <c r="G19" s="14" t="s">
        <v>45</v>
      </c>
      <c r="I19" s="2"/>
      <c r="J19" s="15"/>
      <c r="K19" s="16"/>
      <c r="L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17"/>
      <c r="L20" s="2"/>
    </row>
    <row r="21" ht="14.25" customHeight="1">
      <c r="A21" s="19"/>
      <c r="B21" s="20"/>
      <c r="C21" s="21"/>
      <c r="D21" s="21"/>
      <c r="E21" s="22"/>
      <c r="F21" s="19"/>
      <c r="G21" s="19"/>
      <c r="H21" s="19"/>
      <c r="I21" s="19"/>
      <c r="J21" s="19"/>
      <c r="K21" s="19"/>
      <c r="L21" s="19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6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3"/>
      <c r="B24" s="24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5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8"/>
      <c r="C26" s="29"/>
      <c r="D26" s="30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8"/>
      <c r="C27" s="29"/>
      <c r="D27" s="30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75" customHeight="1">
      <c r="A28" s="23"/>
      <c r="B28" s="28"/>
      <c r="C28" s="29"/>
      <c r="D28" s="30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9:H19"/>
    <mergeCell ref="B21:E21"/>
    <mergeCell ref="B24:C24"/>
  </mergeCells>
  <printOptions/>
  <pageMargins bottom="0.07874015748031496" footer="0.0" header="0.0" left="0.5905511811023623" right="0.07874015748031496" top="0.7480314960629921"/>
  <pageSetup paperSize="9" orientation="landscape"/>
  <rowBreaks count="1" manualBreakCount="1">
    <brk id="20" man="1"/>
  </rowBreaks>
  <colBreaks count="1" manualBreakCount="1">
    <brk id="11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4.57"/>
    <col customWidth="1" min="11" max="26" width="8.71"/>
  </cols>
  <sheetData>
    <row r="1" ht="14.25" customHeight="1">
      <c r="A1" s="5" t="s">
        <v>27</v>
      </c>
      <c r="K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</row>
    <row r="3" ht="14.25" customHeight="1">
      <c r="A3" s="5" t="s">
        <v>46</v>
      </c>
      <c r="K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</row>
    <row r="5" ht="14.25" customHeight="1">
      <c r="A5" s="7">
        <v>1.0</v>
      </c>
      <c r="B5" s="8" t="s">
        <v>15</v>
      </c>
      <c r="C5" s="7" t="s">
        <v>16</v>
      </c>
      <c r="D5" s="9">
        <v>9000.0</v>
      </c>
      <c r="E5" s="10">
        <v>450.0</v>
      </c>
      <c r="F5" s="10">
        <v>450.0</v>
      </c>
      <c r="G5" s="10">
        <v>900.0</v>
      </c>
      <c r="H5" s="10">
        <v>8550.0</v>
      </c>
      <c r="I5" s="8"/>
      <c r="J5" s="8"/>
      <c r="K5" s="2"/>
    </row>
    <row r="6" ht="14.25" customHeight="1">
      <c r="A6" s="7">
        <v>2.0</v>
      </c>
      <c r="B6" s="8" t="s">
        <v>35</v>
      </c>
      <c r="C6" s="7" t="s">
        <v>36</v>
      </c>
      <c r="D6" s="9">
        <v>9000.0</v>
      </c>
      <c r="E6" s="10">
        <v>450.0</v>
      </c>
      <c r="F6" s="10">
        <v>450.0</v>
      </c>
      <c r="G6" s="10">
        <v>900.0</v>
      </c>
      <c r="H6" s="10">
        <v>8550.0</v>
      </c>
      <c r="I6" s="8"/>
      <c r="J6" s="8"/>
      <c r="K6" s="11"/>
    </row>
    <row r="7" ht="14.25" customHeight="1">
      <c r="A7" s="7">
        <v>3.0</v>
      </c>
      <c r="B7" s="8" t="s">
        <v>13</v>
      </c>
      <c r="C7" s="7" t="s">
        <v>14</v>
      </c>
      <c r="D7" s="9">
        <v>9000.0</v>
      </c>
      <c r="E7" s="10">
        <v>450.0</v>
      </c>
      <c r="F7" s="10">
        <v>450.0</v>
      </c>
      <c r="G7" s="10">
        <v>900.0</v>
      </c>
      <c r="H7" s="10">
        <v>8550.0</v>
      </c>
      <c r="I7" s="8"/>
      <c r="J7" s="8"/>
      <c r="K7" s="2"/>
    </row>
    <row r="8" ht="14.25" customHeight="1">
      <c r="A8" s="7"/>
      <c r="B8" s="8"/>
      <c r="C8" s="7"/>
      <c r="D8" s="9"/>
      <c r="E8" s="10"/>
      <c r="F8" s="10"/>
      <c r="G8" s="10"/>
      <c r="H8" s="10"/>
      <c r="I8" s="8"/>
      <c r="J8" s="8"/>
      <c r="K8" s="2"/>
    </row>
    <row r="9" ht="14.25" customHeight="1">
      <c r="A9" s="7"/>
      <c r="B9" s="8"/>
      <c r="C9" s="7"/>
      <c r="D9" s="9"/>
      <c r="E9" s="10"/>
      <c r="F9" s="10"/>
      <c r="G9" s="10" t="s">
        <v>40</v>
      </c>
      <c r="H9" s="10">
        <f t="shared" ref="H9:H10" si="1">D9-E9</f>
        <v>0</v>
      </c>
      <c r="I9" s="8"/>
      <c r="J9" s="8"/>
      <c r="K9" s="2"/>
    </row>
    <row r="10" ht="14.25" customHeight="1">
      <c r="A10" s="7"/>
      <c r="B10" s="8"/>
      <c r="C10" s="7"/>
      <c r="D10" s="9"/>
      <c r="E10" s="10"/>
      <c r="F10" s="10"/>
      <c r="G10" s="10">
        <f>E10+F10</f>
        <v>0</v>
      </c>
      <c r="H10" s="10">
        <f t="shared" si="1"/>
        <v>0</v>
      </c>
      <c r="I10" s="8"/>
      <c r="J10" s="8"/>
      <c r="K10" s="2"/>
    </row>
    <row r="11" ht="14.25" customHeight="1">
      <c r="A11" s="2"/>
      <c r="B11" s="2"/>
      <c r="C11" s="2"/>
      <c r="D11" s="12">
        <f t="shared" ref="D11:H11" si="2">SUM(D5:D10)</f>
        <v>27000</v>
      </c>
      <c r="E11" s="12">
        <f t="shared" si="2"/>
        <v>1350</v>
      </c>
      <c r="F11" s="12">
        <f t="shared" si="2"/>
        <v>1350</v>
      </c>
      <c r="G11" s="12">
        <f t="shared" si="2"/>
        <v>2700</v>
      </c>
      <c r="H11" s="13">
        <f t="shared" si="2"/>
        <v>25650</v>
      </c>
      <c r="I11" s="2"/>
      <c r="J11" s="2"/>
      <c r="K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  <c r="K13" s="2"/>
    </row>
    <row r="14" ht="14.25" customHeight="1">
      <c r="A14" s="2"/>
      <c r="B14" s="2"/>
      <c r="C14" s="2"/>
      <c r="G14" s="2"/>
      <c r="H14" s="2"/>
      <c r="I14" s="14"/>
      <c r="J14" s="14"/>
      <c r="K14" s="2"/>
    </row>
    <row r="15" ht="14.25" customHeight="1">
      <c r="A15" s="2"/>
      <c r="B15" s="15" t="s">
        <v>21</v>
      </c>
      <c r="C15" s="2"/>
      <c r="D15" s="2" t="s">
        <v>20</v>
      </c>
      <c r="E15" s="2"/>
      <c r="F15" s="2"/>
      <c r="G15" s="2"/>
      <c r="H15" s="2"/>
      <c r="I15" s="14"/>
      <c r="J15" s="14"/>
      <c r="K15" s="2"/>
    </row>
    <row r="16" ht="14.25" customHeight="1">
      <c r="A16" s="2" t="s">
        <v>21</v>
      </c>
      <c r="B16" s="15"/>
      <c r="C16" s="15"/>
      <c r="D16" s="2" t="s">
        <v>42</v>
      </c>
      <c r="E16" s="2"/>
      <c r="F16" s="2"/>
      <c r="G16" s="15"/>
      <c r="H16" s="15"/>
      <c r="I16" s="15"/>
      <c r="J16" s="16"/>
      <c r="K16" s="2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  <c r="K17" s="2"/>
    </row>
    <row r="18" ht="14.25" customHeight="1">
      <c r="B18" s="2" t="s">
        <v>23</v>
      </c>
      <c r="C18" s="2"/>
      <c r="D18" s="2"/>
      <c r="E18" s="2"/>
      <c r="F18" s="2" t="s">
        <v>29</v>
      </c>
      <c r="G18" s="2"/>
      <c r="H18" s="2"/>
      <c r="I18" s="2"/>
      <c r="J18" s="17"/>
      <c r="K18" s="2"/>
    </row>
    <row r="19" ht="14.25" customHeight="1">
      <c r="B19" s="2" t="s">
        <v>25</v>
      </c>
      <c r="C19" s="2"/>
      <c r="D19" s="2"/>
      <c r="E19" s="2"/>
      <c r="F19" s="2"/>
      <c r="G19" s="14" t="s">
        <v>45</v>
      </c>
      <c r="I19" s="2"/>
      <c r="J19" s="15"/>
      <c r="K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4.25" customHeight="1">
      <c r="A21" s="19"/>
      <c r="B21" s="20"/>
      <c r="C21" s="21"/>
      <c r="D21" s="21"/>
      <c r="E21" s="22"/>
      <c r="F21" s="19"/>
      <c r="G21" s="19"/>
      <c r="H21" s="19"/>
      <c r="I21" s="19"/>
      <c r="J21" s="19"/>
      <c r="K21" s="19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6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3"/>
      <c r="B24" s="24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5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8"/>
      <c r="C26" s="29"/>
      <c r="D26" s="30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8"/>
      <c r="C27" s="29"/>
      <c r="D27" s="30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75" customHeight="1">
      <c r="A28" s="23"/>
      <c r="B28" s="28"/>
      <c r="C28" s="29"/>
      <c r="D28" s="30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9:H19"/>
    <mergeCell ref="B21:E21"/>
    <mergeCell ref="B24:C24"/>
  </mergeCells>
  <printOptions/>
  <pageMargins bottom="0.07874015748031496" footer="0.0" header="0.0" left="0.77" right="0.07874015748031496" top="0.7480314960629921"/>
  <pageSetup paperSize="9" orientation="landscape"/>
  <rowBreaks count="1" manualBreakCount="1">
    <brk id="20" man="1"/>
  </rowBreaks>
  <colBreaks count="1" manualBreakCount="1">
    <brk id="10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4.57"/>
    <col customWidth="1" min="11" max="26" width="8.71"/>
  </cols>
  <sheetData>
    <row r="1" ht="14.25" customHeight="1">
      <c r="A1" s="5" t="s">
        <v>27</v>
      </c>
      <c r="K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</row>
    <row r="3" ht="14.25" customHeight="1">
      <c r="A3" s="5" t="s">
        <v>47</v>
      </c>
      <c r="K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</row>
    <row r="5" ht="14.25" customHeight="1">
      <c r="A5" s="7">
        <v>1.0</v>
      </c>
      <c r="B5" s="8" t="s">
        <v>35</v>
      </c>
      <c r="C5" s="7" t="s">
        <v>36</v>
      </c>
      <c r="D5" s="9">
        <v>9000.0</v>
      </c>
      <c r="E5" s="10">
        <v>450.0</v>
      </c>
      <c r="F5" s="10">
        <v>450.0</v>
      </c>
      <c r="G5" s="10">
        <v>900.0</v>
      </c>
      <c r="H5" s="10">
        <v>8550.0</v>
      </c>
      <c r="I5" s="8"/>
      <c r="J5" s="8"/>
      <c r="K5" s="2"/>
    </row>
    <row r="6" ht="14.25" customHeight="1">
      <c r="A6" s="7">
        <v>2.0</v>
      </c>
      <c r="B6" s="8" t="s">
        <v>13</v>
      </c>
      <c r="C6" s="7" t="s">
        <v>14</v>
      </c>
      <c r="D6" s="9">
        <v>9000.0</v>
      </c>
      <c r="E6" s="10">
        <v>450.0</v>
      </c>
      <c r="F6" s="10">
        <v>450.0</v>
      </c>
      <c r="G6" s="10">
        <v>900.0</v>
      </c>
      <c r="H6" s="10">
        <v>8550.0</v>
      </c>
      <c r="I6" s="8"/>
      <c r="J6" s="8"/>
      <c r="K6" s="11"/>
    </row>
    <row r="7" ht="14.25" customHeight="1">
      <c r="A7" s="7"/>
      <c r="B7" s="8"/>
      <c r="C7" s="7"/>
      <c r="D7" s="9"/>
      <c r="E7" s="10"/>
      <c r="F7" s="10"/>
      <c r="G7" s="10"/>
      <c r="H7" s="10"/>
      <c r="I7" s="8"/>
      <c r="J7" s="8"/>
      <c r="K7" s="2"/>
    </row>
    <row r="8" ht="14.25" customHeight="1">
      <c r="A8" s="7"/>
      <c r="B8" s="8"/>
      <c r="C8" s="7"/>
      <c r="D8" s="9"/>
      <c r="E8" s="10"/>
      <c r="F8" s="10"/>
      <c r="G8" s="10"/>
      <c r="H8" s="10"/>
      <c r="I8" s="8"/>
      <c r="J8" s="8"/>
      <c r="K8" s="2"/>
    </row>
    <row r="9" ht="14.25" customHeight="1">
      <c r="A9" s="7"/>
      <c r="B9" s="8"/>
      <c r="C9" s="7"/>
      <c r="D9" s="9"/>
      <c r="E9" s="10"/>
      <c r="F9" s="10"/>
      <c r="G9" s="10"/>
      <c r="H9" s="10"/>
      <c r="I9" s="8"/>
      <c r="J9" s="8"/>
      <c r="K9" s="2"/>
    </row>
    <row r="10" ht="14.25" customHeight="1">
      <c r="A10" s="7"/>
      <c r="B10" s="8"/>
      <c r="C10" s="7"/>
      <c r="D10" s="9"/>
      <c r="E10" s="10"/>
      <c r="F10" s="10"/>
      <c r="G10" s="10"/>
      <c r="H10" s="10"/>
      <c r="I10" s="8"/>
      <c r="J10" s="8"/>
      <c r="K10" s="2"/>
    </row>
    <row r="11" ht="14.25" customHeight="1">
      <c r="A11" s="2"/>
      <c r="B11" s="2"/>
      <c r="C11" s="2"/>
      <c r="D11" s="12">
        <f t="shared" ref="D11:H11" si="1">SUM(D5:D10)</f>
        <v>18000</v>
      </c>
      <c r="E11" s="12">
        <f t="shared" si="1"/>
        <v>900</v>
      </c>
      <c r="F11" s="12">
        <f t="shared" si="1"/>
        <v>900</v>
      </c>
      <c r="G11" s="12">
        <f t="shared" si="1"/>
        <v>1800</v>
      </c>
      <c r="H11" s="13">
        <f t="shared" si="1"/>
        <v>17100</v>
      </c>
      <c r="I11" s="2"/>
      <c r="J11" s="2"/>
      <c r="K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  <c r="K13" s="2"/>
    </row>
    <row r="14" ht="14.25" customHeight="1">
      <c r="A14" s="2"/>
      <c r="B14" s="2"/>
      <c r="C14" s="2"/>
      <c r="G14" s="2"/>
      <c r="H14" s="2"/>
      <c r="I14" s="14"/>
      <c r="J14" s="14"/>
      <c r="K14" s="2"/>
    </row>
    <row r="15" ht="14.25" customHeight="1">
      <c r="A15" s="2"/>
      <c r="B15" s="15" t="s">
        <v>21</v>
      </c>
      <c r="C15" s="2"/>
      <c r="D15" s="2" t="s">
        <v>20</v>
      </c>
      <c r="E15" s="2"/>
      <c r="F15" s="2"/>
      <c r="G15" s="2"/>
      <c r="H15" s="2"/>
      <c r="I15" s="14"/>
      <c r="J15" s="14"/>
      <c r="K15" s="2"/>
    </row>
    <row r="16" ht="14.25" customHeight="1">
      <c r="A16" s="2" t="s">
        <v>21</v>
      </c>
      <c r="B16" s="15"/>
      <c r="C16" s="15"/>
      <c r="D16" s="2" t="s">
        <v>42</v>
      </c>
      <c r="E16" s="2"/>
      <c r="F16" s="2"/>
      <c r="G16" s="15"/>
      <c r="H16" s="15"/>
      <c r="I16" s="15"/>
      <c r="J16" s="16"/>
      <c r="K16" s="2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  <c r="K17" s="2"/>
    </row>
    <row r="18" ht="14.25" customHeight="1">
      <c r="B18" s="2" t="s">
        <v>23</v>
      </c>
      <c r="C18" s="2"/>
      <c r="D18" s="2"/>
      <c r="E18" s="2"/>
      <c r="F18" s="2" t="s">
        <v>29</v>
      </c>
      <c r="G18" s="2"/>
      <c r="H18" s="2"/>
      <c r="I18" s="2"/>
      <c r="J18" s="17"/>
      <c r="K18" s="2"/>
    </row>
    <row r="19" ht="14.25" customHeight="1">
      <c r="B19" s="31" t="s">
        <v>25</v>
      </c>
      <c r="C19" s="2"/>
      <c r="D19" s="2"/>
      <c r="E19" s="2"/>
      <c r="F19" s="2"/>
      <c r="G19" s="14" t="s">
        <v>45</v>
      </c>
      <c r="I19" s="2"/>
      <c r="J19" s="15"/>
      <c r="K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4.25" customHeight="1">
      <c r="A21" s="19"/>
      <c r="B21" s="20"/>
      <c r="C21" s="21"/>
      <c r="D21" s="21"/>
      <c r="E21" s="22"/>
      <c r="F21" s="19"/>
      <c r="G21" s="19"/>
      <c r="H21" s="19"/>
      <c r="I21" s="19"/>
      <c r="J21" s="19"/>
      <c r="K21" s="19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6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3"/>
      <c r="B24" s="24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5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8"/>
      <c r="C26" s="29"/>
      <c r="D26" s="30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8"/>
      <c r="C27" s="29"/>
      <c r="D27" s="30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75" customHeight="1">
      <c r="A28" s="23"/>
      <c r="B28" s="28"/>
      <c r="C28" s="29"/>
      <c r="D28" s="30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9:H19"/>
    <mergeCell ref="B21:E21"/>
    <mergeCell ref="B24:C24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4.57"/>
    <col customWidth="1" min="11" max="26" width="8.71"/>
  </cols>
  <sheetData>
    <row r="1" ht="14.25" customHeight="1">
      <c r="A1" s="5" t="s">
        <v>27</v>
      </c>
      <c r="K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</row>
    <row r="3" ht="14.25" customHeight="1">
      <c r="A3" s="5" t="s">
        <v>48</v>
      </c>
      <c r="K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</row>
    <row r="5" ht="14.25" customHeight="1">
      <c r="A5" s="7">
        <v>1.0</v>
      </c>
      <c r="B5" s="8" t="s">
        <v>35</v>
      </c>
      <c r="C5" s="7" t="s">
        <v>36</v>
      </c>
      <c r="D5" s="9">
        <v>9000.0</v>
      </c>
      <c r="E5" s="10">
        <v>450.0</v>
      </c>
      <c r="F5" s="10">
        <v>450.0</v>
      </c>
      <c r="G5" s="10">
        <v>900.0</v>
      </c>
      <c r="H5" s="10">
        <v>8550.0</v>
      </c>
      <c r="I5" s="8"/>
      <c r="J5" s="8"/>
      <c r="K5" s="2"/>
    </row>
    <row r="6" ht="14.25" customHeight="1">
      <c r="A6" s="7">
        <v>2.0</v>
      </c>
      <c r="B6" s="8" t="s">
        <v>13</v>
      </c>
      <c r="C6" s="7" t="s">
        <v>14</v>
      </c>
      <c r="D6" s="9">
        <v>9000.0</v>
      </c>
      <c r="E6" s="10">
        <v>450.0</v>
      </c>
      <c r="F6" s="10">
        <v>450.0</v>
      </c>
      <c r="G6" s="10">
        <v>900.0</v>
      </c>
      <c r="H6" s="10">
        <v>8550.0</v>
      </c>
      <c r="I6" s="8"/>
      <c r="J6" s="8"/>
      <c r="K6" s="11"/>
    </row>
    <row r="7" ht="14.25" customHeight="1">
      <c r="A7" s="7"/>
      <c r="B7" s="8"/>
      <c r="C7" s="7"/>
      <c r="D7" s="9"/>
      <c r="E7" s="10"/>
      <c r="F7" s="10"/>
      <c r="G7" s="10"/>
      <c r="H7" s="10"/>
      <c r="I7" s="8"/>
      <c r="J7" s="8"/>
      <c r="K7" s="2"/>
    </row>
    <row r="8" ht="14.25" customHeight="1">
      <c r="A8" s="7"/>
      <c r="B8" s="8"/>
      <c r="C8" s="7"/>
      <c r="D8" s="9"/>
      <c r="E8" s="10"/>
      <c r="F8" s="10"/>
      <c r="G8" s="10"/>
      <c r="H8" s="10"/>
      <c r="I8" s="8"/>
      <c r="J8" s="8"/>
      <c r="K8" s="2"/>
    </row>
    <row r="9" ht="14.25" customHeight="1">
      <c r="A9" s="7"/>
      <c r="B9" s="8"/>
      <c r="C9" s="7"/>
      <c r="D9" s="9"/>
      <c r="E9" s="10"/>
      <c r="F9" s="10"/>
      <c r="G9" s="10"/>
      <c r="H9" s="10"/>
      <c r="I9" s="8"/>
      <c r="J9" s="8"/>
      <c r="K9" s="2"/>
    </row>
    <row r="10" ht="14.25" customHeight="1">
      <c r="A10" s="7"/>
      <c r="B10" s="8"/>
      <c r="C10" s="7"/>
      <c r="D10" s="9"/>
      <c r="E10" s="10"/>
      <c r="F10" s="10"/>
      <c r="G10" s="10"/>
      <c r="H10" s="10"/>
      <c r="I10" s="8"/>
      <c r="J10" s="8"/>
      <c r="K10" s="2"/>
    </row>
    <row r="11" ht="14.25" customHeight="1">
      <c r="A11" s="2"/>
      <c r="B11" s="2"/>
      <c r="C11" s="2"/>
      <c r="D11" s="12">
        <f t="shared" ref="D11:H11" si="1">SUM(D5:D10)</f>
        <v>18000</v>
      </c>
      <c r="E11" s="12">
        <f t="shared" si="1"/>
        <v>900</v>
      </c>
      <c r="F11" s="12">
        <f t="shared" si="1"/>
        <v>900</v>
      </c>
      <c r="G11" s="12">
        <f t="shared" si="1"/>
        <v>1800</v>
      </c>
      <c r="H11" s="13">
        <f t="shared" si="1"/>
        <v>17100</v>
      </c>
      <c r="I11" s="2"/>
      <c r="J11" s="2"/>
      <c r="K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  <c r="K13" s="2"/>
    </row>
    <row r="14" ht="14.25" customHeight="1">
      <c r="A14" s="2"/>
      <c r="B14" s="2"/>
      <c r="C14" s="2"/>
      <c r="G14" s="2"/>
      <c r="H14" s="2"/>
      <c r="I14" s="14"/>
      <c r="J14" s="14"/>
      <c r="K14" s="2"/>
    </row>
    <row r="15" ht="14.25" customHeight="1">
      <c r="A15" s="2"/>
      <c r="B15" s="15" t="s">
        <v>21</v>
      </c>
      <c r="C15" s="2"/>
      <c r="D15" s="2" t="s">
        <v>49</v>
      </c>
      <c r="E15" s="2"/>
      <c r="F15" s="2"/>
      <c r="G15" s="2"/>
      <c r="H15" s="2"/>
      <c r="I15" s="14"/>
      <c r="J15" s="14"/>
      <c r="K15" s="2"/>
    </row>
    <row r="16" ht="14.25" customHeight="1">
      <c r="A16" s="2" t="s">
        <v>21</v>
      </c>
      <c r="B16" s="15"/>
      <c r="C16" s="15"/>
      <c r="D16" s="2" t="s">
        <v>50</v>
      </c>
      <c r="E16" s="2"/>
      <c r="F16" s="2"/>
      <c r="G16" s="15"/>
      <c r="H16" s="15"/>
      <c r="I16" s="15"/>
      <c r="J16" s="16"/>
      <c r="K16" s="2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  <c r="K17" s="2"/>
    </row>
    <row r="18" ht="14.25" customHeight="1">
      <c r="B18" s="2" t="s">
        <v>51</v>
      </c>
      <c r="C18" s="2"/>
      <c r="D18" s="2"/>
      <c r="E18" s="2"/>
      <c r="F18" s="2" t="s">
        <v>52</v>
      </c>
      <c r="G18" s="2"/>
      <c r="H18" s="2"/>
      <c r="I18" s="2"/>
      <c r="J18" s="17"/>
      <c r="K18" s="2"/>
    </row>
    <row r="19" ht="14.25" customHeight="1">
      <c r="B19" s="31" t="s">
        <v>53</v>
      </c>
      <c r="C19" s="2"/>
      <c r="D19" s="2"/>
      <c r="E19" s="2"/>
      <c r="F19" s="2"/>
      <c r="G19" s="14" t="s">
        <v>54</v>
      </c>
      <c r="I19" s="2"/>
      <c r="J19" s="15"/>
      <c r="K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4.25" customHeight="1">
      <c r="A21" s="19"/>
      <c r="B21" s="20"/>
      <c r="C21" s="21"/>
      <c r="D21" s="21"/>
      <c r="E21" s="22"/>
      <c r="F21" s="19"/>
      <c r="G21" s="19"/>
      <c r="H21" s="19"/>
      <c r="I21" s="19"/>
      <c r="J21" s="19"/>
      <c r="K21" s="19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6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3"/>
      <c r="B24" s="24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5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8"/>
      <c r="C26" s="29"/>
      <c r="D26" s="30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8"/>
      <c r="C27" s="29"/>
      <c r="D27" s="30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75" customHeight="1">
      <c r="A28" s="23"/>
      <c r="B28" s="28"/>
      <c r="C28" s="29"/>
      <c r="D28" s="30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9:H19"/>
    <mergeCell ref="B21:E21"/>
    <mergeCell ref="B24:C24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4.57"/>
    <col customWidth="1" min="11" max="26" width="8.71"/>
  </cols>
  <sheetData>
    <row r="1" ht="14.25" customHeight="1">
      <c r="A1" s="5" t="s">
        <v>27</v>
      </c>
      <c r="K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</row>
    <row r="3" ht="14.25" customHeight="1">
      <c r="A3" s="5" t="s">
        <v>55</v>
      </c>
      <c r="K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</row>
    <row r="5" ht="14.25" customHeight="1">
      <c r="A5" s="7">
        <v>1.0</v>
      </c>
      <c r="B5" s="8" t="s">
        <v>35</v>
      </c>
      <c r="C5" s="7" t="s">
        <v>36</v>
      </c>
      <c r="D5" s="9">
        <v>9000.0</v>
      </c>
      <c r="E5" s="10">
        <v>450.0</v>
      </c>
      <c r="F5" s="10">
        <v>450.0</v>
      </c>
      <c r="G5" s="10">
        <v>900.0</v>
      </c>
      <c r="H5" s="10">
        <v>8550.0</v>
      </c>
      <c r="I5" s="8"/>
      <c r="J5" s="8"/>
      <c r="K5" s="2"/>
    </row>
    <row r="6" ht="14.25" customHeight="1">
      <c r="A6" s="7">
        <v>2.0</v>
      </c>
      <c r="B6" s="8" t="s">
        <v>13</v>
      </c>
      <c r="C6" s="7" t="s">
        <v>14</v>
      </c>
      <c r="D6" s="9">
        <v>9000.0</v>
      </c>
      <c r="E6" s="10">
        <v>450.0</v>
      </c>
      <c r="F6" s="10">
        <v>450.0</v>
      </c>
      <c r="G6" s="10">
        <v>900.0</v>
      </c>
      <c r="H6" s="10">
        <v>8550.0</v>
      </c>
      <c r="I6" s="8"/>
      <c r="J6" s="8"/>
      <c r="K6" s="11"/>
    </row>
    <row r="7" ht="14.25" customHeight="1">
      <c r="A7" s="7"/>
      <c r="B7" s="8"/>
      <c r="C7" s="7"/>
      <c r="D7" s="9"/>
      <c r="E7" s="10"/>
      <c r="F7" s="10"/>
      <c r="G7" s="10"/>
      <c r="H7" s="10"/>
      <c r="I7" s="8"/>
      <c r="J7" s="8"/>
      <c r="K7" s="2"/>
    </row>
    <row r="8" ht="14.25" customHeight="1">
      <c r="A8" s="7"/>
      <c r="B8" s="8"/>
      <c r="C8" s="7"/>
      <c r="D8" s="9"/>
      <c r="E8" s="10"/>
      <c r="F8" s="10"/>
      <c r="G8" s="10"/>
      <c r="H8" s="10"/>
      <c r="I8" s="8"/>
      <c r="J8" s="8"/>
      <c r="K8" s="2"/>
    </row>
    <row r="9" ht="14.25" customHeight="1">
      <c r="A9" s="7"/>
      <c r="B9" s="8"/>
      <c r="C9" s="7"/>
      <c r="D9" s="9"/>
      <c r="E9" s="10"/>
      <c r="F9" s="10"/>
      <c r="G9" s="10"/>
      <c r="H9" s="10"/>
      <c r="I9" s="8"/>
      <c r="J9" s="8"/>
      <c r="K9" s="2"/>
    </row>
    <row r="10" ht="14.25" customHeight="1">
      <c r="A10" s="7"/>
      <c r="B10" s="8"/>
      <c r="C10" s="7"/>
      <c r="D10" s="9"/>
      <c r="E10" s="10"/>
      <c r="F10" s="10"/>
      <c r="G10" s="10"/>
      <c r="H10" s="10"/>
      <c r="I10" s="8"/>
      <c r="J10" s="8"/>
      <c r="K10" s="2"/>
    </row>
    <row r="11" ht="14.25" customHeight="1">
      <c r="A11" s="2"/>
      <c r="B11" s="2"/>
      <c r="C11" s="2"/>
      <c r="D11" s="12">
        <f t="shared" ref="D11:H11" si="1">SUM(D5:D10)</f>
        <v>18000</v>
      </c>
      <c r="E11" s="12">
        <f t="shared" si="1"/>
        <v>900</v>
      </c>
      <c r="F11" s="12">
        <f t="shared" si="1"/>
        <v>900</v>
      </c>
      <c r="G11" s="12">
        <f t="shared" si="1"/>
        <v>1800</v>
      </c>
      <c r="H11" s="13">
        <f t="shared" si="1"/>
        <v>17100</v>
      </c>
      <c r="I11" s="2"/>
      <c r="J11" s="2"/>
      <c r="K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  <c r="K13" s="2"/>
    </row>
    <row r="14" ht="14.25" customHeight="1">
      <c r="A14" s="2"/>
      <c r="B14" s="2"/>
      <c r="C14" s="2"/>
      <c r="G14" s="2"/>
      <c r="H14" s="2"/>
      <c r="I14" s="14"/>
      <c r="J14" s="14"/>
      <c r="K14" s="2"/>
    </row>
    <row r="15" ht="14.25" customHeight="1">
      <c r="A15" s="2"/>
      <c r="B15" s="15" t="s">
        <v>21</v>
      </c>
      <c r="C15" s="2"/>
      <c r="D15" s="2" t="s">
        <v>49</v>
      </c>
      <c r="E15" s="2"/>
      <c r="F15" s="2"/>
      <c r="G15" s="2"/>
      <c r="H15" s="2"/>
      <c r="I15" s="14"/>
      <c r="J15" s="14"/>
      <c r="K15" s="2"/>
    </row>
    <row r="16" ht="14.25" customHeight="1">
      <c r="A16" s="2" t="s">
        <v>21</v>
      </c>
      <c r="B16" s="15"/>
      <c r="C16" s="15"/>
      <c r="D16" s="2" t="s">
        <v>50</v>
      </c>
      <c r="E16" s="2"/>
      <c r="F16" s="2"/>
      <c r="G16" s="15"/>
      <c r="H16" s="15"/>
      <c r="I16" s="15"/>
      <c r="J16" s="16"/>
      <c r="K16" s="2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  <c r="K17" s="2"/>
    </row>
    <row r="18" ht="14.25" customHeight="1">
      <c r="B18" s="2" t="s">
        <v>51</v>
      </c>
      <c r="C18" s="2"/>
      <c r="D18" s="2"/>
      <c r="E18" s="2"/>
      <c r="F18" s="2" t="s">
        <v>52</v>
      </c>
      <c r="G18" s="2"/>
      <c r="H18" s="2"/>
      <c r="I18" s="2"/>
      <c r="J18" s="17"/>
      <c r="K18" s="2"/>
    </row>
    <row r="19" ht="14.25" customHeight="1">
      <c r="B19" s="31" t="s">
        <v>53</v>
      </c>
      <c r="C19" s="2"/>
      <c r="D19" s="2"/>
      <c r="E19" s="2"/>
      <c r="F19" s="2"/>
      <c r="G19" s="14" t="s">
        <v>54</v>
      </c>
      <c r="I19" s="2"/>
      <c r="J19" s="15"/>
      <c r="K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4.25" customHeight="1">
      <c r="A21" s="19"/>
      <c r="B21" s="20"/>
      <c r="C21" s="21"/>
      <c r="D21" s="21"/>
      <c r="E21" s="22"/>
      <c r="F21" s="19"/>
      <c r="G21" s="19"/>
      <c r="H21" s="19"/>
      <c r="I21" s="19"/>
      <c r="J21" s="19"/>
      <c r="K21" s="19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6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3"/>
      <c r="B24" s="24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5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8"/>
      <c r="C26" s="29"/>
      <c r="D26" s="30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8"/>
      <c r="C27" s="29"/>
      <c r="D27" s="30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75" customHeight="1">
      <c r="A28" s="23"/>
      <c r="B28" s="28"/>
      <c r="C28" s="29"/>
      <c r="D28" s="30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9:H19"/>
    <mergeCell ref="B21:E21"/>
    <mergeCell ref="B24:C24"/>
  </mergeCells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4.57"/>
    <col customWidth="1" min="11" max="26" width="8.71"/>
  </cols>
  <sheetData>
    <row r="1" ht="14.25" customHeight="1">
      <c r="A1" s="32" t="s">
        <v>27</v>
      </c>
      <c r="K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</row>
    <row r="3" ht="14.25" customHeight="1">
      <c r="A3" s="5" t="s">
        <v>56</v>
      </c>
      <c r="K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</row>
    <row r="5" ht="14.25" customHeight="1">
      <c r="A5" s="7">
        <v>1.0</v>
      </c>
      <c r="B5" s="8" t="s">
        <v>35</v>
      </c>
      <c r="C5" s="7" t="s">
        <v>36</v>
      </c>
      <c r="D5" s="9">
        <v>9000.0</v>
      </c>
      <c r="E5" s="10">
        <v>450.0</v>
      </c>
      <c r="F5" s="10">
        <v>450.0</v>
      </c>
      <c r="G5" s="10">
        <v>900.0</v>
      </c>
      <c r="H5" s="10">
        <f t="shared" ref="H5:H6" si="1">D5-E5</f>
        <v>8550</v>
      </c>
      <c r="I5" s="8"/>
      <c r="J5" s="8"/>
      <c r="K5" s="2"/>
    </row>
    <row r="6" ht="14.25" customHeight="1">
      <c r="A6" s="7">
        <v>2.0</v>
      </c>
      <c r="B6" s="8" t="s">
        <v>13</v>
      </c>
      <c r="C6" s="7" t="s">
        <v>14</v>
      </c>
      <c r="D6" s="9">
        <v>9000.0</v>
      </c>
      <c r="E6" s="10">
        <v>450.0</v>
      </c>
      <c r="F6" s="10">
        <v>450.0</v>
      </c>
      <c r="G6" s="10">
        <v>900.0</v>
      </c>
      <c r="H6" s="10">
        <f t="shared" si="1"/>
        <v>8550</v>
      </c>
      <c r="I6" s="8"/>
      <c r="J6" s="8"/>
      <c r="K6" s="11"/>
    </row>
    <row r="7" ht="14.25" customHeight="1">
      <c r="A7" s="7"/>
      <c r="B7" s="8"/>
      <c r="C7" s="7"/>
      <c r="D7" s="9"/>
      <c r="E7" s="10"/>
      <c r="F7" s="10"/>
      <c r="G7" s="10"/>
      <c r="H7" s="10"/>
      <c r="I7" s="8"/>
      <c r="J7" s="8"/>
      <c r="K7" s="2"/>
    </row>
    <row r="8" ht="14.25" customHeight="1">
      <c r="A8" s="7"/>
      <c r="B8" s="8"/>
      <c r="C8" s="7"/>
      <c r="D8" s="9"/>
      <c r="E8" s="10"/>
      <c r="F8" s="10"/>
      <c r="G8" s="10"/>
      <c r="H8" s="10"/>
      <c r="I8" s="8"/>
      <c r="J8" s="8"/>
      <c r="K8" s="2"/>
    </row>
    <row r="9" ht="14.25" customHeight="1">
      <c r="A9" s="7"/>
      <c r="B9" s="8"/>
      <c r="C9" s="7"/>
      <c r="D9" s="9"/>
      <c r="E9" s="10"/>
      <c r="F9" s="10"/>
      <c r="G9" s="10"/>
      <c r="H9" s="10"/>
      <c r="I9" s="8"/>
      <c r="J9" s="8"/>
      <c r="K9" s="2"/>
    </row>
    <row r="10" ht="14.25" customHeight="1">
      <c r="A10" s="7"/>
      <c r="B10" s="8"/>
      <c r="C10" s="7"/>
      <c r="D10" s="9"/>
      <c r="E10" s="10"/>
      <c r="F10" s="10"/>
      <c r="G10" s="10"/>
      <c r="H10" s="10"/>
      <c r="I10" s="8"/>
      <c r="J10" s="8"/>
      <c r="K10" s="2"/>
    </row>
    <row r="11" ht="14.25" customHeight="1">
      <c r="A11" s="2"/>
      <c r="B11" s="2"/>
      <c r="C11" s="2"/>
      <c r="D11" s="12">
        <f>SUM(D5:D10)</f>
        <v>18000</v>
      </c>
      <c r="E11" s="12">
        <f t="shared" ref="E11:H11" si="2">SUM(E5:E10)</f>
        <v>900</v>
      </c>
      <c r="F11" s="12">
        <f t="shared" si="2"/>
        <v>900</v>
      </c>
      <c r="G11" s="12">
        <f t="shared" si="2"/>
        <v>1800</v>
      </c>
      <c r="H11" s="13">
        <f t="shared" si="2"/>
        <v>17100</v>
      </c>
      <c r="I11" s="2"/>
      <c r="J11" s="2"/>
      <c r="K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  <c r="K13" s="2"/>
    </row>
    <row r="14" ht="14.25" customHeight="1">
      <c r="A14" s="2"/>
      <c r="B14" s="2"/>
      <c r="C14" s="2"/>
      <c r="G14" s="2"/>
      <c r="H14" s="2"/>
      <c r="I14" s="14"/>
      <c r="J14" s="14"/>
      <c r="K14" s="2"/>
    </row>
    <row r="15" ht="14.25" customHeight="1">
      <c r="A15" s="2"/>
      <c r="B15" s="15" t="s">
        <v>21</v>
      </c>
      <c r="C15" s="2"/>
      <c r="D15" s="2"/>
      <c r="E15" s="2"/>
      <c r="F15" s="2"/>
      <c r="G15" s="2"/>
      <c r="H15" s="2"/>
      <c r="I15" s="14"/>
      <c r="J15" s="14"/>
      <c r="K15" s="2"/>
    </row>
    <row r="16" ht="14.25" customHeight="1">
      <c r="A16" s="2" t="s">
        <v>21</v>
      </c>
      <c r="B16" s="15"/>
      <c r="C16" s="15"/>
      <c r="D16" s="2"/>
      <c r="E16" s="2"/>
      <c r="F16" s="2"/>
      <c r="G16" s="15"/>
      <c r="H16" s="15"/>
      <c r="I16" s="15"/>
      <c r="J16" s="16"/>
      <c r="K16" s="2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  <c r="K17" s="2"/>
    </row>
    <row r="18" ht="14.25" customHeight="1">
      <c r="B18" s="2" t="s">
        <v>51</v>
      </c>
      <c r="C18" s="2"/>
      <c r="D18" s="2"/>
      <c r="E18" s="2"/>
      <c r="F18" s="2" t="s">
        <v>52</v>
      </c>
      <c r="G18" s="2"/>
      <c r="H18" s="2"/>
      <c r="I18" s="2"/>
      <c r="J18" s="17"/>
    </row>
    <row r="19" ht="14.25" customHeight="1">
      <c r="B19" s="31" t="s">
        <v>53</v>
      </c>
      <c r="C19" s="2"/>
      <c r="D19" s="2"/>
      <c r="E19" s="2"/>
      <c r="F19" s="2"/>
      <c r="G19" s="14" t="s">
        <v>54</v>
      </c>
      <c r="I19" s="2"/>
      <c r="J19" s="15"/>
      <c r="K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4.25" customHeight="1">
      <c r="A21" s="19"/>
      <c r="B21" s="20"/>
      <c r="C21" s="21"/>
      <c r="D21" s="21"/>
      <c r="E21" s="22"/>
      <c r="F21" s="19"/>
      <c r="G21" s="19"/>
      <c r="H21" s="19"/>
      <c r="I21" s="19"/>
      <c r="J21" s="19"/>
      <c r="K21" s="19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6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3"/>
      <c r="B24" s="24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5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8"/>
      <c r="C26" s="29"/>
      <c r="D26" s="30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8"/>
      <c r="C27" s="29"/>
      <c r="D27" s="30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75" customHeight="1">
      <c r="A28" s="23"/>
      <c r="B28" s="28"/>
      <c r="C28" s="29"/>
      <c r="D28" s="30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9:H19"/>
    <mergeCell ref="B21:E21"/>
    <mergeCell ref="B24:C24"/>
  </mergeCells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2.14"/>
    <col customWidth="1" min="4" max="4" width="12.86"/>
    <col customWidth="1" min="5" max="5" width="13.86"/>
    <col customWidth="1" min="6" max="6" width="12.57"/>
    <col customWidth="1" min="7" max="7" width="13.43"/>
    <col customWidth="1" min="8" max="8" width="12.43"/>
    <col customWidth="1" min="9" max="9" width="14.0"/>
    <col customWidth="1" min="10" max="10" width="14.57"/>
    <col customWidth="1" min="11" max="26" width="8.71"/>
  </cols>
  <sheetData>
    <row r="1" ht="14.25" customHeight="1">
      <c r="A1" s="32" t="s">
        <v>27</v>
      </c>
      <c r="K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</row>
    <row r="3" ht="14.25" customHeight="1">
      <c r="A3" s="5" t="s">
        <v>57</v>
      </c>
      <c r="K3" s="2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2"/>
    </row>
    <row r="5" ht="14.25" customHeight="1">
      <c r="A5" s="7">
        <v>1.0</v>
      </c>
      <c r="B5" s="8" t="s">
        <v>35</v>
      </c>
      <c r="C5" s="7" t="s">
        <v>36</v>
      </c>
      <c r="D5" s="9">
        <v>9000.0</v>
      </c>
      <c r="E5" s="10">
        <v>450.0</v>
      </c>
      <c r="F5" s="10">
        <v>450.0</v>
      </c>
      <c r="G5" s="10">
        <v>900.0</v>
      </c>
      <c r="H5" s="10">
        <f t="shared" ref="H5:H6" si="1">D5-E5</f>
        <v>8550</v>
      </c>
      <c r="I5" s="8"/>
      <c r="J5" s="8"/>
      <c r="K5" s="2"/>
    </row>
    <row r="6" ht="14.25" customHeight="1">
      <c r="A6" s="7">
        <v>2.0</v>
      </c>
      <c r="B6" s="8" t="s">
        <v>13</v>
      </c>
      <c r="C6" s="7" t="s">
        <v>14</v>
      </c>
      <c r="D6" s="9">
        <v>9000.0</v>
      </c>
      <c r="E6" s="10">
        <v>450.0</v>
      </c>
      <c r="F6" s="10">
        <v>450.0</v>
      </c>
      <c r="G6" s="10">
        <v>900.0</v>
      </c>
      <c r="H6" s="10">
        <f t="shared" si="1"/>
        <v>8550</v>
      </c>
      <c r="I6" s="8"/>
      <c r="J6" s="8"/>
      <c r="K6" s="11"/>
    </row>
    <row r="7" ht="14.25" customHeight="1">
      <c r="A7" s="7"/>
      <c r="B7" s="8"/>
      <c r="C7" s="7"/>
      <c r="D7" s="9"/>
      <c r="E7" s="10"/>
      <c r="F7" s="10"/>
      <c r="G7" s="10"/>
      <c r="H7" s="10"/>
      <c r="I7" s="8"/>
      <c r="J7" s="8"/>
      <c r="K7" s="2"/>
    </row>
    <row r="8" ht="14.25" customHeight="1">
      <c r="A8" s="7"/>
      <c r="B8" s="8"/>
      <c r="C8" s="7"/>
      <c r="D8" s="9"/>
      <c r="E8" s="10"/>
      <c r="F8" s="10"/>
      <c r="G8" s="10"/>
      <c r="H8" s="10"/>
      <c r="I8" s="8"/>
      <c r="J8" s="8"/>
      <c r="K8" s="2"/>
    </row>
    <row r="9" ht="14.25" customHeight="1">
      <c r="A9" s="7"/>
      <c r="B9" s="8"/>
      <c r="C9" s="7"/>
      <c r="D9" s="9"/>
      <c r="E9" s="10"/>
      <c r="F9" s="10"/>
      <c r="G9" s="10"/>
      <c r="H9" s="10"/>
      <c r="I9" s="8"/>
      <c r="J9" s="8"/>
      <c r="K9" s="2"/>
    </row>
    <row r="10" ht="14.25" customHeight="1">
      <c r="A10" s="7"/>
      <c r="B10" s="8"/>
      <c r="C10" s="7"/>
      <c r="D10" s="9"/>
      <c r="E10" s="10"/>
      <c r="F10" s="10"/>
      <c r="G10" s="10"/>
      <c r="H10" s="10"/>
      <c r="I10" s="8"/>
      <c r="J10" s="8"/>
      <c r="K10" s="2"/>
    </row>
    <row r="11" ht="14.25" customHeight="1">
      <c r="A11" s="2"/>
      <c r="B11" s="2"/>
      <c r="C11" s="2"/>
      <c r="D11" s="12">
        <f>SUM(D5:D10)</f>
        <v>18000</v>
      </c>
      <c r="E11" s="12">
        <f t="shared" ref="E11:H11" si="2">SUM(E5:E10)</f>
        <v>900</v>
      </c>
      <c r="F11" s="12">
        <f t="shared" si="2"/>
        <v>900</v>
      </c>
      <c r="G11" s="12">
        <f t="shared" si="2"/>
        <v>1800</v>
      </c>
      <c r="H11" s="13">
        <f t="shared" si="2"/>
        <v>17100</v>
      </c>
      <c r="I11" s="2"/>
      <c r="J11" s="2"/>
      <c r="K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  <c r="K13" s="2"/>
    </row>
    <row r="14" ht="14.25" customHeight="1">
      <c r="A14" s="2"/>
      <c r="B14" s="2"/>
      <c r="C14" s="2"/>
      <c r="G14" s="2"/>
      <c r="H14" s="2"/>
      <c r="I14" s="14"/>
      <c r="J14" s="14"/>
      <c r="K14" s="2"/>
    </row>
    <row r="15" ht="14.25" customHeight="1">
      <c r="A15" s="2"/>
      <c r="B15" s="15" t="s">
        <v>21</v>
      </c>
      <c r="C15" s="2"/>
      <c r="D15" s="2"/>
      <c r="E15" s="2"/>
      <c r="F15" s="2"/>
      <c r="G15" s="2"/>
      <c r="H15" s="2"/>
      <c r="I15" s="14"/>
      <c r="J15" s="14"/>
      <c r="K15" s="2"/>
    </row>
    <row r="16" ht="14.25" customHeight="1">
      <c r="A16" s="2" t="s">
        <v>21</v>
      </c>
      <c r="B16" s="15"/>
      <c r="C16" s="15"/>
      <c r="D16" s="2"/>
      <c r="E16" s="2"/>
      <c r="F16" s="2"/>
      <c r="G16" s="15"/>
      <c r="H16" s="15"/>
      <c r="I16" s="15"/>
      <c r="J16" s="16"/>
      <c r="K16" s="2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  <c r="K17" s="2"/>
    </row>
    <row r="18" ht="14.25" customHeight="1">
      <c r="B18" s="2" t="s">
        <v>51</v>
      </c>
      <c r="C18" s="2"/>
      <c r="D18" s="2"/>
      <c r="E18" s="2"/>
      <c r="F18" s="2" t="s">
        <v>52</v>
      </c>
      <c r="G18" s="2"/>
      <c r="H18" s="2"/>
      <c r="I18" s="2"/>
      <c r="J18" s="17"/>
    </row>
    <row r="19" ht="14.25" customHeight="1">
      <c r="B19" s="31" t="s">
        <v>53</v>
      </c>
      <c r="C19" s="2"/>
      <c r="D19" s="2"/>
      <c r="E19" s="2"/>
      <c r="F19" s="2"/>
      <c r="G19" s="14" t="s">
        <v>54</v>
      </c>
      <c r="I19" s="2"/>
      <c r="J19" s="15"/>
      <c r="K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4.25" customHeight="1">
      <c r="A21" s="19"/>
      <c r="B21" s="20"/>
      <c r="C21" s="21"/>
      <c r="D21" s="21"/>
      <c r="E21" s="22"/>
      <c r="F21" s="19"/>
      <c r="G21" s="19"/>
      <c r="H21" s="19"/>
      <c r="I21" s="19"/>
      <c r="J21" s="19"/>
      <c r="K21" s="19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6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3"/>
      <c r="B24" s="24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5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75" customHeight="1">
      <c r="A26" s="23"/>
      <c r="B26" s="28"/>
      <c r="C26" s="29"/>
      <c r="D26" s="30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75" customHeight="1">
      <c r="A27" s="23"/>
      <c r="B27" s="28"/>
      <c r="C27" s="29"/>
      <c r="D27" s="30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75" customHeight="1">
      <c r="A28" s="23"/>
      <c r="B28" s="28"/>
      <c r="C28" s="29"/>
      <c r="D28" s="30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A3:J3"/>
    <mergeCell ref="G19:H19"/>
    <mergeCell ref="B21:E21"/>
    <mergeCell ref="B24:C24"/>
  </mergeCells>
  <printOptions/>
  <pageMargins bottom="0.75" footer="0.0" header="0.0" left="0.7" right="0.7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5.71"/>
    <col customWidth="1" min="4" max="4" width="17.29"/>
    <col customWidth="1" min="5" max="5" width="19.71"/>
    <col customWidth="1" min="6" max="6" width="19.0"/>
    <col customWidth="1" min="7" max="7" width="17.57"/>
    <col customWidth="1" min="8" max="9" width="17.71"/>
    <col customWidth="1" min="10" max="10" width="14.57"/>
  </cols>
  <sheetData>
    <row r="1" ht="14.25" customHeight="1">
      <c r="A1" s="33" t="s">
        <v>27</v>
      </c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4.25" customHeight="1">
      <c r="A3" s="5" t="s">
        <v>58</v>
      </c>
    </row>
    <row r="4" ht="14.25" customHeight="1">
      <c r="A4" s="6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34" t="s">
        <v>12</v>
      </c>
    </row>
    <row r="5" ht="29.25" customHeight="1">
      <c r="A5" s="35">
        <v>1.0</v>
      </c>
      <c r="B5" s="8" t="s">
        <v>35</v>
      </c>
      <c r="C5" s="7" t="s">
        <v>36</v>
      </c>
      <c r="D5" s="9">
        <v>9000.0</v>
      </c>
      <c r="E5" s="36">
        <v>450.0</v>
      </c>
      <c r="F5" s="36">
        <v>450.0</v>
      </c>
      <c r="G5" s="36">
        <v>900.0</v>
      </c>
      <c r="H5" s="10">
        <f t="shared" ref="H5:H6" si="1">D5-E5</f>
        <v>8550</v>
      </c>
      <c r="I5" s="8"/>
      <c r="J5" s="8"/>
    </row>
    <row r="6" ht="26.25" customHeight="1">
      <c r="A6" s="35">
        <v>2.0</v>
      </c>
      <c r="B6" s="8" t="s">
        <v>13</v>
      </c>
      <c r="C6" s="7" t="s">
        <v>14</v>
      </c>
      <c r="D6" s="9">
        <v>9000.0</v>
      </c>
      <c r="E6" s="36">
        <v>450.0</v>
      </c>
      <c r="F6" s="36">
        <v>450.0</v>
      </c>
      <c r="G6" s="36">
        <v>900.0</v>
      </c>
      <c r="H6" s="10">
        <f t="shared" si="1"/>
        <v>8550</v>
      </c>
      <c r="I6" s="8"/>
      <c r="J6" s="8"/>
    </row>
    <row r="7" ht="20.25" customHeight="1">
      <c r="A7" s="35"/>
      <c r="B7" s="8"/>
      <c r="C7" s="7"/>
      <c r="D7" s="9"/>
      <c r="E7" s="10"/>
      <c r="F7" s="10"/>
      <c r="G7" s="10"/>
      <c r="H7" s="10"/>
      <c r="I7" s="8"/>
      <c r="J7" s="8"/>
    </row>
    <row r="8" ht="19.5" customHeight="1">
      <c r="A8" s="35"/>
      <c r="B8" s="8"/>
      <c r="C8" s="7"/>
      <c r="D8" s="9"/>
      <c r="E8" s="10"/>
      <c r="F8" s="10"/>
      <c r="G8" s="10"/>
      <c r="H8" s="10"/>
      <c r="I8" s="8"/>
      <c r="J8" s="8"/>
    </row>
    <row r="9" ht="20.25" customHeight="1">
      <c r="A9" s="35"/>
      <c r="B9" s="8"/>
      <c r="C9" s="7"/>
      <c r="D9" s="9"/>
      <c r="E9" s="10"/>
      <c r="F9" s="10"/>
      <c r="G9" s="10"/>
      <c r="H9" s="10"/>
      <c r="I9" s="8"/>
      <c r="J9" s="8"/>
    </row>
    <row r="10" ht="18.75" customHeight="1">
      <c r="A10" s="35"/>
      <c r="B10" s="8"/>
      <c r="C10" s="7"/>
      <c r="D10" s="9"/>
      <c r="E10" s="10"/>
      <c r="F10" s="10"/>
      <c r="G10" s="10"/>
      <c r="H10" s="10"/>
      <c r="I10" s="8"/>
      <c r="J10" s="8"/>
    </row>
    <row r="11" ht="14.25" customHeight="1">
      <c r="A11" s="2"/>
      <c r="B11" s="2"/>
      <c r="C11" s="2"/>
      <c r="D11" s="12">
        <f>SUM(D5:D10)</f>
        <v>18000</v>
      </c>
      <c r="E11" s="12">
        <f t="shared" ref="E11:H11" si="2">SUM(E5:E10)</f>
        <v>900</v>
      </c>
      <c r="F11" s="12">
        <f t="shared" si="2"/>
        <v>900</v>
      </c>
      <c r="G11" s="12">
        <f t="shared" si="2"/>
        <v>1800</v>
      </c>
      <c r="H11" s="12">
        <f t="shared" si="2"/>
        <v>17100</v>
      </c>
      <c r="I11" s="2"/>
      <c r="J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</row>
    <row r="14" ht="14.25" customHeight="1">
      <c r="A14" s="2"/>
      <c r="B14" s="2"/>
      <c r="C14" s="2"/>
      <c r="G14" s="2"/>
      <c r="H14" s="2"/>
      <c r="I14" s="14"/>
      <c r="J14" s="14"/>
    </row>
    <row r="15" ht="14.25" customHeight="1">
      <c r="A15" s="2"/>
      <c r="B15" s="15" t="s">
        <v>21</v>
      </c>
      <c r="C15" s="2"/>
      <c r="D15" s="2"/>
      <c r="E15" s="2"/>
      <c r="F15" s="2"/>
      <c r="G15" s="2"/>
      <c r="H15" s="2"/>
      <c r="I15" s="14"/>
      <c r="J15" s="14"/>
    </row>
    <row r="16" ht="14.25" customHeight="1">
      <c r="A16" s="2" t="s">
        <v>21</v>
      </c>
      <c r="B16" s="15"/>
      <c r="C16" s="15"/>
      <c r="D16" s="2"/>
      <c r="E16" s="2"/>
      <c r="F16" s="2"/>
      <c r="G16" s="15"/>
      <c r="H16" s="15"/>
      <c r="I16" s="15"/>
      <c r="J16" s="16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</row>
    <row r="18" ht="14.25" customHeight="1">
      <c r="B18" s="2" t="s">
        <v>51</v>
      </c>
      <c r="C18" s="2"/>
      <c r="D18" s="2"/>
      <c r="E18" s="2"/>
      <c r="F18" s="2" t="s">
        <v>52</v>
      </c>
      <c r="G18" s="2"/>
      <c r="H18" s="2"/>
      <c r="I18" s="2"/>
      <c r="J18" s="17"/>
    </row>
    <row r="19" ht="14.25" customHeight="1">
      <c r="B19" s="37" t="s">
        <v>59</v>
      </c>
      <c r="D19" s="2"/>
      <c r="E19" s="2"/>
      <c r="F19" s="2"/>
      <c r="G19" s="38" t="s">
        <v>60</v>
      </c>
      <c r="I19" s="2"/>
      <c r="J19" s="15"/>
    </row>
  </sheetData>
  <mergeCells count="4">
    <mergeCell ref="A1:J1"/>
    <mergeCell ref="A3:J3"/>
    <mergeCell ref="B19:C19"/>
    <mergeCell ref="G19:H19"/>
  </mergeCells>
  <printOptions/>
  <pageMargins bottom="0.75" footer="0.0" header="0.0" left="0.7" right="0.7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5.71"/>
    <col customWidth="1" min="4" max="4" width="17.29"/>
    <col customWidth="1" min="5" max="5" width="19.71"/>
    <col customWidth="1" min="6" max="6" width="19.0"/>
    <col customWidth="1" min="7" max="7" width="17.57"/>
    <col customWidth="1" min="8" max="9" width="17.71"/>
    <col customWidth="1" min="10" max="10" width="14.57"/>
  </cols>
  <sheetData>
    <row r="1" ht="14.25" customHeight="1">
      <c r="A1" s="33" t="s">
        <v>27</v>
      </c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4.25" customHeight="1">
      <c r="A3" s="5" t="s">
        <v>58</v>
      </c>
    </row>
    <row r="4" ht="14.25" customHeight="1">
      <c r="A4" s="6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34" t="s">
        <v>12</v>
      </c>
    </row>
    <row r="5" ht="29.25" customHeight="1">
      <c r="A5" s="35">
        <v>1.0</v>
      </c>
      <c r="B5" s="8" t="s">
        <v>35</v>
      </c>
      <c r="C5" s="7" t="s">
        <v>36</v>
      </c>
      <c r="D5" s="9">
        <v>9000.0</v>
      </c>
      <c r="E5" s="36">
        <v>450.0</v>
      </c>
      <c r="F5" s="36">
        <v>450.0</v>
      </c>
      <c r="G5" s="36">
        <v>900.0</v>
      </c>
      <c r="H5" s="10">
        <f t="shared" ref="H5:H6" si="1">D5-E5</f>
        <v>8550</v>
      </c>
      <c r="I5" s="8"/>
      <c r="J5" s="8"/>
    </row>
    <row r="6" ht="26.25" customHeight="1">
      <c r="A6" s="35">
        <v>2.0</v>
      </c>
      <c r="B6" s="8" t="s">
        <v>13</v>
      </c>
      <c r="C6" s="7" t="s">
        <v>14</v>
      </c>
      <c r="D6" s="9">
        <v>9000.0</v>
      </c>
      <c r="E6" s="36">
        <v>450.0</v>
      </c>
      <c r="F6" s="36">
        <v>450.0</v>
      </c>
      <c r="G6" s="36">
        <v>900.0</v>
      </c>
      <c r="H6" s="10">
        <f t="shared" si="1"/>
        <v>8550</v>
      </c>
      <c r="I6" s="8"/>
      <c r="J6" s="8"/>
    </row>
    <row r="7" ht="20.25" customHeight="1">
      <c r="A7" s="35"/>
      <c r="B7" s="8"/>
      <c r="C7" s="7"/>
      <c r="D7" s="9"/>
      <c r="E7" s="10"/>
      <c r="F7" s="10"/>
      <c r="G7" s="10"/>
      <c r="H7" s="10"/>
      <c r="I7" s="8"/>
      <c r="J7" s="8"/>
    </row>
    <row r="8" ht="19.5" customHeight="1">
      <c r="A8" s="35"/>
      <c r="B8" s="8"/>
      <c r="C8" s="7"/>
      <c r="D8" s="9"/>
      <c r="E8" s="10"/>
      <c r="F8" s="10"/>
      <c r="G8" s="10"/>
      <c r="H8" s="10"/>
      <c r="I8" s="8"/>
      <c r="J8" s="8"/>
    </row>
    <row r="9" ht="20.25" customHeight="1">
      <c r="A9" s="35"/>
      <c r="B9" s="8"/>
      <c r="C9" s="7"/>
      <c r="D9" s="9"/>
      <c r="E9" s="10"/>
      <c r="F9" s="10"/>
      <c r="G9" s="10"/>
      <c r="H9" s="10"/>
      <c r="I9" s="8"/>
      <c r="J9" s="8"/>
    </row>
    <row r="10" ht="18.75" customHeight="1">
      <c r="A10" s="35"/>
      <c r="B10" s="8"/>
      <c r="C10" s="7"/>
      <c r="D10" s="9"/>
      <c r="E10" s="10"/>
      <c r="F10" s="10"/>
      <c r="G10" s="10"/>
      <c r="H10" s="10"/>
      <c r="I10" s="8"/>
      <c r="J10" s="8"/>
    </row>
    <row r="11" ht="14.25" customHeight="1">
      <c r="A11" s="2"/>
      <c r="B11" s="2"/>
      <c r="C11" s="2"/>
      <c r="D11" s="12">
        <f>SUM(D5:D10)</f>
        <v>18000</v>
      </c>
      <c r="E11" s="12">
        <f t="shared" ref="E11:H11" si="2">SUM(E5:E10)</f>
        <v>900</v>
      </c>
      <c r="F11" s="12">
        <f t="shared" si="2"/>
        <v>900</v>
      </c>
      <c r="G11" s="12">
        <f t="shared" si="2"/>
        <v>1800</v>
      </c>
      <c r="H11" s="12">
        <f t="shared" si="2"/>
        <v>17100</v>
      </c>
      <c r="I11" s="2"/>
      <c r="J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</row>
    <row r="14" ht="14.25" customHeight="1">
      <c r="A14" s="2"/>
      <c r="B14" s="2"/>
      <c r="C14" s="2"/>
      <c r="G14" s="2"/>
      <c r="H14" s="2"/>
      <c r="I14" s="14"/>
      <c r="J14" s="14"/>
    </row>
    <row r="15" ht="14.25" customHeight="1">
      <c r="A15" s="2"/>
      <c r="B15" s="15" t="s">
        <v>21</v>
      </c>
      <c r="C15" s="2"/>
      <c r="D15" s="2"/>
      <c r="E15" s="2"/>
      <c r="F15" s="2"/>
      <c r="G15" s="2"/>
      <c r="H15" s="2"/>
      <c r="I15" s="14"/>
      <c r="J15" s="14"/>
    </row>
    <row r="16" ht="14.25" customHeight="1">
      <c r="A16" s="2" t="s">
        <v>21</v>
      </c>
      <c r="B16" s="15"/>
      <c r="C16" s="15"/>
      <c r="D16" s="2"/>
      <c r="E16" s="2"/>
      <c r="F16" s="2"/>
      <c r="G16" s="15"/>
      <c r="H16" s="15"/>
      <c r="I16" s="15"/>
      <c r="J16" s="16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</row>
    <row r="18" ht="14.25" customHeight="1">
      <c r="B18" s="2" t="s">
        <v>51</v>
      </c>
      <c r="C18" s="2"/>
      <c r="D18" s="2"/>
      <c r="E18" s="2"/>
      <c r="F18" s="2" t="s">
        <v>52</v>
      </c>
      <c r="G18" s="2"/>
      <c r="H18" s="2"/>
      <c r="I18" s="2"/>
      <c r="J18" s="17"/>
    </row>
    <row r="19" ht="14.25" customHeight="1">
      <c r="B19" s="37" t="s">
        <v>59</v>
      </c>
      <c r="D19" s="2"/>
      <c r="E19" s="2"/>
      <c r="F19" s="2"/>
      <c r="G19" s="38" t="s">
        <v>60</v>
      </c>
      <c r="I19" s="2"/>
      <c r="J19" s="15"/>
    </row>
  </sheetData>
  <mergeCells count="4">
    <mergeCell ref="A1:J1"/>
    <mergeCell ref="A3:J3"/>
    <mergeCell ref="B19:C19"/>
    <mergeCell ref="G19:H19"/>
  </mergeCells>
  <printOptions/>
  <pageMargins bottom="0.75" footer="0.0" header="0.0" left="0.7" right="0.7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5.71"/>
    <col customWidth="1" min="4" max="4" width="17.29"/>
    <col customWidth="1" min="5" max="5" width="19.71"/>
    <col customWidth="1" min="6" max="6" width="19.0"/>
    <col customWidth="1" min="7" max="7" width="17.57"/>
    <col customWidth="1" min="8" max="9" width="17.71"/>
    <col customWidth="1" min="10" max="10" width="14.57"/>
  </cols>
  <sheetData>
    <row r="1" ht="14.25" customHeight="1">
      <c r="A1" s="33" t="s">
        <v>27</v>
      </c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4.25" customHeight="1">
      <c r="A3" s="1" t="s">
        <v>61</v>
      </c>
    </row>
    <row r="4" ht="14.25" customHeight="1">
      <c r="A4" s="6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34" t="s">
        <v>12</v>
      </c>
    </row>
    <row r="5" ht="29.25" customHeight="1">
      <c r="A5" s="35">
        <v>1.0</v>
      </c>
      <c r="B5" s="8" t="s">
        <v>35</v>
      </c>
      <c r="C5" s="7" t="s">
        <v>36</v>
      </c>
      <c r="D5" s="9">
        <v>9000.0</v>
      </c>
      <c r="E5" s="36">
        <v>450.0</v>
      </c>
      <c r="F5" s="36">
        <v>450.0</v>
      </c>
      <c r="G5" s="36">
        <v>900.0</v>
      </c>
      <c r="H5" s="10">
        <f t="shared" ref="H5:H6" si="1">D5-E5</f>
        <v>8550</v>
      </c>
      <c r="I5" s="8"/>
      <c r="J5" s="8"/>
    </row>
    <row r="6" ht="26.25" customHeight="1">
      <c r="A6" s="35">
        <v>2.0</v>
      </c>
      <c r="B6" s="8" t="s">
        <v>13</v>
      </c>
      <c r="C6" s="7" t="s">
        <v>14</v>
      </c>
      <c r="D6" s="9">
        <v>9000.0</v>
      </c>
      <c r="E6" s="36">
        <v>450.0</v>
      </c>
      <c r="F6" s="36">
        <v>450.0</v>
      </c>
      <c r="G6" s="36">
        <v>900.0</v>
      </c>
      <c r="H6" s="10">
        <f t="shared" si="1"/>
        <v>8550</v>
      </c>
      <c r="I6" s="8"/>
      <c r="J6" s="8"/>
    </row>
    <row r="7" ht="20.25" customHeight="1">
      <c r="A7" s="35"/>
      <c r="B7" s="8"/>
      <c r="C7" s="7"/>
      <c r="D7" s="9"/>
      <c r="E7" s="10"/>
      <c r="F7" s="10"/>
      <c r="G7" s="10"/>
      <c r="H7" s="10"/>
      <c r="I7" s="8"/>
      <c r="J7" s="8"/>
    </row>
    <row r="8" ht="19.5" customHeight="1">
      <c r="A8" s="35"/>
      <c r="B8" s="8"/>
      <c r="C8" s="7"/>
      <c r="D8" s="9"/>
      <c r="E8" s="10"/>
      <c r="F8" s="10"/>
      <c r="G8" s="10"/>
      <c r="H8" s="10"/>
      <c r="I8" s="8"/>
      <c r="J8" s="8"/>
    </row>
    <row r="9" ht="20.25" customHeight="1">
      <c r="A9" s="35"/>
      <c r="B9" s="8"/>
      <c r="C9" s="7"/>
      <c r="D9" s="9"/>
      <c r="E9" s="10"/>
      <c r="F9" s="10"/>
      <c r="G9" s="10"/>
      <c r="H9" s="10"/>
      <c r="I9" s="8"/>
      <c r="J9" s="8"/>
    </row>
    <row r="10" ht="18.75" customHeight="1">
      <c r="A10" s="35"/>
      <c r="B10" s="8"/>
      <c r="C10" s="7"/>
      <c r="D10" s="9"/>
      <c r="E10" s="10"/>
      <c r="F10" s="10"/>
      <c r="G10" s="10"/>
      <c r="H10" s="10"/>
      <c r="I10" s="8"/>
      <c r="J10" s="8"/>
    </row>
    <row r="11" ht="14.25" customHeight="1">
      <c r="A11" s="2"/>
      <c r="B11" s="2"/>
      <c r="C11" s="2"/>
      <c r="D11" s="12">
        <f>SUM(D5:D10)</f>
        <v>18000</v>
      </c>
      <c r="E11" s="12">
        <f t="shared" ref="E11:H11" si="2">SUM(E5:E10)</f>
        <v>900</v>
      </c>
      <c r="F11" s="12">
        <f t="shared" si="2"/>
        <v>900</v>
      </c>
      <c r="G11" s="12">
        <f t="shared" si="2"/>
        <v>1800</v>
      </c>
      <c r="H11" s="12">
        <f t="shared" si="2"/>
        <v>17100</v>
      </c>
      <c r="I11" s="2"/>
      <c r="J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</row>
    <row r="14" ht="14.25" customHeight="1">
      <c r="A14" s="2"/>
      <c r="B14" s="2"/>
      <c r="C14" s="2"/>
      <c r="G14" s="2"/>
      <c r="H14" s="2"/>
      <c r="I14" s="14"/>
      <c r="J14" s="14"/>
    </row>
    <row r="15" ht="14.25" customHeight="1">
      <c r="A15" s="2"/>
      <c r="B15" s="15" t="s">
        <v>21</v>
      </c>
      <c r="C15" s="2"/>
      <c r="D15" s="2"/>
      <c r="E15" s="2"/>
      <c r="F15" s="2"/>
      <c r="G15" s="2"/>
      <c r="H15" s="2"/>
      <c r="I15" s="14"/>
      <c r="J15" s="14"/>
    </row>
    <row r="16" ht="14.25" customHeight="1">
      <c r="A16" s="2" t="s">
        <v>21</v>
      </c>
      <c r="B16" s="15"/>
      <c r="C16" s="15"/>
      <c r="D16" s="2"/>
      <c r="E16" s="2"/>
      <c r="F16" s="2"/>
      <c r="G16" s="15"/>
      <c r="H16" s="15"/>
      <c r="I16" s="15"/>
      <c r="J16" s="16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</row>
    <row r="18" ht="14.25" customHeight="1">
      <c r="B18" s="2" t="s">
        <v>51</v>
      </c>
      <c r="C18" s="2"/>
      <c r="D18" s="2"/>
      <c r="E18" s="2"/>
      <c r="F18" s="2" t="s">
        <v>52</v>
      </c>
      <c r="G18" s="2"/>
      <c r="H18" s="2"/>
      <c r="I18" s="2"/>
      <c r="J18" s="17"/>
    </row>
    <row r="19" ht="14.25" customHeight="1">
      <c r="B19" s="37" t="s">
        <v>59</v>
      </c>
      <c r="D19" s="2"/>
      <c r="E19" s="2"/>
      <c r="F19" s="2"/>
      <c r="G19" s="38" t="s">
        <v>60</v>
      </c>
      <c r="I19" s="2"/>
      <c r="J19" s="15"/>
    </row>
  </sheetData>
  <mergeCells count="4">
    <mergeCell ref="A1:J1"/>
    <mergeCell ref="A3:J3"/>
    <mergeCell ref="B19:C19"/>
    <mergeCell ref="G19:H19"/>
  </mergeCells>
  <printOptions/>
  <pageMargins bottom="0.75" footer="0.0" header="0.0" left="0.7" right="0.7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5.71"/>
    <col customWidth="1" min="4" max="4" width="17.29"/>
    <col customWidth="1" min="5" max="5" width="19.71"/>
    <col customWidth="1" min="6" max="6" width="19.0"/>
    <col customWidth="1" min="7" max="7" width="17.57"/>
    <col customWidth="1" min="8" max="9" width="17.71"/>
    <col customWidth="1" min="10" max="10" width="14.57"/>
  </cols>
  <sheetData>
    <row r="1" ht="14.25" customHeight="1">
      <c r="A1" s="33" t="s">
        <v>27</v>
      </c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4.25" customHeight="1">
      <c r="A3" s="1" t="s">
        <v>61</v>
      </c>
    </row>
    <row r="4" ht="14.25" customHeight="1">
      <c r="A4" s="6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34" t="s">
        <v>12</v>
      </c>
    </row>
    <row r="5" ht="29.25" customHeight="1">
      <c r="A5" s="35">
        <v>1.0</v>
      </c>
      <c r="B5" s="8" t="s">
        <v>35</v>
      </c>
      <c r="C5" s="7" t="s">
        <v>36</v>
      </c>
      <c r="D5" s="9">
        <v>9000.0</v>
      </c>
      <c r="E5" s="36">
        <v>450.0</v>
      </c>
      <c r="F5" s="36">
        <v>450.0</v>
      </c>
      <c r="G5" s="36">
        <v>900.0</v>
      </c>
      <c r="H5" s="10">
        <f t="shared" ref="H5:H6" si="1">D5-E5</f>
        <v>8550</v>
      </c>
      <c r="I5" s="8"/>
      <c r="J5" s="8"/>
    </row>
    <row r="6" ht="26.25" customHeight="1">
      <c r="A6" s="35">
        <v>2.0</v>
      </c>
      <c r="B6" s="8" t="s">
        <v>13</v>
      </c>
      <c r="C6" s="7" t="s">
        <v>14</v>
      </c>
      <c r="D6" s="9">
        <v>9000.0</v>
      </c>
      <c r="E6" s="36">
        <v>450.0</v>
      </c>
      <c r="F6" s="36">
        <v>450.0</v>
      </c>
      <c r="G6" s="36">
        <v>900.0</v>
      </c>
      <c r="H6" s="10">
        <f t="shared" si="1"/>
        <v>8550</v>
      </c>
      <c r="I6" s="8"/>
      <c r="J6" s="8"/>
    </row>
    <row r="7" ht="20.25" customHeight="1">
      <c r="A7" s="35"/>
      <c r="B7" s="8"/>
      <c r="C7" s="7"/>
      <c r="D7" s="9"/>
      <c r="E7" s="10"/>
      <c r="F7" s="10"/>
      <c r="G7" s="10"/>
      <c r="H7" s="10"/>
      <c r="I7" s="8"/>
      <c r="J7" s="8"/>
    </row>
    <row r="8" ht="19.5" customHeight="1">
      <c r="A8" s="35"/>
      <c r="B8" s="8"/>
      <c r="C8" s="7"/>
      <c r="D8" s="9"/>
      <c r="E8" s="10"/>
      <c r="F8" s="10"/>
      <c r="G8" s="10"/>
      <c r="H8" s="10"/>
      <c r="I8" s="8"/>
      <c r="J8" s="8"/>
    </row>
    <row r="9" ht="20.25" customHeight="1">
      <c r="A9" s="35"/>
      <c r="B9" s="8"/>
      <c r="C9" s="7"/>
      <c r="D9" s="9"/>
      <c r="E9" s="10"/>
      <c r="F9" s="10"/>
      <c r="G9" s="10"/>
      <c r="H9" s="10"/>
      <c r="I9" s="8"/>
      <c r="J9" s="8"/>
    </row>
    <row r="10" ht="18.75" customHeight="1">
      <c r="A10" s="35"/>
      <c r="B10" s="8"/>
      <c r="C10" s="7"/>
      <c r="D10" s="9"/>
      <c r="E10" s="10"/>
      <c r="F10" s="10"/>
      <c r="G10" s="10"/>
      <c r="H10" s="10"/>
      <c r="I10" s="8"/>
      <c r="J10" s="8"/>
    </row>
    <row r="11" ht="14.25" customHeight="1">
      <c r="A11" s="2"/>
      <c r="B11" s="2"/>
      <c r="C11" s="2"/>
      <c r="D11" s="12">
        <f>SUM(D5:D10)</f>
        <v>18000</v>
      </c>
      <c r="E11" s="12">
        <f t="shared" ref="E11:H11" si="2">SUM(E5:E10)</f>
        <v>900</v>
      </c>
      <c r="F11" s="12">
        <f t="shared" si="2"/>
        <v>900</v>
      </c>
      <c r="G11" s="12">
        <f t="shared" si="2"/>
        <v>1800</v>
      </c>
      <c r="H11" s="12">
        <f t="shared" si="2"/>
        <v>17100</v>
      </c>
      <c r="I11" s="2"/>
      <c r="J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</row>
    <row r="14" ht="14.25" customHeight="1">
      <c r="A14" s="2"/>
      <c r="B14" s="2"/>
      <c r="C14" s="2"/>
      <c r="G14" s="2"/>
      <c r="H14" s="2"/>
      <c r="I14" s="14"/>
      <c r="J14" s="14"/>
    </row>
    <row r="15" ht="14.25" customHeight="1">
      <c r="A15" s="2"/>
      <c r="B15" s="15" t="s">
        <v>21</v>
      </c>
      <c r="C15" s="2"/>
      <c r="D15" s="2"/>
      <c r="E15" s="2"/>
      <c r="F15" s="2"/>
      <c r="G15" s="2"/>
      <c r="H15" s="2"/>
      <c r="I15" s="14"/>
      <c r="J15" s="14"/>
    </row>
    <row r="16" ht="14.25" customHeight="1">
      <c r="A16" s="2" t="s">
        <v>21</v>
      </c>
      <c r="B16" s="15"/>
      <c r="C16" s="15"/>
      <c r="D16" s="2"/>
      <c r="E16" s="2"/>
      <c r="F16" s="2"/>
      <c r="G16" s="15"/>
      <c r="H16" s="15"/>
      <c r="I16" s="15"/>
      <c r="J16" s="16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</row>
    <row r="18" ht="14.25" customHeight="1">
      <c r="B18" s="2" t="s">
        <v>51</v>
      </c>
      <c r="C18" s="2"/>
      <c r="D18" s="2"/>
      <c r="E18" s="2"/>
      <c r="F18" s="2" t="s">
        <v>52</v>
      </c>
      <c r="G18" s="2"/>
      <c r="H18" s="2"/>
      <c r="I18" s="2"/>
      <c r="J18" s="17"/>
    </row>
    <row r="19" ht="14.25" customHeight="1">
      <c r="B19" s="37" t="s">
        <v>59</v>
      </c>
      <c r="D19" s="2"/>
      <c r="E19" s="2"/>
      <c r="F19" s="2"/>
      <c r="G19" s="38" t="s">
        <v>60</v>
      </c>
      <c r="I19" s="2"/>
      <c r="J19" s="15"/>
    </row>
  </sheetData>
  <mergeCells count="4">
    <mergeCell ref="A1:J1"/>
    <mergeCell ref="A3:J3"/>
    <mergeCell ref="B19:C19"/>
    <mergeCell ref="G19:H19"/>
  </mergeCells>
  <printOptions/>
  <pageMargins bottom="0.75" footer="0.0" header="0.0" left="0.7" right="0.7" top="0.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5.71"/>
    <col customWidth="1" min="4" max="4" width="17.29"/>
    <col customWidth="1" min="5" max="5" width="19.71"/>
    <col customWidth="1" min="6" max="6" width="19.0"/>
    <col customWidth="1" min="7" max="7" width="17.57"/>
    <col customWidth="1" min="8" max="9" width="17.71"/>
    <col customWidth="1" min="10" max="10" width="14.57"/>
  </cols>
  <sheetData>
    <row r="1" ht="14.25" customHeight="1">
      <c r="A1" s="33" t="s">
        <v>27</v>
      </c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4.25" customHeight="1">
      <c r="A3" s="1" t="s">
        <v>62</v>
      </c>
    </row>
    <row r="4" ht="14.25" customHeight="1">
      <c r="A4" s="6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34" t="s">
        <v>12</v>
      </c>
    </row>
    <row r="5" ht="29.25" customHeight="1">
      <c r="A5" s="35">
        <v>1.0</v>
      </c>
      <c r="B5" s="8" t="s">
        <v>35</v>
      </c>
      <c r="C5" s="7" t="s">
        <v>36</v>
      </c>
      <c r="D5" s="9">
        <v>9000.0</v>
      </c>
      <c r="E5" s="36">
        <v>450.0</v>
      </c>
      <c r="F5" s="36">
        <v>450.0</v>
      </c>
      <c r="G5" s="36">
        <v>900.0</v>
      </c>
      <c r="H5" s="10">
        <f t="shared" ref="H5:H6" si="1">D5-E5</f>
        <v>8550</v>
      </c>
      <c r="I5" s="8"/>
      <c r="J5" s="8"/>
    </row>
    <row r="6" ht="26.25" customHeight="1">
      <c r="A6" s="35">
        <v>2.0</v>
      </c>
      <c r="B6" s="8" t="s">
        <v>13</v>
      </c>
      <c r="C6" s="7" t="s">
        <v>14</v>
      </c>
      <c r="D6" s="9">
        <v>9000.0</v>
      </c>
      <c r="E6" s="36">
        <v>450.0</v>
      </c>
      <c r="F6" s="36">
        <v>450.0</v>
      </c>
      <c r="G6" s="36">
        <v>900.0</v>
      </c>
      <c r="H6" s="10">
        <f t="shared" si="1"/>
        <v>8550</v>
      </c>
      <c r="I6" s="8"/>
      <c r="J6" s="8"/>
    </row>
    <row r="7" ht="20.25" customHeight="1">
      <c r="A7" s="35"/>
      <c r="B7" s="8"/>
      <c r="C7" s="7"/>
      <c r="D7" s="9"/>
      <c r="E7" s="10"/>
      <c r="F7" s="10"/>
      <c r="G7" s="10"/>
      <c r="H7" s="10"/>
      <c r="I7" s="8"/>
      <c r="J7" s="8"/>
    </row>
    <row r="8" ht="19.5" customHeight="1">
      <c r="A8" s="35"/>
      <c r="B8" s="8"/>
      <c r="C8" s="7"/>
      <c r="D8" s="9"/>
      <c r="E8" s="10"/>
      <c r="F8" s="10"/>
      <c r="G8" s="10"/>
      <c r="H8" s="10"/>
      <c r="I8" s="8"/>
      <c r="J8" s="8"/>
    </row>
    <row r="9" ht="20.25" customHeight="1">
      <c r="A9" s="35"/>
      <c r="B9" s="8"/>
      <c r="C9" s="7"/>
      <c r="D9" s="9"/>
      <c r="E9" s="10"/>
      <c r="F9" s="10"/>
      <c r="G9" s="10"/>
      <c r="H9" s="10"/>
      <c r="I9" s="8"/>
      <c r="J9" s="8"/>
    </row>
    <row r="10" ht="18.75" customHeight="1">
      <c r="A10" s="35"/>
      <c r="B10" s="8"/>
      <c r="C10" s="7"/>
      <c r="D10" s="9"/>
      <c r="E10" s="10"/>
      <c r="F10" s="10"/>
      <c r="G10" s="10"/>
      <c r="H10" s="10"/>
      <c r="I10" s="8"/>
      <c r="J10" s="8"/>
    </row>
    <row r="11" ht="14.25" customHeight="1">
      <c r="A11" s="2"/>
      <c r="B11" s="2"/>
      <c r="C11" s="2"/>
      <c r="D11" s="12">
        <f>SUM(D5:D10)</f>
        <v>18000</v>
      </c>
      <c r="E11" s="12">
        <f t="shared" ref="E11:H11" si="2">SUM(E5:E10)</f>
        <v>900</v>
      </c>
      <c r="F11" s="12">
        <f t="shared" si="2"/>
        <v>900</v>
      </c>
      <c r="G11" s="12">
        <f t="shared" si="2"/>
        <v>1800</v>
      </c>
      <c r="H11" s="12">
        <f t="shared" si="2"/>
        <v>17100</v>
      </c>
      <c r="I11" s="2"/>
      <c r="J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</row>
    <row r="14" ht="14.25" customHeight="1">
      <c r="A14" s="2"/>
      <c r="B14" s="2"/>
      <c r="C14" s="2"/>
      <c r="G14" s="2"/>
      <c r="H14" s="2"/>
      <c r="I14" s="14"/>
      <c r="J14" s="14"/>
    </row>
    <row r="15" ht="14.25" customHeight="1">
      <c r="A15" s="2"/>
      <c r="B15" s="15" t="s">
        <v>21</v>
      </c>
      <c r="C15" s="2"/>
      <c r="D15" s="2"/>
      <c r="E15" s="2"/>
      <c r="F15" s="2"/>
      <c r="G15" s="2"/>
      <c r="H15" s="2"/>
      <c r="I15" s="14"/>
      <c r="J15" s="14"/>
    </row>
    <row r="16" ht="14.25" customHeight="1">
      <c r="A16" s="2" t="s">
        <v>21</v>
      </c>
      <c r="B16" s="15"/>
      <c r="C16" s="15"/>
      <c r="D16" s="2"/>
      <c r="E16" s="2"/>
      <c r="F16" s="2"/>
      <c r="G16" s="15"/>
      <c r="H16" s="15"/>
      <c r="I16" s="15"/>
      <c r="J16" s="16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</row>
    <row r="18" ht="14.25" customHeight="1">
      <c r="B18" s="2" t="s">
        <v>51</v>
      </c>
      <c r="C18" s="2"/>
      <c r="D18" s="2"/>
      <c r="E18" s="2"/>
      <c r="F18" s="2" t="s">
        <v>52</v>
      </c>
      <c r="G18" s="2"/>
      <c r="H18" s="2"/>
      <c r="I18" s="2"/>
      <c r="J18" s="17"/>
    </row>
    <row r="19" ht="14.25" customHeight="1">
      <c r="B19" s="37" t="s">
        <v>59</v>
      </c>
      <c r="D19" s="2"/>
      <c r="E19" s="2"/>
      <c r="F19" s="2"/>
      <c r="G19" s="38" t="s">
        <v>60</v>
      </c>
      <c r="I19" s="2"/>
      <c r="J19" s="15"/>
    </row>
  </sheetData>
  <mergeCells count="4">
    <mergeCell ref="A1:J1"/>
    <mergeCell ref="A3:J3"/>
    <mergeCell ref="B19:C19"/>
    <mergeCell ref="G19:H19"/>
  </mergeCells>
  <printOptions/>
  <pageMargins bottom="0.75" footer="0.0" header="0.0" left="0.7" right="0.7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5.71"/>
    <col customWidth="1" min="4" max="4" width="17.29"/>
    <col customWidth="1" min="5" max="5" width="19.71"/>
    <col customWidth="1" min="6" max="6" width="19.0"/>
    <col customWidth="1" min="7" max="7" width="17.57"/>
    <col customWidth="1" min="8" max="9" width="17.71"/>
    <col customWidth="1" min="10" max="10" width="14.57"/>
  </cols>
  <sheetData>
    <row r="1" ht="14.25" customHeight="1">
      <c r="A1" s="33" t="s">
        <v>27</v>
      </c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4.25" customHeight="1">
      <c r="A3" s="1" t="s">
        <v>63</v>
      </c>
    </row>
    <row r="4" ht="14.25" customHeight="1">
      <c r="A4" s="6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34" t="s">
        <v>12</v>
      </c>
    </row>
    <row r="5" ht="29.25" customHeight="1">
      <c r="A5" s="35">
        <v>1.0</v>
      </c>
      <c r="B5" s="8" t="s">
        <v>35</v>
      </c>
      <c r="C5" s="7" t="s">
        <v>36</v>
      </c>
      <c r="D5" s="9">
        <v>9000.0</v>
      </c>
      <c r="E5" s="36">
        <v>450.0</v>
      </c>
      <c r="F5" s="36">
        <v>450.0</v>
      </c>
      <c r="G5" s="36">
        <v>900.0</v>
      </c>
      <c r="H5" s="10">
        <f t="shared" ref="H5:H6" si="1">D5-E5</f>
        <v>8550</v>
      </c>
      <c r="I5" s="8"/>
      <c r="J5" s="8"/>
    </row>
    <row r="6" ht="26.25" customHeight="1">
      <c r="A6" s="35">
        <v>2.0</v>
      </c>
      <c r="B6" s="8" t="s">
        <v>13</v>
      </c>
      <c r="C6" s="7" t="s">
        <v>14</v>
      </c>
      <c r="D6" s="9">
        <v>9000.0</v>
      </c>
      <c r="E6" s="36">
        <v>450.0</v>
      </c>
      <c r="F6" s="36">
        <v>450.0</v>
      </c>
      <c r="G6" s="36">
        <v>900.0</v>
      </c>
      <c r="H6" s="10">
        <f t="shared" si="1"/>
        <v>8550</v>
      </c>
      <c r="I6" s="8"/>
      <c r="J6" s="8"/>
    </row>
    <row r="7" ht="20.25" hidden="1" customHeight="1">
      <c r="A7" s="35"/>
      <c r="B7" s="8"/>
      <c r="C7" s="7"/>
      <c r="D7" s="9"/>
      <c r="E7" s="10"/>
      <c r="F7" s="10"/>
      <c r="G7" s="10"/>
      <c r="H7" s="10"/>
      <c r="I7" s="8"/>
      <c r="J7" s="8"/>
    </row>
    <row r="8" ht="19.5" hidden="1" customHeight="1">
      <c r="A8" s="35"/>
      <c r="B8" s="8"/>
      <c r="C8" s="7"/>
      <c r="D8" s="9"/>
      <c r="E8" s="10"/>
      <c r="F8" s="10"/>
      <c r="G8" s="10"/>
      <c r="H8" s="10"/>
      <c r="I8" s="8"/>
      <c r="J8" s="8"/>
    </row>
    <row r="9" ht="20.25" hidden="1" customHeight="1">
      <c r="A9" s="35"/>
      <c r="B9" s="8"/>
      <c r="C9" s="7"/>
      <c r="D9" s="9"/>
      <c r="E9" s="10"/>
      <c r="F9" s="10"/>
      <c r="G9" s="10"/>
      <c r="H9" s="10"/>
      <c r="I9" s="8"/>
      <c r="J9" s="8"/>
    </row>
    <row r="10" ht="18.75" hidden="1" customHeight="1">
      <c r="A10" s="35"/>
      <c r="B10" s="8"/>
      <c r="C10" s="7"/>
      <c r="D10" s="9"/>
      <c r="E10" s="10"/>
      <c r="F10" s="10"/>
      <c r="G10" s="10"/>
      <c r="H10" s="10"/>
      <c r="I10" s="8"/>
      <c r="J10" s="8"/>
    </row>
    <row r="11" ht="14.25" customHeight="1">
      <c r="A11" s="2"/>
      <c r="B11" s="2"/>
      <c r="C11" s="2"/>
      <c r="D11" s="12">
        <f>SUM(D5:D10)</f>
        <v>18000</v>
      </c>
      <c r="E11" s="12">
        <f t="shared" ref="E11:H11" si="2">SUM(E5:E10)</f>
        <v>900</v>
      </c>
      <c r="F11" s="12">
        <f t="shared" si="2"/>
        <v>900</v>
      </c>
      <c r="G11" s="12">
        <f t="shared" si="2"/>
        <v>1800</v>
      </c>
      <c r="H11" s="12">
        <f t="shared" si="2"/>
        <v>17100</v>
      </c>
      <c r="I11" s="2"/>
      <c r="J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</row>
    <row r="14" ht="14.25" customHeight="1">
      <c r="A14" s="2"/>
      <c r="B14" s="2"/>
      <c r="C14" s="2"/>
      <c r="G14" s="2"/>
      <c r="H14" s="2"/>
      <c r="I14" s="14"/>
      <c r="J14" s="14"/>
    </row>
    <row r="15" ht="14.25" customHeight="1">
      <c r="A15" s="2"/>
      <c r="B15" s="15" t="s">
        <v>21</v>
      </c>
      <c r="C15" s="2"/>
      <c r="D15" s="2"/>
      <c r="E15" s="2"/>
      <c r="F15" s="2"/>
      <c r="G15" s="2"/>
      <c r="H15" s="2"/>
      <c r="I15" s="14"/>
      <c r="J15" s="14"/>
    </row>
    <row r="16" ht="14.25" customHeight="1">
      <c r="A16" s="2" t="s">
        <v>21</v>
      </c>
      <c r="B16" s="15"/>
      <c r="C16" s="15"/>
      <c r="D16" s="2"/>
      <c r="E16" s="2"/>
      <c r="F16" s="2"/>
      <c r="G16" s="15"/>
      <c r="H16" s="15"/>
      <c r="I16" s="15"/>
      <c r="J16" s="16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</row>
    <row r="18" ht="14.25" customHeight="1">
      <c r="B18" s="2" t="s">
        <v>51</v>
      </c>
      <c r="C18" s="2"/>
      <c r="D18" s="2"/>
      <c r="E18" s="2"/>
      <c r="F18" s="2" t="s">
        <v>52</v>
      </c>
      <c r="G18" s="2"/>
      <c r="H18" s="2"/>
      <c r="I18" s="2"/>
      <c r="J18" s="17"/>
    </row>
    <row r="19" ht="14.25" customHeight="1">
      <c r="B19" s="37" t="s">
        <v>59</v>
      </c>
      <c r="D19" s="2"/>
      <c r="E19" s="2"/>
      <c r="F19" s="2"/>
      <c r="G19" s="38" t="s">
        <v>60</v>
      </c>
      <c r="I19" s="2"/>
      <c r="J19" s="15"/>
    </row>
  </sheetData>
  <mergeCells count="4">
    <mergeCell ref="A1:J1"/>
    <mergeCell ref="A3:J3"/>
    <mergeCell ref="B19:C19"/>
    <mergeCell ref="G19:H19"/>
  </mergeCells>
  <printOptions/>
  <pageMargins bottom="0.75" footer="0.0" header="0.0" left="0.7" right="0.7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5.71"/>
    <col customWidth="1" min="4" max="4" width="17.29"/>
    <col customWidth="1" min="5" max="5" width="19.71"/>
    <col customWidth="1" min="6" max="6" width="19.0"/>
    <col customWidth="1" min="7" max="7" width="17.57"/>
    <col customWidth="1" min="8" max="9" width="17.71"/>
    <col customWidth="1" min="10" max="10" width="14.57"/>
  </cols>
  <sheetData>
    <row r="1" ht="14.25" customHeight="1">
      <c r="A1" s="33" t="s">
        <v>27</v>
      </c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4.25" customHeight="1">
      <c r="A3" s="1" t="s">
        <v>64</v>
      </c>
    </row>
    <row r="4" ht="14.25" customHeight="1">
      <c r="A4" s="6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34" t="s">
        <v>12</v>
      </c>
    </row>
    <row r="5" ht="29.25" customHeight="1">
      <c r="A5" s="35">
        <v>1.0</v>
      </c>
      <c r="B5" s="8" t="s">
        <v>35</v>
      </c>
      <c r="C5" s="7" t="s">
        <v>36</v>
      </c>
      <c r="D5" s="9">
        <v>9000.0</v>
      </c>
      <c r="E5" s="36">
        <v>450.0</v>
      </c>
      <c r="F5" s="36">
        <v>450.0</v>
      </c>
      <c r="G5" s="36">
        <v>900.0</v>
      </c>
      <c r="H5" s="10">
        <f t="shared" ref="H5:H6" si="1">D5-E5</f>
        <v>8550</v>
      </c>
      <c r="I5" s="8"/>
      <c r="J5" s="8"/>
    </row>
    <row r="6" ht="26.25" customHeight="1">
      <c r="A6" s="35">
        <v>2.0</v>
      </c>
      <c r="B6" s="8" t="s">
        <v>13</v>
      </c>
      <c r="C6" s="7" t="s">
        <v>14</v>
      </c>
      <c r="D6" s="9">
        <v>9000.0</v>
      </c>
      <c r="E6" s="36">
        <v>450.0</v>
      </c>
      <c r="F6" s="36">
        <v>450.0</v>
      </c>
      <c r="G6" s="36">
        <v>900.0</v>
      </c>
      <c r="H6" s="10">
        <f t="shared" si="1"/>
        <v>8550</v>
      </c>
      <c r="I6" s="8"/>
      <c r="J6" s="8"/>
    </row>
    <row r="7" ht="20.25" hidden="1" customHeight="1">
      <c r="A7" s="35"/>
      <c r="B7" s="8"/>
      <c r="C7" s="7"/>
      <c r="D7" s="9"/>
      <c r="E7" s="10"/>
      <c r="F7" s="10"/>
      <c r="G7" s="10"/>
      <c r="H7" s="10"/>
      <c r="I7" s="8"/>
      <c r="J7" s="8"/>
    </row>
    <row r="8" ht="19.5" hidden="1" customHeight="1">
      <c r="A8" s="35"/>
      <c r="B8" s="8"/>
      <c r="C8" s="7"/>
      <c r="D8" s="9"/>
      <c r="E8" s="10"/>
      <c r="F8" s="10"/>
      <c r="G8" s="10"/>
      <c r="H8" s="10"/>
      <c r="I8" s="8"/>
      <c r="J8" s="8"/>
    </row>
    <row r="9" ht="20.25" hidden="1" customHeight="1">
      <c r="A9" s="35"/>
      <c r="B9" s="8"/>
      <c r="C9" s="7"/>
      <c r="D9" s="9"/>
      <c r="E9" s="10"/>
      <c r="F9" s="10"/>
      <c r="G9" s="10"/>
      <c r="H9" s="10"/>
      <c r="I9" s="8"/>
      <c r="J9" s="8"/>
    </row>
    <row r="10" ht="18.75" hidden="1" customHeight="1">
      <c r="A10" s="35"/>
      <c r="B10" s="8"/>
      <c r="C10" s="7"/>
      <c r="D10" s="9"/>
      <c r="E10" s="10"/>
      <c r="F10" s="10"/>
      <c r="G10" s="10"/>
      <c r="H10" s="10"/>
      <c r="I10" s="8"/>
      <c r="J10" s="8"/>
    </row>
    <row r="11" ht="14.25" customHeight="1">
      <c r="A11" s="2"/>
      <c r="B11" s="2"/>
      <c r="C11" s="2"/>
      <c r="D11" s="12">
        <f>SUM(D5:D10)</f>
        <v>18000</v>
      </c>
      <c r="E11" s="12">
        <f t="shared" ref="E11:H11" si="2">SUM(E5:E10)</f>
        <v>900</v>
      </c>
      <c r="F11" s="12">
        <f t="shared" si="2"/>
        <v>900</v>
      </c>
      <c r="G11" s="12">
        <f t="shared" si="2"/>
        <v>1800</v>
      </c>
      <c r="H11" s="12">
        <f t="shared" si="2"/>
        <v>17100</v>
      </c>
      <c r="I11" s="2"/>
      <c r="J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14"/>
      <c r="J13" s="14"/>
    </row>
    <row r="14" ht="14.25" customHeight="1">
      <c r="A14" s="2"/>
      <c r="B14" s="2"/>
      <c r="C14" s="2"/>
      <c r="G14" s="2"/>
      <c r="H14" s="2"/>
      <c r="I14" s="14"/>
      <c r="J14" s="14"/>
    </row>
    <row r="15" ht="14.25" customHeight="1">
      <c r="A15" s="2"/>
      <c r="B15" s="15" t="s">
        <v>21</v>
      </c>
      <c r="C15" s="2"/>
      <c r="D15" s="2"/>
      <c r="E15" s="2"/>
      <c r="F15" s="2"/>
      <c r="G15" s="2"/>
      <c r="H15" s="2"/>
      <c r="I15" s="14"/>
      <c r="J15" s="14"/>
    </row>
    <row r="16" ht="14.25" customHeight="1">
      <c r="A16" s="2" t="s">
        <v>21</v>
      </c>
      <c r="B16" s="15"/>
      <c r="C16" s="15"/>
      <c r="D16" s="2"/>
      <c r="E16" s="2"/>
      <c r="F16" s="2"/>
      <c r="G16" s="15"/>
      <c r="H16" s="15"/>
      <c r="I16" s="15"/>
      <c r="J16" s="16"/>
    </row>
    <row r="17" ht="14.25" customHeight="1">
      <c r="A17" s="2"/>
      <c r="B17" s="15"/>
      <c r="C17" s="15"/>
      <c r="D17" s="15"/>
      <c r="E17" s="15"/>
      <c r="F17" s="15"/>
      <c r="G17" s="15"/>
      <c r="H17" s="15"/>
      <c r="I17" s="15"/>
      <c r="J17" s="16"/>
    </row>
    <row r="18" ht="14.25" customHeight="1">
      <c r="B18" s="2" t="s">
        <v>51</v>
      </c>
      <c r="C18" s="2"/>
      <c r="D18" s="2"/>
      <c r="E18" s="2"/>
      <c r="F18" s="2" t="s">
        <v>52</v>
      </c>
      <c r="G18" s="2"/>
      <c r="H18" s="2"/>
      <c r="I18" s="2"/>
      <c r="J18" s="17"/>
    </row>
    <row r="19" ht="14.25" customHeight="1">
      <c r="B19" s="37" t="s">
        <v>59</v>
      </c>
      <c r="D19" s="2"/>
      <c r="E19" s="2"/>
      <c r="F19" s="2"/>
      <c r="G19" s="38" t="s">
        <v>65</v>
      </c>
      <c r="I19" s="2"/>
      <c r="J19" s="15"/>
    </row>
  </sheetData>
  <mergeCells count="4">
    <mergeCell ref="A1:J1"/>
    <mergeCell ref="A3:J3"/>
    <mergeCell ref="B19:C19"/>
    <mergeCell ref="G19:H19"/>
  </mergeCells>
  <printOptions horizontalCentered="1"/>
  <pageMargins bottom="1.0" footer="0.0" header="0.0" left="1.0" right="1.0" top="1.0"/>
  <pageSetup fitToHeight="0"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
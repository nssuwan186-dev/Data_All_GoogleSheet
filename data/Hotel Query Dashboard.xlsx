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hidden" name="DataImport" sheetId="2" r:id="rId6"/>
    <sheet state="hidden" name="Location" sheetId="3" r:id="rId7"/>
    <sheet state="visible" name="ฟอร์มเพิ่มข้อมูลการจองใหม่" sheetId="4" r:id="rId8"/>
    <sheet state="visible" name="ระบบตรวจสอบสถานะห้อง" sheetId="5" r:id="rId9"/>
  </sheets>
  <definedNames/>
  <calcPr/>
</workbook>
</file>

<file path=xl/sharedStrings.xml><?xml version="1.0" encoding="utf-8"?>
<sst xmlns="http://schemas.openxmlformats.org/spreadsheetml/2006/main" count="1581" uniqueCount="815">
  <si>
    <t>Results: 15</t>
  </si>
  <si>
    <t>Search by Area:</t>
  </si>
  <si>
    <t>Osaka</t>
  </si>
  <si>
    <t>1. Use the dropdown menu to find the Prefecture of available accomodations</t>
  </si>
  <si>
    <t>2. Click the search button to see more details</t>
  </si>
  <si>
    <t>Hotel Name</t>
  </si>
  <si>
    <t>City</t>
  </si>
  <si>
    <t>Prefecture</t>
  </si>
  <si>
    <t>Rooms</t>
  </si>
  <si>
    <t>URL</t>
  </si>
  <si>
    <t>Hotel Sanrriott Osaka Honmachi</t>
  </si>
  <si>
    <t>https://sanrriott.com/osaka-hommachi/</t>
  </si>
  <si>
    <t>Hotel Sanrriott Shinsaibashi</t>
  </si>
  <si>
    <t>https://www.sanrriott-shinsaibashi.com/</t>
  </si>
  <si>
    <t>Dio Higashishinsaibashi</t>
  </si>
  <si>
    <t>Hotel Sanriot Kitahama</t>
  </si>
  <si>
    <t>https://hpdsp.jp/sanrriott-kitahama/</t>
  </si>
  <si>
    <t>TORACO konohana</t>
  </si>
  <si>
    <t>https://hpdsp.jp/toraco-konohana/en/</t>
  </si>
  <si>
    <t>Hotel Amaterrace Nihonbashi East</t>
  </si>
  <si>
    <t>https://hpdsp.jp/amaterrace-higashi/</t>
  </si>
  <si>
    <t>Shinsaibashi Cargo</t>
  </si>
  <si>
    <t>https://hpdsp.jp/hotel-cargo/</t>
  </si>
  <si>
    <t>Hotel Amaterrace En</t>
  </si>
  <si>
    <t>https://hpdsp.jp/amaterrace-yosuga/</t>
  </si>
  <si>
    <t>First Cabin Midosuji Namba</t>
  </si>
  <si>
    <t>https://first-cabin.jp/hotels/midosujinanba/</t>
  </si>
  <si>
    <t>First Cabin Kansai Airport</t>
  </si>
  <si>
    <t>Liber Hotel</t>
  </si>
  <si>
    <t>https://hotel-liber.jp/?wovn=en</t>
  </si>
  <si>
    <t>Natural Hot Spring Kawachinaganoso</t>
  </si>
  <si>
    <t>https://kawachinaganosou.com/</t>
  </si>
  <si>
    <t>Hotel Binario Umeda</t>
  </si>
  <si>
    <t>https://hotel-binario.jp/umeda/</t>
  </si>
  <si>
    <t>Osaka Garden Palace</t>
  </si>
  <si>
    <t>https://www.hotelgp-osaka.com/</t>
  </si>
  <si>
    <t>Miyako City Osaka Honmachi</t>
  </si>
  <si>
    <t>https://www.miyakohotels.ne.jp/hommachi/</t>
  </si>
  <si>
    <t>Nanporo</t>
  </si>
  <si>
    <t>Hokkaido</t>
  </si>
  <si>
    <t>Naie</t>
  </si>
  <si>
    <t>Kamisunagawa</t>
  </si>
  <si>
    <t>Yuni</t>
  </si>
  <si>
    <t>Naganuma</t>
  </si>
  <si>
    <t>Kuriyama</t>
  </si>
  <si>
    <t>Tsukigata</t>
  </si>
  <si>
    <t>Urausu</t>
  </si>
  <si>
    <t>Shintotsukawa</t>
  </si>
  <si>
    <t>Moseushi</t>
  </si>
  <si>
    <t>Chippubetsu</t>
  </si>
  <si>
    <t>Uryū</t>
  </si>
  <si>
    <t>Hokuryū</t>
  </si>
  <si>
    <t>Numata</t>
  </si>
  <si>
    <t>Tōbetsu</t>
  </si>
  <si>
    <t>Suttsu</t>
  </si>
  <si>
    <t>Kuromatsunai</t>
  </si>
  <si>
    <t>Rankoshi</t>
  </si>
  <si>
    <t>Niseko</t>
  </si>
  <si>
    <t>Kimobetsu</t>
  </si>
  <si>
    <t>Kyōgoku</t>
  </si>
  <si>
    <t>Kutchan</t>
  </si>
  <si>
    <t>Kyōwa</t>
  </si>
  <si>
    <t>Iwanai</t>
  </si>
  <si>
    <t>Shakotan</t>
  </si>
  <si>
    <t>Furubira</t>
  </si>
  <si>
    <t>Niki</t>
  </si>
  <si>
    <t>Yoichi</t>
  </si>
  <si>
    <t>Toyoura</t>
  </si>
  <si>
    <t>Tōyako</t>
  </si>
  <si>
    <t>Sōbetsu</t>
  </si>
  <si>
    <t>Shiraoi</t>
  </si>
  <si>
    <t>Atsuma</t>
  </si>
  <si>
    <t>Abira</t>
  </si>
  <si>
    <t>Mukawa</t>
  </si>
  <si>
    <t>Hidaka</t>
  </si>
  <si>
    <t>Biratori</t>
  </si>
  <si>
    <t>Niikappu</t>
  </si>
  <si>
    <t>Urakawa</t>
  </si>
  <si>
    <t>Samani</t>
  </si>
  <si>
    <t>Erimo</t>
  </si>
  <si>
    <t>Shinhidaka</t>
  </si>
  <si>
    <t>Matsumae</t>
  </si>
  <si>
    <t>Fukushima</t>
  </si>
  <si>
    <t>Shiriuchi</t>
  </si>
  <si>
    <t>Kikonai</t>
  </si>
  <si>
    <t>Nanae</t>
  </si>
  <si>
    <t>Shikabe</t>
  </si>
  <si>
    <t>Mori</t>
  </si>
  <si>
    <t>Yakumo</t>
  </si>
  <si>
    <t>Oshamambe</t>
  </si>
  <si>
    <t>Esashi</t>
  </si>
  <si>
    <t>Kaminokuni</t>
  </si>
  <si>
    <t>Assabu</t>
  </si>
  <si>
    <t>Otobe</t>
  </si>
  <si>
    <t>Okushiri</t>
  </si>
  <si>
    <t>Imakane</t>
  </si>
  <si>
    <t>Setana</t>
  </si>
  <si>
    <t>Takasu</t>
  </si>
  <si>
    <t>Higashikagura</t>
  </si>
  <si>
    <t>Tōma</t>
  </si>
  <si>
    <t>Pippu</t>
  </si>
  <si>
    <t>Aibetsu</t>
  </si>
  <si>
    <t>Kamikawa</t>
  </si>
  <si>
    <t>Higashikawa</t>
  </si>
  <si>
    <t>Biei</t>
  </si>
  <si>
    <t>Kamifurano</t>
  </si>
  <si>
    <t>Nakafurano</t>
  </si>
  <si>
    <t>Minamifurano</t>
  </si>
  <si>
    <t>Horokanai</t>
  </si>
  <si>
    <t>Wassamu</t>
  </si>
  <si>
    <t>Kenbuchi</t>
  </si>
  <si>
    <t>Shimokawa</t>
  </si>
  <si>
    <t>Bifuka</t>
  </si>
  <si>
    <t>Nakagawa</t>
  </si>
  <si>
    <t>Mashike</t>
  </si>
  <si>
    <t>Obira</t>
  </si>
  <si>
    <t>Tomamae</t>
  </si>
  <si>
    <t>Haboro</t>
  </si>
  <si>
    <t>Enbetsu</t>
  </si>
  <si>
    <t>Teshio</t>
  </si>
  <si>
    <t>Hamatonbetsu</t>
  </si>
  <si>
    <t>Nakatonbetsu</t>
  </si>
  <si>
    <t>Toyotomi</t>
  </si>
  <si>
    <t>Horonobe</t>
  </si>
  <si>
    <t>Rebun</t>
  </si>
  <si>
    <t>Rishiri</t>
  </si>
  <si>
    <t>Rishirifuji</t>
  </si>
  <si>
    <t>Bihoro</t>
  </si>
  <si>
    <t>Tsubetsu</t>
  </si>
  <si>
    <t>Ōzora</t>
  </si>
  <si>
    <t>Shari</t>
  </si>
  <si>
    <t>Kiyosato</t>
  </si>
  <si>
    <t>Koshimizu</t>
  </si>
  <si>
    <t>Kunneppu</t>
  </si>
  <si>
    <t>Oketo</t>
  </si>
  <si>
    <t>Saroma</t>
  </si>
  <si>
    <t>Engaru</t>
  </si>
  <si>
    <t>Yūbetsu</t>
  </si>
  <si>
    <t>Takinoue</t>
  </si>
  <si>
    <t>Okoppe</t>
  </si>
  <si>
    <t>Ōmu</t>
  </si>
  <si>
    <t>Otofuke</t>
  </si>
  <si>
    <t>Shihoro</t>
  </si>
  <si>
    <t>Kamishihoro</t>
  </si>
  <si>
    <t>Shikaoi</t>
  </si>
  <si>
    <t>Shintoku</t>
  </si>
  <si>
    <t>Shimizu</t>
  </si>
  <si>
    <t>Memuro</t>
  </si>
  <si>
    <t>Taiki</t>
  </si>
  <si>
    <t>Hiroo</t>
  </si>
  <si>
    <t>Makubetsu</t>
  </si>
  <si>
    <t>Ikeda</t>
  </si>
  <si>
    <t>Toyokoro</t>
  </si>
  <si>
    <t>Honbetsu</t>
  </si>
  <si>
    <t>Ashoro</t>
  </si>
  <si>
    <t>Rikubetsu</t>
  </si>
  <si>
    <t>Urahoro</t>
  </si>
  <si>
    <t>Kushiro</t>
  </si>
  <si>
    <t>Akkeshi</t>
  </si>
  <si>
    <t>Hamanaka</t>
  </si>
  <si>
    <t>Shibecha</t>
  </si>
  <si>
    <t>Teshikaga</t>
  </si>
  <si>
    <t>Shiranuka</t>
  </si>
  <si>
    <t>Betsukai</t>
  </si>
  <si>
    <t>Nakashibetsu</t>
  </si>
  <si>
    <t>Shibetsu</t>
  </si>
  <si>
    <t>Rausu</t>
  </si>
  <si>
    <t>Hiranai</t>
  </si>
  <si>
    <t>Aomori</t>
  </si>
  <si>
    <t>Imabetsu</t>
  </si>
  <si>
    <t>Sotogahama</t>
  </si>
  <si>
    <t>Ajigasawa</t>
  </si>
  <si>
    <t>Fukaura</t>
  </si>
  <si>
    <t>Fujisaki</t>
  </si>
  <si>
    <t>Ōwani</t>
  </si>
  <si>
    <t>Itayanagi</t>
  </si>
  <si>
    <t>Tsuruta</t>
  </si>
  <si>
    <t>Nakadomari</t>
  </si>
  <si>
    <t>Noheji</t>
  </si>
  <si>
    <t>Shichinohe</t>
  </si>
  <si>
    <t>Rokunohe</t>
  </si>
  <si>
    <t>Yokohama</t>
  </si>
  <si>
    <t>Tōhoku</t>
  </si>
  <si>
    <t>Oirase</t>
  </si>
  <si>
    <t>Ōma</t>
  </si>
  <si>
    <t>Sannohe</t>
  </si>
  <si>
    <t>Gonohe</t>
  </si>
  <si>
    <t>Takko</t>
  </si>
  <si>
    <t>Nanbu</t>
  </si>
  <si>
    <t>Hashikami</t>
  </si>
  <si>
    <t>Shizukuishi</t>
  </si>
  <si>
    <t>Iwate</t>
  </si>
  <si>
    <t>Kuzumaki</t>
  </si>
  <si>
    <t>Shiwa</t>
  </si>
  <si>
    <t>Yahaba</t>
  </si>
  <si>
    <t>Nishiwaga</t>
  </si>
  <si>
    <t>Kanegasaki</t>
  </si>
  <si>
    <t>Hiraizumi</t>
  </si>
  <si>
    <t>Sumita</t>
  </si>
  <si>
    <t>Ōtsuchi</t>
  </si>
  <si>
    <t>Yamada</t>
  </si>
  <si>
    <t>Iwaizumi</t>
  </si>
  <si>
    <t>Karumai</t>
  </si>
  <si>
    <t>Hirono</t>
  </si>
  <si>
    <t>Ichinohe</t>
  </si>
  <si>
    <t>Zaō</t>
  </si>
  <si>
    <t>Miyagi</t>
  </si>
  <si>
    <t>Shichikashuku</t>
  </si>
  <si>
    <t>Ōgawara</t>
  </si>
  <si>
    <t>Murata</t>
  </si>
  <si>
    <t>Shibata</t>
  </si>
  <si>
    <t>Kawasaki</t>
  </si>
  <si>
    <t>Marumori</t>
  </si>
  <si>
    <t>Watari</t>
  </si>
  <si>
    <t>Yamamoto</t>
  </si>
  <si>
    <t>Matsushima</t>
  </si>
  <si>
    <t>Shichigahama</t>
  </si>
  <si>
    <t>Rifu</t>
  </si>
  <si>
    <t>Taiwa</t>
  </si>
  <si>
    <t>Ōsato</t>
  </si>
  <si>
    <t>Shikama</t>
  </si>
  <si>
    <t>Kami</t>
  </si>
  <si>
    <t>Wakuya</t>
  </si>
  <si>
    <t>Misato</t>
  </si>
  <si>
    <t>Onagawa</t>
  </si>
  <si>
    <t>Minamisanriku</t>
  </si>
  <si>
    <t>Kosaka</t>
  </si>
  <si>
    <t>Akita</t>
  </si>
  <si>
    <t>Fujisato</t>
  </si>
  <si>
    <t>Mitane</t>
  </si>
  <si>
    <t>Happō</t>
  </si>
  <si>
    <t>Gojōme</t>
  </si>
  <si>
    <t>Hachirōgata</t>
  </si>
  <si>
    <t>Ikawa</t>
  </si>
  <si>
    <t>Ugo</t>
  </si>
  <si>
    <t>Yamanobe</t>
  </si>
  <si>
    <t>Yamagata</t>
  </si>
  <si>
    <t>Nakayama</t>
  </si>
  <si>
    <t>Kahoku</t>
  </si>
  <si>
    <t>Nishikawa</t>
  </si>
  <si>
    <t>Asahi</t>
  </si>
  <si>
    <t>Ōe</t>
  </si>
  <si>
    <t>Ōishida</t>
  </si>
  <si>
    <t>Kaneyama</t>
  </si>
  <si>
    <t>Mogami</t>
  </si>
  <si>
    <t>Funagata</t>
  </si>
  <si>
    <t>Mamurogawa</t>
  </si>
  <si>
    <t>Takahata</t>
  </si>
  <si>
    <t>Kawanishi</t>
  </si>
  <si>
    <t>Oguni</t>
  </si>
  <si>
    <t>Shirataka</t>
  </si>
  <si>
    <t>Iide</t>
  </si>
  <si>
    <t>Mikawa</t>
  </si>
  <si>
    <t>Shōnai</t>
  </si>
  <si>
    <t>Yuza</t>
  </si>
  <si>
    <t>Koori</t>
  </si>
  <si>
    <t>Kunimi</t>
  </si>
  <si>
    <t>Kawamata</t>
  </si>
  <si>
    <t>Kagamiishi</t>
  </si>
  <si>
    <t>Shimogō</t>
  </si>
  <si>
    <t>Tadami</t>
  </si>
  <si>
    <t>Minamiaizu</t>
  </si>
  <si>
    <t>Nishiaizu</t>
  </si>
  <si>
    <t>Bandai</t>
  </si>
  <si>
    <t>Inawashiro</t>
  </si>
  <si>
    <t>Aizubange</t>
  </si>
  <si>
    <t>Yanaizu</t>
  </si>
  <si>
    <t>Mishima</t>
  </si>
  <si>
    <t>Aizumisato</t>
  </si>
  <si>
    <t>Yabuki</t>
  </si>
  <si>
    <t>Tanagura</t>
  </si>
  <si>
    <t>Yamatsuri</t>
  </si>
  <si>
    <t>Hanawa</t>
  </si>
  <si>
    <t>Ishikawa</t>
  </si>
  <si>
    <t>Asakawa</t>
  </si>
  <si>
    <t>Furudono</t>
  </si>
  <si>
    <t>Miharu</t>
  </si>
  <si>
    <t>Ono</t>
  </si>
  <si>
    <t>Naraha</t>
  </si>
  <si>
    <t>Tomioka</t>
  </si>
  <si>
    <t>Ōkuma</t>
  </si>
  <si>
    <t>Futaba</t>
  </si>
  <si>
    <t>Namie</t>
  </si>
  <si>
    <t>Shinchi</t>
  </si>
  <si>
    <t>Ibaraki</t>
  </si>
  <si>
    <t>Ōarai</t>
  </si>
  <si>
    <t>Shirosato</t>
  </si>
  <si>
    <t>Daigo</t>
  </si>
  <si>
    <t>Ami</t>
  </si>
  <si>
    <t>Kawachi</t>
  </si>
  <si>
    <t>Yachiyo</t>
  </si>
  <si>
    <t>Goka</t>
  </si>
  <si>
    <t>Sakai</t>
  </si>
  <si>
    <t>Tone</t>
  </si>
  <si>
    <t>Kaminokawa</t>
  </si>
  <si>
    <t>Tochigi</t>
  </si>
  <si>
    <t>Mashiko</t>
  </si>
  <si>
    <t>Motegi</t>
  </si>
  <si>
    <t>Ichikai</t>
  </si>
  <si>
    <t>Haga</t>
  </si>
  <si>
    <t>Mibu</t>
  </si>
  <si>
    <t>Nogi</t>
  </si>
  <si>
    <t>Shioya</t>
  </si>
  <si>
    <t>Takanezawa</t>
  </si>
  <si>
    <t>Nasu</t>
  </si>
  <si>
    <t>Yoshioka</t>
  </si>
  <si>
    <t>Gunma</t>
  </si>
  <si>
    <t>Kanna</t>
  </si>
  <si>
    <t>Shimonita</t>
  </si>
  <si>
    <t>Kanra</t>
  </si>
  <si>
    <t>Nakanojō</t>
  </si>
  <si>
    <t>Naganohara</t>
  </si>
  <si>
    <t>Kusatsu</t>
  </si>
  <si>
    <t>Higashiagatsuma</t>
  </si>
  <si>
    <t>Minakami</t>
  </si>
  <si>
    <t>Tamamura</t>
  </si>
  <si>
    <t>Itakura</t>
  </si>
  <si>
    <t>Meiwa</t>
  </si>
  <si>
    <t>Chiyoda</t>
  </si>
  <si>
    <t>Ōizumi</t>
  </si>
  <si>
    <t>Ōra</t>
  </si>
  <si>
    <t>Ina</t>
  </si>
  <si>
    <t>Saitama</t>
  </si>
  <si>
    <t>Miyoshi</t>
  </si>
  <si>
    <t>Moroyama</t>
  </si>
  <si>
    <t>Ogose</t>
  </si>
  <si>
    <t>Namegawa</t>
  </si>
  <si>
    <t>Ranzan</t>
  </si>
  <si>
    <t>Ogawa</t>
  </si>
  <si>
    <t>Kawajima</t>
  </si>
  <si>
    <t>Yoshimi</t>
  </si>
  <si>
    <t>Hatoyama</t>
  </si>
  <si>
    <t>Tokigawa</t>
  </si>
  <si>
    <t>Yokoze</t>
  </si>
  <si>
    <t>Minano</t>
  </si>
  <si>
    <t>Nagatoro</t>
  </si>
  <si>
    <t>Ogano</t>
  </si>
  <si>
    <t>Kamisato</t>
  </si>
  <si>
    <t>Yorii</t>
  </si>
  <si>
    <t>Miyashiro</t>
  </si>
  <si>
    <t>Sugito</t>
  </si>
  <si>
    <t>Matsubushi</t>
  </si>
  <si>
    <t>Shisui</t>
  </si>
  <si>
    <t>Chiba</t>
  </si>
  <si>
    <t>Sakae</t>
  </si>
  <si>
    <t>Kōzaki</t>
  </si>
  <si>
    <t>Tako</t>
  </si>
  <si>
    <t>Tōnoshō</t>
  </si>
  <si>
    <t>Kujūkuri</t>
  </si>
  <si>
    <t>Shibayama</t>
  </si>
  <si>
    <t>Yokoshibahikari</t>
  </si>
  <si>
    <t>Ichinomiya</t>
  </si>
  <si>
    <t>Mutsuzawa</t>
  </si>
  <si>
    <t>Shirako</t>
  </si>
  <si>
    <t>Nagara</t>
  </si>
  <si>
    <t>Chōnan</t>
  </si>
  <si>
    <t>Ōtaki</t>
  </si>
  <si>
    <t>Onjuku</t>
  </si>
  <si>
    <t>Kyonan</t>
  </si>
  <si>
    <t>Mizuho</t>
  </si>
  <si>
    <t>Tokyo</t>
  </si>
  <si>
    <t>Hinode</t>
  </si>
  <si>
    <t>Okutama</t>
  </si>
  <si>
    <t>Ōshima</t>
  </si>
  <si>
    <t>Hachijō</t>
  </si>
  <si>
    <t>Aikawa</t>
  </si>
  <si>
    <t>Kanagawa</t>
  </si>
  <si>
    <t>Hayama</t>
  </si>
  <si>
    <t>Samukawa</t>
  </si>
  <si>
    <t>Ōiso</t>
  </si>
  <si>
    <t>Ninomiya</t>
  </si>
  <si>
    <t>Nakai</t>
  </si>
  <si>
    <t>Ōi</t>
  </si>
  <si>
    <t>Matsuda</t>
  </si>
  <si>
    <t>Yamakita</t>
  </si>
  <si>
    <t>Kaisei</t>
  </si>
  <si>
    <t>Hakone</t>
  </si>
  <si>
    <t>Manazuru</t>
  </si>
  <si>
    <t>Yugawara</t>
  </si>
  <si>
    <t>Seirō</t>
  </si>
  <si>
    <t>Niigata</t>
  </si>
  <si>
    <t>Tagami</t>
  </si>
  <si>
    <t>Aga</t>
  </si>
  <si>
    <t>Izumozaki</t>
  </si>
  <si>
    <t>Yuzawa</t>
  </si>
  <si>
    <t>Tsunan</t>
  </si>
  <si>
    <t>Kamiichi</t>
  </si>
  <si>
    <t>Toyama</t>
  </si>
  <si>
    <t>Tateyama</t>
  </si>
  <si>
    <t>Nyūzen</t>
  </si>
  <si>
    <t>Kawakita</t>
  </si>
  <si>
    <t>Tsubata</t>
  </si>
  <si>
    <t>Uchinada</t>
  </si>
  <si>
    <t>Shika</t>
  </si>
  <si>
    <t>Hōdatsushimizu</t>
  </si>
  <si>
    <t>Nakanoto</t>
  </si>
  <si>
    <t>Anamizu</t>
  </si>
  <si>
    <t>Noto</t>
  </si>
  <si>
    <t>Eiheiji</t>
  </si>
  <si>
    <t>Fukui</t>
  </si>
  <si>
    <t>Minamiechizen</t>
  </si>
  <si>
    <t>Echizen</t>
  </si>
  <si>
    <t>Mihama</t>
  </si>
  <si>
    <t>Takahama</t>
  </si>
  <si>
    <t>Wakasa</t>
  </si>
  <si>
    <t>Ichikawamisato</t>
  </si>
  <si>
    <t>Yamanashi</t>
  </si>
  <si>
    <t>Hayakawa</t>
  </si>
  <si>
    <t>Minobu</t>
  </si>
  <si>
    <t>Fujikawa</t>
  </si>
  <si>
    <t>Shōwa</t>
  </si>
  <si>
    <t>Nishikatsura</t>
  </si>
  <si>
    <t>Fujikawaguchiko</t>
  </si>
  <si>
    <t>Koumi</t>
  </si>
  <si>
    <t>Nagano</t>
  </si>
  <si>
    <t>Sakuho</t>
  </si>
  <si>
    <t>Karuizawa</t>
  </si>
  <si>
    <t>Miyota</t>
  </si>
  <si>
    <t>Tateshina</t>
  </si>
  <si>
    <t>Nagawa</t>
  </si>
  <si>
    <t>Shimosuwa</t>
  </si>
  <si>
    <t>Fujimi</t>
  </si>
  <si>
    <t>Tatsuno</t>
  </si>
  <si>
    <t>Minowa</t>
  </si>
  <si>
    <t>Iijima</t>
  </si>
  <si>
    <t>Matsukawa</t>
  </si>
  <si>
    <t>Takamori</t>
  </si>
  <si>
    <t>Anan</t>
  </si>
  <si>
    <t>Agematsu</t>
  </si>
  <si>
    <t>Nagiso</t>
  </si>
  <si>
    <t>Kiso</t>
  </si>
  <si>
    <t>Sakaki</t>
  </si>
  <si>
    <t>Obuse</t>
  </si>
  <si>
    <t>Yamanouchi</t>
  </si>
  <si>
    <t>Shinano</t>
  </si>
  <si>
    <t>Iizuna</t>
  </si>
  <si>
    <t>Ginan</t>
  </si>
  <si>
    <t>Gifu</t>
  </si>
  <si>
    <t>Kasamatsu</t>
  </si>
  <si>
    <t>Yōrō</t>
  </si>
  <si>
    <t>Tarui</t>
  </si>
  <si>
    <t>Sekigahara</t>
  </si>
  <si>
    <t>Gōdo</t>
  </si>
  <si>
    <t>Wanouchi</t>
  </si>
  <si>
    <t>Anpachi</t>
  </si>
  <si>
    <t>Ibigawa</t>
  </si>
  <si>
    <t>Ōno</t>
  </si>
  <si>
    <t>Kitagata</t>
  </si>
  <si>
    <t>Sakahogi</t>
  </si>
  <si>
    <t>Tomika</t>
  </si>
  <si>
    <t>Kawabe</t>
  </si>
  <si>
    <t>Hichisō</t>
  </si>
  <si>
    <t>Yaotsu</t>
  </si>
  <si>
    <t>Shirakawa</t>
  </si>
  <si>
    <t>Mitake</t>
  </si>
  <si>
    <t>Higashiizu</t>
  </si>
  <si>
    <t>Shizuoka</t>
  </si>
  <si>
    <t>Kawazu</t>
  </si>
  <si>
    <t>Minamiizu</t>
  </si>
  <si>
    <t>Matsuzaki</t>
  </si>
  <si>
    <t>Nishiizu</t>
  </si>
  <si>
    <t>Kannami</t>
  </si>
  <si>
    <t>Nagaizumi</t>
  </si>
  <si>
    <t>Oyama</t>
  </si>
  <si>
    <t>Yoshida</t>
  </si>
  <si>
    <t>Kawanehon</t>
  </si>
  <si>
    <t>Tōgō</t>
  </si>
  <si>
    <t>Aichi</t>
  </si>
  <si>
    <t>Toyoyama</t>
  </si>
  <si>
    <t>Ōguchi</t>
  </si>
  <si>
    <t>Fusō</t>
  </si>
  <si>
    <t>Ōharu</t>
  </si>
  <si>
    <t>Kanie</t>
  </si>
  <si>
    <t>Agui</t>
  </si>
  <si>
    <t>Higashiura</t>
  </si>
  <si>
    <t>Minamichita</t>
  </si>
  <si>
    <t>Taketoyo</t>
  </si>
  <si>
    <t>Kōta</t>
  </si>
  <si>
    <t>Shitara</t>
  </si>
  <si>
    <t>Tōei</t>
  </si>
  <si>
    <t>Kisosaki</t>
  </si>
  <si>
    <t>Mie</t>
  </si>
  <si>
    <t>Tōin</t>
  </si>
  <si>
    <t>Komono</t>
  </si>
  <si>
    <t>Kawagoe</t>
  </si>
  <si>
    <t>Taki</t>
  </si>
  <si>
    <t>Ōdai</t>
  </si>
  <si>
    <t>Tamaki</t>
  </si>
  <si>
    <t>Watarai</t>
  </si>
  <si>
    <t>Minamiise</t>
  </si>
  <si>
    <t>Kihoku</t>
  </si>
  <si>
    <t>Kihō</t>
  </si>
  <si>
    <t>Hino</t>
  </si>
  <si>
    <t>Shiga</t>
  </si>
  <si>
    <t>Ryūō</t>
  </si>
  <si>
    <t>Aishō</t>
  </si>
  <si>
    <t>Toyosato</t>
  </si>
  <si>
    <t>Kōra</t>
  </si>
  <si>
    <t>Taga</t>
  </si>
  <si>
    <t>Ōyamazaki</t>
  </si>
  <si>
    <t>Kyoto</t>
  </si>
  <si>
    <t>Kumiyama</t>
  </si>
  <si>
    <t>Ide</t>
  </si>
  <si>
    <t>Ujitawara</t>
  </si>
  <si>
    <t>Kasagi</t>
  </si>
  <si>
    <t>Wazuka</t>
  </si>
  <si>
    <t>Seika</t>
  </si>
  <si>
    <t>Kyōtamba</t>
  </si>
  <si>
    <t>Ine</t>
  </si>
  <si>
    <t>Yosano</t>
  </si>
  <si>
    <t>Shimamoto</t>
  </si>
  <si>
    <t>Toyono</t>
  </si>
  <si>
    <t>Nose</t>
  </si>
  <si>
    <t>Tadaoka</t>
  </si>
  <si>
    <t>Kumatori</t>
  </si>
  <si>
    <t>Tajiri</t>
  </si>
  <si>
    <t>Misaki</t>
  </si>
  <si>
    <t>Taishi</t>
  </si>
  <si>
    <t>Kanan</t>
  </si>
  <si>
    <t>Inagawa</t>
  </si>
  <si>
    <t>Hyōgo</t>
  </si>
  <si>
    <t>Taka</t>
  </si>
  <si>
    <t>Inami</t>
  </si>
  <si>
    <t>Harima</t>
  </si>
  <si>
    <t>Ichikawa</t>
  </si>
  <si>
    <t>Fukusaki</t>
  </si>
  <si>
    <t>Kamigōri</t>
  </si>
  <si>
    <t>Sayō</t>
  </si>
  <si>
    <t>Shin'onsen</t>
  </si>
  <si>
    <t>Heguri</t>
  </si>
  <si>
    <t>Nara</t>
  </si>
  <si>
    <t>Sangō</t>
  </si>
  <si>
    <t>Ikaruga</t>
  </si>
  <si>
    <t>Ando</t>
  </si>
  <si>
    <t>Miyake</t>
  </si>
  <si>
    <t>Tawaramoto</t>
  </si>
  <si>
    <t>Takatori</t>
  </si>
  <si>
    <t>Kanmaki</t>
  </si>
  <si>
    <t>Ōji</t>
  </si>
  <si>
    <t>Kōryō</t>
  </si>
  <si>
    <t>Kawai</t>
  </si>
  <si>
    <t>Yoshino</t>
  </si>
  <si>
    <t>Ōyodo</t>
  </si>
  <si>
    <t>Shimoichi</t>
  </si>
  <si>
    <t>Kushimoto</t>
  </si>
  <si>
    <t>Wakayama</t>
  </si>
  <si>
    <t>Kimino</t>
  </si>
  <si>
    <t>Katsuragi</t>
  </si>
  <si>
    <t>Kudoyama</t>
  </si>
  <si>
    <t>Kōya</t>
  </si>
  <si>
    <t>Yuasa</t>
  </si>
  <si>
    <t>Hirogawa</t>
  </si>
  <si>
    <t>Aridagawa</t>
  </si>
  <si>
    <t>Yura</t>
  </si>
  <si>
    <t>Minabe</t>
  </si>
  <si>
    <t>Hidakagawa</t>
  </si>
  <si>
    <t>Shirahama</t>
  </si>
  <si>
    <t>Kamitonda</t>
  </si>
  <si>
    <t>Susami</t>
  </si>
  <si>
    <t>Nachikatsuura</t>
  </si>
  <si>
    <t>Taiji</t>
  </si>
  <si>
    <t>Kozagawa</t>
  </si>
  <si>
    <t>Iwami</t>
  </si>
  <si>
    <t>Tottori</t>
  </si>
  <si>
    <t>Chizu</t>
  </si>
  <si>
    <t>Yazu</t>
  </si>
  <si>
    <t>Misasa</t>
  </si>
  <si>
    <t>Yurihama</t>
  </si>
  <si>
    <t>Kotoura</t>
  </si>
  <si>
    <t>Hokuei</t>
  </si>
  <si>
    <t>Daisen</t>
  </si>
  <si>
    <t>Hōki</t>
  </si>
  <si>
    <t>Nichinan</t>
  </si>
  <si>
    <t>Kōfu</t>
  </si>
  <si>
    <t>Okuizumo</t>
  </si>
  <si>
    <t>Shimane</t>
  </si>
  <si>
    <t>Iinan</t>
  </si>
  <si>
    <t>Kawamoto</t>
  </si>
  <si>
    <t>Ōnan</t>
  </si>
  <si>
    <t>Tsuwano</t>
  </si>
  <si>
    <t>Yoshika</t>
  </si>
  <si>
    <t>Ama</t>
  </si>
  <si>
    <t>Nishinoshima</t>
  </si>
  <si>
    <t>Okinoshima</t>
  </si>
  <si>
    <t>Wake</t>
  </si>
  <si>
    <t>Okayama</t>
  </si>
  <si>
    <t>Hayashima</t>
  </si>
  <si>
    <t>Satoshō</t>
  </si>
  <si>
    <t>Yakage</t>
  </si>
  <si>
    <t>Kagamino</t>
  </si>
  <si>
    <t>Shōō</t>
  </si>
  <si>
    <t>Nagi</t>
  </si>
  <si>
    <t>Kumenan</t>
  </si>
  <si>
    <t>Kibichūō</t>
  </si>
  <si>
    <t>Fuchū</t>
  </si>
  <si>
    <t>Hiroshima</t>
  </si>
  <si>
    <t>Kaita</t>
  </si>
  <si>
    <t>Kumano</t>
  </si>
  <si>
    <t>Saka</t>
  </si>
  <si>
    <t>Kitahiroshima</t>
  </si>
  <si>
    <t>Akiōta</t>
  </si>
  <si>
    <t>Ōsakikamijima</t>
  </si>
  <si>
    <t>Sera</t>
  </si>
  <si>
    <t>Jinsekikōgen</t>
  </si>
  <si>
    <t>Suō-Ōshima</t>
  </si>
  <si>
    <t>Yamaguchi</t>
  </si>
  <si>
    <t>Waki</t>
  </si>
  <si>
    <t>Kaminoseki</t>
  </si>
  <si>
    <t>Tabuse</t>
  </si>
  <si>
    <t>Hirao</t>
  </si>
  <si>
    <t>Abu</t>
  </si>
  <si>
    <t>Katsuura</t>
  </si>
  <si>
    <t>Tokushima</t>
  </si>
  <si>
    <t>Kamikatsu</t>
  </si>
  <si>
    <t>Ishii</t>
  </si>
  <si>
    <t>Kamiyama</t>
  </si>
  <si>
    <t>Naka</t>
  </si>
  <si>
    <t>Mugi</t>
  </si>
  <si>
    <t>Minami</t>
  </si>
  <si>
    <t>Kaiyō</t>
  </si>
  <si>
    <t>Matsushige</t>
  </si>
  <si>
    <t>Kitajima</t>
  </si>
  <si>
    <t>Aizumi</t>
  </si>
  <si>
    <t>Itano</t>
  </si>
  <si>
    <t>Kamiita</t>
  </si>
  <si>
    <t>Tsurugi</t>
  </si>
  <si>
    <t>Higashimiyoshi</t>
  </si>
  <si>
    <t>Tonoshō</t>
  </si>
  <si>
    <t>Kagawa</t>
  </si>
  <si>
    <t>Shōdoshima</t>
  </si>
  <si>
    <t>Miki</t>
  </si>
  <si>
    <t>Naoshima</t>
  </si>
  <si>
    <t>Utazu</t>
  </si>
  <si>
    <t>Ayagawa</t>
  </si>
  <si>
    <t>Kotohira</t>
  </si>
  <si>
    <t>Tadotsu</t>
  </si>
  <si>
    <t>Mannō</t>
  </si>
  <si>
    <t>Kamijima</t>
  </si>
  <si>
    <t>Ehime</t>
  </si>
  <si>
    <t>Kumakōgen</t>
  </si>
  <si>
    <t>Masaki</t>
  </si>
  <si>
    <t>Tobe</t>
  </si>
  <si>
    <t>Uchiko</t>
  </si>
  <si>
    <t>Ikata</t>
  </si>
  <si>
    <t>Matsuno</t>
  </si>
  <si>
    <t>Ainan</t>
  </si>
  <si>
    <t>Tōyō</t>
  </si>
  <si>
    <t>Kōchi</t>
  </si>
  <si>
    <t>Nahari</t>
  </si>
  <si>
    <t>Tano</t>
  </si>
  <si>
    <t>Yasuda</t>
  </si>
  <si>
    <t>Motoyama</t>
  </si>
  <si>
    <t>Ōtoyo</t>
  </si>
  <si>
    <t>Tosa</t>
  </si>
  <si>
    <t>Ino</t>
  </si>
  <si>
    <t>Niyodogawa</t>
  </si>
  <si>
    <t>Nakatosa</t>
  </si>
  <si>
    <t>Sakawa</t>
  </si>
  <si>
    <t>Ochi</t>
  </si>
  <si>
    <t>Yusuhara</t>
  </si>
  <si>
    <t>Tsuno</t>
  </si>
  <si>
    <t>Shimanto</t>
  </si>
  <si>
    <t>Ōtsuki</t>
  </si>
  <si>
    <t>Kuroshio</t>
  </si>
  <si>
    <t>Umi</t>
  </si>
  <si>
    <t>Fukuoka</t>
  </si>
  <si>
    <t>Sasaguri</t>
  </si>
  <si>
    <t>Shime</t>
  </si>
  <si>
    <t>Sue</t>
  </si>
  <si>
    <t>Shingū</t>
  </si>
  <si>
    <t>Hisayama</t>
  </si>
  <si>
    <t>Kasuya</t>
  </si>
  <si>
    <t>Ashiya</t>
  </si>
  <si>
    <t>Mizumaki</t>
  </si>
  <si>
    <t>Okagaki</t>
  </si>
  <si>
    <t>Onga</t>
  </si>
  <si>
    <t>Kotake</t>
  </si>
  <si>
    <t>Kurate</t>
  </si>
  <si>
    <t>Keisen</t>
  </si>
  <si>
    <t>Chikuzen</t>
  </si>
  <si>
    <t>Tachiarai</t>
  </si>
  <si>
    <t>Ōki</t>
  </si>
  <si>
    <t>Hirokawa</t>
  </si>
  <si>
    <t>Kawara</t>
  </si>
  <si>
    <t>Soeda</t>
  </si>
  <si>
    <t>Itoda</t>
  </si>
  <si>
    <t>Ōtō</t>
  </si>
  <si>
    <t>Fukuchi</t>
  </si>
  <si>
    <t>Kanda</t>
  </si>
  <si>
    <t>Miyako</t>
  </si>
  <si>
    <t>Yoshitomi</t>
  </si>
  <si>
    <t>Kōge</t>
  </si>
  <si>
    <t>Chikujō</t>
  </si>
  <si>
    <t>Yoshinogari</t>
  </si>
  <si>
    <t>Saga</t>
  </si>
  <si>
    <t>Kiyama</t>
  </si>
  <si>
    <t>Kamimine</t>
  </si>
  <si>
    <t>Miyaki</t>
  </si>
  <si>
    <t>Genkai</t>
  </si>
  <si>
    <t>Arita</t>
  </si>
  <si>
    <t>Ōmachi</t>
  </si>
  <si>
    <t>Kōhoku</t>
  </si>
  <si>
    <t>Shiroishi</t>
  </si>
  <si>
    <t>Tara</t>
  </si>
  <si>
    <t>Nagayo</t>
  </si>
  <si>
    <t>Nagasaki</t>
  </si>
  <si>
    <t>Togitsu</t>
  </si>
  <si>
    <t>Higashisonogi</t>
  </si>
  <si>
    <t>Kawatana</t>
  </si>
  <si>
    <t>Hasami</t>
  </si>
  <si>
    <t>Ojika</t>
  </si>
  <si>
    <t>Saza</t>
  </si>
  <si>
    <t>Shin-Kamigotō</t>
  </si>
  <si>
    <t>Kumamoto</t>
  </si>
  <si>
    <t>Gyokutō</t>
  </si>
  <si>
    <t>Nankan</t>
  </si>
  <si>
    <t>Nagasu</t>
  </si>
  <si>
    <t>Nagomi</t>
  </si>
  <si>
    <t>Ōzu</t>
  </si>
  <si>
    <t>Kikuyō</t>
  </si>
  <si>
    <t>Minamioguni</t>
  </si>
  <si>
    <t>Mifune</t>
  </si>
  <si>
    <t>Kashima</t>
  </si>
  <si>
    <t>Mashiki</t>
  </si>
  <si>
    <t>Kōsa</t>
  </si>
  <si>
    <t>Yamato</t>
  </si>
  <si>
    <t>Hikawa</t>
  </si>
  <si>
    <t>Ashikita</t>
  </si>
  <si>
    <t>Tsunagi</t>
  </si>
  <si>
    <t>Nishiki</t>
  </si>
  <si>
    <t>Taragi</t>
  </si>
  <si>
    <t>Yunomae</t>
  </si>
  <si>
    <t>Asagiri</t>
  </si>
  <si>
    <t>Reihoku</t>
  </si>
  <si>
    <t>Hiji</t>
  </si>
  <si>
    <t>Ōita</t>
  </si>
  <si>
    <t>Kusu</t>
  </si>
  <si>
    <t>Kokonoe</t>
  </si>
  <si>
    <t>Mimata</t>
  </si>
  <si>
    <t>Miyazaki</t>
  </si>
  <si>
    <t>Takaharu</t>
  </si>
  <si>
    <t>Kunitomi</t>
  </si>
  <si>
    <t>Aya</t>
  </si>
  <si>
    <t>Takanabe</t>
  </si>
  <si>
    <t>Shintomi</t>
  </si>
  <si>
    <t>Kijō</t>
  </si>
  <si>
    <t>Kawaminami</t>
  </si>
  <si>
    <t>Kadogawa</t>
  </si>
  <si>
    <t>Takachiho</t>
  </si>
  <si>
    <t>Hinokage</t>
  </si>
  <si>
    <t>Gokase</t>
  </si>
  <si>
    <t>Satsuma</t>
  </si>
  <si>
    <t>Kagoshima</t>
  </si>
  <si>
    <t>Nagashima</t>
  </si>
  <si>
    <t>Yūsui</t>
  </si>
  <si>
    <t>Ōsaki</t>
  </si>
  <si>
    <t>Higashikushira</t>
  </si>
  <si>
    <t>Kinkō</t>
  </si>
  <si>
    <t>Minamiōsumi</t>
  </si>
  <si>
    <t>Kimotsuki</t>
  </si>
  <si>
    <t>Nakatane</t>
  </si>
  <si>
    <t>Minamitane</t>
  </si>
  <si>
    <t>Yakushima</t>
  </si>
  <si>
    <t>Setouchi</t>
  </si>
  <si>
    <t>Tatsugō</t>
  </si>
  <si>
    <t>Kikai</t>
  </si>
  <si>
    <t>Tokunoshima</t>
  </si>
  <si>
    <t>Amagi</t>
  </si>
  <si>
    <t>Isen</t>
  </si>
  <si>
    <t>Wadomari</t>
  </si>
  <si>
    <t>China</t>
  </si>
  <si>
    <t>Yoron</t>
  </si>
  <si>
    <t>Motobu</t>
  </si>
  <si>
    <t>Okinawa</t>
  </si>
  <si>
    <t>Kin</t>
  </si>
  <si>
    <t>Kadena</t>
  </si>
  <si>
    <t>Chatan</t>
  </si>
  <si>
    <t>Nishihara</t>
  </si>
  <si>
    <t>Yonabaru</t>
  </si>
  <si>
    <t>Haebaru</t>
  </si>
  <si>
    <t>Kumejima</t>
  </si>
  <si>
    <t>Yaese</t>
  </si>
  <si>
    <t>Taketomi</t>
  </si>
  <si>
    <t>Yonaguni</t>
  </si>
  <si>
    <t>เลขที่การจอง</t>
  </si>
  <si>
    <t>วันที่เข้าพัก</t>
  </si>
  <si>
    <t>วันที่ออก</t>
  </si>
  <si>
    <t>จำนวนคืน</t>
  </si>
  <si>
    <t>หมายเลขห้อง</t>
  </si>
  <si>
    <t>ประเภทห้อง</t>
  </si>
  <si>
    <t>ราคาต่อคืน</t>
  </si>
  <si>
    <t>ราคาจริง</t>
  </si>
  <si>
    <t>รวมค่าห้อง</t>
  </si>
  <si>
    <t>รวมราคารวม VAT</t>
  </si>
  <si>
    <t>ราคาก่อน VAT</t>
  </si>
  <si>
    <t>ยอด VAT</t>
  </si>
  <si>
    <t>ช่องทางการจอง</t>
  </si>
  <si>
    <t>จำนวนแขก</t>
  </si>
  <si>
    <t>รหัสลูกค้า</t>
  </si>
  <si>
    <t>ชื่อลูกค้า</t>
  </si>
  <si>
    <t>เบอร์โทรศัพท์</t>
  </si>
  <si>
    <t>วิธีการชำระเงิน</t>
  </si>
  <si>
    <t>ยอดค้างชำระ</t>
  </si>
  <si>
    <t>สถานะ</t>
  </si>
  <si>
    <t>หมายเหตุ</t>
  </si>
  <si>
    <t>อาคาร</t>
  </si>
  <si>
    <t>ชั้น</t>
  </si>
  <si>
    <t>สถานะปัจจุบัน</t>
  </si>
  <si>
    <t>แขกที่เข้าพัก</t>
  </si>
  <si>
    <t>แขกที่ออก</t>
  </si>
  <si>
    <t>ชื่อแขก</t>
  </si>
  <si>
    <t>สถานะความสะอาด</t>
  </si>
  <si>
    <t>การบำรุงรักษา</t>
  </si>
  <si>
    <t>วันที่อัพเดท</t>
  </si>
  <si>
    <t>ผู้รับผิดชอบ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</si>
</sst>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sz val="25.0"/>
      <color theme="1"/>
      <name val="Arial"/>
      <scheme val="minor"/>
    </font>
    <font/>
    <font>
      <b/>
      <sz val="25.0"/>
      <color rgb="FF000000"/>
      <name val="Arial"/>
      <scheme val="minor"/>
    </font>
    <font>
      <color theme="1"/>
      <name val="Arial"/>
      <scheme val="minor"/>
    </font>
    <font>
      <b/>
      <sz val="13.0"/>
      <color rgb="FFFFFFFF"/>
      <name val="Arial"/>
      <scheme val="minor"/>
    </font>
    <font>
      <sz val="14.0"/>
      <color rgb="FFFFD966"/>
      <name val="Arial"/>
      <scheme val="minor"/>
    </font>
    <font>
      <color rgb="FF000000"/>
      <name val="Arial"/>
      <scheme val="minor"/>
    </font>
    <font>
      <sz val="14.0"/>
      <color rgb="FFFFFFFF"/>
      <name val="Arial"/>
      <scheme val="minor"/>
    </font>
    <font>
      <sz val="13.0"/>
      <color theme="1"/>
      <name val="Arial"/>
      <scheme val="minor"/>
    </font>
    <font>
      <sz val="11.0"/>
      <color rgb="FFFFFFFF"/>
      <name val="Arial"/>
      <scheme val="minor"/>
    </font>
    <font>
      <sz val="12.0"/>
      <color rgb="FFFFFFFF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b/>
      <sz val="11.0"/>
      <color theme="1"/>
      <name val="Arial"/>
    </font>
    <font>
      <color theme="1"/>
      <name val="Arial"/>
    </font>
    <font>
      <sz val="11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8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3" fontId="2" numFmtId="0" xfId="0" applyBorder="1" applyFill="1" applyFont="1"/>
    <xf borderId="3" fillId="2" fontId="1" numFmtId="0" xfId="0" applyAlignment="1" applyBorder="1" applyFont="1">
      <alignment readingOrder="0"/>
    </xf>
    <xf borderId="3" fillId="2" fontId="1" numFmtId="0" xfId="0" applyBorder="1" applyFont="1"/>
    <xf borderId="0" fillId="2" fontId="3" numFmtId="0" xfId="0" applyAlignment="1" applyFont="1">
      <alignment readingOrder="0"/>
    </xf>
    <xf borderId="0" fillId="3" fontId="1" numFmtId="0" xfId="0" applyFont="1"/>
    <xf borderId="4" fillId="4" fontId="2" numFmtId="0" xfId="0" applyBorder="1" applyFill="1" applyFont="1"/>
    <xf borderId="5" fillId="4" fontId="2" numFmtId="0" xfId="0" applyBorder="1" applyFont="1"/>
    <xf borderId="3" fillId="2" fontId="4" numFmtId="0" xfId="0" applyAlignment="1" applyBorder="1" applyFont="1">
      <alignment readingOrder="0"/>
    </xf>
    <xf borderId="3" fillId="2" fontId="4" numFmtId="0" xfId="0" applyBorder="1" applyFont="1"/>
    <xf borderId="0" fillId="2" fontId="4" numFmtId="0" xfId="0" applyFont="1"/>
    <xf borderId="0" fillId="4" fontId="4" numFmtId="0" xfId="0" applyFont="1"/>
    <xf borderId="3" fillId="2" fontId="5" numFmtId="0" xfId="0" applyAlignment="1" applyBorder="1" applyFont="1">
      <alignment horizontal="center" readingOrder="0"/>
    </xf>
    <xf borderId="3" fillId="2" fontId="6" numFmtId="0" xfId="0" applyAlignment="1" applyBorder="1" applyFont="1">
      <alignment horizontal="center" readingOrder="0"/>
    </xf>
    <xf borderId="3" fillId="2" fontId="7" numFmtId="0" xfId="0" applyAlignment="1" applyBorder="1" applyFont="1">
      <alignment readingOrder="0"/>
    </xf>
    <xf borderId="0" fillId="5" fontId="4" numFmtId="0" xfId="0" applyFill="1" applyFont="1"/>
    <xf borderId="3" fillId="2" fontId="8" numFmtId="0" xfId="0" applyAlignment="1" applyBorder="1" applyFont="1">
      <alignment readingOrder="0"/>
    </xf>
    <xf borderId="3" fillId="2" fontId="9" numFmtId="0" xfId="0" applyAlignment="1" applyBorder="1" applyFont="1">
      <alignment horizontal="center" readingOrder="0"/>
    </xf>
    <xf borderId="1" fillId="2" fontId="5" numFmtId="0" xfId="0" applyAlignment="1" applyBorder="1" applyFont="1">
      <alignment horizontal="center" readingOrder="0"/>
    </xf>
    <xf borderId="2" fillId="4" fontId="2" numFmtId="0" xfId="0" applyBorder="1" applyFont="1"/>
    <xf borderId="6" fillId="5" fontId="2" numFmtId="0" xfId="0" applyBorder="1" applyFont="1"/>
    <xf borderId="7" fillId="5" fontId="2" numFmtId="0" xfId="0" applyBorder="1" applyFont="1"/>
    <xf borderId="0" fillId="2" fontId="10" numFmtId="0" xfId="0" applyAlignment="1" applyFont="1">
      <alignment readingOrder="0"/>
    </xf>
    <xf borderId="0" fillId="2" fontId="11" numFmtId="0" xfId="0" applyAlignment="1" applyFont="1">
      <alignment readingOrder="0"/>
    </xf>
    <xf borderId="0" fillId="2" fontId="11" numFmtId="0" xfId="0" applyAlignment="1" applyFont="1">
      <alignment horizontal="center" readingOrder="0"/>
    </xf>
    <xf borderId="0" fillId="4" fontId="4" numFmtId="0" xfId="0" applyAlignment="1" applyFont="1">
      <alignment readingOrder="0" shrinkToFit="0" wrapText="1"/>
    </xf>
    <xf borderId="0" fillId="4" fontId="4" numFmtId="0" xfId="0" applyAlignment="1" applyFont="1">
      <alignment readingOrder="0"/>
    </xf>
    <xf borderId="0" fillId="4" fontId="4" numFmtId="0" xfId="0" applyAlignment="1" applyFont="1">
      <alignment horizontal="center" readingOrder="0"/>
    </xf>
    <xf borderId="0" fillId="4" fontId="12" numFmtId="0" xfId="0" applyAlignment="1" applyFont="1">
      <alignment readingOrder="0"/>
    </xf>
    <xf borderId="0" fillId="4" fontId="4" numFmtId="0" xfId="0" applyAlignment="1" applyFont="1">
      <alignment horizontal="center" readingOrder="0" shrinkToFit="0" wrapText="1"/>
    </xf>
    <xf borderId="0" fillId="5" fontId="4" numFmtId="0" xfId="0" applyAlignment="1" applyFont="1">
      <alignment readingOrder="0" shrinkToFit="0" wrapText="1"/>
    </xf>
    <xf borderId="0" fillId="5" fontId="4" numFmtId="0" xfId="0" applyAlignment="1" applyFont="1">
      <alignment readingOrder="0"/>
    </xf>
    <xf borderId="0" fillId="5" fontId="4" numFmtId="0" xfId="0" applyAlignment="1" applyFont="1">
      <alignment horizontal="center" readingOrder="0"/>
    </xf>
    <xf borderId="0" fillId="5" fontId="13" numFmtId="0" xfId="0" applyAlignment="1" applyFont="1">
      <alignment readingOrder="0"/>
    </xf>
    <xf borderId="0" fillId="5" fontId="4" numFmtId="0" xfId="0" applyAlignment="1" applyFont="1">
      <alignment horizontal="center" readingOrder="0" shrinkToFit="0" wrapText="1"/>
    </xf>
    <xf borderId="0" fillId="4" fontId="4" numFmtId="0" xfId="0" applyAlignment="1" applyFont="1">
      <alignment horizontal="center" shrinkToFit="0" wrapText="1"/>
    </xf>
    <xf borderId="0" fillId="5" fontId="4" numFmtId="0" xfId="0" applyAlignment="1" applyFont="1">
      <alignment horizontal="center"/>
    </xf>
    <xf borderId="0" fillId="5" fontId="4" numFmtId="0" xfId="0" applyAlignment="1" applyFont="1">
      <alignment horizontal="center" shrinkToFit="0" wrapText="1"/>
    </xf>
    <xf borderId="0" fillId="4" fontId="4" numFmtId="0" xfId="0" applyAlignment="1" applyFont="1">
      <alignment horizontal="center"/>
    </xf>
    <xf borderId="0" fillId="4" fontId="4" numFmtId="0" xfId="0" applyAlignment="1" applyFont="1">
      <alignment shrinkToFit="0" wrapText="1"/>
    </xf>
    <xf borderId="0" fillId="5" fontId="4" numFmtId="0" xfId="0" applyAlignment="1" applyFont="1">
      <alignment shrinkToFit="0" wrapText="1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14" numFmtId="0" xfId="0" applyFont="1"/>
    <xf borderId="3" fillId="0" fontId="15" numFmtId="0" xfId="0" applyAlignment="1" applyBorder="1" applyFont="1">
      <alignment horizontal="center" vertical="top"/>
    </xf>
    <xf borderId="0" fillId="0" fontId="16" numFmtId="0" xfId="0" applyAlignment="1" applyFont="1">
      <alignment vertical="bottom"/>
    </xf>
    <xf borderId="0" fillId="0" fontId="17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5</xdr:row>
      <xdr:rowOff>0</xdr:rowOff>
    </xdr:from>
    <xdr:ext cx="1981200" cy="6572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28575</xdr:colOff>
      <xdr:row>0</xdr:row>
      <xdr:rowOff>0</xdr:rowOff>
    </xdr:from>
    <xdr:ext cx="6191250" cy="494347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933450" cy="200025"/>
    <xdr:pic>
      <xdr:nvPicPr>
        <xdr:cNvPr id="0" name="image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3E5656"/>
      </a:dk1>
      <a:lt1>
        <a:srgbClr val="FFF2CC"/>
      </a:lt1>
      <a:dk2>
        <a:srgbClr val="3E5656"/>
      </a:dk2>
      <a:lt2>
        <a:srgbClr val="FFF2CC"/>
      </a:lt2>
      <a:accent1>
        <a:srgbClr val="B0725D"/>
      </a:accent1>
      <a:accent2>
        <a:srgbClr val="8F3738"/>
      </a:accent2>
      <a:accent3>
        <a:srgbClr val="E79A3C"/>
      </a:accent3>
      <a:accent4>
        <a:srgbClr val="447874"/>
      </a:accent4>
      <a:accent5>
        <a:srgbClr val="D2D479"/>
      </a:accent5>
      <a:accent6>
        <a:srgbClr val="8B8948"/>
      </a:accent6>
      <a:hlink>
        <a:srgbClr val="8B8948"/>
      </a:hlink>
      <a:folHlink>
        <a:srgbClr val="8B8948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hotel-binario.jp/umeda/" TargetMode="External"/><Relationship Id="rId10" Type="http://schemas.openxmlformats.org/officeDocument/2006/relationships/hyperlink" Target="https://kawachinaganosou.com/" TargetMode="External"/><Relationship Id="rId13" Type="http://schemas.openxmlformats.org/officeDocument/2006/relationships/hyperlink" Target="https://www.miyakohotels.ne.jp/hommachi/" TargetMode="External"/><Relationship Id="rId12" Type="http://schemas.openxmlformats.org/officeDocument/2006/relationships/hyperlink" Target="https://www.hotelgp-osaka.com/" TargetMode="External"/><Relationship Id="rId1" Type="http://schemas.openxmlformats.org/officeDocument/2006/relationships/hyperlink" Target="https://sanrriott.com/osaka-hommachi/" TargetMode="External"/><Relationship Id="rId2" Type="http://schemas.openxmlformats.org/officeDocument/2006/relationships/hyperlink" Target="https://www.sanrriott-shinsaibashi.com/" TargetMode="External"/><Relationship Id="rId3" Type="http://schemas.openxmlformats.org/officeDocument/2006/relationships/hyperlink" Target="https://hpdsp.jp/sanrriott-kitahama/" TargetMode="External"/><Relationship Id="rId4" Type="http://schemas.openxmlformats.org/officeDocument/2006/relationships/hyperlink" Target="https://hpdsp.jp/toraco-konohana/en/" TargetMode="External"/><Relationship Id="rId9" Type="http://schemas.openxmlformats.org/officeDocument/2006/relationships/hyperlink" Target="https://hotel-liber.jp/?wovn=en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hpdsp.jp/amaterrace-higashi/" TargetMode="External"/><Relationship Id="rId6" Type="http://schemas.openxmlformats.org/officeDocument/2006/relationships/hyperlink" Target="https://hpdsp.jp/hotel-cargo/" TargetMode="External"/><Relationship Id="rId7" Type="http://schemas.openxmlformats.org/officeDocument/2006/relationships/hyperlink" Target="https://hpdsp.jp/amaterrace-yosuga/" TargetMode="External"/><Relationship Id="rId8" Type="http://schemas.openxmlformats.org/officeDocument/2006/relationships/hyperlink" Target="https://first-cabin.jp/hotels/midosujinanba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nara-tamaru.com/" TargetMode="External"/><Relationship Id="rId42" Type="http://schemas.openxmlformats.org/officeDocument/2006/relationships/hyperlink" Target="https://www.hamirus-forest.com/" TargetMode="External"/><Relationship Id="rId41" Type="http://schemas.openxmlformats.org/officeDocument/2006/relationships/hyperlink" Target="https://www.hamirunomori.com/" TargetMode="External"/><Relationship Id="rId44" Type="http://schemas.openxmlformats.org/officeDocument/2006/relationships/hyperlink" Target="https://www.tacoglamp.com/" TargetMode="External"/><Relationship Id="rId43" Type="http://schemas.openxmlformats.org/officeDocument/2006/relationships/hyperlink" Target="https://www.sugarbeach-oarai.com/" TargetMode="External"/><Relationship Id="rId46" Type="http://schemas.openxmlformats.org/officeDocument/2006/relationships/hyperlink" Target="https://ufufu-village.jp/" TargetMode="External"/><Relationship Id="rId45" Type="http://schemas.openxmlformats.org/officeDocument/2006/relationships/hyperlink" Target="https://www.takatakiko-glamping.com/" TargetMode="External"/><Relationship Id="rId107" Type="http://schemas.openxmlformats.org/officeDocument/2006/relationships/hyperlink" Target="https://stella-site.com/" TargetMode="External"/><Relationship Id="rId106" Type="http://schemas.openxmlformats.org/officeDocument/2006/relationships/hyperlink" Target="https://lajolie-hakodate.com/" TargetMode="External"/><Relationship Id="rId105" Type="http://schemas.openxmlformats.org/officeDocument/2006/relationships/hyperlink" Target="https://fujitennka.jp/" TargetMode="External"/><Relationship Id="rId104" Type="http://schemas.openxmlformats.org/officeDocument/2006/relationships/hyperlink" Target="https://clubwyndhamchikumakan.com/" TargetMode="External"/><Relationship Id="rId109" Type="http://schemas.openxmlformats.org/officeDocument/2006/relationships/hyperlink" Target="https://hakodate-condominium.com/" TargetMode="External"/><Relationship Id="rId108" Type="http://schemas.openxmlformats.org/officeDocument/2006/relationships/hyperlink" Target="https://view-mt-hakodate.com/" TargetMode="External"/><Relationship Id="rId48" Type="http://schemas.openxmlformats.org/officeDocument/2006/relationships/hyperlink" Target="https://mirucollection.com/miruniseko/" TargetMode="External"/><Relationship Id="rId47" Type="http://schemas.openxmlformats.org/officeDocument/2006/relationships/hyperlink" Target="https://www.tenkuu-terrace.jp/" TargetMode="External"/><Relationship Id="rId49" Type="http://schemas.openxmlformats.org/officeDocument/2006/relationships/hyperlink" Target="https://nikihills.co.jp/" TargetMode="External"/><Relationship Id="rId103" Type="http://schemas.openxmlformats.org/officeDocument/2006/relationships/hyperlink" Target="https://clubwyndhamasia.com/ja/resort/club-wyndham-sundance-resort-shirakabaso-shiga-kogen/" TargetMode="External"/><Relationship Id="rId102" Type="http://schemas.openxmlformats.org/officeDocument/2006/relationships/hyperlink" Target="https://www.sundance-resortclub.jp/resort/atami/" TargetMode="External"/><Relationship Id="rId101" Type="http://schemas.openxmlformats.org/officeDocument/2006/relationships/hyperlink" Target="https://www.sundance-resortclub.jp/resort/katsuuraeast/" TargetMode="External"/><Relationship Id="rId100" Type="http://schemas.openxmlformats.org/officeDocument/2006/relationships/hyperlink" Target="https://www.sundance-resortclub.jp/resort/kusatsu/" TargetMode="External"/><Relationship Id="rId31" Type="http://schemas.openxmlformats.org/officeDocument/2006/relationships/hyperlink" Target="https://www.vmg-kyoto.com/" TargetMode="External"/><Relationship Id="rId30" Type="http://schemas.openxmlformats.org/officeDocument/2006/relationships/hyperlink" Target="https://www.vmg-igaueno.com/" TargetMode="External"/><Relationship Id="rId33" Type="http://schemas.openxmlformats.org/officeDocument/2006/relationships/hyperlink" Target="https://www.sasayamastay.jp/" TargetMode="External"/><Relationship Id="rId32" Type="http://schemas.openxmlformats.org/officeDocument/2006/relationships/hyperlink" Target="https://www.naramachistay.com/" TargetMode="External"/><Relationship Id="rId35" Type="http://schemas.openxmlformats.org/officeDocument/2006/relationships/hyperlink" Target="https://www.nipponia-takehara.com/" TargetMode="External"/><Relationship Id="rId34" Type="http://schemas.openxmlformats.org/officeDocument/2006/relationships/hyperlink" Target="https://www.takedacastle.jp/" TargetMode="External"/><Relationship Id="rId37" Type="http://schemas.openxmlformats.org/officeDocument/2006/relationships/hyperlink" Target="https://www.cultia-dazaifu.com/" TargetMode="External"/><Relationship Id="rId36" Type="http://schemas.openxmlformats.org/officeDocument/2006/relationships/hyperlink" Target="https://www.ozucastle.com/" TargetMode="External"/><Relationship Id="rId39" Type="http://schemas.openxmlformats.org/officeDocument/2006/relationships/hyperlink" Target="https://hotel-rings.com/" TargetMode="External"/><Relationship Id="rId38" Type="http://schemas.openxmlformats.org/officeDocument/2006/relationships/hyperlink" Target="https://www.yame-fukushimastay.com/" TargetMode="External"/><Relationship Id="rId20" Type="http://schemas.openxmlformats.org/officeDocument/2006/relationships/hyperlink" Target="https://monpa.co.jp/" TargetMode="External"/><Relationship Id="rId22" Type="http://schemas.openxmlformats.org/officeDocument/2006/relationships/hyperlink" Target="https://hotel-allamanda-aoyama.jp/" TargetMode="External"/><Relationship Id="rId21" Type="http://schemas.openxmlformats.org/officeDocument/2006/relationships/hyperlink" Target="https://www.marine-hotel.co.jp/" TargetMode="External"/><Relationship Id="rId24" Type="http://schemas.openxmlformats.org/officeDocument/2006/relationships/hyperlink" Target="https://richmondhotel.jp/" TargetMode="External"/><Relationship Id="rId23" Type="http://schemas.openxmlformats.org/officeDocument/2006/relationships/hyperlink" Target="https://magachabaru.com/" TargetMode="External"/><Relationship Id="rId26" Type="http://schemas.openxmlformats.org/officeDocument/2006/relationships/hyperlink" Target="https://pdshotels.com/" TargetMode="External"/><Relationship Id="rId121" Type="http://schemas.openxmlformats.org/officeDocument/2006/relationships/hyperlink" Target="https://www.seikai.co.jp/" TargetMode="External"/><Relationship Id="rId25" Type="http://schemas.openxmlformats.org/officeDocument/2006/relationships/hyperlink" Target="https://greenrichhotels.jp/" TargetMode="External"/><Relationship Id="rId120" Type="http://schemas.openxmlformats.org/officeDocument/2006/relationships/hyperlink" Target="https://theubufuruishigaki.com/en/" TargetMode="External"/><Relationship Id="rId28" Type="http://schemas.openxmlformats.org/officeDocument/2006/relationships/hyperlink" Target="https://www.vmg-hakodate.com/" TargetMode="External"/><Relationship Id="rId27" Type="http://schemas.openxmlformats.org/officeDocument/2006/relationships/hyperlink" Target="https://www.vmg.co.jp/" TargetMode="External"/><Relationship Id="rId29" Type="http://schemas.openxmlformats.org/officeDocument/2006/relationships/hyperlink" Target="https://www.nipponia-sawara.jp/" TargetMode="External"/><Relationship Id="rId123" Type="http://schemas.openxmlformats.org/officeDocument/2006/relationships/drawing" Target="../drawings/drawing2.xml"/><Relationship Id="rId122" Type="http://schemas.openxmlformats.org/officeDocument/2006/relationships/hyperlink" Target="https://www.cypresshotels.jp/karuizawa/" TargetMode="External"/><Relationship Id="rId95" Type="http://schemas.openxmlformats.org/officeDocument/2006/relationships/hyperlink" Target="https://www.sundance-resortclub.jp/resort/hakonemiyagino/" TargetMode="External"/><Relationship Id="rId94" Type="http://schemas.openxmlformats.org/officeDocument/2006/relationships/hyperlink" Target="https://www.sundance-resortclub.jp/resort/tateshina/" TargetMode="External"/><Relationship Id="rId97" Type="http://schemas.openxmlformats.org/officeDocument/2006/relationships/hyperlink" Target="https://www.sundance-resortclub.jp/resort/karuizawa/" TargetMode="External"/><Relationship Id="rId96" Type="http://schemas.openxmlformats.org/officeDocument/2006/relationships/hyperlink" Target="https://www.sundance-resortclub.jp/resort/hakonegoura/" TargetMode="External"/><Relationship Id="rId11" Type="http://schemas.openxmlformats.org/officeDocument/2006/relationships/hyperlink" Target="https://akaritokaede.com/" TargetMode="External"/><Relationship Id="rId99" Type="http://schemas.openxmlformats.org/officeDocument/2006/relationships/hyperlink" Target="https://www.sundance-resortclub.jp/resort/onjuku/" TargetMode="External"/><Relationship Id="rId10" Type="http://schemas.openxmlformats.org/officeDocument/2006/relationships/hyperlink" Target="https://www.strings-group.jp/nagoya/" TargetMode="External"/><Relationship Id="rId98" Type="http://schemas.openxmlformats.org/officeDocument/2006/relationships/hyperlink" Target="https://www.sundance-resortclub.jp/resort/awakamogawa/" TargetMode="External"/><Relationship Id="rId13" Type="http://schemas.openxmlformats.org/officeDocument/2006/relationships/hyperlink" Target="https://hotel-tenpyo-naramachi.jp/" TargetMode="External"/><Relationship Id="rId12" Type="http://schemas.openxmlformats.org/officeDocument/2006/relationships/hyperlink" Target="https://towadakohansakura.com/" TargetMode="External"/><Relationship Id="rId91" Type="http://schemas.openxmlformats.org/officeDocument/2006/relationships/hyperlink" Target="https://www.hakone-hotelkowakien.jp/" TargetMode="External"/><Relationship Id="rId90" Type="http://schemas.openxmlformats.org/officeDocument/2006/relationships/hyperlink" Target="https://andohotelnara.com/" TargetMode="External"/><Relationship Id="rId93" Type="http://schemas.openxmlformats.org/officeDocument/2006/relationships/hyperlink" Target="https://www.sundance-resortclub.jp/resort/yamanakako/" TargetMode="External"/><Relationship Id="rId92" Type="http://schemas.openxmlformats.org/officeDocument/2006/relationships/hyperlink" Target="https://www.sundance-resortclub.jp/resort/kawaguchiko/" TargetMode="External"/><Relationship Id="rId118" Type="http://schemas.openxmlformats.org/officeDocument/2006/relationships/hyperlink" Target="https://www.seikai.co.jp/" TargetMode="External"/><Relationship Id="rId117" Type="http://schemas.openxmlformats.org/officeDocument/2006/relationships/hyperlink" Target="https://dormy-hotels.com/" TargetMode="External"/><Relationship Id="rId116" Type="http://schemas.openxmlformats.org/officeDocument/2006/relationships/hyperlink" Target="https://ronsard-resort.com/" TargetMode="External"/><Relationship Id="rId115" Type="http://schemas.openxmlformats.org/officeDocument/2006/relationships/hyperlink" Target="https://www.nasuppo.com/" TargetMode="External"/><Relationship Id="rId119" Type="http://schemas.openxmlformats.org/officeDocument/2006/relationships/hyperlink" Target="https://kamakurahotel.jp/" TargetMode="External"/><Relationship Id="rId15" Type="http://schemas.openxmlformats.org/officeDocument/2006/relationships/hyperlink" Target="https://tocoro.camp/" TargetMode="External"/><Relationship Id="rId110" Type="http://schemas.openxmlformats.org/officeDocument/2006/relationships/hyperlink" Target="https://thotel.jp/en/" TargetMode="External"/><Relationship Id="rId14" Type="http://schemas.openxmlformats.org/officeDocument/2006/relationships/hyperlink" Target="https://first-cabin.jp/hotels/midosujinanba/" TargetMode="External"/><Relationship Id="rId17" Type="http://schemas.openxmlformats.org/officeDocument/2006/relationships/hyperlink" Target="https://my-spa.jp/" TargetMode="External"/><Relationship Id="rId16" Type="http://schemas.openxmlformats.org/officeDocument/2006/relationships/hyperlink" Target="https://hotel-liber.jp/?wovn=en" TargetMode="External"/><Relationship Id="rId19" Type="http://schemas.openxmlformats.org/officeDocument/2006/relationships/hyperlink" Target="https://www.cocomonpa.co.jp/" TargetMode="External"/><Relationship Id="rId114" Type="http://schemas.openxmlformats.org/officeDocument/2006/relationships/hyperlink" Target="https://bay-coast.again-resorts.com/" TargetMode="External"/><Relationship Id="rId18" Type="http://schemas.openxmlformats.org/officeDocument/2006/relationships/hyperlink" Target="https://beachmonpa.co.jp/" TargetMode="External"/><Relationship Id="rId113" Type="http://schemas.openxmlformats.org/officeDocument/2006/relationships/hyperlink" Target="https://gh-ldk.jp/sapporo/" TargetMode="External"/><Relationship Id="rId112" Type="http://schemas.openxmlformats.org/officeDocument/2006/relationships/hyperlink" Target="https://shorturl.at/ucewG" TargetMode="External"/><Relationship Id="rId111" Type="http://schemas.openxmlformats.org/officeDocument/2006/relationships/hyperlink" Target="https://www.podinns.co.jp/" TargetMode="External"/><Relationship Id="rId84" Type="http://schemas.openxmlformats.org/officeDocument/2006/relationships/hyperlink" Target="https://www.hotel-gg.com/?page=1" TargetMode="External"/><Relationship Id="rId83" Type="http://schemas.openxmlformats.org/officeDocument/2006/relationships/hyperlink" Target="https://www.kouri-villa.com/" TargetMode="External"/><Relationship Id="rId86" Type="http://schemas.openxmlformats.org/officeDocument/2006/relationships/hyperlink" Target="https://shonan-label.com/" TargetMode="External"/><Relationship Id="rId85" Type="http://schemas.openxmlformats.org/officeDocument/2006/relationships/hyperlink" Target="https://www.igh.jp/main/1.html" TargetMode="External"/><Relationship Id="rId88" Type="http://schemas.openxmlformats.org/officeDocument/2006/relationships/hyperlink" Target="https://fukuoka-hotel.jp/" TargetMode="External"/><Relationship Id="rId87" Type="http://schemas.openxmlformats.org/officeDocument/2006/relationships/hyperlink" Target="https://www.miyakohotels.ne.jp/hommachi/" TargetMode="External"/><Relationship Id="rId89" Type="http://schemas.openxmlformats.org/officeDocument/2006/relationships/hyperlink" Target="https://amada-yoron.com/" TargetMode="External"/><Relationship Id="rId80" Type="http://schemas.openxmlformats.org/officeDocument/2006/relationships/hyperlink" Target="https://www.yukemuri.co.jp/" TargetMode="External"/><Relationship Id="rId82" Type="http://schemas.openxmlformats.org/officeDocument/2006/relationships/hyperlink" Target="https://www.lachotel.co.jp/yokkaichi" TargetMode="External"/><Relationship Id="rId81" Type="http://schemas.openxmlformats.org/officeDocument/2006/relationships/hyperlink" Target="https://www.hotelgp-osaka.com/" TargetMode="External"/><Relationship Id="rId1" Type="http://schemas.openxmlformats.org/officeDocument/2006/relationships/hyperlink" Target="https://zenkyoto.com/" TargetMode="External"/><Relationship Id="rId2" Type="http://schemas.openxmlformats.org/officeDocument/2006/relationships/hyperlink" Target="https://okinawa-sanrriott.com/en" TargetMode="External"/><Relationship Id="rId3" Type="http://schemas.openxmlformats.org/officeDocument/2006/relationships/hyperlink" Target="https://sanrriott.com/osaka-hommachi/" TargetMode="External"/><Relationship Id="rId4" Type="http://schemas.openxmlformats.org/officeDocument/2006/relationships/hyperlink" Target="https://www.sanrriott-shinsaibashi.com/" TargetMode="External"/><Relationship Id="rId9" Type="http://schemas.openxmlformats.org/officeDocument/2006/relationships/hyperlink" Target="https://hpdsp.jp/amaterrace-yosuga/" TargetMode="External"/><Relationship Id="rId5" Type="http://schemas.openxmlformats.org/officeDocument/2006/relationships/hyperlink" Target="https://hpdsp.jp/sanrriott-kitahama/" TargetMode="External"/><Relationship Id="rId6" Type="http://schemas.openxmlformats.org/officeDocument/2006/relationships/hyperlink" Target="https://hpdsp.jp/toraco-konohana/en/" TargetMode="External"/><Relationship Id="rId7" Type="http://schemas.openxmlformats.org/officeDocument/2006/relationships/hyperlink" Target="https://hpdsp.jp/amaterrace-higashi/" TargetMode="External"/><Relationship Id="rId8" Type="http://schemas.openxmlformats.org/officeDocument/2006/relationships/hyperlink" Target="https://hpdsp.jp/hotel-cargo/" TargetMode="External"/><Relationship Id="rId73" Type="http://schemas.openxmlformats.org/officeDocument/2006/relationships/hyperlink" Target="https://bamboo-forest.jp/" TargetMode="External"/><Relationship Id="rId72" Type="http://schemas.openxmlformats.org/officeDocument/2006/relationships/hyperlink" Target="https://www.kgh.ne.jp/04/" TargetMode="External"/><Relationship Id="rId75" Type="http://schemas.openxmlformats.org/officeDocument/2006/relationships/hyperlink" Target="https://hotel-binario.jp/arashiyama/" TargetMode="External"/><Relationship Id="rId74" Type="http://schemas.openxmlformats.org/officeDocument/2006/relationships/hyperlink" Target="https://hotel-binario.jp/umeda/" TargetMode="External"/><Relationship Id="rId77" Type="http://schemas.openxmlformats.org/officeDocument/2006/relationships/hyperlink" Target="https://hotelgranbinario.com/" TargetMode="External"/><Relationship Id="rId76" Type="http://schemas.openxmlformats.org/officeDocument/2006/relationships/hyperlink" Target="https://hotelgranbinario.com/" TargetMode="External"/><Relationship Id="rId79" Type="http://schemas.openxmlformats.org/officeDocument/2006/relationships/hyperlink" Target="https://www.hana-an.jp/" TargetMode="External"/><Relationship Id="rId78" Type="http://schemas.openxmlformats.org/officeDocument/2006/relationships/hyperlink" Target="https://hotelgranbinario-tsuruga.com/" TargetMode="External"/><Relationship Id="rId71" Type="http://schemas.openxmlformats.org/officeDocument/2006/relationships/hyperlink" Target="https://www.kgh.ne.jp/05/" TargetMode="External"/><Relationship Id="rId70" Type="http://schemas.openxmlformats.org/officeDocument/2006/relationships/hyperlink" Target="https://kawachinaganosou.com/" TargetMode="External"/><Relationship Id="rId62" Type="http://schemas.openxmlformats.org/officeDocument/2006/relationships/hyperlink" Target="https://yusai.com/" TargetMode="External"/><Relationship Id="rId61" Type="http://schemas.openxmlformats.org/officeDocument/2006/relationships/hyperlink" Target="https://tosyoan.com/" TargetMode="External"/><Relationship Id="rId64" Type="http://schemas.openxmlformats.org/officeDocument/2006/relationships/hyperlink" Target="https://www.saga-kyotoya.jp/" TargetMode="External"/><Relationship Id="rId63" Type="http://schemas.openxmlformats.org/officeDocument/2006/relationships/hyperlink" Target="https://hita-hananoki.com/" TargetMode="External"/><Relationship Id="rId66" Type="http://schemas.openxmlformats.org/officeDocument/2006/relationships/hyperlink" Target="https://ooevalley.jp/" TargetMode="External"/><Relationship Id="rId65" Type="http://schemas.openxmlformats.org/officeDocument/2006/relationships/hyperlink" Target="https://mikamoshizennoie.com/" TargetMode="External"/><Relationship Id="rId68" Type="http://schemas.openxmlformats.org/officeDocument/2006/relationships/hyperlink" Target="https://sorania.jp/" TargetMode="External"/><Relationship Id="rId67" Type="http://schemas.openxmlformats.org/officeDocument/2006/relationships/hyperlink" Target="https://plazahotel.jp/" TargetMode="External"/><Relationship Id="rId60" Type="http://schemas.openxmlformats.org/officeDocument/2006/relationships/hyperlink" Target="https://www.yufuin-baien.com/" TargetMode="External"/><Relationship Id="rId69" Type="http://schemas.openxmlformats.org/officeDocument/2006/relationships/hyperlink" Target="https://resorthotels.okinawa/" TargetMode="External"/><Relationship Id="rId51" Type="http://schemas.openxmlformats.org/officeDocument/2006/relationships/hyperlink" Target="https://www.hotel-sevencolors.com/" TargetMode="External"/><Relationship Id="rId50" Type="http://schemas.openxmlformats.org/officeDocument/2006/relationships/hyperlink" Target="https://www.hotel-sardonyx.com/tokyo/" TargetMode="External"/><Relationship Id="rId53" Type="http://schemas.openxmlformats.org/officeDocument/2006/relationships/hyperlink" Target="https://en-hotel.com/hakata/" TargetMode="External"/><Relationship Id="rId52" Type="http://schemas.openxmlformats.org/officeDocument/2006/relationships/hyperlink" Target="https://tenpyo.com/" TargetMode="External"/><Relationship Id="rId55" Type="http://schemas.openxmlformats.org/officeDocument/2006/relationships/hyperlink" Target="https://www.hotel-naito.com/spaland/" TargetMode="External"/><Relationship Id="rId54" Type="http://schemas.openxmlformats.org/officeDocument/2006/relationships/hyperlink" Target="https://kedouin.com/" TargetMode="External"/><Relationship Id="rId57" Type="http://schemas.openxmlformats.org/officeDocument/2006/relationships/hyperlink" Target="https://gekkoju-yufuin.jp/" TargetMode="External"/><Relationship Id="rId56" Type="http://schemas.openxmlformats.org/officeDocument/2006/relationships/hyperlink" Target="https://aso-baien.com/" TargetMode="External"/><Relationship Id="rId59" Type="http://schemas.openxmlformats.org/officeDocument/2006/relationships/hyperlink" Target="https://bettei-itsuki.jp/" TargetMode="External"/><Relationship Id="rId58" Type="http://schemas.openxmlformats.org/officeDocument/2006/relationships/hyperlink" Target="https://gekkoujyu.com/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1.0" topLeftCell="A12" activePane="bottomLeft" state="frozen"/>
      <selection activeCell="B13" sqref="B13" pane="bottomLeft"/>
    </sheetView>
  </sheetViews>
  <sheetFormatPr customHeight="1" defaultColWidth="12.63" defaultRowHeight="15.75"/>
  <cols>
    <col customWidth="1" min="1" max="1" width="30.5"/>
    <col customWidth="1" min="2" max="2" width="18.5"/>
    <col customWidth="1" min="3" max="3" width="12.63"/>
    <col customWidth="1" min="4" max="4" width="16.75"/>
    <col customWidth="1" min="5" max="5" width="63.25"/>
    <col customWidth="1" min="6" max="6" width="17.25"/>
    <col customWidth="1" min="7" max="7" width="27.13"/>
    <col customWidth="1" min="8" max="8" width="37.63"/>
    <col customWidth="1" hidden="1" min="9" max="11" width="37.63"/>
    <col hidden="1" min="12" max="26" width="12.63"/>
  </cols>
  <sheetData>
    <row r="1">
      <c r="A1" s="1"/>
      <c r="B1" s="2"/>
      <c r="C1" s="3"/>
      <c r="D1" s="3"/>
      <c r="E1" s="3"/>
      <c r="F1" s="3"/>
      <c r="G1" s="4"/>
      <c r="H1" s="5" t="s">
        <v>0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7"/>
      <c r="B2" s="8"/>
      <c r="C2" s="9"/>
      <c r="D2" s="9"/>
      <c r="E2" s="9"/>
      <c r="F2" s="9"/>
      <c r="G2" s="10"/>
      <c r="H2" s="11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>
      <c r="A3" s="13" t="s">
        <v>1</v>
      </c>
      <c r="B3" s="14" t="s">
        <v>2</v>
      </c>
      <c r="C3" s="9"/>
      <c r="D3" s="15"/>
      <c r="E3" s="15"/>
      <c r="F3" s="9"/>
      <c r="G3" s="10"/>
      <c r="H3" s="11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7" t="s">
        <v>3</v>
      </c>
      <c r="B4" s="9"/>
      <c r="C4" s="9"/>
      <c r="D4" s="9"/>
      <c r="E4" s="9"/>
      <c r="F4" s="9"/>
      <c r="G4" s="10"/>
      <c r="H4" s="11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>
      <c r="A5" s="17" t="s">
        <v>4</v>
      </c>
      <c r="B5" s="18"/>
      <c r="C5" s="9"/>
      <c r="D5" s="9"/>
      <c r="E5" s="9"/>
      <c r="F5" s="9"/>
      <c r="G5" s="10"/>
      <c r="H5" s="11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/>
      <c r="B6" s="20"/>
      <c r="C6" s="9"/>
      <c r="D6" s="9"/>
      <c r="E6" s="9"/>
      <c r="F6" s="9"/>
      <c r="G6" s="10"/>
      <c r="H6" s="11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>
      <c r="A7" s="21"/>
      <c r="B7" s="22"/>
      <c r="C7" s="9"/>
      <c r="D7" s="9"/>
      <c r="E7" s="9"/>
      <c r="F7" s="9"/>
      <c r="G7" s="10"/>
      <c r="H7" s="11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7"/>
      <c r="B8" s="8"/>
      <c r="C8" s="9"/>
      <c r="D8" s="9"/>
      <c r="E8" s="9"/>
      <c r="F8" s="9"/>
      <c r="G8" s="10"/>
      <c r="H8" s="11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>
      <c r="A9" s="9"/>
      <c r="B9" s="9"/>
      <c r="C9" s="9"/>
      <c r="D9" s="9"/>
      <c r="E9" s="9"/>
      <c r="F9" s="9"/>
      <c r="G9" s="10"/>
      <c r="H9" s="11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9"/>
      <c r="B10" s="9"/>
      <c r="C10" s="9"/>
      <c r="D10" s="9"/>
      <c r="E10" s="9"/>
      <c r="F10" s="9"/>
      <c r="G10" s="10"/>
      <c r="H10" s="11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20.25" customHeight="1">
      <c r="A11" s="23" t="s">
        <v>5</v>
      </c>
      <c r="B11" s="24" t="s">
        <v>6</v>
      </c>
      <c r="C11" s="24" t="s">
        <v>7</v>
      </c>
      <c r="D11" s="24" t="s">
        <v>8</v>
      </c>
      <c r="E11" s="24" t="s">
        <v>9</v>
      </c>
      <c r="F11" s="24"/>
      <c r="G11" s="25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26" t="s">
        <v>10</v>
      </c>
      <c r="B12" s="27"/>
      <c r="C12" s="27" t="s">
        <v>2</v>
      </c>
      <c r="D12" s="28">
        <v>113.0</v>
      </c>
      <c r="E12" s="29" t="s">
        <v>11</v>
      </c>
      <c r="F12" s="28"/>
      <c r="G12" s="30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>
      <c r="A13" s="31" t="s">
        <v>12</v>
      </c>
      <c r="B13" s="32"/>
      <c r="C13" s="32" t="s">
        <v>2</v>
      </c>
      <c r="D13" s="33">
        <v>115.0</v>
      </c>
      <c r="E13" s="34" t="s">
        <v>13</v>
      </c>
      <c r="F13" s="33"/>
      <c r="G13" s="35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26" t="s">
        <v>14</v>
      </c>
      <c r="B14" s="27"/>
      <c r="C14" s="27" t="s">
        <v>2</v>
      </c>
      <c r="D14" s="28">
        <v>16.0</v>
      </c>
      <c r="E14" s="27"/>
      <c r="F14" s="28"/>
      <c r="G14" s="30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>
      <c r="A15" s="31" t="s">
        <v>15</v>
      </c>
      <c r="B15" s="32"/>
      <c r="C15" s="32" t="s">
        <v>2</v>
      </c>
      <c r="D15" s="33">
        <v>12.0</v>
      </c>
      <c r="E15" s="34" t="s">
        <v>16</v>
      </c>
      <c r="F15" s="33"/>
      <c r="G15" s="35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26" t="s">
        <v>17</v>
      </c>
      <c r="B16" s="27"/>
      <c r="C16" s="27" t="s">
        <v>2</v>
      </c>
      <c r="D16" s="28">
        <v>5.0</v>
      </c>
      <c r="E16" s="29" t="s">
        <v>18</v>
      </c>
      <c r="F16" s="28"/>
      <c r="G16" s="30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>
      <c r="A17" s="31" t="s">
        <v>19</v>
      </c>
      <c r="B17" s="32"/>
      <c r="C17" s="32" t="s">
        <v>2</v>
      </c>
      <c r="D17" s="33">
        <v>26.0</v>
      </c>
      <c r="E17" s="34" t="s">
        <v>20</v>
      </c>
      <c r="F17" s="33"/>
      <c r="G17" s="35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26" t="s">
        <v>21</v>
      </c>
      <c r="B18" s="27"/>
      <c r="C18" s="27" t="s">
        <v>2</v>
      </c>
      <c r="D18" s="28">
        <v>84.0</v>
      </c>
      <c r="E18" s="29" t="s">
        <v>22</v>
      </c>
      <c r="F18" s="28"/>
      <c r="G18" s="30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>
      <c r="A19" s="31" t="s">
        <v>23</v>
      </c>
      <c r="B19" s="32"/>
      <c r="C19" s="32" t="s">
        <v>2</v>
      </c>
      <c r="D19" s="33">
        <v>14.0</v>
      </c>
      <c r="E19" s="34" t="s">
        <v>24</v>
      </c>
      <c r="F19" s="33"/>
      <c r="G19" s="35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26" t="s">
        <v>25</v>
      </c>
      <c r="B20" s="27"/>
      <c r="C20" s="27" t="s">
        <v>2</v>
      </c>
      <c r="D20" s="28">
        <v>153.0</v>
      </c>
      <c r="E20" s="29" t="s">
        <v>26</v>
      </c>
      <c r="F20" s="28"/>
      <c r="G20" s="30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>
      <c r="A21" s="31" t="s">
        <v>27</v>
      </c>
      <c r="B21" s="32"/>
      <c r="C21" s="32" t="s">
        <v>2</v>
      </c>
      <c r="D21" s="33">
        <v>59.0</v>
      </c>
      <c r="E21" s="32"/>
      <c r="F21" s="33"/>
      <c r="G21" s="35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26" t="s">
        <v>28</v>
      </c>
      <c r="B22" s="27"/>
      <c r="C22" s="27" t="s">
        <v>2</v>
      </c>
      <c r="D22" s="28">
        <v>760.0</v>
      </c>
      <c r="E22" s="29" t="s">
        <v>29</v>
      </c>
      <c r="F22" s="28"/>
      <c r="G22" s="30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>
      <c r="A23" s="31" t="s">
        <v>30</v>
      </c>
      <c r="B23" s="32"/>
      <c r="C23" s="32" t="s">
        <v>2</v>
      </c>
      <c r="D23" s="33">
        <v>17.0</v>
      </c>
      <c r="E23" s="34" t="s">
        <v>31</v>
      </c>
      <c r="F23" s="33"/>
      <c r="G23" s="35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26" t="s">
        <v>32</v>
      </c>
      <c r="B24" s="27"/>
      <c r="C24" s="27" t="s">
        <v>2</v>
      </c>
      <c r="D24" s="28">
        <v>118.0</v>
      </c>
      <c r="E24" s="29" t="s">
        <v>33</v>
      </c>
      <c r="F24" s="28"/>
      <c r="G24" s="30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>
      <c r="A25" s="31" t="s">
        <v>34</v>
      </c>
      <c r="B25" s="32"/>
      <c r="C25" s="32" t="s">
        <v>2</v>
      </c>
      <c r="D25" s="33">
        <v>290.0</v>
      </c>
      <c r="E25" s="34" t="s">
        <v>35</v>
      </c>
      <c r="F25" s="33"/>
      <c r="G25" s="35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26" t="s">
        <v>36</v>
      </c>
      <c r="B26" s="27"/>
      <c r="C26" s="27" t="s">
        <v>2</v>
      </c>
      <c r="D26" s="28"/>
      <c r="E26" s="29" t="s">
        <v>37</v>
      </c>
      <c r="F26" s="28"/>
      <c r="G26" s="36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>
      <c r="A27" s="31"/>
      <c r="B27" s="32"/>
      <c r="C27" s="32"/>
      <c r="D27" s="33"/>
      <c r="E27" s="32"/>
      <c r="F27" s="37"/>
      <c r="G27" s="38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26"/>
      <c r="B28" s="27"/>
      <c r="C28" s="27"/>
      <c r="D28" s="28"/>
      <c r="E28" s="27"/>
      <c r="F28" s="39"/>
      <c r="G28" s="36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>
      <c r="A29" s="31"/>
      <c r="B29" s="32"/>
      <c r="C29" s="32"/>
      <c r="D29" s="33"/>
      <c r="E29" s="32"/>
      <c r="F29" s="37"/>
      <c r="G29" s="38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26"/>
      <c r="B30" s="27"/>
      <c r="C30" s="27"/>
      <c r="D30" s="28"/>
      <c r="E30" s="27"/>
      <c r="F30" s="39"/>
      <c r="G30" s="36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>
      <c r="A31" s="31"/>
      <c r="B31" s="32"/>
      <c r="C31" s="32"/>
      <c r="D31" s="33"/>
      <c r="E31" s="32"/>
      <c r="F31" s="37"/>
      <c r="G31" s="38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26"/>
      <c r="B32" s="27"/>
      <c r="C32" s="27"/>
      <c r="D32" s="28"/>
      <c r="E32" s="27"/>
      <c r="F32" s="39"/>
      <c r="G32" s="36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>
      <c r="A33" s="31"/>
      <c r="B33" s="32"/>
      <c r="C33" s="32"/>
      <c r="D33" s="33"/>
      <c r="E33" s="32"/>
      <c r="F33" s="37"/>
      <c r="G33" s="38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26"/>
      <c r="B34" s="27"/>
      <c r="C34" s="27"/>
      <c r="D34" s="28"/>
      <c r="E34" s="27"/>
      <c r="F34" s="39"/>
      <c r="G34" s="36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>
      <c r="A35" s="31"/>
      <c r="B35" s="32"/>
      <c r="C35" s="32"/>
      <c r="D35" s="33"/>
      <c r="E35" s="32"/>
      <c r="F35" s="37"/>
      <c r="G35" s="38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26"/>
      <c r="B36" s="27"/>
      <c r="C36" s="27"/>
      <c r="D36" s="28"/>
      <c r="E36" s="27"/>
      <c r="F36" s="39"/>
      <c r="G36" s="36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>
      <c r="A37" s="31"/>
      <c r="B37" s="32"/>
      <c r="C37" s="16"/>
      <c r="D37" s="37"/>
      <c r="E37" s="16"/>
      <c r="F37" s="37"/>
      <c r="G37" s="38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26"/>
      <c r="B38" s="27"/>
      <c r="C38" s="12"/>
      <c r="D38" s="28"/>
      <c r="E38" s="27"/>
      <c r="F38" s="39"/>
      <c r="G38" s="36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>
      <c r="A39" s="31"/>
      <c r="B39" s="32"/>
      <c r="C39" s="16"/>
      <c r="D39" s="37"/>
      <c r="E39" s="16"/>
      <c r="F39" s="37"/>
      <c r="G39" s="38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26"/>
      <c r="B40" s="27"/>
      <c r="C40" s="12"/>
      <c r="D40" s="39"/>
      <c r="E40" s="12"/>
      <c r="F40" s="39"/>
      <c r="G40" s="36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>
      <c r="A41" s="31"/>
      <c r="B41" s="32"/>
      <c r="C41" s="32"/>
      <c r="D41" s="33"/>
      <c r="E41" s="16"/>
      <c r="F41" s="37"/>
      <c r="G41" s="38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26"/>
      <c r="B42" s="27"/>
      <c r="C42" s="27"/>
      <c r="D42" s="28"/>
      <c r="E42" s="12"/>
      <c r="F42" s="39"/>
      <c r="G42" s="36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>
      <c r="A43" s="31"/>
      <c r="B43" s="32"/>
      <c r="C43" s="32"/>
      <c r="D43" s="33"/>
      <c r="E43" s="16"/>
      <c r="F43" s="37"/>
      <c r="G43" s="38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26"/>
      <c r="B44" s="27"/>
      <c r="C44" s="27"/>
      <c r="D44" s="28"/>
      <c r="E44" s="12"/>
      <c r="F44" s="39"/>
      <c r="G44" s="36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>
      <c r="A45" s="31"/>
      <c r="B45" s="32"/>
      <c r="C45" s="32"/>
      <c r="D45" s="33"/>
      <c r="E45" s="16"/>
      <c r="F45" s="37"/>
      <c r="G45" s="38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26"/>
      <c r="B46" s="27"/>
      <c r="C46" s="27"/>
      <c r="D46" s="28"/>
      <c r="E46" s="12"/>
      <c r="F46" s="39"/>
      <c r="G46" s="36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>
      <c r="A47" s="31"/>
      <c r="B47" s="32"/>
      <c r="C47" s="32"/>
      <c r="D47" s="33"/>
      <c r="E47" s="16"/>
      <c r="F47" s="37"/>
      <c r="G47" s="38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26"/>
      <c r="B48" s="27"/>
      <c r="C48" s="12"/>
      <c r="D48" s="39"/>
      <c r="E48" s="12"/>
      <c r="F48" s="39"/>
      <c r="G48" s="36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>
      <c r="A49" s="31"/>
      <c r="B49" s="32"/>
      <c r="C49" s="16"/>
      <c r="D49" s="37"/>
      <c r="E49" s="16"/>
      <c r="F49" s="37"/>
      <c r="G49" s="38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6"/>
      <c r="B50" s="27"/>
      <c r="C50" s="27"/>
      <c r="D50" s="28"/>
      <c r="E50" s="12"/>
      <c r="F50" s="39"/>
      <c r="G50" s="36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>
      <c r="A51" s="31"/>
      <c r="B51" s="32"/>
      <c r="C51" s="32"/>
      <c r="D51" s="33"/>
      <c r="E51" s="16"/>
      <c r="F51" s="37"/>
      <c r="G51" s="38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26"/>
      <c r="B52" s="27"/>
      <c r="C52" s="27"/>
      <c r="D52" s="28"/>
      <c r="E52" s="27"/>
      <c r="F52" s="39"/>
      <c r="G52" s="36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>
      <c r="A53" s="31"/>
      <c r="B53" s="32"/>
      <c r="C53" s="32"/>
      <c r="D53" s="33"/>
      <c r="E53" s="32"/>
      <c r="F53" s="37"/>
      <c r="G53" s="38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26"/>
      <c r="B54" s="27"/>
      <c r="C54" s="27"/>
      <c r="D54" s="28"/>
      <c r="E54" s="27"/>
      <c r="F54" s="39"/>
      <c r="G54" s="36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>
      <c r="A55" s="31"/>
      <c r="B55" s="32"/>
      <c r="C55" s="32"/>
      <c r="D55" s="33"/>
      <c r="E55" s="32"/>
      <c r="F55" s="37"/>
      <c r="G55" s="38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26"/>
      <c r="B56" s="27"/>
      <c r="C56" s="12"/>
      <c r="D56" s="28"/>
      <c r="E56" s="27"/>
      <c r="F56" s="39"/>
      <c r="G56" s="36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>
      <c r="A57" s="31"/>
      <c r="B57" s="32"/>
      <c r="C57" s="32"/>
      <c r="D57" s="33"/>
      <c r="E57" s="32"/>
      <c r="F57" s="37"/>
      <c r="G57" s="38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26"/>
      <c r="B58" s="27"/>
      <c r="C58" s="27"/>
      <c r="D58" s="28"/>
      <c r="E58" s="27"/>
      <c r="F58" s="39"/>
      <c r="G58" s="36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>
      <c r="A59" s="31"/>
      <c r="B59" s="32"/>
      <c r="C59" s="16"/>
      <c r="D59" s="33"/>
      <c r="E59" s="32"/>
      <c r="F59" s="37"/>
      <c r="G59" s="38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26"/>
      <c r="B60" s="27"/>
      <c r="C60" s="12"/>
      <c r="D60" s="28"/>
      <c r="E60" s="27"/>
      <c r="F60" s="39"/>
      <c r="G60" s="36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>
      <c r="A61" s="31"/>
      <c r="B61" s="32"/>
      <c r="C61" s="32"/>
      <c r="D61" s="33"/>
      <c r="E61" s="32"/>
      <c r="F61" s="37"/>
      <c r="G61" s="38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26"/>
      <c r="B62" s="27"/>
      <c r="C62" s="27"/>
      <c r="D62" s="28"/>
      <c r="E62" s="27"/>
      <c r="F62" s="39"/>
      <c r="G62" s="36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>
      <c r="A63" s="31"/>
      <c r="B63" s="32"/>
      <c r="C63" s="16"/>
      <c r="D63" s="33"/>
      <c r="E63" s="32"/>
      <c r="F63" s="37"/>
      <c r="G63" s="38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26"/>
      <c r="B64" s="27"/>
      <c r="C64" s="27"/>
      <c r="D64" s="28"/>
      <c r="E64" s="27"/>
      <c r="F64" s="39"/>
      <c r="G64" s="36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>
      <c r="A65" s="31"/>
      <c r="B65" s="32"/>
      <c r="C65" s="32"/>
      <c r="D65" s="33"/>
      <c r="E65" s="32"/>
      <c r="F65" s="37"/>
      <c r="G65" s="38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6"/>
      <c r="B66" s="27"/>
      <c r="C66" s="27"/>
      <c r="D66" s="28"/>
      <c r="E66" s="27"/>
      <c r="F66" s="39"/>
      <c r="G66" s="36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>
      <c r="A67" s="31"/>
      <c r="B67" s="32"/>
      <c r="C67" s="16"/>
      <c r="D67" s="33"/>
      <c r="E67" s="32"/>
      <c r="F67" s="37"/>
      <c r="G67" s="38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26"/>
      <c r="B68" s="27"/>
      <c r="C68" s="27"/>
      <c r="D68" s="28"/>
      <c r="E68" s="27"/>
      <c r="F68" s="39"/>
      <c r="G68" s="36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>
      <c r="A69" s="31"/>
      <c r="B69" s="32"/>
      <c r="C69" s="16"/>
      <c r="D69" s="33"/>
      <c r="E69" s="32"/>
      <c r="F69" s="37"/>
      <c r="G69" s="38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6"/>
      <c r="B70" s="27"/>
      <c r="C70" s="27"/>
      <c r="D70" s="28"/>
      <c r="E70" s="12"/>
      <c r="F70" s="39"/>
      <c r="G70" s="36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>
      <c r="A71" s="31"/>
      <c r="B71" s="32"/>
      <c r="C71" s="32"/>
      <c r="D71" s="33"/>
      <c r="E71" s="16"/>
      <c r="F71" s="37"/>
      <c r="G71" s="38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26"/>
      <c r="B72" s="27"/>
      <c r="C72" s="27"/>
      <c r="D72" s="28"/>
      <c r="E72" s="12"/>
      <c r="F72" s="39"/>
      <c r="G72" s="3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>
      <c r="A73" s="31"/>
      <c r="B73" s="32"/>
      <c r="C73" s="32"/>
      <c r="D73" s="33"/>
      <c r="E73" s="16"/>
      <c r="F73" s="37"/>
      <c r="G73" s="38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26"/>
      <c r="B74" s="27"/>
      <c r="C74" s="27"/>
      <c r="D74" s="28"/>
      <c r="E74" s="12"/>
      <c r="F74" s="39"/>
      <c r="G74" s="3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>
      <c r="A75" s="31"/>
      <c r="B75" s="32"/>
      <c r="C75" s="32"/>
      <c r="D75" s="33"/>
      <c r="E75" s="16"/>
      <c r="F75" s="37"/>
      <c r="G75" s="38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26"/>
      <c r="B76" s="27"/>
      <c r="C76" s="27"/>
      <c r="D76" s="28"/>
      <c r="E76" s="12"/>
      <c r="F76" s="39"/>
      <c r="G76" s="3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>
      <c r="A77" s="31"/>
      <c r="B77" s="32"/>
      <c r="C77" s="16"/>
      <c r="D77" s="37"/>
      <c r="E77" s="16"/>
      <c r="F77" s="37"/>
      <c r="G77" s="38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26"/>
      <c r="B78" s="27"/>
      <c r="C78" s="27"/>
      <c r="D78" s="28"/>
      <c r="E78" s="27"/>
      <c r="F78" s="39"/>
      <c r="G78" s="3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>
      <c r="A79" s="31"/>
      <c r="B79" s="32"/>
      <c r="C79" s="16"/>
      <c r="D79" s="33"/>
      <c r="E79" s="32"/>
      <c r="F79" s="37"/>
      <c r="G79" s="38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26"/>
      <c r="B80" s="27"/>
      <c r="C80" s="27"/>
      <c r="D80" s="28"/>
      <c r="E80" s="27"/>
      <c r="F80" s="39"/>
      <c r="G80" s="3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>
      <c r="A81" s="31"/>
      <c r="B81" s="32"/>
      <c r="C81" s="16"/>
      <c r="D81" s="33"/>
      <c r="E81" s="32"/>
      <c r="F81" s="37"/>
      <c r="G81" s="38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26"/>
      <c r="B82" s="27"/>
      <c r="C82" s="27"/>
      <c r="D82" s="28"/>
      <c r="E82" s="27"/>
      <c r="F82" s="39"/>
      <c r="G82" s="3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>
      <c r="A83" s="31"/>
      <c r="B83" s="32"/>
      <c r="C83" s="32"/>
      <c r="D83" s="33"/>
      <c r="E83" s="32"/>
      <c r="F83" s="37"/>
      <c r="G83" s="38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26"/>
      <c r="B84" s="27"/>
      <c r="C84" s="27"/>
      <c r="D84" s="28"/>
      <c r="E84" s="27"/>
      <c r="F84" s="39"/>
      <c r="G84" s="3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>
      <c r="A85" s="31"/>
      <c r="B85" s="32"/>
      <c r="C85" s="32"/>
      <c r="D85" s="33"/>
      <c r="E85" s="32"/>
      <c r="F85" s="37"/>
      <c r="G85" s="38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26"/>
      <c r="B86" s="27"/>
      <c r="C86" s="27"/>
      <c r="D86" s="28"/>
      <c r="E86" s="27"/>
      <c r="F86" s="39"/>
      <c r="G86" s="3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>
      <c r="A87" s="31"/>
      <c r="B87" s="32"/>
      <c r="C87" s="32"/>
      <c r="D87" s="33"/>
      <c r="E87" s="32"/>
      <c r="F87" s="37"/>
      <c r="G87" s="38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26"/>
      <c r="B88" s="27"/>
      <c r="C88" s="27"/>
      <c r="D88" s="28"/>
      <c r="E88" s="27"/>
      <c r="F88" s="39"/>
      <c r="G88" s="3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>
      <c r="A89" s="31"/>
      <c r="B89" s="32"/>
      <c r="C89" s="32"/>
      <c r="D89" s="33"/>
      <c r="E89" s="32"/>
      <c r="F89" s="37"/>
      <c r="G89" s="38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26"/>
      <c r="B90" s="27"/>
      <c r="C90" s="12"/>
      <c r="D90" s="28"/>
      <c r="E90" s="27"/>
      <c r="F90" s="39"/>
      <c r="G90" s="3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>
      <c r="A91" s="31"/>
      <c r="B91" s="32"/>
      <c r="C91" s="16"/>
      <c r="D91" s="33"/>
      <c r="E91" s="32"/>
      <c r="F91" s="37"/>
      <c r="G91" s="38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26"/>
      <c r="B92" s="27"/>
      <c r="C92" s="12"/>
      <c r="D92" s="28"/>
      <c r="E92" s="27"/>
      <c r="F92" s="39"/>
      <c r="G92" s="3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>
      <c r="A93" s="31"/>
      <c r="B93" s="32"/>
      <c r="C93" s="32"/>
      <c r="D93" s="33"/>
      <c r="E93" s="32"/>
      <c r="F93" s="37"/>
      <c r="G93" s="38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26"/>
      <c r="B94" s="27"/>
      <c r="C94" s="27"/>
      <c r="D94" s="28"/>
      <c r="E94" s="27"/>
      <c r="F94" s="39"/>
      <c r="G94" s="3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>
      <c r="A95" s="31"/>
      <c r="B95" s="32"/>
      <c r="C95" s="32"/>
      <c r="D95" s="33"/>
      <c r="E95" s="32"/>
      <c r="F95" s="37"/>
      <c r="G95" s="38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26"/>
      <c r="B96" s="27"/>
      <c r="C96" s="12"/>
      <c r="D96" s="28"/>
      <c r="E96" s="27"/>
      <c r="F96" s="39"/>
      <c r="G96" s="3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>
      <c r="A97" s="31"/>
      <c r="B97" s="32"/>
      <c r="C97" s="32"/>
      <c r="D97" s="33"/>
      <c r="E97" s="32"/>
      <c r="F97" s="37"/>
      <c r="G97" s="38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26"/>
      <c r="B98" s="27"/>
      <c r="C98" s="12"/>
      <c r="D98" s="28"/>
      <c r="E98" s="27"/>
      <c r="F98" s="39"/>
      <c r="G98" s="3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>
      <c r="A99" s="31"/>
      <c r="B99" s="32"/>
      <c r="C99" s="16"/>
      <c r="D99" s="33"/>
      <c r="E99" s="32"/>
      <c r="F99" s="37"/>
      <c r="G99" s="38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26"/>
      <c r="B100" s="27"/>
      <c r="C100" s="12"/>
      <c r="D100" s="39"/>
      <c r="E100" s="12"/>
      <c r="F100" s="39"/>
      <c r="G100" s="3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>
      <c r="A101" s="31"/>
      <c r="B101" s="32"/>
      <c r="C101" s="32"/>
      <c r="D101" s="33"/>
      <c r="E101" s="16"/>
      <c r="F101" s="37"/>
      <c r="G101" s="38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26"/>
      <c r="B102" s="27"/>
      <c r="C102" s="27"/>
      <c r="D102" s="28"/>
      <c r="E102" s="27"/>
      <c r="F102" s="39"/>
      <c r="G102" s="3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>
      <c r="A103" s="31"/>
      <c r="B103" s="32"/>
      <c r="C103" s="16"/>
      <c r="D103" s="37"/>
      <c r="E103" s="16"/>
      <c r="F103" s="37"/>
      <c r="G103" s="38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26"/>
      <c r="B104" s="27"/>
      <c r="C104" s="12"/>
      <c r="D104" s="28"/>
      <c r="E104" s="27"/>
      <c r="F104" s="39"/>
      <c r="G104" s="3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>
      <c r="A105" s="31"/>
      <c r="B105" s="32"/>
      <c r="C105" s="32"/>
      <c r="D105" s="33"/>
      <c r="E105" s="32"/>
      <c r="F105" s="37"/>
      <c r="G105" s="38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26"/>
      <c r="B106" s="27"/>
      <c r="C106" s="12"/>
      <c r="D106" s="39"/>
      <c r="E106" s="12"/>
      <c r="F106" s="39"/>
      <c r="G106" s="3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>
      <c r="A107" s="31"/>
      <c r="B107" s="32"/>
      <c r="C107" s="32"/>
      <c r="D107" s="33"/>
      <c r="E107" s="16"/>
      <c r="F107" s="37"/>
      <c r="G107" s="38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26"/>
      <c r="B108" s="27"/>
      <c r="C108" s="27"/>
      <c r="D108" s="28"/>
      <c r="E108" s="12"/>
      <c r="F108" s="39"/>
      <c r="G108" s="3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>
      <c r="A109" s="31"/>
      <c r="B109" s="32"/>
      <c r="C109" s="32"/>
      <c r="D109" s="33"/>
      <c r="E109" s="16"/>
      <c r="F109" s="37"/>
      <c r="G109" s="38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26"/>
      <c r="B110" s="27"/>
      <c r="C110" s="12"/>
      <c r="D110" s="39"/>
      <c r="E110" s="12"/>
      <c r="F110" s="39"/>
      <c r="G110" s="3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>
      <c r="A111" s="31"/>
      <c r="B111" s="32"/>
      <c r="C111" s="16"/>
      <c r="D111" s="37"/>
      <c r="E111" s="16"/>
      <c r="F111" s="37"/>
      <c r="G111" s="38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6"/>
      <c r="B112" s="27"/>
      <c r="C112" s="12"/>
      <c r="D112" s="39"/>
      <c r="E112" s="12"/>
      <c r="F112" s="39"/>
      <c r="G112" s="3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>
      <c r="A113" s="31"/>
      <c r="B113" s="32"/>
      <c r="C113" s="16"/>
      <c r="D113" s="37"/>
      <c r="E113" s="16"/>
      <c r="F113" s="37"/>
      <c r="G113" s="38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26"/>
      <c r="B114" s="27"/>
      <c r="C114" s="27"/>
      <c r="D114" s="28"/>
      <c r="E114" s="12"/>
      <c r="F114" s="39"/>
      <c r="G114" s="3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>
      <c r="A115" s="31"/>
      <c r="B115" s="32"/>
      <c r="C115" s="32"/>
      <c r="D115" s="33"/>
      <c r="E115" s="16"/>
      <c r="F115" s="37"/>
      <c r="G115" s="38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26"/>
      <c r="B116" s="27"/>
      <c r="C116" s="27"/>
      <c r="D116" s="28"/>
      <c r="E116" s="12"/>
      <c r="F116" s="39"/>
      <c r="G116" s="3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>
      <c r="A117" s="31"/>
      <c r="B117" s="32"/>
      <c r="C117" s="16"/>
      <c r="D117" s="37"/>
      <c r="E117" s="16"/>
      <c r="F117" s="37"/>
      <c r="G117" s="38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26"/>
      <c r="B118" s="27"/>
      <c r="C118" s="27"/>
      <c r="D118" s="28"/>
      <c r="E118" s="12"/>
      <c r="F118" s="39"/>
      <c r="G118" s="3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>
      <c r="A119" s="31"/>
      <c r="B119" s="32"/>
      <c r="C119" s="16"/>
      <c r="D119" s="37"/>
      <c r="E119" s="16"/>
      <c r="F119" s="37"/>
      <c r="G119" s="38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26"/>
      <c r="B120" s="27"/>
      <c r="C120" s="27"/>
      <c r="D120" s="28"/>
      <c r="E120" s="12"/>
      <c r="F120" s="39"/>
      <c r="G120" s="3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>
      <c r="A121" s="31"/>
      <c r="B121" s="32"/>
      <c r="C121" s="32"/>
      <c r="D121" s="33"/>
      <c r="E121" s="16"/>
      <c r="F121" s="37"/>
      <c r="G121" s="38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26"/>
      <c r="B122" s="27"/>
      <c r="C122" s="27"/>
      <c r="D122" s="28"/>
      <c r="E122" s="12"/>
      <c r="F122" s="39"/>
      <c r="G122" s="3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>
      <c r="A123" s="31"/>
      <c r="B123" s="32"/>
      <c r="C123" s="16"/>
      <c r="D123" s="37"/>
      <c r="E123" s="16"/>
      <c r="F123" s="37"/>
      <c r="G123" s="38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26"/>
      <c r="B124" s="27"/>
      <c r="C124" s="12"/>
      <c r="D124" s="39"/>
      <c r="E124" s="12"/>
      <c r="F124" s="39"/>
      <c r="G124" s="3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>
      <c r="A125" s="31"/>
      <c r="B125" s="32"/>
      <c r="C125" s="32"/>
      <c r="D125" s="33"/>
      <c r="E125" s="16"/>
      <c r="F125" s="37"/>
      <c r="G125" s="38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26"/>
      <c r="B126" s="27"/>
      <c r="C126" s="27"/>
      <c r="D126" s="28"/>
      <c r="E126" s="12"/>
      <c r="F126" s="39"/>
      <c r="G126" s="3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>
      <c r="A127" s="31"/>
      <c r="B127" s="32"/>
      <c r="C127" s="16"/>
      <c r="D127" s="37"/>
      <c r="E127" s="16"/>
      <c r="F127" s="37"/>
      <c r="G127" s="38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26"/>
      <c r="B128" s="27"/>
      <c r="C128" s="27"/>
      <c r="D128" s="28"/>
      <c r="E128" s="12"/>
      <c r="F128" s="39"/>
      <c r="G128" s="3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>
      <c r="A129" s="31"/>
      <c r="B129" s="32"/>
      <c r="C129" s="16"/>
      <c r="D129" s="37"/>
      <c r="E129" s="16"/>
      <c r="F129" s="37"/>
      <c r="G129" s="38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26"/>
      <c r="B130" s="27"/>
      <c r="C130" s="12"/>
      <c r="D130" s="39"/>
      <c r="E130" s="12"/>
      <c r="F130" s="39"/>
      <c r="G130" s="3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>
      <c r="A131" s="31"/>
      <c r="B131" s="32"/>
      <c r="C131" s="32"/>
      <c r="D131" s="33"/>
      <c r="E131" s="16"/>
      <c r="F131" s="37"/>
      <c r="G131" s="38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26"/>
      <c r="B132" s="27"/>
      <c r="C132" s="27"/>
      <c r="D132" s="28"/>
      <c r="E132" s="27"/>
      <c r="F132" s="39"/>
      <c r="G132" s="3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>
      <c r="A133" s="31"/>
      <c r="B133" s="32"/>
      <c r="C133" s="32"/>
      <c r="D133" s="33"/>
      <c r="E133" s="16"/>
      <c r="F133" s="37"/>
      <c r="G133" s="38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26"/>
      <c r="B134" s="27"/>
      <c r="C134" s="27"/>
      <c r="D134" s="28"/>
      <c r="E134" s="27"/>
      <c r="F134" s="39"/>
      <c r="G134" s="3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>
      <c r="A135" s="31"/>
      <c r="B135" s="32"/>
      <c r="C135" s="32"/>
      <c r="D135" s="33"/>
      <c r="E135" s="32"/>
      <c r="F135" s="37"/>
      <c r="G135" s="38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26"/>
      <c r="B136" s="27"/>
      <c r="C136" s="27"/>
      <c r="D136" s="28"/>
      <c r="E136" s="27"/>
      <c r="F136" s="39"/>
      <c r="G136" s="3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>
      <c r="A137" s="31"/>
      <c r="B137" s="32"/>
      <c r="C137" s="32"/>
      <c r="D137" s="33"/>
      <c r="E137" s="32"/>
      <c r="F137" s="37"/>
      <c r="G137" s="38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26"/>
      <c r="B138" s="27"/>
      <c r="C138" s="12"/>
      <c r="D138" s="28"/>
      <c r="E138" s="27"/>
      <c r="F138" s="39"/>
      <c r="G138" s="3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>
      <c r="A139" s="31"/>
      <c r="B139" s="32"/>
      <c r="C139" s="32"/>
      <c r="D139" s="33"/>
      <c r="E139" s="32"/>
      <c r="F139" s="37"/>
      <c r="G139" s="38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26"/>
      <c r="B140" s="27"/>
      <c r="C140" s="12"/>
      <c r="D140" s="39"/>
      <c r="E140" s="12"/>
      <c r="F140" s="39"/>
      <c r="G140" s="3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>
      <c r="A141" s="31"/>
      <c r="B141" s="32"/>
      <c r="C141" s="32"/>
      <c r="D141" s="33"/>
      <c r="E141" s="16"/>
      <c r="F141" s="37"/>
      <c r="G141" s="38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26"/>
      <c r="B142" s="27"/>
      <c r="C142" s="27"/>
      <c r="D142" s="28"/>
      <c r="E142" s="27"/>
      <c r="F142" s="39"/>
      <c r="G142" s="3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>
      <c r="A143" s="31"/>
      <c r="B143" s="32"/>
      <c r="C143" s="32"/>
      <c r="D143" s="33"/>
      <c r="E143" s="32"/>
      <c r="F143" s="37"/>
      <c r="G143" s="38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40"/>
      <c r="B144" s="12"/>
      <c r="C144" s="12"/>
      <c r="D144" s="39"/>
      <c r="E144" s="12"/>
      <c r="F144" s="39"/>
      <c r="G144" s="3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>
      <c r="A145" s="41"/>
      <c r="B145" s="16"/>
      <c r="C145" s="16"/>
      <c r="D145" s="37"/>
      <c r="E145" s="16"/>
      <c r="F145" s="37"/>
      <c r="G145" s="38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40"/>
      <c r="B146" s="12"/>
      <c r="C146" s="12"/>
      <c r="D146" s="39"/>
      <c r="E146" s="12"/>
      <c r="F146" s="39"/>
      <c r="G146" s="3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>
      <c r="A147" s="41"/>
      <c r="B147" s="16"/>
      <c r="C147" s="16"/>
      <c r="D147" s="37"/>
      <c r="E147" s="16"/>
      <c r="F147" s="37"/>
      <c r="G147" s="38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40"/>
      <c r="B148" s="12"/>
      <c r="C148" s="12"/>
      <c r="D148" s="39"/>
      <c r="E148" s="12"/>
      <c r="F148" s="39"/>
      <c r="G148" s="3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>
      <c r="A149" s="41"/>
      <c r="B149" s="16"/>
      <c r="C149" s="16"/>
      <c r="D149" s="37"/>
      <c r="E149" s="16"/>
      <c r="F149" s="37"/>
      <c r="G149" s="38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40"/>
      <c r="B150" s="12"/>
      <c r="C150" s="12"/>
      <c r="D150" s="39"/>
      <c r="E150" s="12"/>
      <c r="F150" s="39"/>
      <c r="G150" s="3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>
      <c r="A151" s="41"/>
      <c r="B151" s="16"/>
      <c r="C151" s="16"/>
      <c r="D151" s="37"/>
      <c r="E151" s="16"/>
      <c r="F151" s="37"/>
      <c r="G151" s="38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40"/>
      <c r="B152" s="12"/>
      <c r="C152" s="12"/>
      <c r="D152" s="39"/>
      <c r="E152" s="12"/>
      <c r="F152" s="39"/>
      <c r="G152" s="3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>
      <c r="A153" s="41"/>
      <c r="B153" s="16"/>
      <c r="C153" s="16"/>
      <c r="D153" s="37"/>
      <c r="E153" s="16"/>
      <c r="F153" s="37"/>
      <c r="G153" s="38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40"/>
      <c r="B154" s="12"/>
      <c r="C154" s="12"/>
      <c r="D154" s="39"/>
      <c r="E154" s="12"/>
      <c r="F154" s="39"/>
      <c r="G154" s="3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>
      <c r="A155" s="41"/>
      <c r="B155" s="16"/>
      <c r="C155" s="16"/>
      <c r="D155" s="37"/>
      <c r="E155" s="16"/>
      <c r="F155" s="37"/>
      <c r="G155" s="38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40"/>
      <c r="B156" s="12"/>
      <c r="C156" s="12"/>
      <c r="D156" s="39"/>
      <c r="E156" s="12"/>
      <c r="F156" s="39"/>
      <c r="G156" s="3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>
      <c r="A157" s="41"/>
      <c r="B157" s="16"/>
      <c r="C157" s="16"/>
      <c r="D157" s="37"/>
      <c r="E157" s="16"/>
      <c r="F157" s="37"/>
      <c r="G157" s="38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40"/>
      <c r="B158" s="12"/>
      <c r="C158" s="12"/>
      <c r="D158" s="39"/>
      <c r="E158" s="12"/>
      <c r="F158" s="39"/>
      <c r="G158" s="3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>
      <c r="A159" s="41"/>
      <c r="B159" s="16"/>
      <c r="C159" s="16"/>
      <c r="D159" s="37"/>
      <c r="E159" s="16"/>
      <c r="F159" s="37"/>
      <c r="G159" s="38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40"/>
      <c r="B160" s="12"/>
      <c r="C160" s="12"/>
      <c r="D160" s="39"/>
      <c r="E160" s="12"/>
      <c r="F160" s="39"/>
      <c r="G160" s="3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>
      <c r="A161" s="41"/>
      <c r="B161" s="16"/>
      <c r="C161" s="16"/>
      <c r="D161" s="37"/>
      <c r="E161" s="16"/>
      <c r="F161" s="37"/>
      <c r="G161" s="38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40"/>
      <c r="B162" s="12"/>
      <c r="C162" s="12"/>
      <c r="D162" s="39"/>
      <c r="E162" s="12"/>
      <c r="F162" s="39"/>
      <c r="G162" s="3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>
      <c r="A163" s="41"/>
      <c r="B163" s="16"/>
      <c r="C163" s="16"/>
      <c r="D163" s="37"/>
      <c r="E163" s="16"/>
      <c r="F163" s="37"/>
      <c r="G163" s="38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40"/>
      <c r="B164" s="12"/>
      <c r="C164" s="12"/>
      <c r="D164" s="39"/>
      <c r="E164" s="12"/>
      <c r="F164" s="39"/>
      <c r="G164" s="3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>
      <c r="A165" s="41"/>
      <c r="B165" s="16"/>
      <c r="C165" s="16"/>
      <c r="D165" s="37"/>
      <c r="E165" s="16"/>
      <c r="F165" s="37"/>
      <c r="G165" s="38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40"/>
      <c r="B166" s="12"/>
      <c r="C166" s="12"/>
      <c r="D166" s="39"/>
      <c r="E166" s="12"/>
      <c r="F166" s="39"/>
      <c r="G166" s="3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>
      <c r="A167" s="41"/>
      <c r="B167" s="16"/>
      <c r="C167" s="16"/>
      <c r="D167" s="37"/>
      <c r="E167" s="16"/>
      <c r="F167" s="37"/>
      <c r="G167" s="38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40"/>
      <c r="B168" s="12"/>
      <c r="C168" s="12"/>
      <c r="D168" s="39"/>
      <c r="E168" s="12"/>
      <c r="F168" s="39"/>
      <c r="G168" s="3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>
      <c r="A169" s="41"/>
      <c r="B169" s="16"/>
      <c r="C169" s="16"/>
      <c r="D169" s="37"/>
      <c r="E169" s="16"/>
      <c r="F169" s="37"/>
      <c r="G169" s="38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40"/>
      <c r="B170" s="12"/>
      <c r="C170" s="12"/>
      <c r="D170" s="39"/>
      <c r="E170" s="12"/>
      <c r="F170" s="39"/>
      <c r="G170" s="3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>
      <c r="A171" s="41"/>
      <c r="B171" s="16"/>
      <c r="C171" s="16"/>
      <c r="D171" s="37"/>
      <c r="E171" s="16"/>
      <c r="F171" s="37"/>
      <c r="G171" s="38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40"/>
      <c r="B172" s="12"/>
      <c r="C172" s="12"/>
      <c r="D172" s="39"/>
      <c r="E172" s="12"/>
      <c r="F172" s="39"/>
      <c r="G172" s="3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>
      <c r="A173" s="41"/>
      <c r="B173" s="16"/>
      <c r="C173" s="16"/>
      <c r="D173" s="37"/>
      <c r="E173" s="16"/>
      <c r="F173" s="37"/>
      <c r="G173" s="38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40"/>
      <c r="B174" s="12"/>
      <c r="C174" s="12"/>
      <c r="D174" s="39"/>
      <c r="E174" s="12"/>
      <c r="F174" s="39"/>
      <c r="G174" s="3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>
      <c r="A175" s="41"/>
      <c r="B175" s="16"/>
      <c r="C175" s="16"/>
      <c r="D175" s="37"/>
      <c r="E175" s="16"/>
      <c r="F175" s="37"/>
      <c r="G175" s="38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40"/>
      <c r="B176" s="12"/>
      <c r="C176" s="12"/>
      <c r="D176" s="39"/>
      <c r="E176" s="12"/>
      <c r="F176" s="39"/>
      <c r="G176" s="3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>
      <c r="A177" s="41"/>
      <c r="B177" s="16"/>
      <c r="C177" s="16"/>
      <c r="D177" s="37"/>
      <c r="E177" s="16"/>
      <c r="F177" s="37"/>
      <c r="G177" s="38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40"/>
      <c r="B178" s="12"/>
      <c r="C178" s="12"/>
      <c r="D178" s="39"/>
      <c r="E178" s="12"/>
      <c r="F178" s="39"/>
      <c r="G178" s="3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>
      <c r="A179" s="41"/>
      <c r="B179" s="16"/>
      <c r="C179" s="16"/>
      <c r="D179" s="37"/>
      <c r="E179" s="16"/>
      <c r="F179" s="37"/>
      <c r="G179" s="38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40"/>
      <c r="B180" s="12"/>
      <c r="C180" s="12"/>
      <c r="D180" s="39"/>
      <c r="E180" s="12"/>
      <c r="F180" s="39"/>
      <c r="G180" s="3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>
      <c r="A181" s="41"/>
      <c r="B181" s="16"/>
      <c r="C181" s="16"/>
      <c r="D181" s="37"/>
      <c r="E181" s="16"/>
      <c r="F181" s="37"/>
      <c r="G181" s="38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40"/>
      <c r="B182" s="12"/>
      <c r="C182" s="12"/>
      <c r="D182" s="39"/>
      <c r="E182" s="12"/>
      <c r="F182" s="39"/>
      <c r="G182" s="3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>
      <c r="A183" s="41"/>
      <c r="B183" s="16"/>
      <c r="C183" s="16"/>
      <c r="D183" s="37"/>
      <c r="E183" s="16"/>
      <c r="F183" s="37"/>
      <c r="G183" s="38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40"/>
      <c r="B184" s="12"/>
      <c r="C184" s="12"/>
      <c r="D184" s="39"/>
      <c r="E184" s="12"/>
      <c r="F184" s="39"/>
      <c r="G184" s="3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>
      <c r="A185" s="41"/>
      <c r="B185" s="16"/>
      <c r="C185" s="16"/>
      <c r="D185" s="37"/>
      <c r="E185" s="16"/>
      <c r="F185" s="37"/>
      <c r="G185" s="38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40"/>
      <c r="B186" s="12"/>
      <c r="C186" s="12"/>
      <c r="D186" s="39"/>
      <c r="E186" s="12"/>
      <c r="F186" s="39"/>
      <c r="G186" s="3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>
      <c r="A187" s="41"/>
      <c r="B187" s="16"/>
      <c r="C187" s="16"/>
      <c r="D187" s="37"/>
      <c r="E187" s="16"/>
      <c r="F187" s="37"/>
      <c r="G187" s="38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40"/>
      <c r="B188" s="12"/>
      <c r="C188" s="12"/>
      <c r="D188" s="39"/>
      <c r="E188" s="12"/>
      <c r="F188" s="39"/>
      <c r="G188" s="3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>
      <c r="A189" s="41"/>
      <c r="B189" s="16"/>
      <c r="C189" s="16"/>
      <c r="D189" s="37"/>
      <c r="E189" s="16"/>
      <c r="F189" s="37"/>
      <c r="G189" s="38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40"/>
      <c r="B190" s="12"/>
      <c r="C190" s="12"/>
      <c r="D190" s="39"/>
      <c r="E190" s="12"/>
      <c r="F190" s="39"/>
      <c r="G190" s="3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>
      <c r="A191" s="41"/>
      <c r="B191" s="16"/>
      <c r="C191" s="16"/>
      <c r="D191" s="37"/>
      <c r="E191" s="16"/>
      <c r="F191" s="37"/>
      <c r="G191" s="38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40"/>
      <c r="B192" s="12"/>
      <c r="C192" s="12"/>
      <c r="D192" s="39"/>
      <c r="E192" s="12"/>
      <c r="F192" s="39"/>
      <c r="G192" s="3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>
      <c r="A193" s="41"/>
      <c r="B193" s="16"/>
      <c r="C193" s="16"/>
      <c r="D193" s="37"/>
      <c r="E193" s="16"/>
      <c r="F193" s="37"/>
      <c r="G193" s="38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40"/>
      <c r="B194" s="12"/>
      <c r="C194" s="12"/>
      <c r="D194" s="39"/>
      <c r="E194" s="12"/>
      <c r="F194" s="39"/>
      <c r="G194" s="3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>
      <c r="A195" s="41"/>
      <c r="B195" s="16"/>
      <c r="C195" s="16"/>
      <c r="D195" s="37"/>
      <c r="E195" s="16"/>
      <c r="F195" s="37"/>
      <c r="G195" s="38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40"/>
      <c r="B196" s="12"/>
      <c r="C196" s="12"/>
      <c r="D196" s="39"/>
      <c r="E196" s="12"/>
      <c r="F196" s="39"/>
      <c r="G196" s="3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>
      <c r="A197" s="41"/>
      <c r="B197" s="16"/>
      <c r="C197" s="16"/>
      <c r="D197" s="37"/>
      <c r="E197" s="16"/>
      <c r="F197" s="37"/>
      <c r="G197" s="38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40"/>
      <c r="B198" s="12"/>
      <c r="C198" s="12"/>
      <c r="D198" s="39"/>
      <c r="E198" s="12"/>
      <c r="F198" s="39"/>
      <c r="G198" s="3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>
      <c r="A199" s="41"/>
      <c r="B199" s="16"/>
      <c r="C199" s="16"/>
      <c r="D199" s="37"/>
      <c r="E199" s="16"/>
      <c r="F199" s="37"/>
      <c r="G199" s="38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40"/>
      <c r="B200" s="12"/>
      <c r="C200" s="12"/>
      <c r="D200" s="39"/>
      <c r="E200" s="12"/>
      <c r="F200" s="39"/>
      <c r="G200" s="3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>
      <c r="A201" s="41"/>
      <c r="B201" s="16"/>
      <c r="C201" s="16"/>
      <c r="D201" s="37"/>
      <c r="E201" s="16"/>
      <c r="F201" s="37"/>
      <c r="G201" s="38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40"/>
      <c r="B202" s="12"/>
      <c r="C202" s="12"/>
      <c r="D202" s="39"/>
      <c r="E202" s="12"/>
      <c r="F202" s="39"/>
      <c r="G202" s="3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>
      <c r="A203" s="41"/>
      <c r="B203" s="16"/>
      <c r="C203" s="16"/>
      <c r="D203" s="37"/>
      <c r="E203" s="16"/>
      <c r="F203" s="37"/>
      <c r="G203" s="38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40"/>
      <c r="B204" s="12"/>
      <c r="C204" s="12"/>
      <c r="D204" s="39"/>
      <c r="E204" s="12"/>
      <c r="F204" s="39"/>
      <c r="G204" s="3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>
      <c r="A205" s="41"/>
      <c r="B205" s="16"/>
      <c r="C205" s="16"/>
      <c r="D205" s="37"/>
      <c r="E205" s="16"/>
      <c r="F205" s="37"/>
      <c r="G205" s="38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40"/>
      <c r="B206" s="12"/>
      <c r="C206" s="12"/>
      <c r="D206" s="39"/>
      <c r="E206" s="12"/>
      <c r="F206" s="39"/>
      <c r="G206" s="3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>
      <c r="A207" s="41"/>
      <c r="B207" s="16"/>
      <c r="C207" s="16"/>
      <c r="D207" s="37"/>
      <c r="E207" s="16"/>
      <c r="F207" s="37"/>
      <c r="G207" s="38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40"/>
      <c r="B208" s="12"/>
      <c r="C208" s="12"/>
      <c r="D208" s="39"/>
      <c r="E208" s="12"/>
      <c r="F208" s="39"/>
      <c r="G208" s="3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>
      <c r="A209" s="41"/>
      <c r="B209" s="16"/>
      <c r="C209" s="16"/>
      <c r="D209" s="37"/>
      <c r="E209" s="16"/>
      <c r="F209" s="37"/>
      <c r="G209" s="38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40"/>
      <c r="B210" s="12"/>
      <c r="C210" s="12"/>
      <c r="D210" s="39"/>
      <c r="E210" s="12"/>
      <c r="F210" s="39"/>
      <c r="G210" s="3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>
      <c r="A211" s="41"/>
      <c r="B211" s="16"/>
      <c r="C211" s="16"/>
      <c r="D211" s="37"/>
      <c r="E211" s="16"/>
      <c r="F211" s="37"/>
      <c r="G211" s="38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40"/>
      <c r="B212" s="12"/>
      <c r="C212" s="12"/>
      <c r="D212" s="39"/>
      <c r="E212" s="12"/>
      <c r="F212" s="39"/>
      <c r="G212" s="3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>
      <c r="A213" s="41"/>
      <c r="B213" s="16"/>
      <c r="C213" s="16"/>
      <c r="D213" s="37"/>
      <c r="E213" s="16"/>
      <c r="F213" s="37"/>
      <c r="G213" s="38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40"/>
      <c r="B214" s="12"/>
      <c r="C214" s="12"/>
      <c r="D214" s="39"/>
      <c r="E214" s="12"/>
      <c r="F214" s="39"/>
      <c r="G214" s="3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>
      <c r="A215" s="41"/>
      <c r="B215" s="16"/>
      <c r="C215" s="16"/>
      <c r="D215" s="37"/>
      <c r="E215" s="16"/>
      <c r="F215" s="37"/>
      <c r="G215" s="38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40"/>
      <c r="B216" s="12"/>
      <c r="C216" s="12"/>
      <c r="D216" s="39"/>
      <c r="E216" s="12"/>
      <c r="F216" s="39"/>
      <c r="G216" s="3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>
      <c r="A217" s="41"/>
      <c r="B217" s="16"/>
      <c r="C217" s="16"/>
      <c r="D217" s="37"/>
      <c r="E217" s="16"/>
      <c r="F217" s="37"/>
      <c r="G217" s="38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40"/>
      <c r="B218" s="12"/>
      <c r="C218" s="12"/>
      <c r="D218" s="39"/>
      <c r="E218" s="12"/>
      <c r="F218" s="39"/>
      <c r="G218" s="3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>
      <c r="A219" s="41"/>
      <c r="B219" s="16"/>
      <c r="C219" s="16"/>
      <c r="D219" s="37"/>
      <c r="E219" s="16"/>
      <c r="F219" s="37"/>
      <c r="G219" s="38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40"/>
      <c r="B220" s="12"/>
      <c r="C220" s="12"/>
      <c r="D220" s="39"/>
      <c r="E220" s="12"/>
      <c r="F220" s="39"/>
      <c r="G220" s="3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>
      <c r="A221" s="41"/>
      <c r="B221" s="16"/>
      <c r="C221" s="16"/>
      <c r="D221" s="37"/>
      <c r="E221" s="16"/>
      <c r="F221" s="37"/>
      <c r="G221" s="38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40"/>
      <c r="B222" s="12"/>
      <c r="C222" s="12"/>
      <c r="D222" s="39"/>
      <c r="E222" s="12"/>
      <c r="F222" s="39"/>
      <c r="G222" s="3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>
      <c r="A223" s="41"/>
      <c r="B223" s="16"/>
      <c r="C223" s="16"/>
      <c r="D223" s="37"/>
      <c r="E223" s="16"/>
      <c r="F223" s="37"/>
      <c r="G223" s="38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40"/>
      <c r="B224" s="12"/>
      <c r="C224" s="12"/>
      <c r="D224" s="39"/>
      <c r="E224" s="12"/>
      <c r="F224" s="39"/>
      <c r="G224" s="3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>
      <c r="A225" s="41"/>
      <c r="B225" s="16"/>
      <c r="C225" s="16"/>
      <c r="D225" s="37"/>
      <c r="E225" s="16"/>
      <c r="F225" s="37"/>
      <c r="G225" s="38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40"/>
      <c r="B226" s="12"/>
      <c r="C226" s="12"/>
      <c r="D226" s="39"/>
      <c r="E226" s="12"/>
      <c r="F226" s="39"/>
      <c r="G226" s="3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>
      <c r="A227" s="41"/>
      <c r="B227" s="16"/>
      <c r="C227" s="16"/>
      <c r="D227" s="37"/>
      <c r="E227" s="16"/>
      <c r="F227" s="37"/>
      <c r="G227" s="38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40"/>
      <c r="B228" s="12"/>
      <c r="C228" s="12"/>
      <c r="D228" s="39"/>
      <c r="E228" s="12"/>
      <c r="F228" s="39"/>
      <c r="G228" s="3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>
      <c r="A229" s="41"/>
      <c r="B229" s="16"/>
      <c r="C229" s="16"/>
      <c r="D229" s="37"/>
      <c r="E229" s="16"/>
      <c r="F229" s="37"/>
      <c r="G229" s="38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40"/>
      <c r="B230" s="12"/>
      <c r="C230" s="12"/>
      <c r="D230" s="39"/>
      <c r="E230" s="12"/>
      <c r="F230" s="39"/>
      <c r="G230" s="3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>
      <c r="A231" s="41"/>
      <c r="B231" s="16"/>
      <c r="C231" s="16"/>
      <c r="D231" s="37"/>
      <c r="E231" s="16"/>
      <c r="F231" s="37"/>
      <c r="G231" s="38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40"/>
      <c r="B232" s="12"/>
      <c r="C232" s="12"/>
      <c r="D232" s="39"/>
      <c r="E232" s="12"/>
      <c r="F232" s="39"/>
      <c r="G232" s="3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>
      <c r="A233" s="41"/>
      <c r="B233" s="16"/>
      <c r="C233" s="16"/>
      <c r="D233" s="37"/>
      <c r="E233" s="16"/>
      <c r="F233" s="37"/>
      <c r="G233" s="38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40"/>
      <c r="B234" s="12"/>
      <c r="C234" s="12"/>
      <c r="D234" s="39"/>
      <c r="E234" s="12"/>
      <c r="F234" s="39"/>
      <c r="G234" s="3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>
      <c r="A235" s="41"/>
      <c r="B235" s="16"/>
      <c r="C235" s="16"/>
      <c r="D235" s="37"/>
      <c r="E235" s="16"/>
      <c r="F235" s="37"/>
      <c r="G235" s="38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40"/>
      <c r="B236" s="12"/>
      <c r="C236" s="12"/>
      <c r="D236" s="39"/>
      <c r="E236" s="12"/>
      <c r="F236" s="39"/>
      <c r="G236" s="3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>
      <c r="A237" s="41"/>
      <c r="B237" s="16"/>
      <c r="C237" s="16"/>
      <c r="D237" s="37"/>
      <c r="E237" s="16"/>
      <c r="F237" s="37"/>
      <c r="G237" s="38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40"/>
      <c r="B238" s="12"/>
      <c r="C238" s="12"/>
      <c r="D238" s="39"/>
      <c r="E238" s="12"/>
      <c r="F238" s="39"/>
      <c r="G238" s="3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>
      <c r="A239" s="41"/>
      <c r="B239" s="16"/>
      <c r="C239" s="16"/>
      <c r="D239" s="37"/>
      <c r="E239" s="16"/>
      <c r="F239" s="37"/>
      <c r="G239" s="38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40"/>
      <c r="B240" s="12"/>
      <c r="C240" s="12"/>
      <c r="D240" s="39"/>
      <c r="E240" s="12"/>
      <c r="F240" s="39"/>
      <c r="G240" s="3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>
      <c r="A241" s="41"/>
      <c r="B241" s="16"/>
      <c r="C241" s="16"/>
      <c r="D241" s="37"/>
      <c r="E241" s="16"/>
      <c r="F241" s="37"/>
      <c r="G241" s="38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40"/>
      <c r="B242" s="12"/>
      <c r="C242" s="12"/>
      <c r="D242" s="39"/>
      <c r="E242" s="12"/>
      <c r="F242" s="39"/>
      <c r="G242" s="3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>
      <c r="A243" s="41"/>
      <c r="B243" s="16"/>
      <c r="C243" s="16"/>
      <c r="D243" s="37"/>
      <c r="E243" s="16"/>
      <c r="F243" s="37"/>
      <c r="G243" s="38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40"/>
      <c r="B244" s="12"/>
      <c r="C244" s="12"/>
      <c r="D244" s="39"/>
      <c r="E244" s="12"/>
      <c r="F244" s="39"/>
      <c r="G244" s="3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>
      <c r="A245" s="41"/>
      <c r="B245" s="16"/>
      <c r="C245" s="16"/>
      <c r="D245" s="37"/>
      <c r="E245" s="16"/>
      <c r="F245" s="37"/>
      <c r="G245" s="38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40"/>
      <c r="B246" s="12"/>
      <c r="C246" s="12"/>
      <c r="D246" s="39"/>
      <c r="E246" s="12"/>
      <c r="F246" s="39"/>
      <c r="G246" s="3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>
      <c r="A247" s="41"/>
      <c r="B247" s="16"/>
      <c r="C247" s="16"/>
      <c r="D247" s="37"/>
      <c r="E247" s="16"/>
      <c r="F247" s="37"/>
      <c r="G247" s="38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40"/>
      <c r="B248" s="12"/>
      <c r="C248" s="12"/>
      <c r="D248" s="39"/>
      <c r="E248" s="12"/>
      <c r="F248" s="39"/>
      <c r="G248" s="3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>
      <c r="A249" s="41"/>
      <c r="B249" s="16"/>
      <c r="C249" s="16"/>
      <c r="D249" s="37"/>
      <c r="E249" s="16"/>
      <c r="F249" s="37"/>
      <c r="G249" s="38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40"/>
      <c r="B250" s="12"/>
      <c r="C250" s="12"/>
      <c r="D250" s="39"/>
      <c r="E250" s="12"/>
      <c r="F250" s="39"/>
      <c r="G250" s="3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>
      <c r="A251" s="41"/>
      <c r="B251" s="16"/>
      <c r="C251" s="16"/>
      <c r="D251" s="37"/>
      <c r="E251" s="16"/>
      <c r="F251" s="37"/>
      <c r="G251" s="38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40"/>
      <c r="B252" s="12"/>
      <c r="C252" s="12"/>
      <c r="D252" s="39"/>
      <c r="E252" s="12"/>
      <c r="F252" s="39"/>
      <c r="G252" s="3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>
      <c r="A253" s="41"/>
      <c r="B253" s="16"/>
      <c r="C253" s="16"/>
      <c r="D253" s="37"/>
      <c r="E253" s="16"/>
      <c r="F253" s="37"/>
      <c r="G253" s="38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40"/>
      <c r="B254" s="12"/>
      <c r="C254" s="12"/>
      <c r="D254" s="39"/>
      <c r="E254" s="12"/>
      <c r="F254" s="39"/>
      <c r="G254" s="3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>
      <c r="A255" s="41"/>
      <c r="B255" s="16"/>
      <c r="C255" s="16"/>
      <c r="D255" s="37"/>
      <c r="E255" s="16"/>
      <c r="F255" s="37"/>
      <c r="G255" s="38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40"/>
      <c r="B256" s="12"/>
      <c r="C256" s="12"/>
      <c r="D256" s="39"/>
      <c r="E256" s="12"/>
      <c r="F256" s="39"/>
      <c r="G256" s="3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>
      <c r="A257" s="41"/>
      <c r="B257" s="16"/>
      <c r="C257" s="16"/>
      <c r="D257" s="37"/>
      <c r="E257" s="16"/>
      <c r="F257" s="37"/>
      <c r="G257" s="38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40"/>
      <c r="B258" s="12"/>
      <c r="C258" s="12"/>
      <c r="D258" s="39"/>
      <c r="E258" s="12"/>
      <c r="F258" s="39"/>
      <c r="G258" s="3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>
      <c r="A259" s="41"/>
      <c r="B259" s="16"/>
      <c r="C259" s="16"/>
      <c r="D259" s="37"/>
      <c r="E259" s="16"/>
      <c r="F259" s="37"/>
      <c r="G259" s="38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40"/>
      <c r="B260" s="12"/>
      <c r="C260" s="12"/>
      <c r="D260" s="39"/>
      <c r="E260" s="12"/>
      <c r="F260" s="39"/>
      <c r="G260" s="3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>
      <c r="A261" s="41"/>
      <c r="B261" s="16"/>
      <c r="C261" s="16"/>
      <c r="D261" s="37"/>
      <c r="E261" s="16"/>
      <c r="F261" s="37"/>
      <c r="G261" s="38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40"/>
      <c r="B262" s="12"/>
      <c r="C262" s="12"/>
      <c r="D262" s="39"/>
      <c r="E262" s="12"/>
      <c r="F262" s="39"/>
      <c r="G262" s="3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>
      <c r="A263" s="41"/>
      <c r="B263" s="16"/>
      <c r="C263" s="16"/>
      <c r="D263" s="37"/>
      <c r="E263" s="16"/>
      <c r="F263" s="37"/>
      <c r="G263" s="38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40"/>
      <c r="B264" s="12"/>
      <c r="C264" s="12"/>
      <c r="D264" s="39"/>
      <c r="E264" s="12"/>
      <c r="F264" s="39"/>
      <c r="G264" s="3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>
      <c r="A265" s="41"/>
      <c r="B265" s="16"/>
      <c r="C265" s="16"/>
      <c r="D265" s="37"/>
      <c r="E265" s="16"/>
      <c r="F265" s="37"/>
      <c r="G265" s="38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40"/>
      <c r="B266" s="12"/>
      <c r="C266" s="12"/>
      <c r="D266" s="39"/>
      <c r="E266" s="12"/>
      <c r="F266" s="39"/>
      <c r="G266" s="3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>
      <c r="A267" s="41"/>
      <c r="B267" s="16"/>
      <c r="C267" s="16"/>
      <c r="D267" s="37"/>
      <c r="E267" s="16"/>
      <c r="F267" s="37"/>
      <c r="G267" s="38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40"/>
      <c r="B268" s="12"/>
      <c r="C268" s="12"/>
      <c r="D268" s="39"/>
      <c r="E268" s="12"/>
      <c r="F268" s="39"/>
      <c r="G268" s="3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>
      <c r="A269" s="41"/>
      <c r="B269" s="16"/>
      <c r="C269" s="16"/>
      <c r="D269" s="37"/>
      <c r="E269" s="16"/>
      <c r="F269" s="37"/>
      <c r="G269" s="38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40"/>
      <c r="B270" s="12"/>
      <c r="C270" s="12"/>
      <c r="D270" s="39"/>
      <c r="E270" s="12"/>
      <c r="F270" s="39"/>
      <c r="G270" s="3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>
      <c r="A271" s="41"/>
      <c r="B271" s="16"/>
      <c r="C271" s="16"/>
      <c r="D271" s="37"/>
      <c r="E271" s="16"/>
      <c r="F271" s="37"/>
      <c r="G271" s="38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40"/>
      <c r="B272" s="12"/>
      <c r="C272" s="12"/>
      <c r="D272" s="39"/>
      <c r="E272" s="12"/>
      <c r="F272" s="39"/>
      <c r="G272" s="3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>
      <c r="A273" s="41"/>
      <c r="B273" s="16"/>
      <c r="C273" s="16"/>
      <c r="D273" s="37"/>
      <c r="E273" s="16"/>
      <c r="F273" s="37"/>
      <c r="G273" s="38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40"/>
      <c r="B274" s="12"/>
      <c r="C274" s="12"/>
      <c r="D274" s="39"/>
      <c r="E274" s="12"/>
      <c r="F274" s="39"/>
      <c r="G274" s="3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>
      <c r="A275" s="41"/>
      <c r="B275" s="16"/>
      <c r="C275" s="16"/>
      <c r="D275" s="37"/>
      <c r="E275" s="16"/>
      <c r="F275" s="37"/>
      <c r="G275" s="38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40"/>
      <c r="B276" s="12"/>
      <c r="C276" s="12"/>
      <c r="D276" s="39"/>
      <c r="E276" s="12"/>
      <c r="F276" s="39"/>
      <c r="G276" s="3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>
      <c r="A277" s="41"/>
      <c r="B277" s="16"/>
      <c r="C277" s="16"/>
      <c r="D277" s="37"/>
      <c r="E277" s="16"/>
      <c r="F277" s="37"/>
      <c r="G277" s="38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40"/>
      <c r="B278" s="12"/>
      <c r="C278" s="12"/>
      <c r="D278" s="39"/>
      <c r="E278" s="12"/>
      <c r="F278" s="39"/>
      <c r="G278" s="3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>
      <c r="A279" s="41"/>
      <c r="B279" s="16"/>
      <c r="C279" s="16"/>
      <c r="D279" s="37"/>
      <c r="E279" s="16"/>
      <c r="F279" s="37"/>
      <c r="G279" s="38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40"/>
      <c r="B280" s="12"/>
      <c r="C280" s="12"/>
      <c r="D280" s="39"/>
      <c r="E280" s="12"/>
      <c r="F280" s="39"/>
      <c r="G280" s="3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>
      <c r="A281" s="41"/>
      <c r="B281" s="16"/>
      <c r="C281" s="16"/>
      <c r="D281" s="37"/>
      <c r="E281" s="16"/>
      <c r="F281" s="37"/>
      <c r="G281" s="38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40"/>
      <c r="B282" s="12"/>
      <c r="C282" s="12"/>
      <c r="D282" s="39"/>
      <c r="E282" s="12"/>
      <c r="F282" s="39"/>
      <c r="G282" s="3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>
      <c r="A283" s="41"/>
      <c r="B283" s="16"/>
      <c r="C283" s="16"/>
      <c r="D283" s="37"/>
      <c r="E283" s="16"/>
      <c r="F283" s="37"/>
      <c r="G283" s="38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40"/>
      <c r="B284" s="12"/>
      <c r="C284" s="12"/>
      <c r="D284" s="39"/>
      <c r="E284" s="12"/>
      <c r="F284" s="39"/>
      <c r="G284" s="3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>
      <c r="A285" s="41"/>
      <c r="B285" s="16"/>
      <c r="C285" s="16"/>
      <c r="D285" s="37"/>
      <c r="E285" s="16"/>
      <c r="F285" s="37"/>
      <c r="G285" s="38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40"/>
      <c r="B286" s="12"/>
      <c r="C286" s="12"/>
      <c r="D286" s="39"/>
      <c r="E286" s="12"/>
      <c r="F286" s="39"/>
      <c r="G286" s="3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>
      <c r="A287" s="41"/>
      <c r="B287" s="16"/>
      <c r="C287" s="16"/>
      <c r="D287" s="37"/>
      <c r="E287" s="16"/>
      <c r="F287" s="37"/>
      <c r="G287" s="38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40"/>
      <c r="B288" s="12"/>
      <c r="C288" s="12"/>
      <c r="D288" s="39"/>
      <c r="E288" s="12"/>
      <c r="F288" s="39"/>
      <c r="G288" s="3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>
      <c r="A289" s="41"/>
      <c r="B289" s="16"/>
      <c r="C289" s="16"/>
      <c r="D289" s="37"/>
      <c r="E289" s="16"/>
      <c r="F289" s="37"/>
      <c r="G289" s="38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40"/>
      <c r="B290" s="12"/>
      <c r="C290" s="12"/>
      <c r="D290" s="39"/>
      <c r="E290" s="12"/>
      <c r="F290" s="39"/>
      <c r="G290" s="3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>
      <c r="A291" s="41"/>
      <c r="B291" s="16"/>
      <c r="C291" s="16"/>
      <c r="D291" s="37"/>
      <c r="E291" s="16"/>
      <c r="F291" s="37"/>
      <c r="G291" s="38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40"/>
      <c r="B292" s="12"/>
      <c r="C292" s="12"/>
      <c r="D292" s="39"/>
      <c r="E292" s="12"/>
      <c r="F292" s="39"/>
      <c r="G292" s="3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>
      <c r="A293" s="41"/>
      <c r="B293" s="16"/>
      <c r="C293" s="16"/>
      <c r="D293" s="37"/>
      <c r="E293" s="16"/>
      <c r="F293" s="37"/>
      <c r="G293" s="38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40"/>
      <c r="B294" s="12"/>
      <c r="C294" s="12"/>
      <c r="D294" s="39"/>
      <c r="E294" s="12"/>
      <c r="F294" s="39"/>
      <c r="G294" s="3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>
      <c r="A295" s="41"/>
      <c r="B295" s="16"/>
      <c r="C295" s="16"/>
      <c r="D295" s="37"/>
      <c r="E295" s="16"/>
      <c r="F295" s="37"/>
      <c r="G295" s="38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40"/>
      <c r="B296" s="12"/>
      <c r="C296" s="12"/>
      <c r="D296" s="39"/>
      <c r="E296" s="12"/>
      <c r="F296" s="39"/>
      <c r="G296" s="3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>
      <c r="A297" s="41"/>
      <c r="B297" s="16"/>
      <c r="C297" s="16"/>
      <c r="D297" s="37"/>
      <c r="E297" s="16"/>
      <c r="F297" s="37"/>
      <c r="G297" s="38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40"/>
      <c r="B298" s="12"/>
      <c r="C298" s="12"/>
      <c r="D298" s="39"/>
      <c r="E298" s="12"/>
      <c r="F298" s="39"/>
      <c r="G298" s="3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>
      <c r="A299" s="41"/>
      <c r="B299" s="16"/>
      <c r="C299" s="16"/>
      <c r="D299" s="37"/>
      <c r="E299" s="16"/>
      <c r="F299" s="37"/>
      <c r="G299" s="38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40"/>
      <c r="B300" s="12"/>
      <c r="C300" s="12"/>
      <c r="D300" s="39"/>
      <c r="E300" s="12"/>
      <c r="F300" s="39"/>
      <c r="G300" s="3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>
      <c r="A301" s="41"/>
      <c r="B301" s="16"/>
      <c r="C301" s="16"/>
      <c r="D301" s="37"/>
      <c r="E301" s="16"/>
      <c r="F301" s="37"/>
      <c r="G301" s="38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40"/>
      <c r="B302" s="12"/>
      <c r="C302" s="12"/>
      <c r="D302" s="39"/>
      <c r="E302" s="12"/>
      <c r="F302" s="39"/>
      <c r="G302" s="3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>
      <c r="A303" s="41"/>
      <c r="B303" s="16"/>
      <c r="C303" s="16"/>
      <c r="D303" s="37"/>
      <c r="E303" s="16"/>
      <c r="F303" s="37"/>
      <c r="G303" s="38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40"/>
      <c r="B304" s="12"/>
      <c r="C304" s="12"/>
      <c r="D304" s="39"/>
      <c r="E304" s="12"/>
      <c r="F304" s="39"/>
      <c r="G304" s="3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>
      <c r="A305" s="41"/>
      <c r="B305" s="16"/>
      <c r="C305" s="16"/>
      <c r="D305" s="37"/>
      <c r="E305" s="16"/>
      <c r="F305" s="37"/>
      <c r="G305" s="38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40"/>
      <c r="B306" s="12"/>
      <c r="C306" s="12"/>
      <c r="D306" s="39"/>
      <c r="E306" s="12"/>
      <c r="F306" s="39"/>
      <c r="G306" s="3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>
      <c r="A307" s="41"/>
      <c r="B307" s="16"/>
      <c r="C307" s="16"/>
      <c r="D307" s="37"/>
      <c r="E307" s="16"/>
      <c r="F307" s="37"/>
      <c r="G307" s="38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40"/>
      <c r="B308" s="12"/>
      <c r="C308" s="12"/>
      <c r="D308" s="39"/>
      <c r="E308" s="12"/>
      <c r="F308" s="39"/>
      <c r="G308" s="3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>
      <c r="A309" s="41"/>
      <c r="B309" s="16"/>
      <c r="C309" s="16"/>
      <c r="D309" s="37"/>
      <c r="E309" s="16"/>
      <c r="F309" s="37"/>
      <c r="G309" s="38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40"/>
      <c r="B310" s="12"/>
      <c r="C310" s="12"/>
      <c r="D310" s="39"/>
      <c r="E310" s="12"/>
      <c r="F310" s="39"/>
      <c r="G310" s="3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>
      <c r="A311" s="41"/>
      <c r="B311" s="16"/>
      <c r="C311" s="16"/>
      <c r="D311" s="37"/>
      <c r="E311" s="16"/>
      <c r="F311" s="37"/>
      <c r="G311" s="38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40"/>
      <c r="B312" s="12"/>
      <c r="C312" s="12"/>
      <c r="D312" s="39"/>
      <c r="E312" s="12"/>
      <c r="F312" s="39"/>
      <c r="G312" s="3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>
      <c r="A313" s="41"/>
      <c r="B313" s="16"/>
      <c r="C313" s="16"/>
      <c r="D313" s="37"/>
      <c r="E313" s="16"/>
      <c r="F313" s="37"/>
      <c r="G313" s="38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40"/>
      <c r="B314" s="12"/>
      <c r="C314" s="12"/>
      <c r="D314" s="39"/>
      <c r="E314" s="12"/>
      <c r="F314" s="39"/>
      <c r="G314" s="3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>
      <c r="A315" s="41"/>
      <c r="B315" s="16"/>
      <c r="C315" s="16"/>
      <c r="D315" s="37"/>
      <c r="E315" s="16"/>
      <c r="F315" s="37"/>
      <c r="G315" s="38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40"/>
      <c r="B316" s="12"/>
      <c r="C316" s="12"/>
      <c r="D316" s="39"/>
      <c r="E316" s="12"/>
      <c r="F316" s="39"/>
      <c r="G316" s="3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>
      <c r="A317" s="41"/>
      <c r="B317" s="16"/>
      <c r="C317" s="16"/>
      <c r="D317" s="37"/>
      <c r="E317" s="16"/>
      <c r="F317" s="37"/>
      <c r="G317" s="38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40"/>
      <c r="B318" s="12"/>
      <c r="C318" s="12"/>
      <c r="D318" s="39"/>
      <c r="E318" s="12"/>
      <c r="F318" s="39"/>
      <c r="G318" s="3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>
      <c r="A319" s="41"/>
      <c r="B319" s="16"/>
      <c r="C319" s="16"/>
      <c r="D319" s="37"/>
      <c r="E319" s="16"/>
      <c r="F319" s="37"/>
      <c r="G319" s="38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40"/>
      <c r="B320" s="12"/>
      <c r="C320" s="12"/>
      <c r="D320" s="39"/>
      <c r="E320" s="12"/>
      <c r="F320" s="39"/>
      <c r="G320" s="3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>
      <c r="A321" s="41"/>
      <c r="B321" s="16"/>
      <c r="C321" s="16"/>
      <c r="D321" s="37"/>
      <c r="E321" s="16"/>
      <c r="F321" s="37"/>
      <c r="G321" s="38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40"/>
      <c r="B322" s="12"/>
      <c r="C322" s="12"/>
      <c r="D322" s="39"/>
      <c r="E322" s="12"/>
      <c r="F322" s="39"/>
      <c r="G322" s="3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>
      <c r="A323" s="41"/>
      <c r="B323" s="16"/>
      <c r="C323" s="16"/>
      <c r="D323" s="37"/>
      <c r="E323" s="16"/>
      <c r="F323" s="37"/>
      <c r="G323" s="38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40"/>
      <c r="B324" s="12"/>
      <c r="C324" s="12"/>
      <c r="D324" s="39"/>
      <c r="E324" s="12"/>
      <c r="F324" s="39"/>
      <c r="G324" s="3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>
      <c r="A325" s="41"/>
      <c r="B325" s="16"/>
      <c r="C325" s="16"/>
      <c r="D325" s="37"/>
      <c r="E325" s="16"/>
      <c r="F325" s="37"/>
      <c r="G325" s="38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40"/>
      <c r="B326" s="12"/>
      <c r="C326" s="12"/>
      <c r="D326" s="39"/>
      <c r="E326" s="12"/>
      <c r="F326" s="39"/>
      <c r="G326" s="3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>
      <c r="A327" s="41"/>
      <c r="B327" s="16"/>
      <c r="C327" s="16"/>
      <c r="D327" s="37"/>
      <c r="E327" s="16"/>
      <c r="F327" s="37"/>
      <c r="G327" s="38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40"/>
      <c r="B328" s="12"/>
      <c r="C328" s="12"/>
      <c r="D328" s="39"/>
      <c r="E328" s="12"/>
      <c r="F328" s="39"/>
      <c r="G328" s="3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>
      <c r="A329" s="41"/>
      <c r="B329" s="16"/>
      <c r="C329" s="16"/>
      <c r="D329" s="37"/>
      <c r="E329" s="16"/>
      <c r="F329" s="37"/>
      <c r="G329" s="38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40"/>
      <c r="B330" s="12"/>
      <c r="C330" s="12"/>
      <c r="D330" s="39"/>
      <c r="E330" s="12"/>
      <c r="F330" s="39"/>
      <c r="G330" s="3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>
      <c r="A331" s="41"/>
      <c r="B331" s="16"/>
      <c r="C331" s="16"/>
      <c r="D331" s="37"/>
      <c r="E331" s="16"/>
      <c r="F331" s="37"/>
      <c r="G331" s="38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40"/>
      <c r="B332" s="12"/>
      <c r="C332" s="12"/>
      <c r="D332" s="39"/>
      <c r="E332" s="12"/>
      <c r="F332" s="39"/>
      <c r="G332" s="3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>
      <c r="A333" s="41"/>
      <c r="B333" s="16"/>
      <c r="C333" s="16"/>
      <c r="D333" s="37"/>
      <c r="E333" s="16"/>
      <c r="F333" s="37"/>
      <c r="G333" s="38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40"/>
      <c r="B334" s="12"/>
      <c r="C334" s="12"/>
      <c r="D334" s="39"/>
      <c r="E334" s="12"/>
      <c r="F334" s="39"/>
      <c r="G334" s="3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>
      <c r="A335" s="41"/>
      <c r="B335" s="16"/>
      <c r="C335" s="16"/>
      <c r="D335" s="37"/>
      <c r="E335" s="16"/>
      <c r="F335" s="37"/>
      <c r="G335" s="38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40"/>
      <c r="B336" s="12"/>
      <c r="C336" s="12"/>
      <c r="D336" s="39"/>
      <c r="E336" s="12"/>
      <c r="F336" s="39"/>
      <c r="G336" s="3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>
      <c r="A337" s="41"/>
      <c r="B337" s="16"/>
      <c r="C337" s="16"/>
      <c r="D337" s="37"/>
      <c r="E337" s="16"/>
      <c r="F337" s="37"/>
      <c r="G337" s="38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40"/>
      <c r="B338" s="12"/>
      <c r="C338" s="12"/>
      <c r="D338" s="39"/>
      <c r="E338" s="12"/>
      <c r="F338" s="39"/>
      <c r="G338" s="3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>
      <c r="A339" s="41"/>
      <c r="B339" s="16"/>
      <c r="C339" s="16"/>
      <c r="D339" s="37"/>
      <c r="E339" s="16"/>
      <c r="F339" s="37"/>
      <c r="G339" s="38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40"/>
      <c r="B340" s="12"/>
      <c r="C340" s="12"/>
      <c r="D340" s="39"/>
      <c r="E340" s="12"/>
      <c r="F340" s="39"/>
      <c r="G340" s="3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>
      <c r="A341" s="41"/>
      <c r="B341" s="16"/>
      <c r="C341" s="16"/>
      <c r="D341" s="37"/>
      <c r="E341" s="16"/>
      <c r="F341" s="37"/>
      <c r="G341" s="38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40"/>
      <c r="B342" s="12"/>
      <c r="C342" s="12"/>
      <c r="D342" s="39"/>
      <c r="E342" s="12"/>
      <c r="F342" s="39"/>
      <c r="G342" s="3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>
      <c r="A343" s="41"/>
      <c r="B343" s="16"/>
      <c r="C343" s="16"/>
      <c r="D343" s="37"/>
      <c r="E343" s="16"/>
      <c r="F343" s="37"/>
      <c r="G343" s="38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40"/>
      <c r="B344" s="12"/>
      <c r="C344" s="12"/>
      <c r="D344" s="39"/>
      <c r="E344" s="12"/>
      <c r="F344" s="39"/>
      <c r="G344" s="3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>
      <c r="A345" s="41"/>
      <c r="B345" s="16"/>
      <c r="C345" s="16"/>
      <c r="D345" s="37"/>
      <c r="E345" s="16"/>
      <c r="F345" s="37"/>
      <c r="G345" s="38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40"/>
      <c r="B346" s="12"/>
      <c r="C346" s="12"/>
      <c r="D346" s="39"/>
      <c r="E346" s="12"/>
      <c r="F346" s="39"/>
      <c r="G346" s="3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>
      <c r="A347" s="41"/>
      <c r="B347" s="16"/>
      <c r="C347" s="16"/>
      <c r="D347" s="37"/>
      <c r="E347" s="16"/>
      <c r="F347" s="37"/>
      <c r="G347" s="38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40"/>
      <c r="B348" s="12"/>
      <c r="C348" s="12"/>
      <c r="D348" s="39"/>
      <c r="E348" s="12"/>
      <c r="F348" s="39"/>
      <c r="G348" s="3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>
      <c r="A349" s="41"/>
      <c r="B349" s="16"/>
      <c r="C349" s="16"/>
      <c r="D349" s="37"/>
      <c r="E349" s="16"/>
      <c r="F349" s="37"/>
      <c r="G349" s="38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40"/>
      <c r="B350" s="12"/>
      <c r="C350" s="12"/>
      <c r="D350" s="39"/>
      <c r="E350" s="12"/>
      <c r="F350" s="39"/>
      <c r="G350" s="3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>
      <c r="A351" s="41"/>
      <c r="B351" s="16"/>
      <c r="C351" s="16"/>
      <c r="D351" s="37"/>
      <c r="E351" s="16"/>
      <c r="F351" s="37"/>
      <c r="G351" s="38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40"/>
      <c r="B352" s="12"/>
      <c r="C352" s="12"/>
      <c r="D352" s="39"/>
      <c r="E352" s="12"/>
      <c r="F352" s="39"/>
      <c r="G352" s="3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>
      <c r="A353" s="41"/>
      <c r="B353" s="16"/>
      <c r="C353" s="16"/>
      <c r="D353" s="37"/>
      <c r="E353" s="16"/>
      <c r="F353" s="37"/>
      <c r="G353" s="38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40"/>
      <c r="B354" s="12"/>
      <c r="C354" s="12"/>
      <c r="D354" s="39"/>
      <c r="E354" s="12"/>
      <c r="F354" s="39"/>
      <c r="G354" s="3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>
      <c r="A355" s="41"/>
      <c r="B355" s="16"/>
      <c r="C355" s="16"/>
      <c r="D355" s="37"/>
      <c r="E355" s="16"/>
      <c r="F355" s="37"/>
      <c r="G355" s="38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40"/>
      <c r="B356" s="12"/>
      <c r="C356" s="12"/>
      <c r="D356" s="39"/>
      <c r="E356" s="12"/>
      <c r="F356" s="39"/>
      <c r="G356" s="3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>
      <c r="A357" s="41"/>
      <c r="B357" s="16"/>
      <c r="C357" s="16"/>
      <c r="D357" s="37"/>
      <c r="E357" s="16"/>
      <c r="F357" s="37"/>
      <c r="G357" s="38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40"/>
      <c r="B358" s="12"/>
      <c r="C358" s="12"/>
      <c r="D358" s="39"/>
      <c r="E358" s="12"/>
      <c r="F358" s="39"/>
      <c r="G358" s="3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>
      <c r="A359" s="41"/>
      <c r="B359" s="16"/>
      <c r="C359" s="16"/>
      <c r="D359" s="37"/>
      <c r="E359" s="16"/>
      <c r="F359" s="37"/>
      <c r="G359" s="38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40"/>
      <c r="B360" s="12"/>
      <c r="C360" s="12"/>
      <c r="D360" s="39"/>
      <c r="E360" s="12"/>
      <c r="F360" s="39"/>
      <c r="G360" s="3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>
      <c r="A361" s="41"/>
      <c r="B361" s="16"/>
      <c r="C361" s="16"/>
      <c r="D361" s="37"/>
      <c r="E361" s="16"/>
      <c r="F361" s="37"/>
      <c r="G361" s="38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40"/>
      <c r="B362" s="12"/>
      <c r="C362" s="12"/>
      <c r="D362" s="39"/>
      <c r="E362" s="12"/>
      <c r="F362" s="39"/>
      <c r="G362" s="3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>
      <c r="A363" s="41"/>
      <c r="B363" s="16"/>
      <c r="C363" s="16"/>
      <c r="D363" s="37"/>
      <c r="E363" s="16"/>
      <c r="F363" s="37"/>
      <c r="G363" s="38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40"/>
      <c r="B364" s="12"/>
      <c r="C364" s="12"/>
      <c r="D364" s="39"/>
      <c r="E364" s="12"/>
      <c r="F364" s="39"/>
      <c r="G364" s="3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>
      <c r="A365" s="41"/>
      <c r="B365" s="16"/>
      <c r="C365" s="16"/>
      <c r="D365" s="37"/>
      <c r="E365" s="16"/>
      <c r="F365" s="37"/>
      <c r="G365" s="38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40"/>
      <c r="B366" s="12"/>
      <c r="C366" s="12"/>
      <c r="D366" s="39"/>
      <c r="E366" s="12"/>
      <c r="F366" s="39"/>
      <c r="G366" s="3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>
      <c r="A367" s="41"/>
      <c r="B367" s="16"/>
      <c r="C367" s="16"/>
      <c r="D367" s="37"/>
      <c r="E367" s="16"/>
      <c r="F367" s="37"/>
      <c r="G367" s="38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40"/>
      <c r="B368" s="12"/>
      <c r="C368" s="12"/>
      <c r="D368" s="39"/>
      <c r="E368" s="12"/>
      <c r="F368" s="39"/>
      <c r="G368" s="3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>
      <c r="A369" s="41"/>
      <c r="B369" s="16"/>
      <c r="C369" s="16"/>
      <c r="D369" s="37"/>
      <c r="E369" s="16"/>
      <c r="F369" s="37"/>
      <c r="G369" s="38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40"/>
      <c r="B370" s="12"/>
      <c r="C370" s="12"/>
      <c r="D370" s="39"/>
      <c r="E370" s="12"/>
      <c r="F370" s="39"/>
      <c r="G370" s="3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>
      <c r="A371" s="41"/>
      <c r="B371" s="16"/>
      <c r="C371" s="16"/>
      <c r="D371" s="37"/>
      <c r="E371" s="16"/>
      <c r="F371" s="37"/>
      <c r="G371" s="38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40"/>
      <c r="B372" s="12"/>
      <c r="C372" s="12"/>
      <c r="D372" s="39"/>
      <c r="E372" s="12"/>
      <c r="F372" s="39"/>
      <c r="G372" s="3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>
      <c r="A373" s="41"/>
      <c r="B373" s="16"/>
      <c r="C373" s="16"/>
      <c r="D373" s="37"/>
      <c r="E373" s="16"/>
      <c r="F373" s="37"/>
      <c r="G373" s="38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40"/>
      <c r="B374" s="12"/>
      <c r="C374" s="12"/>
      <c r="D374" s="39"/>
      <c r="E374" s="12"/>
      <c r="F374" s="39"/>
      <c r="G374" s="3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>
      <c r="A375" s="41"/>
      <c r="B375" s="16"/>
      <c r="C375" s="16"/>
      <c r="D375" s="37"/>
      <c r="E375" s="16"/>
      <c r="F375" s="37"/>
      <c r="G375" s="38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40"/>
      <c r="B376" s="12"/>
      <c r="C376" s="12"/>
      <c r="D376" s="39"/>
      <c r="E376" s="12"/>
      <c r="F376" s="39"/>
      <c r="G376" s="3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>
      <c r="A377" s="41"/>
      <c r="B377" s="16"/>
      <c r="C377" s="16"/>
      <c r="D377" s="37"/>
      <c r="E377" s="16"/>
      <c r="F377" s="37"/>
      <c r="G377" s="38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40"/>
      <c r="B378" s="12"/>
      <c r="C378" s="12"/>
      <c r="D378" s="39"/>
      <c r="E378" s="12"/>
      <c r="F378" s="39"/>
      <c r="G378" s="3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>
      <c r="A379" s="41"/>
      <c r="B379" s="16"/>
      <c r="C379" s="16"/>
      <c r="D379" s="37"/>
      <c r="E379" s="16"/>
      <c r="F379" s="37"/>
      <c r="G379" s="38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40"/>
      <c r="B380" s="12"/>
      <c r="C380" s="12"/>
      <c r="D380" s="39"/>
      <c r="E380" s="12"/>
      <c r="F380" s="39"/>
      <c r="G380" s="3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>
      <c r="A381" s="41"/>
      <c r="B381" s="16"/>
      <c r="C381" s="16"/>
      <c r="D381" s="37"/>
      <c r="E381" s="16"/>
      <c r="F381" s="37"/>
      <c r="G381" s="38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40"/>
      <c r="B382" s="12"/>
      <c r="C382" s="12"/>
      <c r="D382" s="39"/>
      <c r="E382" s="12"/>
      <c r="F382" s="39"/>
      <c r="G382" s="3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>
      <c r="A383" s="41"/>
      <c r="B383" s="16"/>
      <c r="C383" s="16"/>
      <c r="D383" s="37"/>
      <c r="E383" s="16"/>
      <c r="F383" s="37"/>
      <c r="G383" s="38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40"/>
      <c r="B384" s="12"/>
      <c r="C384" s="12"/>
      <c r="D384" s="39"/>
      <c r="E384" s="12"/>
      <c r="F384" s="39"/>
      <c r="G384" s="3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>
      <c r="A385" s="41"/>
      <c r="B385" s="16"/>
      <c r="C385" s="16"/>
      <c r="D385" s="37"/>
      <c r="E385" s="16"/>
      <c r="F385" s="37"/>
      <c r="G385" s="38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40"/>
      <c r="B386" s="12"/>
      <c r="C386" s="12"/>
      <c r="D386" s="39"/>
      <c r="E386" s="12"/>
      <c r="F386" s="39"/>
      <c r="G386" s="3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>
      <c r="A387" s="41"/>
      <c r="B387" s="16"/>
      <c r="C387" s="16"/>
      <c r="D387" s="37"/>
      <c r="E387" s="16"/>
      <c r="F387" s="37"/>
      <c r="G387" s="38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40"/>
      <c r="B388" s="12"/>
      <c r="C388" s="12"/>
      <c r="D388" s="39"/>
      <c r="E388" s="12"/>
      <c r="F388" s="39"/>
      <c r="G388" s="3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>
      <c r="A389" s="41"/>
      <c r="B389" s="16"/>
      <c r="C389" s="16"/>
      <c r="D389" s="37"/>
      <c r="E389" s="16"/>
      <c r="F389" s="37"/>
      <c r="G389" s="38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40"/>
      <c r="B390" s="12"/>
      <c r="C390" s="12"/>
      <c r="D390" s="39"/>
      <c r="E390" s="12"/>
      <c r="F390" s="39"/>
      <c r="G390" s="3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>
      <c r="A391" s="41"/>
      <c r="B391" s="16"/>
      <c r="C391" s="16"/>
      <c r="D391" s="37"/>
      <c r="E391" s="16"/>
      <c r="F391" s="37"/>
      <c r="G391" s="38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40"/>
      <c r="B392" s="12"/>
      <c r="C392" s="12"/>
      <c r="D392" s="39"/>
      <c r="E392" s="12"/>
      <c r="F392" s="39"/>
      <c r="G392" s="3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>
      <c r="A393" s="41"/>
      <c r="B393" s="16"/>
      <c r="C393" s="16"/>
      <c r="D393" s="37"/>
      <c r="E393" s="16"/>
      <c r="F393" s="37"/>
      <c r="G393" s="38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40"/>
      <c r="B394" s="12"/>
      <c r="C394" s="12"/>
      <c r="D394" s="39"/>
      <c r="E394" s="12"/>
      <c r="F394" s="39"/>
      <c r="G394" s="3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>
      <c r="A395" s="41"/>
      <c r="B395" s="16"/>
      <c r="C395" s="16"/>
      <c r="D395" s="37"/>
      <c r="E395" s="16"/>
      <c r="F395" s="37"/>
      <c r="G395" s="38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40"/>
      <c r="B396" s="12"/>
      <c r="C396" s="12"/>
      <c r="D396" s="39"/>
      <c r="E396" s="12"/>
      <c r="F396" s="39"/>
      <c r="G396" s="3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>
      <c r="A397" s="41"/>
      <c r="B397" s="16"/>
      <c r="C397" s="16"/>
      <c r="D397" s="37"/>
      <c r="E397" s="16"/>
      <c r="F397" s="37"/>
      <c r="G397" s="38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40"/>
      <c r="B398" s="12"/>
      <c r="C398" s="12"/>
      <c r="D398" s="39"/>
      <c r="E398" s="12"/>
      <c r="F398" s="39"/>
      <c r="G398" s="3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>
      <c r="A399" s="41"/>
      <c r="B399" s="16"/>
      <c r="C399" s="16"/>
      <c r="D399" s="37"/>
      <c r="E399" s="16"/>
      <c r="F399" s="37"/>
      <c r="G399" s="38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40"/>
      <c r="B400" s="12"/>
      <c r="C400" s="12"/>
      <c r="D400" s="39"/>
      <c r="E400" s="12"/>
      <c r="F400" s="39"/>
      <c r="G400" s="3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>
      <c r="A401" s="41"/>
      <c r="B401" s="16"/>
      <c r="C401" s="16"/>
      <c r="D401" s="37"/>
      <c r="E401" s="16"/>
      <c r="F401" s="37"/>
      <c r="G401" s="38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40"/>
      <c r="B402" s="12"/>
      <c r="C402" s="12"/>
      <c r="D402" s="39"/>
      <c r="E402" s="12"/>
      <c r="F402" s="39"/>
      <c r="G402" s="3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>
      <c r="A403" s="41"/>
      <c r="B403" s="16"/>
      <c r="C403" s="16"/>
      <c r="D403" s="37"/>
      <c r="E403" s="16"/>
      <c r="F403" s="37"/>
      <c r="G403" s="38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40"/>
      <c r="B404" s="12"/>
      <c r="C404" s="12"/>
      <c r="D404" s="39"/>
      <c r="E404" s="12"/>
      <c r="F404" s="39"/>
      <c r="G404" s="3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>
      <c r="A405" s="41"/>
      <c r="B405" s="16"/>
      <c r="C405" s="16"/>
      <c r="D405" s="37"/>
      <c r="E405" s="16"/>
      <c r="F405" s="37"/>
      <c r="G405" s="38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40"/>
      <c r="B406" s="12"/>
      <c r="C406" s="12"/>
      <c r="D406" s="39"/>
      <c r="E406" s="12"/>
      <c r="F406" s="39"/>
      <c r="G406" s="3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>
      <c r="A407" s="41"/>
      <c r="B407" s="16"/>
      <c r="C407" s="16"/>
      <c r="D407" s="37"/>
      <c r="E407" s="16"/>
      <c r="F407" s="37"/>
      <c r="G407" s="38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40"/>
      <c r="B408" s="12"/>
      <c r="C408" s="12"/>
      <c r="D408" s="39"/>
      <c r="E408" s="12"/>
      <c r="F408" s="39"/>
      <c r="G408" s="3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>
      <c r="A409" s="41"/>
      <c r="B409" s="16"/>
      <c r="C409" s="16"/>
      <c r="D409" s="37"/>
      <c r="E409" s="16"/>
      <c r="F409" s="37"/>
      <c r="G409" s="38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40"/>
      <c r="B410" s="12"/>
      <c r="C410" s="12"/>
      <c r="D410" s="39"/>
      <c r="E410" s="12"/>
      <c r="F410" s="39"/>
      <c r="G410" s="3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>
      <c r="A411" s="41"/>
      <c r="B411" s="16"/>
      <c r="C411" s="16"/>
      <c r="D411" s="37"/>
      <c r="E411" s="16"/>
      <c r="F411" s="37"/>
      <c r="G411" s="38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40"/>
      <c r="B412" s="12"/>
      <c r="C412" s="12"/>
      <c r="D412" s="39"/>
      <c r="E412" s="12"/>
      <c r="F412" s="39"/>
      <c r="G412" s="3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>
      <c r="A413" s="41"/>
      <c r="B413" s="16"/>
      <c r="C413" s="16"/>
      <c r="D413" s="37"/>
      <c r="E413" s="16"/>
      <c r="F413" s="37"/>
      <c r="G413" s="38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40"/>
      <c r="B414" s="12"/>
      <c r="C414" s="12"/>
      <c r="D414" s="39"/>
      <c r="E414" s="12"/>
      <c r="F414" s="39"/>
      <c r="G414" s="3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>
      <c r="A415" s="41"/>
      <c r="B415" s="16"/>
      <c r="C415" s="16"/>
      <c r="D415" s="37"/>
      <c r="E415" s="16"/>
      <c r="F415" s="37"/>
      <c r="G415" s="38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40"/>
      <c r="B416" s="12"/>
      <c r="C416" s="12"/>
      <c r="D416" s="39"/>
      <c r="E416" s="12"/>
      <c r="F416" s="39"/>
      <c r="G416" s="3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>
      <c r="A417" s="41"/>
      <c r="B417" s="16"/>
      <c r="C417" s="16"/>
      <c r="D417" s="37"/>
      <c r="E417" s="16"/>
      <c r="F417" s="37"/>
      <c r="G417" s="38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40"/>
      <c r="B418" s="12"/>
      <c r="C418" s="12"/>
      <c r="D418" s="39"/>
      <c r="E418" s="12"/>
      <c r="F418" s="39"/>
      <c r="G418" s="3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>
      <c r="A419" s="41"/>
      <c r="B419" s="16"/>
      <c r="C419" s="16"/>
      <c r="D419" s="37"/>
      <c r="E419" s="16"/>
      <c r="F419" s="37"/>
      <c r="G419" s="38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40"/>
      <c r="B420" s="12"/>
      <c r="C420" s="12"/>
      <c r="D420" s="39"/>
      <c r="E420" s="12"/>
      <c r="F420" s="39"/>
      <c r="G420" s="3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>
      <c r="A421" s="41"/>
      <c r="B421" s="16"/>
      <c r="C421" s="16"/>
      <c r="D421" s="37"/>
      <c r="E421" s="16"/>
      <c r="F421" s="37"/>
      <c r="G421" s="38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40"/>
      <c r="B422" s="12"/>
      <c r="C422" s="12"/>
      <c r="D422" s="39"/>
      <c r="E422" s="12"/>
      <c r="F422" s="39"/>
      <c r="G422" s="3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>
      <c r="A423" s="41"/>
      <c r="B423" s="16"/>
      <c r="C423" s="16"/>
      <c r="D423" s="37"/>
      <c r="E423" s="16"/>
      <c r="F423" s="37"/>
      <c r="G423" s="38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40"/>
      <c r="B424" s="12"/>
      <c r="C424" s="12"/>
      <c r="D424" s="39"/>
      <c r="E424" s="12"/>
      <c r="F424" s="39"/>
      <c r="G424" s="3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>
      <c r="A425" s="41"/>
      <c r="B425" s="16"/>
      <c r="C425" s="16"/>
      <c r="D425" s="37"/>
      <c r="E425" s="16"/>
      <c r="F425" s="37"/>
      <c r="G425" s="38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40"/>
      <c r="B426" s="12"/>
      <c r="C426" s="12"/>
      <c r="D426" s="39"/>
      <c r="E426" s="12"/>
      <c r="F426" s="39"/>
      <c r="G426" s="3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>
      <c r="A427" s="41"/>
      <c r="B427" s="16"/>
      <c r="C427" s="16"/>
      <c r="D427" s="37"/>
      <c r="E427" s="16"/>
      <c r="F427" s="37"/>
      <c r="G427" s="38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40"/>
      <c r="B428" s="12"/>
      <c r="C428" s="12"/>
      <c r="D428" s="39"/>
      <c r="E428" s="12"/>
      <c r="F428" s="39"/>
      <c r="G428" s="3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>
      <c r="A429" s="41"/>
      <c r="B429" s="16"/>
      <c r="C429" s="16"/>
      <c r="D429" s="37"/>
      <c r="E429" s="16"/>
      <c r="F429" s="37"/>
      <c r="G429" s="38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40"/>
      <c r="B430" s="12"/>
      <c r="C430" s="12"/>
      <c r="D430" s="39"/>
      <c r="E430" s="12"/>
      <c r="F430" s="39"/>
      <c r="G430" s="3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>
      <c r="A431" s="41"/>
      <c r="B431" s="16"/>
      <c r="C431" s="16"/>
      <c r="D431" s="37"/>
      <c r="E431" s="16"/>
      <c r="F431" s="37"/>
      <c r="G431" s="38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40"/>
      <c r="B432" s="12"/>
      <c r="C432" s="12"/>
      <c r="D432" s="39"/>
      <c r="E432" s="12"/>
      <c r="F432" s="39"/>
      <c r="G432" s="3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>
      <c r="A433" s="41"/>
      <c r="B433" s="16"/>
      <c r="C433" s="16"/>
      <c r="D433" s="37"/>
      <c r="E433" s="16"/>
      <c r="F433" s="37"/>
      <c r="G433" s="38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40"/>
      <c r="B434" s="12"/>
      <c r="C434" s="12"/>
      <c r="D434" s="39"/>
      <c r="E434" s="12"/>
      <c r="F434" s="39"/>
      <c r="G434" s="3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>
      <c r="A435" s="41"/>
      <c r="B435" s="16"/>
      <c r="C435" s="16"/>
      <c r="D435" s="37"/>
      <c r="E435" s="16"/>
      <c r="F435" s="37"/>
      <c r="G435" s="38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40"/>
      <c r="B436" s="12"/>
      <c r="C436" s="12"/>
      <c r="D436" s="39"/>
      <c r="E436" s="12"/>
      <c r="F436" s="39"/>
      <c r="G436" s="3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>
      <c r="A437" s="41"/>
      <c r="B437" s="16"/>
      <c r="C437" s="16"/>
      <c r="D437" s="37"/>
      <c r="E437" s="16"/>
      <c r="F437" s="37"/>
      <c r="G437" s="38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40"/>
      <c r="B438" s="12"/>
      <c r="C438" s="12"/>
      <c r="D438" s="39"/>
      <c r="E438" s="12"/>
      <c r="F438" s="39"/>
      <c r="G438" s="3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>
      <c r="A439" s="41"/>
      <c r="B439" s="16"/>
      <c r="C439" s="16"/>
      <c r="D439" s="37"/>
      <c r="E439" s="16"/>
      <c r="F439" s="37"/>
      <c r="G439" s="38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40"/>
      <c r="B440" s="12"/>
      <c r="C440" s="12"/>
      <c r="D440" s="39"/>
      <c r="E440" s="12"/>
      <c r="F440" s="39"/>
      <c r="G440" s="3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>
      <c r="A441" s="41"/>
      <c r="B441" s="16"/>
      <c r="C441" s="16"/>
      <c r="D441" s="37"/>
      <c r="E441" s="16"/>
      <c r="F441" s="37"/>
      <c r="G441" s="38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40"/>
      <c r="B442" s="12"/>
      <c r="C442" s="12"/>
      <c r="D442" s="39"/>
      <c r="E442" s="12"/>
      <c r="F442" s="39"/>
      <c r="G442" s="3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>
      <c r="A443" s="41"/>
      <c r="B443" s="16"/>
      <c r="C443" s="16"/>
      <c r="D443" s="37"/>
      <c r="E443" s="16"/>
      <c r="F443" s="37"/>
      <c r="G443" s="38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40"/>
      <c r="B444" s="12"/>
      <c r="C444" s="12"/>
      <c r="D444" s="39"/>
      <c r="E444" s="12"/>
      <c r="F444" s="39"/>
      <c r="G444" s="3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>
      <c r="A445" s="41"/>
      <c r="B445" s="16"/>
      <c r="C445" s="16"/>
      <c r="D445" s="37"/>
      <c r="E445" s="16"/>
      <c r="F445" s="37"/>
      <c r="G445" s="38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40"/>
      <c r="B446" s="12"/>
      <c r="C446" s="12"/>
      <c r="D446" s="39"/>
      <c r="E446" s="12"/>
      <c r="F446" s="39"/>
      <c r="G446" s="3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>
      <c r="A447" s="41"/>
      <c r="B447" s="16"/>
      <c r="C447" s="16"/>
      <c r="D447" s="37"/>
      <c r="E447" s="16"/>
      <c r="F447" s="37"/>
      <c r="G447" s="38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40"/>
      <c r="B448" s="12"/>
      <c r="C448" s="12"/>
      <c r="D448" s="39"/>
      <c r="E448" s="12"/>
      <c r="F448" s="39"/>
      <c r="G448" s="3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>
      <c r="A449" s="41"/>
      <c r="B449" s="16"/>
      <c r="C449" s="16"/>
      <c r="D449" s="37"/>
      <c r="E449" s="16"/>
      <c r="F449" s="37"/>
      <c r="G449" s="38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40"/>
      <c r="B450" s="12"/>
      <c r="C450" s="12"/>
      <c r="D450" s="39"/>
      <c r="E450" s="12"/>
      <c r="F450" s="39"/>
      <c r="G450" s="3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>
      <c r="A451" s="41"/>
      <c r="B451" s="16"/>
      <c r="C451" s="16"/>
      <c r="D451" s="37"/>
      <c r="E451" s="16"/>
      <c r="F451" s="37"/>
      <c r="G451" s="38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40"/>
      <c r="B452" s="12"/>
      <c r="C452" s="12"/>
      <c r="D452" s="39"/>
      <c r="E452" s="12"/>
      <c r="F452" s="39"/>
      <c r="G452" s="3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>
      <c r="A453" s="41"/>
      <c r="B453" s="16"/>
      <c r="C453" s="16"/>
      <c r="D453" s="37"/>
      <c r="E453" s="16"/>
      <c r="F453" s="37"/>
      <c r="G453" s="38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40"/>
      <c r="B454" s="12"/>
      <c r="C454" s="12"/>
      <c r="D454" s="39"/>
      <c r="E454" s="12"/>
      <c r="F454" s="39"/>
      <c r="G454" s="3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>
      <c r="A455" s="41"/>
      <c r="B455" s="16"/>
      <c r="C455" s="16"/>
      <c r="D455" s="37"/>
      <c r="E455" s="16"/>
      <c r="F455" s="37"/>
      <c r="G455" s="38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40"/>
      <c r="B456" s="12"/>
      <c r="C456" s="12"/>
      <c r="D456" s="39"/>
      <c r="E456" s="12"/>
      <c r="F456" s="39"/>
      <c r="G456" s="3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>
      <c r="A457" s="41"/>
      <c r="B457" s="16"/>
      <c r="C457" s="16"/>
      <c r="D457" s="37"/>
      <c r="E457" s="16"/>
      <c r="F457" s="37"/>
      <c r="G457" s="38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40"/>
      <c r="B458" s="12"/>
      <c r="C458" s="12"/>
      <c r="D458" s="39"/>
      <c r="E458" s="12"/>
      <c r="F458" s="39"/>
      <c r="G458" s="3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>
      <c r="A459" s="41"/>
      <c r="B459" s="16"/>
      <c r="C459" s="16"/>
      <c r="D459" s="37"/>
      <c r="E459" s="16"/>
      <c r="F459" s="37"/>
      <c r="G459" s="38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40"/>
      <c r="B460" s="12"/>
      <c r="C460" s="12"/>
      <c r="D460" s="39"/>
      <c r="E460" s="12"/>
      <c r="F460" s="39"/>
      <c r="G460" s="3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>
      <c r="A461" s="41"/>
      <c r="B461" s="16"/>
      <c r="C461" s="16"/>
      <c r="D461" s="37"/>
      <c r="E461" s="16"/>
      <c r="F461" s="37"/>
      <c r="G461" s="38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40"/>
      <c r="B462" s="12"/>
      <c r="C462" s="12"/>
      <c r="D462" s="39"/>
      <c r="E462" s="12"/>
      <c r="F462" s="39"/>
      <c r="G462" s="3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>
      <c r="A463" s="41"/>
      <c r="B463" s="16"/>
      <c r="C463" s="16"/>
      <c r="D463" s="37"/>
      <c r="E463" s="16"/>
      <c r="F463" s="37"/>
      <c r="G463" s="38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40"/>
      <c r="B464" s="12"/>
      <c r="C464" s="12"/>
      <c r="D464" s="39"/>
      <c r="E464" s="12"/>
      <c r="F464" s="39"/>
      <c r="G464" s="3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>
      <c r="A465" s="41"/>
      <c r="B465" s="16"/>
      <c r="C465" s="16"/>
      <c r="D465" s="37"/>
      <c r="E465" s="16"/>
      <c r="F465" s="37"/>
      <c r="G465" s="38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40"/>
      <c r="B466" s="12"/>
      <c r="C466" s="12"/>
      <c r="D466" s="39"/>
      <c r="E466" s="12"/>
      <c r="F466" s="39"/>
      <c r="G466" s="3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>
      <c r="A467" s="41"/>
      <c r="B467" s="16"/>
      <c r="C467" s="16"/>
      <c r="D467" s="37"/>
      <c r="E467" s="16"/>
      <c r="F467" s="37"/>
      <c r="G467" s="38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40"/>
      <c r="B468" s="12"/>
      <c r="C468" s="12"/>
      <c r="D468" s="39"/>
      <c r="E468" s="12"/>
      <c r="F468" s="39"/>
      <c r="G468" s="3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>
      <c r="A469" s="41"/>
      <c r="B469" s="16"/>
      <c r="C469" s="16"/>
      <c r="D469" s="37"/>
      <c r="E469" s="16"/>
      <c r="F469" s="37"/>
      <c r="G469" s="38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40"/>
      <c r="B470" s="12"/>
      <c r="C470" s="12"/>
      <c r="D470" s="39"/>
      <c r="E470" s="12"/>
      <c r="F470" s="39"/>
      <c r="G470" s="3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>
      <c r="A471" s="41"/>
      <c r="B471" s="16"/>
      <c r="C471" s="16"/>
      <c r="D471" s="37"/>
      <c r="E471" s="16"/>
      <c r="F471" s="37"/>
      <c r="G471" s="38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40"/>
      <c r="B472" s="12"/>
      <c r="C472" s="12"/>
      <c r="D472" s="39"/>
      <c r="E472" s="12"/>
      <c r="F472" s="39"/>
      <c r="G472" s="3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>
      <c r="A473" s="41"/>
      <c r="B473" s="16"/>
      <c r="C473" s="16"/>
      <c r="D473" s="37"/>
      <c r="E473" s="16"/>
      <c r="F473" s="37"/>
      <c r="G473" s="38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40"/>
      <c r="B474" s="12"/>
      <c r="C474" s="12"/>
      <c r="D474" s="39"/>
      <c r="E474" s="12"/>
      <c r="F474" s="39"/>
      <c r="G474" s="3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>
      <c r="A475" s="41"/>
      <c r="B475" s="16"/>
      <c r="C475" s="16"/>
      <c r="D475" s="37"/>
      <c r="E475" s="16"/>
      <c r="F475" s="37"/>
      <c r="G475" s="38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40"/>
      <c r="B476" s="12"/>
      <c r="C476" s="12"/>
      <c r="D476" s="39"/>
      <c r="E476" s="12"/>
      <c r="F476" s="39"/>
      <c r="G476" s="3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>
      <c r="A477" s="41"/>
      <c r="B477" s="16"/>
      <c r="C477" s="16"/>
      <c r="D477" s="37"/>
      <c r="E477" s="16"/>
      <c r="F477" s="37"/>
      <c r="G477" s="38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40"/>
      <c r="B478" s="12"/>
      <c r="C478" s="12"/>
      <c r="D478" s="39"/>
      <c r="E478" s="12"/>
      <c r="F478" s="39"/>
      <c r="G478" s="3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>
      <c r="A479" s="41"/>
      <c r="B479" s="16"/>
      <c r="C479" s="16"/>
      <c r="D479" s="37"/>
      <c r="E479" s="16"/>
      <c r="F479" s="37"/>
      <c r="G479" s="38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40"/>
      <c r="B480" s="12"/>
      <c r="C480" s="12"/>
      <c r="D480" s="39"/>
      <c r="E480" s="12"/>
      <c r="F480" s="39"/>
      <c r="G480" s="3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>
      <c r="A481" s="41"/>
      <c r="B481" s="16"/>
      <c r="C481" s="16"/>
      <c r="D481" s="37"/>
      <c r="E481" s="16"/>
      <c r="F481" s="37"/>
      <c r="G481" s="38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40"/>
      <c r="B482" s="12"/>
      <c r="C482" s="12"/>
      <c r="D482" s="39"/>
      <c r="E482" s="12"/>
      <c r="F482" s="39"/>
      <c r="G482" s="3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>
      <c r="A483" s="41"/>
      <c r="B483" s="16"/>
      <c r="C483" s="16"/>
      <c r="D483" s="37"/>
      <c r="E483" s="16"/>
      <c r="F483" s="37"/>
      <c r="G483" s="38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40"/>
      <c r="B484" s="12"/>
      <c r="C484" s="12"/>
      <c r="D484" s="39"/>
      <c r="E484" s="12"/>
      <c r="F484" s="39"/>
      <c r="G484" s="3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>
      <c r="A485" s="41"/>
      <c r="B485" s="16"/>
      <c r="C485" s="16"/>
      <c r="D485" s="37"/>
      <c r="E485" s="16"/>
      <c r="F485" s="37"/>
      <c r="G485" s="38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40"/>
      <c r="B486" s="12"/>
      <c r="C486" s="12"/>
      <c r="D486" s="39"/>
      <c r="E486" s="12"/>
      <c r="F486" s="39"/>
      <c r="G486" s="3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>
      <c r="A487" s="41"/>
      <c r="B487" s="16"/>
      <c r="C487" s="16"/>
      <c r="D487" s="37"/>
      <c r="E487" s="16"/>
      <c r="F487" s="37"/>
      <c r="G487" s="38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40"/>
      <c r="B488" s="12"/>
      <c r="C488" s="12"/>
      <c r="D488" s="39"/>
      <c r="E488" s="12"/>
      <c r="F488" s="39"/>
      <c r="G488" s="3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>
      <c r="A489" s="41"/>
      <c r="B489" s="16"/>
      <c r="C489" s="16"/>
      <c r="D489" s="37"/>
      <c r="E489" s="16"/>
      <c r="F489" s="37"/>
      <c r="G489" s="38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40"/>
      <c r="B490" s="12"/>
      <c r="C490" s="12"/>
      <c r="D490" s="39"/>
      <c r="E490" s="12"/>
      <c r="F490" s="39"/>
      <c r="G490" s="3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>
      <c r="A491" s="41"/>
      <c r="B491" s="16"/>
      <c r="C491" s="16"/>
      <c r="D491" s="37"/>
      <c r="E491" s="16"/>
      <c r="F491" s="37"/>
      <c r="G491" s="38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40"/>
      <c r="B492" s="12"/>
      <c r="C492" s="12"/>
      <c r="D492" s="39"/>
      <c r="E492" s="12"/>
      <c r="F492" s="39"/>
      <c r="G492" s="3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>
      <c r="A493" s="41"/>
      <c r="B493" s="16"/>
      <c r="C493" s="16"/>
      <c r="D493" s="37"/>
      <c r="E493" s="16"/>
      <c r="F493" s="37"/>
      <c r="G493" s="38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40"/>
      <c r="B494" s="12"/>
      <c r="C494" s="12"/>
      <c r="D494" s="39"/>
      <c r="E494" s="12"/>
      <c r="F494" s="39"/>
      <c r="G494" s="3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>
      <c r="A495" s="41"/>
      <c r="B495" s="16"/>
      <c r="C495" s="16"/>
      <c r="D495" s="37"/>
      <c r="E495" s="16"/>
      <c r="F495" s="37"/>
      <c r="G495" s="38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40"/>
      <c r="B496" s="12"/>
      <c r="C496" s="12"/>
      <c r="D496" s="39"/>
      <c r="E496" s="12"/>
      <c r="F496" s="39"/>
      <c r="G496" s="3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>
      <c r="A497" s="41"/>
      <c r="B497" s="16"/>
      <c r="C497" s="16"/>
      <c r="D497" s="37"/>
      <c r="E497" s="16"/>
      <c r="F497" s="37"/>
      <c r="G497" s="38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40"/>
      <c r="B498" s="12"/>
      <c r="C498" s="12"/>
      <c r="D498" s="39"/>
      <c r="E498" s="12"/>
      <c r="F498" s="39"/>
      <c r="G498" s="3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>
      <c r="A499" s="41"/>
      <c r="B499" s="16"/>
      <c r="C499" s="16"/>
      <c r="D499" s="37"/>
      <c r="E499" s="16"/>
      <c r="F499" s="37"/>
      <c r="G499" s="38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40"/>
      <c r="B500" s="12"/>
      <c r="C500" s="12"/>
      <c r="D500" s="39"/>
      <c r="E500" s="12"/>
      <c r="F500" s="39"/>
      <c r="G500" s="36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>
      <c r="A501" s="41"/>
      <c r="B501" s="16"/>
      <c r="C501" s="16"/>
      <c r="D501" s="37"/>
      <c r="E501" s="16"/>
      <c r="F501" s="37"/>
      <c r="G501" s="38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40"/>
      <c r="B502" s="12"/>
      <c r="C502" s="12"/>
      <c r="D502" s="39"/>
      <c r="E502" s="12"/>
      <c r="F502" s="39"/>
      <c r="G502" s="36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>
      <c r="A503" s="41"/>
      <c r="B503" s="16"/>
      <c r="C503" s="16"/>
      <c r="D503" s="37"/>
      <c r="E503" s="16"/>
      <c r="F503" s="37"/>
      <c r="G503" s="38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40"/>
      <c r="B504" s="12"/>
      <c r="C504" s="12"/>
      <c r="D504" s="39"/>
      <c r="E504" s="12"/>
      <c r="F504" s="39"/>
      <c r="G504" s="36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>
      <c r="A505" s="41"/>
      <c r="B505" s="16"/>
      <c r="C505" s="16"/>
      <c r="D505" s="37"/>
      <c r="E505" s="16"/>
      <c r="F505" s="37"/>
      <c r="G505" s="38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40"/>
      <c r="B506" s="12"/>
      <c r="C506" s="12"/>
      <c r="D506" s="39"/>
      <c r="E506" s="12"/>
      <c r="F506" s="39"/>
      <c r="G506" s="36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>
      <c r="A507" s="41"/>
      <c r="B507" s="16"/>
      <c r="C507" s="16"/>
      <c r="D507" s="37"/>
      <c r="E507" s="16"/>
      <c r="F507" s="37"/>
      <c r="G507" s="38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40"/>
      <c r="B508" s="12"/>
      <c r="C508" s="12"/>
      <c r="D508" s="39"/>
      <c r="E508" s="12"/>
      <c r="F508" s="39"/>
      <c r="G508" s="36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>
      <c r="A509" s="41"/>
      <c r="B509" s="16"/>
      <c r="C509" s="16"/>
      <c r="D509" s="37"/>
      <c r="E509" s="16"/>
      <c r="F509" s="37"/>
      <c r="G509" s="38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40"/>
      <c r="B510" s="12"/>
      <c r="C510" s="12"/>
      <c r="D510" s="39"/>
      <c r="E510" s="12"/>
      <c r="F510" s="39"/>
      <c r="G510" s="36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>
      <c r="A511" s="41"/>
      <c r="B511" s="16"/>
      <c r="C511" s="16"/>
      <c r="D511" s="37"/>
      <c r="E511" s="16"/>
      <c r="F511" s="37"/>
      <c r="G511" s="38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40"/>
      <c r="B512" s="12"/>
      <c r="C512" s="12"/>
      <c r="D512" s="39"/>
      <c r="E512" s="12"/>
      <c r="F512" s="39"/>
      <c r="G512" s="36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>
      <c r="A513" s="41"/>
      <c r="B513" s="16"/>
      <c r="C513" s="16"/>
      <c r="D513" s="37"/>
      <c r="E513" s="16"/>
      <c r="F513" s="37"/>
      <c r="G513" s="38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40"/>
      <c r="B514" s="12"/>
      <c r="C514" s="12"/>
      <c r="D514" s="39"/>
      <c r="E514" s="12"/>
      <c r="F514" s="39"/>
      <c r="G514" s="36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>
      <c r="A515" s="41"/>
      <c r="B515" s="16"/>
      <c r="C515" s="16"/>
      <c r="D515" s="37"/>
      <c r="E515" s="16"/>
      <c r="F515" s="37"/>
      <c r="G515" s="38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40"/>
      <c r="B516" s="12"/>
      <c r="C516" s="12"/>
      <c r="D516" s="39"/>
      <c r="E516" s="12"/>
      <c r="F516" s="39"/>
      <c r="G516" s="36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>
      <c r="A517" s="41"/>
      <c r="B517" s="16"/>
      <c r="C517" s="16"/>
      <c r="D517" s="37"/>
      <c r="E517" s="16"/>
      <c r="F517" s="37"/>
      <c r="G517" s="38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40"/>
      <c r="B518" s="12"/>
      <c r="C518" s="12"/>
      <c r="D518" s="39"/>
      <c r="E518" s="12"/>
      <c r="F518" s="39"/>
      <c r="G518" s="36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>
      <c r="A519" s="41"/>
      <c r="B519" s="16"/>
      <c r="C519" s="16"/>
      <c r="D519" s="37"/>
      <c r="E519" s="16"/>
      <c r="F519" s="37"/>
      <c r="G519" s="38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40"/>
      <c r="B520" s="12"/>
      <c r="C520" s="12"/>
      <c r="D520" s="39"/>
      <c r="E520" s="12"/>
      <c r="F520" s="39"/>
      <c r="G520" s="36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>
      <c r="A521" s="41"/>
      <c r="B521" s="16"/>
      <c r="C521" s="16"/>
      <c r="D521" s="37"/>
      <c r="E521" s="16"/>
      <c r="F521" s="37"/>
      <c r="G521" s="38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40"/>
      <c r="B522" s="12"/>
      <c r="C522" s="12"/>
      <c r="D522" s="39"/>
      <c r="E522" s="12"/>
      <c r="F522" s="39"/>
      <c r="G522" s="36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>
      <c r="A523" s="41"/>
      <c r="B523" s="16"/>
      <c r="C523" s="16"/>
      <c r="D523" s="37"/>
      <c r="E523" s="16"/>
      <c r="F523" s="37"/>
      <c r="G523" s="38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40"/>
      <c r="B524" s="12"/>
      <c r="C524" s="12"/>
      <c r="D524" s="39"/>
      <c r="E524" s="12"/>
      <c r="F524" s="39"/>
      <c r="G524" s="36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>
      <c r="A525" s="41"/>
      <c r="B525" s="16"/>
      <c r="C525" s="16"/>
      <c r="D525" s="37"/>
      <c r="E525" s="16"/>
      <c r="F525" s="37"/>
      <c r="G525" s="38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40"/>
      <c r="B526" s="12"/>
      <c r="C526" s="12"/>
      <c r="D526" s="39"/>
      <c r="E526" s="12"/>
      <c r="F526" s="39"/>
      <c r="G526" s="36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>
      <c r="A527" s="41"/>
      <c r="B527" s="16"/>
      <c r="C527" s="16"/>
      <c r="D527" s="37"/>
      <c r="E527" s="16"/>
      <c r="F527" s="37"/>
      <c r="G527" s="38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40"/>
      <c r="B528" s="12"/>
      <c r="C528" s="12"/>
      <c r="D528" s="39"/>
      <c r="E528" s="12"/>
      <c r="F528" s="39"/>
      <c r="G528" s="36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>
      <c r="A529" s="41"/>
      <c r="B529" s="16"/>
      <c r="C529" s="16"/>
      <c r="D529" s="37"/>
      <c r="E529" s="16"/>
      <c r="F529" s="37"/>
      <c r="G529" s="38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40"/>
      <c r="B530" s="12"/>
      <c r="C530" s="12"/>
      <c r="D530" s="39"/>
      <c r="E530" s="12"/>
      <c r="F530" s="39"/>
      <c r="G530" s="36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>
      <c r="A531" s="41"/>
      <c r="B531" s="16"/>
      <c r="C531" s="16"/>
      <c r="D531" s="37"/>
      <c r="E531" s="16"/>
      <c r="F531" s="37"/>
      <c r="G531" s="38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40"/>
      <c r="B532" s="12"/>
      <c r="C532" s="12"/>
      <c r="D532" s="39"/>
      <c r="E532" s="12"/>
      <c r="F532" s="39"/>
      <c r="G532" s="36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>
      <c r="A533" s="41"/>
      <c r="B533" s="16"/>
      <c r="C533" s="16"/>
      <c r="D533" s="37"/>
      <c r="E533" s="16"/>
      <c r="F533" s="37"/>
      <c r="G533" s="38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40"/>
      <c r="B534" s="12"/>
      <c r="C534" s="12"/>
      <c r="D534" s="39"/>
      <c r="E534" s="12"/>
      <c r="F534" s="39"/>
      <c r="G534" s="36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>
      <c r="A535" s="41"/>
      <c r="B535" s="16"/>
      <c r="C535" s="16"/>
      <c r="D535" s="37"/>
      <c r="E535" s="16"/>
      <c r="F535" s="37"/>
      <c r="G535" s="38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40"/>
      <c r="B536" s="12"/>
      <c r="C536" s="12"/>
      <c r="D536" s="39"/>
      <c r="E536" s="12"/>
      <c r="F536" s="39"/>
      <c r="G536" s="36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>
      <c r="A537" s="41"/>
      <c r="B537" s="16"/>
      <c r="C537" s="16"/>
      <c r="D537" s="37"/>
      <c r="E537" s="16"/>
      <c r="F537" s="37"/>
      <c r="G537" s="38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40"/>
      <c r="B538" s="12"/>
      <c r="C538" s="12"/>
      <c r="D538" s="39"/>
      <c r="E538" s="12"/>
      <c r="F538" s="39"/>
      <c r="G538" s="36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>
      <c r="A539" s="41"/>
      <c r="B539" s="16"/>
      <c r="C539" s="16"/>
      <c r="D539" s="37"/>
      <c r="E539" s="16"/>
      <c r="F539" s="37"/>
      <c r="G539" s="38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40"/>
      <c r="B540" s="12"/>
      <c r="C540" s="12"/>
      <c r="D540" s="39"/>
      <c r="E540" s="12"/>
      <c r="F540" s="39"/>
      <c r="G540" s="36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>
      <c r="A541" s="41"/>
      <c r="B541" s="16"/>
      <c r="C541" s="16"/>
      <c r="D541" s="37"/>
      <c r="E541" s="16"/>
      <c r="F541" s="37"/>
      <c r="G541" s="38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40"/>
      <c r="B542" s="12"/>
      <c r="C542" s="12"/>
      <c r="D542" s="39"/>
      <c r="E542" s="12"/>
      <c r="F542" s="39"/>
      <c r="G542" s="36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>
      <c r="A543" s="41"/>
      <c r="B543" s="16"/>
      <c r="C543" s="16"/>
      <c r="D543" s="37"/>
      <c r="E543" s="16"/>
      <c r="F543" s="37"/>
      <c r="G543" s="38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40"/>
      <c r="B544" s="12"/>
      <c r="C544" s="12"/>
      <c r="D544" s="39"/>
      <c r="E544" s="12"/>
      <c r="F544" s="39"/>
      <c r="G544" s="36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>
      <c r="A545" s="41"/>
      <c r="B545" s="16"/>
      <c r="C545" s="16"/>
      <c r="D545" s="37"/>
      <c r="E545" s="16"/>
      <c r="F545" s="37"/>
      <c r="G545" s="38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40"/>
      <c r="B546" s="12"/>
      <c r="C546" s="12"/>
      <c r="D546" s="39"/>
      <c r="E546" s="12"/>
      <c r="F546" s="39"/>
      <c r="G546" s="36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>
      <c r="A547" s="41"/>
      <c r="B547" s="16"/>
      <c r="C547" s="16"/>
      <c r="D547" s="37"/>
      <c r="E547" s="16"/>
      <c r="F547" s="37"/>
      <c r="G547" s="38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40"/>
      <c r="B548" s="12"/>
      <c r="C548" s="12"/>
      <c r="D548" s="39"/>
      <c r="E548" s="12"/>
      <c r="F548" s="39"/>
      <c r="G548" s="36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>
      <c r="A549" s="41"/>
      <c r="B549" s="16"/>
      <c r="C549" s="16"/>
      <c r="D549" s="37"/>
      <c r="E549" s="16"/>
      <c r="F549" s="37"/>
      <c r="G549" s="38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40"/>
      <c r="B550" s="12"/>
      <c r="C550" s="12"/>
      <c r="D550" s="39"/>
      <c r="E550" s="12"/>
      <c r="F550" s="39"/>
      <c r="G550" s="36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>
      <c r="A551" s="41"/>
      <c r="B551" s="16"/>
      <c r="C551" s="16"/>
      <c r="D551" s="37"/>
      <c r="E551" s="16"/>
      <c r="F551" s="37"/>
      <c r="G551" s="38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40"/>
      <c r="B552" s="12"/>
      <c r="C552" s="12"/>
      <c r="D552" s="39"/>
      <c r="E552" s="12"/>
      <c r="F552" s="39"/>
      <c r="G552" s="36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>
      <c r="A553" s="41"/>
      <c r="B553" s="16"/>
      <c r="C553" s="16"/>
      <c r="D553" s="37"/>
      <c r="E553" s="16"/>
      <c r="F553" s="37"/>
      <c r="G553" s="38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40"/>
      <c r="B554" s="12"/>
      <c r="C554" s="12"/>
      <c r="D554" s="39"/>
      <c r="E554" s="12"/>
      <c r="F554" s="39"/>
      <c r="G554" s="36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>
      <c r="A555" s="41"/>
      <c r="B555" s="16"/>
      <c r="C555" s="16"/>
      <c r="D555" s="37"/>
      <c r="E555" s="16"/>
      <c r="F555" s="37"/>
      <c r="G555" s="38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40"/>
      <c r="B556" s="12"/>
      <c r="C556" s="12"/>
      <c r="D556" s="39"/>
      <c r="E556" s="12"/>
      <c r="F556" s="39"/>
      <c r="G556" s="36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>
      <c r="A557" s="41"/>
      <c r="B557" s="16"/>
      <c r="C557" s="16"/>
      <c r="D557" s="37"/>
      <c r="E557" s="16"/>
      <c r="F557" s="37"/>
      <c r="G557" s="38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40"/>
      <c r="B558" s="12"/>
      <c r="C558" s="12"/>
      <c r="D558" s="39"/>
      <c r="E558" s="12"/>
      <c r="F558" s="39"/>
      <c r="G558" s="36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>
      <c r="A559" s="41"/>
      <c r="B559" s="16"/>
      <c r="C559" s="16"/>
      <c r="D559" s="37"/>
      <c r="E559" s="16"/>
      <c r="F559" s="37"/>
      <c r="G559" s="38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40"/>
      <c r="B560" s="12"/>
      <c r="C560" s="12"/>
      <c r="D560" s="39"/>
      <c r="E560" s="12"/>
      <c r="F560" s="39"/>
      <c r="G560" s="36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>
      <c r="A561" s="41"/>
      <c r="B561" s="16"/>
      <c r="C561" s="16"/>
      <c r="D561" s="37"/>
      <c r="E561" s="16"/>
      <c r="F561" s="37"/>
      <c r="G561" s="38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40"/>
      <c r="B562" s="12"/>
      <c r="C562" s="12"/>
      <c r="D562" s="39"/>
      <c r="E562" s="12"/>
      <c r="F562" s="39"/>
      <c r="G562" s="36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>
      <c r="A563" s="41"/>
      <c r="B563" s="16"/>
      <c r="C563" s="16"/>
      <c r="D563" s="37"/>
      <c r="E563" s="16"/>
      <c r="F563" s="37"/>
      <c r="G563" s="38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40"/>
      <c r="B564" s="12"/>
      <c r="C564" s="12"/>
      <c r="D564" s="39"/>
      <c r="E564" s="12"/>
      <c r="F564" s="39"/>
      <c r="G564" s="36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>
      <c r="A565" s="41"/>
      <c r="B565" s="16"/>
      <c r="C565" s="16"/>
      <c r="D565" s="37"/>
      <c r="E565" s="16"/>
      <c r="F565" s="37"/>
      <c r="G565" s="38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40"/>
      <c r="B566" s="12"/>
      <c r="C566" s="12"/>
      <c r="D566" s="39"/>
      <c r="E566" s="12"/>
      <c r="F566" s="39"/>
      <c r="G566" s="36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>
      <c r="A567" s="41"/>
      <c r="B567" s="16"/>
      <c r="C567" s="16"/>
      <c r="D567" s="37"/>
      <c r="E567" s="16"/>
      <c r="F567" s="37"/>
      <c r="G567" s="38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40"/>
      <c r="B568" s="12"/>
      <c r="C568" s="12"/>
      <c r="D568" s="39"/>
      <c r="E568" s="12"/>
      <c r="F568" s="39"/>
      <c r="G568" s="36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>
      <c r="A569" s="41"/>
      <c r="B569" s="16"/>
      <c r="C569" s="16"/>
      <c r="D569" s="37"/>
      <c r="E569" s="16"/>
      <c r="F569" s="37"/>
      <c r="G569" s="38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40"/>
      <c r="B570" s="12"/>
      <c r="C570" s="12"/>
      <c r="D570" s="39"/>
      <c r="E570" s="12"/>
      <c r="F570" s="39"/>
      <c r="G570" s="36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>
      <c r="A571" s="41"/>
      <c r="B571" s="16"/>
      <c r="C571" s="16"/>
      <c r="D571" s="37"/>
      <c r="E571" s="16"/>
      <c r="F571" s="37"/>
      <c r="G571" s="38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40"/>
      <c r="B572" s="12"/>
      <c r="C572" s="12"/>
      <c r="D572" s="39"/>
      <c r="E572" s="12"/>
      <c r="F572" s="39"/>
      <c r="G572" s="36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>
      <c r="A573" s="41"/>
      <c r="B573" s="16"/>
      <c r="C573" s="16"/>
      <c r="D573" s="37"/>
      <c r="E573" s="16"/>
      <c r="F573" s="37"/>
      <c r="G573" s="38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40"/>
      <c r="B574" s="12"/>
      <c r="C574" s="12"/>
      <c r="D574" s="39"/>
      <c r="E574" s="12"/>
      <c r="F574" s="39"/>
      <c r="G574" s="36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>
      <c r="A575" s="41"/>
      <c r="B575" s="16"/>
      <c r="C575" s="16"/>
      <c r="D575" s="37"/>
      <c r="E575" s="16"/>
      <c r="F575" s="37"/>
      <c r="G575" s="38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40"/>
      <c r="B576" s="12"/>
      <c r="C576" s="12"/>
      <c r="D576" s="39"/>
      <c r="E576" s="12"/>
      <c r="F576" s="39"/>
      <c r="G576" s="36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>
      <c r="A577" s="41"/>
      <c r="B577" s="16"/>
      <c r="C577" s="16"/>
      <c r="D577" s="37"/>
      <c r="E577" s="16"/>
      <c r="F577" s="37"/>
      <c r="G577" s="38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40"/>
      <c r="B578" s="12"/>
      <c r="C578" s="12"/>
      <c r="D578" s="39"/>
      <c r="E578" s="12"/>
      <c r="F578" s="39"/>
      <c r="G578" s="36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>
      <c r="A579" s="41"/>
      <c r="B579" s="16"/>
      <c r="C579" s="16"/>
      <c r="D579" s="37"/>
      <c r="E579" s="16"/>
      <c r="F579" s="37"/>
      <c r="G579" s="38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40"/>
      <c r="B580" s="12"/>
      <c r="C580" s="12"/>
      <c r="D580" s="39"/>
      <c r="E580" s="12"/>
      <c r="F580" s="39"/>
      <c r="G580" s="36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>
      <c r="A581" s="41"/>
      <c r="B581" s="16"/>
      <c r="C581" s="16"/>
      <c r="D581" s="37"/>
      <c r="E581" s="16"/>
      <c r="F581" s="37"/>
      <c r="G581" s="38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40"/>
      <c r="B582" s="12"/>
      <c r="C582" s="12"/>
      <c r="D582" s="39"/>
      <c r="E582" s="12"/>
      <c r="F582" s="39"/>
      <c r="G582" s="36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>
      <c r="A583" s="41"/>
      <c r="B583" s="16"/>
      <c r="C583" s="16"/>
      <c r="D583" s="37"/>
      <c r="E583" s="16"/>
      <c r="F583" s="37"/>
      <c r="G583" s="38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40"/>
      <c r="B584" s="12"/>
      <c r="C584" s="12"/>
      <c r="D584" s="39"/>
      <c r="E584" s="12"/>
      <c r="F584" s="39"/>
      <c r="G584" s="36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>
      <c r="A585" s="41"/>
      <c r="B585" s="16"/>
      <c r="C585" s="16"/>
      <c r="D585" s="37"/>
      <c r="E585" s="16"/>
      <c r="F585" s="37"/>
      <c r="G585" s="38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40"/>
      <c r="B586" s="12"/>
      <c r="C586" s="12"/>
      <c r="D586" s="39"/>
      <c r="E586" s="12"/>
      <c r="F586" s="39"/>
      <c r="G586" s="36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>
      <c r="A587" s="41"/>
      <c r="B587" s="16"/>
      <c r="C587" s="16"/>
      <c r="D587" s="37"/>
      <c r="E587" s="16"/>
      <c r="F587" s="37"/>
      <c r="G587" s="38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40"/>
      <c r="B588" s="12"/>
      <c r="C588" s="12"/>
      <c r="D588" s="39"/>
      <c r="E588" s="12"/>
      <c r="F588" s="39"/>
      <c r="G588" s="36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>
      <c r="A589" s="41"/>
      <c r="B589" s="16"/>
      <c r="C589" s="16"/>
      <c r="D589" s="37"/>
      <c r="E589" s="16"/>
      <c r="F589" s="37"/>
      <c r="G589" s="38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40"/>
      <c r="B590" s="12"/>
      <c r="C590" s="12"/>
      <c r="D590" s="39"/>
      <c r="E590" s="12"/>
      <c r="F590" s="39"/>
      <c r="G590" s="36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>
      <c r="A591" s="41"/>
      <c r="B591" s="16"/>
      <c r="C591" s="16"/>
      <c r="D591" s="37"/>
      <c r="E591" s="16"/>
      <c r="F591" s="37"/>
      <c r="G591" s="38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40"/>
      <c r="B592" s="12"/>
      <c r="C592" s="12"/>
      <c r="D592" s="39"/>
      <c r="E592" s="12"/>
      <c r="F592" s="39"/>
      <c r="G592" s="36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>
      <c r="A593" s="41"/>
      <c r="B593" s="16"/>
      <c r="C593" s="16"/>
      <c r="D593" s="37"/>
      <c r="E593" s="16"/>
      <c r="F593" s="37"/>
      <c r="G593" s="38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40"/>
      <c r="B594" s="12"/>
      <c r="C594" s="12"/>
      <c r="D594" s="39"/>
      <c r="E594" s="12"/>
      <c r="F594" s="39"/>
      <c r="G594" s="36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>
      <c r="A595" s="41"/>
      <c r="B595" s="16"/>
      <c r="C595" s="16"/>
      <c r="D595" s="37"/>
      <c r="E595" s="16"/>
      <c r="F595" s="37"/>
      <c r="G595" s="38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40"/>
      <c r="B596" s="12"/>
      <c r="C596" s="12"/>
      <c r="D596" s="39"/>
      <c r="E596" s="12"/>
      <c r="F596" s="39"/>
      <c r="G596" s="36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>
      <c r="A597" s="41"/>
      <c r="B597" s="16"/>
      <c r="C597" s="16"/>
      <c r="D597" s="37"/>
      <c r="E597" s="16"/>
      <c r="F597" s="37"/>
      <c r="G597" s="38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40"/>
      <c r="B598" s="12"/>
      <c r="C598" s="12"/>
      <c r="D598" s="39"/>
      <c r="E598" s="12"/>
      <c r="F598" s="39"/>
      <c r="G598" s="36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>
      <c r="A599" s="41"/>
      <c r="B599" s="16"/>
      <c r="C599" s="16"/>
      <c r="D599" s="37"/>
      <c r="E599" s="16"/>
      <c r="F599" s="37"/>
      <c r="G599" s="38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40"/>
      <c r="B600" s="12"/>
      <c r="C600" s="12"/>
      <c r="D600" s="39"/>
      <c r="E600" s="12"/>
      <c r="F600" s="39"/>
      <c r="G600" s="36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>
      <c r="A601" s="41"/>
      <c r="B601" s="16"/>
      <c r="C601" s="16"/>
      <c r="D601" s="37"/>
      <c r="E601" s="16"/>
      <c r="F601" s="37"/>
      <c r="G601" s="38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40"/>
      <c r="B602" s="12"/>
      <c r="C602" s="12"/>
      <c r="D602" s="39"/>
      <c r="E602" s="12"/>
      <c r="F602" s="39"/>
      <c r="G602" s="36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>
      <c r="A603" s="41"/>
      <c r="B603" s="16"/>
      <c r="C603" s="16"/>
      <c r="D603" s="37"/>
      <c r="E603" s="16"/>
      <c r="F603" s="37"/>
      <c r="G603" s="38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40"/>
      <c r="B604" s="12"/>
      <c r="C604" s="12"/>
      <c r="D604" s="39"/>
      <c r="E604" s="12"/>
      <c r="F604" s="39"/>
      <c r="G604" s="36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>
      <c r="A605" s="41"/>
      <c r="B605" s="16"/>
      <c r="C605" s="16"/>
      <c r="D605" s="37"/>
      <c r="E605" s="16"/>
      <c r="F605" s="37"/>
      <c r="G605" s="38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40"/>
      <c r="B606" s="12"/>
      <c r="C606" s="12"/>
      <c r="D606" s="39"/>
      <c r="E606" s="12"/>
      <c r="F606" s="39"/>
      <c r="G606" s="36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>
      <c r="A607" s="41"/>
      <c r="B607" s="16"/>
      <c r="C607" s="16"/>
      <c r="D607" s="37"/>
      <c r="E607" s="16"/>
      <c r="F607" s="37"/>
      <c r="G607" s="38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40"/>
      <c r="B608" s="12"/>
      <c r="C608" s="12"/>
      <c r="D608" s="39"/>
      <c r="E608" s="12"/>
      <c r="F608" s="39"/>
      <c r="G608" s="36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>
      <c r="A609" s="41"/>
      <c r="B609" s="16"/>
      <c r="C609" s="16"/>
      <c r="D609" s="37"/>
      <c r="E609" s="16"/>
      <c r="F609" s="37"/>
      <c r="G609" s="38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40"/>
      <c r="B610" s="12"/>
      <c r="C610" s="12"/>
      <c r="D610" s="39"/>
      <c r="E610" s="12"/>
      <c r="F610" s="39"/>
      <c r="G610" s="36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>
      <c r="A611" s="41"/>
      <c r="B611" s="16"/>
      <c r="C611" s="16"/>
      <c r="D611" s="37"/>
      <c r="E611" s="16"/>
      <c r="F611" s="37"/>
      <c r="G611" s="38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40"/>
      <c r="B612" s="12"/>
      <c r="C612" s="12"/>
      <c r="D612" s="39"/>
      <c r="E612" s="12"/>
      <c r="F612" s="39"/>
      <c r="G612" s="36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>
      <c r="A613" s="41"/>
      <c r="B613" s="16"/>
      <c r="C613" s="16"/>
      <c r="D613" s="37"/>
      <c r="E613" s="16"/>
      <c r="F613" s="37"/>
      <c r="G613" s="38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40"/>
      <c r="B614" s="12"/>
      <c r="C614" s="12"/>
      <c r="D614" s="39"/>
      <c r="E614" s="12"/>
      <c r="F614" s="39"/>
      <c r="G614" s="36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>
      <c r="A615" s="41"/>
      <c r="B615" s="16"/>
      <c r="C615" s="16"/>
      <c r="D615" s="37"/>
      <c r="E615" s="16"/>
      <c r="F615" s="37"/>
      <c r="G615" s="38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40"/>
      <c r="B616" s="12"/>
      <c r="C616" s="12"/>
      <c r="D616" s="39"/>
      <c r="E616" s="12"/>
      <c r="F616" s="39"/>
      <c r="G616" s="36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>
      <c r="A617" s="41"/>
      <c r="B617" s="16"/>
      <c r="C617" s="16"/>
      <c r="D617" s="37"/>
      <c r="E617" s="16"/>
      <c r="F617" s="37"/>
      <c r="G617" s="38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40"/>
      <c r="B618" s="12"/>
      <c r="C618" s="12"/>
      <c r="D618" s="39"/>
      <c r="E618" s="12"/>
      <c r="F618" s="39"/>
      <c r="G618" s="36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>
      <c r="A619" s="41"/>
      <c r="B619" s="16"/>
      <c r="C619" s="16"/>
      <c r="D619" s="37"/>
      <c r="E619" s="16"/>
      <c r="F619" s="37"/>
      <c r="G619" s="38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40"/>
      <c r="B620" s="12"/>
      <c r="C620" s="12"/>
      <c r="D620" s="39"/>
      <c r="E620" s="12"/>
      <c r="F620" s="39"/>
      <c r="G620" s="36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>
      <c r="A621" s="41"/>
      <c r="B621" s="16"/>
      <c r="C621" s="16"/>
      <c r="D621" s="37"/>
      <c r="E621" s="16"/>
      <c r="F621" s="37"/>
      <c r="G621" s="38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40"/>
      <c r="B622" s="12"/>
      <c r="C622" s="12"/>
      <c r="D622" s="39"/>
      <c r="E622" s="12"/>
      <c r="F622" s="39"/>
      <c r="G622" s="36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>
      <c r="A623" s="41"/>
      <c r="B623" s="16"/>
      <c r="C623" s="16"/>
      <c r="D623" s="37"/>
      <c r="E623" s="16"/>
      <c r="F623" s="37"/>
      <c r="G623" s="38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40"/>
      <c r="B624" s="12"/>
      <c r="C624" s="12"/>
      <c r="D624" s="39"/>
      <c r="E624" s="12"/>
      <c r="F624" s="39"/>
      <c r="G624" s="36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>
      <c r="A625" s="41"/>
      <c r="B625" s="16"/>
      <c r="C625" s="16"/>
      <c r="D625" s="37"/>
      <c r="E625" s="16"/>
      <c r="F625" s="37"/>
      <c r="G625" s="38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40"/>
      <c r="B626" s="12"/>
      <c r="C626" s="12"/>
      <c r="D626" s="39"/>
      <c r="E626" s="12"/>
      <c r="F626" s="39"/>
      <c r="G626" s="36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>
      <c r="A627" s="41"/>
      <c r="B627" s="16"/>
      <c r="C627" s="16"/>
      <c r="D627" s="37"/>
      <c r="E627" s="16"/>
      <c r="F627" s="37"/>
      <c r="G627" s="38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40"/>
      <c r="B628" s="12"/>
      <c r="C628" s="12"/>
      <c r="D628" s="39"/>
      <c r="E628" s="12"/>
      <c r="F628" s="39"/>
      <c r="G628" s="36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>
      <c r="A629" s="41"/>
      <c r="B629" s="16"/>
      <c r="C629" s="16"/>
      <c r="D629" s="37"/>
      <c r="E629" s="16"/>
      <c r="F629" s="37"/>
      <c r="G629" s="38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40"/>
      <c r="B630" s="12"/>
      <c r="C630" s="12"/>
      <c r="D630" s="39"/>
      <c r="E630" s="12"/>
      <c r="F630" s="39"/>
      <c r="G630" s="36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>
      <c r="A631" s="41"/>
      <c r="B631" s="16"/>
      <c r="C631" s="16"/>
      <c r="D631" s="37"/>
      <c r="E631" s="16"/>
      <c r="F631" s="37"/>
      <c r="G631" s="38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40"/>
      <c r="B632" s="12"/>
      <c r="C632" s="12"/>
      <c r="D632" s="39"/>
      <c r="E632" s="12"/>
      <c r="F632" s="39"/>
      <c r="G632" s="36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>
      <c r="A633" s="41"/>
      <c r="B633" s="16"/>
      <c r="C633" s="16"/>
      <c r="D633" s="37"/>
      <c r="E633" s="16"/>
      <c r="F633" s="37"/>
      <c r="G633" s="38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40"/>
      <c r="B634" s="12"/>
      <c r="C634" s="12"/>
      <c r="D634" s="39"/>
      <c r="E634" s="12"/>
      <c r="F634" s="39"/>
      <c r="G634" s="36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>
      <c r="A635" s="41"/>
      <c r="B635" s="16"/>
      <c r="C635" s="16"/>
      <c r="D635" s="37"/>
      <c r="E635" s="16"/>
      <c r="F635" s="37"/>
      <c r="G635" s="38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40"/>
      <c r="B636" s="12"/>
      <c r="C636" s="12"/>
      <c r="D636" s="39"/>
      <c r="E636" s="12"/>
      <c r="F636" s="39"/>
      <c r="G636" s="36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>
      <c r="A637" s="41"/>
      <c r="B637" s="16"/>
      <c r="C637" s="16"/>
      <c r="D637" s="37"/>
      <c r="E637" s="16"/>
      <c r="F637" s="37"/>
      <c r="G637" s="38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40"/>
      <c r="B638" s="12"/>
      <c r="C638" s="12"/>
      <c r="D638" s="39"/>
      <c r="E638" s="12"/>
      <c r="F638" s="39"/>
      <c r="G638" s="36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>
      <c r="A639" s="41"/>
      <c r="B639" s="16"/>
      <c r="C639" s="16"/>
      <c r="D639" s="37"/>
      <c r="E639" s="16"/>
      <c r="F639" s="37"/>
      <c r="G639" s="38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40"/>
      <c r="B640" s="12"/>
      <c r="C640" s="12"/>
      <c r="D640" s="39"/>
      <c r="E640" s="12"/>
      <c r="F640" s="39"/>
      <c r="G640" s="36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>
      <c r="A641" s="41"/>
      <c r="B641" s="16"/>
      <c r="C641" s="16"/>
      <c r="D641" s="37"/>
      <c r="E641" s="16"/>
      <c r="F641" s="37"/>
      <c r="G641" s="38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40"/>
      <c r="B642" s="12"/>
      <c r="C642" s="12"/>
      <c r="D642" s="39"/>
      <c r="E642" s="12"/>
      <c r="F642" s="39"/>
      <c r="G642" s="36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>
      <c r="A643" s="41"/>
      <c r="B643" s="16"/>
      <c r="C643" s="16"/>
      <c r="D643" s="37"/>
      <c r="E643" s="16"/>
      <c r="F643" s="37"/>
      <c r="G643" s="38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40"/>
      <c r="B644" s="12"/>
      <c r="C644" s="12"/>
      <c r="D644" s="39"/>
      <c r="E644" s="12"/>
      <c r="F644" s="39"/>
      <c r="G644" s="36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>
      <c r="A645" s="41"/>
      <c r="B645" s="16"/>
      <c r="C645" s="16"/>
      <c r="D645" s="37"/>
      <c r="E645" s="16"/>
      <c r="F645" s="37"/>
      <c r="G645" s="38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40"/>
      <c r="B646" s="12"/>
      <c r="C646" s="12"/>
      <c r="D646" s="39"/>
      <c r="E646" s="12"/>
      <c r="F646" s="39"/>
      <c r="G646" s="36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>
      <c r="A647" s="41"/>
      <c r="B647" s="16"/>
      <c r="C647" s="16"/>
      <c r="D647" s="37"/>
      <c r="E647" s="16"/>
      <c r="F647" s="37"/>
      <c r="G647" s="38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40"/>
      <c r="B648" s="12"/>
      <c r="C648" s="12"/>
      <c r="D648" s="39"/>
      <c r="E648" s="12"/>
      <c r="F648" s="39"/>
      <c r="G648" s="36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>
      <c r="A649" s="41"/>
      <c r="B649" s="16"/>
      <c r="C649" s="16"/>
      <c r="D649" s="37"/>
      <c r="E649" s="16"/>
      <c r="F649" s="37"/>
      <c r="G649" s="38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40"/>
      <c r="B650" s="12"/>
      <c r="C650" s="12"/>
      <c r="D650" s="39"/>
      <c r="E650" s="12"/>
      <c r="F650" s="39"/>
      <c r="G650" s="36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>
      <c r="A651" s="41"/>
      <c r="B651" s="16"/>
      <c r="C651" s="16"/>
      <c r="D651" s="37"/>
      <c r="E651" s="16"/>
      <c r="F651" s="37"/>
      <c r="G651" s="38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40"/>
      <c r="B652" s="12"/>
      <c r="C652" s="12"/>
      <c r="D652" s="39"/>
      <c r="E652" s="12"/>
      <c r="F652" s="39"/>
      <c r="G652" s="36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>
      <c r="A653" s="41"/>
      <c r="B653" s="16"/>
      <c r="C653" s="16"/>
      <c r="D653" s="37"/>
      <c r="E653" s="16"/>
      <c r="F653" s="37"/>
      <c r="G653" s="38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40"/>
      <c r="B654" s="12"/>
      <c r="C654" s="12"/>
      <c r="D654" s="39"/>
      <c r="E654" s="12"/>
      <c r="F654" s="39"/>
      <c r="G654" s="36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>
      <c r="A655" s="41"/>
      <c r="B655" s="16"/>
      <c r="C655" s="16"/>
      <c r="D655" s="37"/>
      <c r="E655" s="16"/>
      <c r="F655" s="37"/>
      <c r="G655" s="38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40"/>
      <c r="B656" s="12"/>
      <c r="C656" s="12"/>
      <c r="D656" s="39"/>
      <c r="E656" s="12"/>
      <c r="F656" s="39"/>
      <c r="G656" s="36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>
      <c r="A657" s="41"/>
      <c r="B657" s="16"/>
      <c r="C657" s="16"/>
      <c r="D657" s="37"/>
      <c r="E657" s="16"/>
      <c r="F657" s="37"/>
      <c r="G657" s="38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40"/>
      <c r="B658" s="12"/>
      <c r="C658" s="12"/>
      <c r="D658" s="39"/>
      <c r="E658" s="12"/>
      <c r="F658" s="39"/>
      <c r="G658" s="36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>
      <c r="A659" s="41"/>
      <c r="B659" s="16"/>
      <c r="C659" s="16"/>
      <c r="D659" s="37"/>
      <c r="E659" s="16"/>
      <c r="F659" s="37"/>
      <c r="G659" s="38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40"/>
      <c r="B660" s="12"/>
      <c r="C660" s="12"/>
      <c r="D660" s="39"/>
      <c r="E660" s="12"/>
      <c r="F660" s="39"/>
      <c r="G660" s="36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>
      <c r="A661" s="41"/>
      <c r="B661" s="16"/>
      <c r="C661" s="16"/>
      <c r="D661" s="37"/>
      <c r="E661" s="16"/>
      <c r="F661" s="37"/>
      <c r="G661" s="38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40"/>
      <c r="B662" s="12"/>
      <c r="C662" s="12"/>
      <c r="D662" s="39"/>
      <c r="E662" s="12"/>
      <c r="F662" s="39"/>
      <c r="G662" s="36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>
      <c r="A663" s="41"/>
      <c r="B663" s="16"/>
      <c r="C663" s="16"/>
      <c r="D663" s="37"/>
      <c r="E663" s="16"/>
      <c r="F663" s="37"/>
      <c r="G663" s="38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40"/>
      <c r="B664" s="12"/>
      <c r="C664" s="12"/>
      <c r="D664" s="39"/>
      <c r="E664" s="12"/>
      <c r="F664" s="39"/>
      <c r="G664" s="36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>
      <c r="A665" s="41"/>
      <c r="B665" s="16"/>
      <c r="C665" s="16"/>
      <c r="D665" s="37"/>
      <c r="E665" s="16"/>
      <c r="F665" s="37"/>
      <c r="G665" s="38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40"/>
      <c r="B666" s="12"/>
      <c r="C666" s="12"/>
      <c r="D666" s="39"/>
      <c r="E666" s="12"/>
      <c r="F666" s="39"/>
      <c r="G666" s="36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>
      <c r="A667" s="41"/>
      <c r="B667" s="16"/>
      <c r="C667" s="16"/>
      <c r="D667" s="37"/>
      <c r="E667" s="16"/>
      <c r="F667" s="37"/>
      <c r="G667" s="38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40"/>
      <c r="B668" s="12"/>
      <c r="C668" s="12"/>
      <c r="D668" s="39"/>
      <c r="E668" s="12"/>
      <c r="F668" s="39"/>
      <c r="G668" s="36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>
      <c r="A669" s="41"/>
      <c r="B669" s="16"/>
      <c r="C669" s="16"/>
      <c r="D669" s="37"/>
      <c r="E669" s="16"/>
      <c r="F669" s="37"/>
      <c r="G669" s="38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40"/>
      <c r="B670" s="12"/>
      <c r="C670" s="12"/>
      <c r="D670" s="39"/>
      <c r="E670" s="12"/>
      <c r="F670" s="39"/>
      <c r="G670" s="36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>
      <c r="A671" s="41"/>
      <c r="B671" s="16"/>
      <c r="C671" s="16"/>
      <c r="D671" s="37"/>
      <c r="E671" s="16"/>
      <c r="F671" s="37"/>
      <c r="G671" s="38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40"/>
      <c r="B672" s="12"/>
      <c r="C672" s="12"/>
      <c r="D672" s="39"/>
      <c r="E672" s="12"/>
      <c r="F672" s="39"/>
      <c r="G672" s="36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>
      <c r="A673" s="41"/>
      <c r="B673" s="16"/>
      <c r="C673" s="16"/>
      <c r="D673" s="37"/>
      <c r="E673" s="16"/>
      <c r="F673" s="37"/>
      <c r="G673" s="38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40"/>
      <c r="B674" s="12"/>
      <c r="C674" s="12"/>
      <c r="D674" s="39"/>
      <c r="E674" s="12"/>
      <c r="F674" s="39"/>
      <c r="G674" s="36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>
      <c r="A675" s="41"/>
      <c r="B675" s="16"/>
      <c r="C675" s="16"/>
      <c r="D675" s="37"/>
      <c r="E675" s="16"/>
      <c r="F675" s="37"/>
      <c r="G675" s="38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40"/>
      <c r="B676" s="12"/>
      <c r="C676" s="12"/>
      <c r="D676" s="39"/>
      <c r="E676" s="12"/>
      <c r="F676" s="39"/>
      <c r="G676" s="36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>
      <c r="A677" s="41"/>
      <c r="B677" s="16"/>
      <c r="C677" s="16"/>
      <c r="D677" s="37"/>
      <c r="E677" s="16"/>
      <c r="F677" s="37"/>
      <c r="G677" s="38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40"/>
      <c r="B678" s="12"/>
      <c r="C678" s="12"/>
      <c r="D678" s="39"/>
      <c r="E678" s="12"/>
      <c r="F678" s="39"/>
      <c r="G678" s="36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>
      <c r="A679" s="41"/>
      <c r="B679" s="16"/>
      <c r="C679" s="16"/>
      <c r="D679" s="37"/>
      <c r="E679" s="16"/>
      <c r="F679" s="37"/>
      <c r="G679" s="38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40"/>
      <c r="B680" s="12"/>
      <c r="C680" s="12"/>
      <c r="D680" s="39"/>
      <c r="E680" s="12"/>
      <c r="F680" s="39"/>
      <c r="G680" s="36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>
      <c r="A681" s="41"/>
      <c r="B681" s="16"/>
      <c r="C681" s="16"/>
      <c r="D681" s="37"/>
      <c r="E681" s="16"/>
      <c r="F681" s="37"/>
      <c r="G681" s="38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40"/>
      <c r="B682" s="12"/>
      <c r="C682" s="12"/>
      <c r="D682" s="39"/>
      <c r="E682" s="12"/>
      <c r="F682" s="39"/>
      <c r="G682" s="36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>
      <c r="A683" s="41"/>
      <c r="B683" s="16"/>
      <c r="C683" s="16"/>
      <c r="D683" s="37"/>
      <c r="E683" s="16"/>
      <c r="F683" s="37"/>
      <c r="G683" s="38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40"/>
      <c r="B684" s="12"/>
      <c r="C684" s="12"/>
      <c r="D684" s="39"/>
      <c r="E684" s="12"/>
      <c r="F684" s="39"/>
      <c r="G684" s="36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>
      <c r="A685" s="41"/>
      <c r="B685" s="16"/>
      <c r="C685" s="16"/>
      <c r="D685" s="37"/>
      <c r="E685" s="16"/>
      <c r="F685" s="37"/>
      <c r="G685" s="38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40"/>
      <c r="B686" s="12"/>
      <c r="C686" s="12"/>
      <c r="D686" s="39"/>
      <c r="E686" s="12"/>
      <c r="F686" s="39"/>
      <c r="G686" s="36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>
      <c r="A687" s="41"/>
      <c r="B687" s="16"/>
      <c r="C687" s="16"/>
      <c r="D687" s="37"/>
      <c r="E687" s="16"/>
      <c r="F687" s="37"/>
      <c r="G687" s="38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40"/>
      <c r="B688" s="12"/>
      <c r="C688" s="12"/>
      <c r="D688" s="39"/>
      <c r="E688" s="12"/>
      <c r="F688" s="39"/>
      <c r="G688" s="36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>
      <c r="A689" s="41"/>
      <c r="B689" s="16"/>
      <c r="C689" s="16"/>
      <c r="D689" s="37"/>
      <c r="E689" s="16"/>
      <c r="F689" s="37"/>
      <c r="G689" s="38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40"/>
      <c r="B690" s="12"/>
      <c r="C690" s="12"/>
      <c r="D690" s="39"/>
      <c r="E690" s="12"/>
      <c r="F690" s="39"/>
      <c r="G690" s="36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>
      <c r="A691" s="41"/>
      <c r="B691" s="16"/>
      <c r="C691" s="16"/>
      <c r="D691" s="37"/>
      <c r="E691" s="16"/>
      <c r="F691" s="37"/>
      <c r="G691" s="38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40"/>
      <c r="B692" s="12"/>
      <c r="C692" s="12"/>
      <c r="D692" s="39"/>
      <c r="E692" s="12"/>
      <c r="F692" s="39"/>
      <c r="G692" s="36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>
      <c r="A693" s="41"/>
      <c r="B693" s="16"/>
      <c r="C693" s="16"/>
      <c r="D693" s="37"/>
      <c r="E693" s="16"/>
      <c r="F693" s="37"/>
      <c r="G693" s="38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40"/>
      <c r="B694" s="12"/>
      <c r="C694" s="12"/>
      <c r="D694" s="39"/>
      <c r="E694" s="12"/>
      <c r="F694" s="39"/>
      <c r="G694" s="36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>
      <c r="A695" s="41"/>
      <c r="B695" s="16"/>
      <c r="C695" s="16"/>
      <c r="D695" s="37"/>
      <c r="E695" s="16"/>
      <c r="F695" s="37"/>
      <c r="G695" s="38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40"/>
      <c r="B696" s="12"/>
      <c r="C696" s="12"/>
      <c r="D696" s="39"/>
      <c r="E696" s="12"/>
      <c r="F696" s="39"/>
      <c r="G696" s="36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>
      <c r="A697" s="41"/>
      <c r="B697" s="16"/>
      <c r="C697" s="16"/>
      <c r="D697" s="37"/>
      <c r="E697" s="16"/>
      <c r="F697" s="37"/>
      <c r="G697" s="38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40"/>
      <c r="B698" s="12"/>
      <c r="C698" s="12"/>
      <c r="D698" s="39"/>
      <c r="E698" s="12"/>
      <c r="F698" s="39"/>
      <c r="G698" s="36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>
      <c r="A699" s="41"/>
      <c r="B699" s="16"/>
      <c r="C699" s="16"/>
      <c r="D699" s="37"/>
      <c r="E699" s="16"/>
      <c r="F699" s="37"/>
      <c r="G699" s="38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40"/>
      <c r="B700" s="12"/>
      <c r="C700" s="12"/>
      <c r="D700" s="39"/>
      <c r="E700" s="12"/>
      <c r="F700" s="39"/>
      <c r="G700" s="36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>
      <c r="A701" s="41"/>
      <c r="B701" s="16"/>
      <c r="C701" s="16"/>
      <c r="D701" s="37"/>
      <c r="E701" s="16"/>
      <c r="F701" s="37"/>
      <c r="G701" s="38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40"/>
      <c r="B702" s="12"/>
      <c r="C702" s="12"/>
      <c r="D702" s="39"/>
      <c r="E702" s="12"/>
      <c r="F702" s="39"/>
      <c r="G702" s="36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>
      <c r="A703" s="41"/>
      <c r="B703" s="16"/>
      <c r="C703" s="16"/>
      <c r="D703" s="37"/>
      <c r="E703" s="16"/>
      <c r="F703" s="37"/>
      <c r="G703" s="38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40"/>
      <c r="B704" s="12"/>
      <c r="C704" s="12"/>
      <c r="D704" s="39"/>
      <c r="E704" s="12"/>
      <c r="F704" s="39"/>
      <c r="G704" s="36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>
      <c r="A705" s="41"/>
      <c r="B705" s="16"/>
      <c r="C705" s="16"/>
      <c r="D705" s="37"/>
      <c r="E705" s="16"/>
      <c r="F705" s="37"/>
      <c r="G705" s="38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40"/>
      <c r="B706" s="12"/>
      <c r="C706" s="12"/>
      <c r="D706" s="39"/>
      <c r="E706" s="12"/>
      <c r="F706" s="39"/>
      <c r="G706" s="36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>
      <c r="A707" s="41"/>
      <c r="B707" s="16"/>
      <c r="C707" s="16"/>
      <c r="D707" s="37"/>
      <c r="E707" s="16"/>
      <c r="F707" s="37"/>
      <c r="G707" s="38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40"/>
      <c r="B708" s="12"/>
      <c r="C708" s="12"/>
      <c r="D708" s="39"/>
      <c r="E708" s="12"/>
      <c r="F708" s="39"/>
      <c r="G708" s="36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>
      <c r="A709" s="41"/>
      <c r="B709" s="16"/>
      <c r="C709" s="16"/>
      <c r="D709" s="37"/>
      <c r="E709" s="16"/>
      <c r="F709" s="37"/>
      <c r="G709" s="38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40"/>
      <c r="B710" s="12"/>
      <c r="C710" s="12"/>
      <c r="D710" s="39"/>
      <c r="E710" s="12"/>
      <c r="F710" s="39"/>
      <c r="G710" s="36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>
      <c r="A711" s="41"/>
      <c r="B711" s="16"/>
      <c r="C711" s="16"/>
      <c r="D711" s="37"/>
      <c r="E711" s="16"/>
      <c r="F711" s="37"/>
      <c r="G711" s="38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40"/>
      <c r="B712" s="12"/>
      <c r="C712" s="12"/>
      <c r="D712" s="39"/>
      <c r="E712" s="12"/>
      <c r="F712" s="39"/>
      <c r="G712" s="36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>
      <c r="A713" s="41"/>
      <c r="B713" s="16"/>
      <c r="C713" s="16"/>
      <c r="D713" s="37"/>
      <c r="E713" s="16"/>
      <c r="F713" s="37"/>
      <c r="G713" s="38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40"/>
      <c r="B714" s="12"/>
      <c r="C714" s="12"/>
      <c r="D714" s="39"/>
      <c r="E714" s="12"/>
      <c r="F714" s="39"/>
      <c r="G714" s="36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>
      <c r="A715" s="41"/>
      <c r="B715" s="16"/>
      <c r="C715" s="16"/>
      <c r="D715" s="37"/>
      <c r="E715" s="16"/>
      <c r="F715" s="37"/>
      <c r="G715" s="38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40"/>
      <c r="B716" s="12"/>
      <c r="C716" s="12"/>
      <c r="D716" s="39"/>
      <c r="E716" s="12"/>
      <c r="F716" s="39"/>
      <c r="G716" s="36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>
      <c r="A717" s="41"/>
      <c r="B717" s="16"/>
      <c r="C717" s="16"/>
      <c r="D717" s="37"/>
      <c r="E717" s="16"/>
      <c r="F717" s="37"/>
      <c r="G717" s="38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40"/>
      <c r="B718" s="12"/>
      <c r="C718" s="12"/>
      <c r="D718" s="39"/>
      <c r="E718" s="12"/>
      <c r="F718" s="39"/>
      <c r="G718" s="36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>
      <c r="A719" s="41"/>
      <c r="B719" s="16"/>
      <c r="C719" s="16"/>
      <c r="D719" s="37"/>
      <c r="E719" s="16"/>
      <c r="F719" s="37"/>
      <c r="G719" s="38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40"/>
      <c r="B720" s="12"/>
      <c r="C720" s="12"/>
      <c r="D720" s="39"/>
      <c r="E720" s="12"/>
      <c r="F720" s="39"/>
      <c r="G720" s="36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>
      <c r="A721" s="41"/>
      <c r="B721" s="16"/>
      <c r="C721" s="16"/>
      <c r="D721" s="37"/>
      <c r="E721" s="16"/>
      <c r="F721" s="37"/>
      <c r="G721" s="38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40"/>
      <c r="B722" s="12"/>
      <c r="C722" s="12"/>
      <c r="D722" s="39"/>
      <c r="E722" s="12"/>
      <c r="F722" s="39"/>
      <c r="G722" s="36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>
      <c r="A723" s="41"/>
      <c r="B723" s="16"/>
      <c r="C723" s="16"/>
      <c r="D723" s="37"/>
      <c r="E723" s="16"/>
      <c r="F723" s="37"/>
      <c r="G723" s="38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40"/>
      <c r="B724" s="12"/>
      <c r="C724" s="12"/>
      <c r="D724" s="39"/>
      <c r="E724" s="12"/>
      <c r="F724" s="39"/>
      <c r="G724" s="36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>
      <c r="A725" s="41"/>
      <c r="B725" s="16"/>
      <c r="C725" s="16"/>
      <c r="D725" s="37"/>
      <c r="E725" s="16"/>
      <c r="F725" s="37"/>
      <c r="G725" s="38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40"/>
      <c r="B726" s="12"/>
      <c r="C726" s="12"/>
      <c r="D726" s="39"/>
      <c r="E726" s="12"/>
      <c r="F726" s="39"/>
      <c r="G726" s="36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>
      <c r="A727" s="41"/>
      <c r="B727" s="16"/>
      <c r="C727" s="16"/>
      <c r="D727" s="37"/>
      <c r="E727" s="16"/>
      <c r="F727" s="37"/>
      <c r="G727" s="38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40"/>
      <c r="B728" s="12"/>
      <c r="C728" s="12"/>
      <c r="D728" s="39"/>
      <c r="E728" s="12"/>
      <c r="F728" s="39"/>
      <c r="G728" s="36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>
      <c r="A729" s="41"/>
      <c r="B729" s="16"/>
      <c r="C729" s="16"/>
      <c r="D729" s="37"/>
      <c r="E729" s="16"/>
      <c r="F729" s="37"/>
      <c r="G729" s="38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40"/>
      <c r="B730" s="12"/>
      <c r="C730" s="12"/>
      <c r="D730" s="39"/>
      <c r="E730" s="12"/>
      <c r="F730" s="39"/>
      <c r="G730" s="36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>
      <c r="A731" s="41"/>
      <c r="B731" s="16"/>
      <c r="C731" s="16"/>
      <c r="D731" s="37"/>
      <c r="E731" s="16"/>
      <c r="F731" s="37"/>
      <c r="G731" s="38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40"/>
      <c r="B732" s="12"/>
      <c r="C732" s="12"/>
      <c r="D732" s="39"/>
      <c r="E732" s="12"/>
      <c r="F732" s="39"/>
      <c r="G732" s="36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>
      <c r="A733" s="41"/>
      <c r="B733" s="16"/>
      <c r="C733" s="16"/>
      <c r="D733" s="37"/>
      <c r="E733" s="16"/>
      <c r="F733" s="37"/>
      <c r="G733" s="38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40"/>
      <c r="B734" s="12"/>
      <c r="C734" s="12"/>
      <c r="D734" s="39"/>
      <c r="E734" s="12"/>
      <c r="F734" s="39"/>
      <c r="G734" s="36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>
      <c r="A735" s="41"/>
      <c r="B735" s="16"/>
      <c r="C735" s="16"/>
      <c r="D735" s="37"/>
      <c r="E735" s="16"/>
      <c r="F735" s="37"/>
      <c r="G735" s="38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40"/>
      <c r="B736" s="12"/>
      <c r="C736" s="12"/>
      <c r="D736" s="39"/>
      <c r="E736" s="12"/>
      <c r="F736" s="39"/>
      <c r="G736" s="36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>
      <c r="A737" s="41"/>
      <c r="B737" s="16"/>
      <c r="C737" s="16"/>
      <c r="D737" s="37"/>
      <c r="E737" s="16"/>
      <c r="F737" s="37"/>
      <c r="G737" s="38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40"/>
      <c r="B738" s="12"/>
      <c r="C738" s="12"/>
      <c r="D738" s="39"/>
      <c r="E738" s="12"/>
      <c r="F738" s="39"/>
      <c r="G738" s="36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>
      <c r="A739" s="41"/>
      <c r="B739" s="16"/>
      <c r="C739" s="16"/>
      <c r="D739" s="37"/>
      <c r="E739" s="16"/>
      <c r="F739" s="37"/>
      <c r="G739" s="38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40"/>
      <c r="B740" s="12"/>
      <c r="C740" s="12"/>
      <c r="D740" s="39"/>
      <c r="E740" s="12"/>
      <c r="F740" s="39"/>
      <c r="G740" s="36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>
      <c r="A741" s="41"/>
      <c r="B741" s="16"/>
      <c r="C741" s="16"/>
      <c r="D741" s="37"/>
      <c r="E741" s="16"/>
      <c r="F741" s="37"/>
      <c r="G741" s="38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40"/>
      <c r="B742" s="12"/>
      <c r="C742" s="12"/>
      <c r="D742" s="39"/>
      <c r="E742" s="12"/>
      <c r="F742" s="39"/>
      <c r="G742" s="36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>
      <c r="A743" s="41"/>
      <c r="B743" s="16"/>
      <c r="C743" s="16"/>
      <c r="D743" s="37"/>
      <c r="E743" s="16"/>
      <c r="F743" s="37"/>
      <c r="G743" s="38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40"/>
      <c r="B744" s="12"/>
      <c r="C744" s="12"/>
      <c r="D744" s="39"/>
      <c r="E744" s="12"/>
      <c r="F744" s="39"/>
      <c r="G744" s="36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>
      <c r="A745" s="41"/>
      <c r="B745" s="16"/>
      <c r="C745" s="16"/>
      <c r="D745" s="37"/>
      <c r="E745" s="16"/>
      <c r="F745" s="37"/>
      <c r="G745" s="38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40"/>
      <c r="B746" s="12"/>
      <c r="C746" s="12"/>
      <c r="D746" s="39"/>
      <c r="E746" s="12"/>
      <c r="F746" s="39"/>
      <c r="G746" s="36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>
      <c r="A747" s="41"/>
      <c r="B747" s="16"/>
      <c r="C747" s="16"/>
      <c r="D747" s="37"/>
      <c r="E747" s="16"/>
      <c r="F747" s="37"/>
      <c r="G747" s="38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40"/>
      <c r="B748" s="12"/>
      <c r="C748" s="12"/>
      <c r="D748" s="39"/>
      <c r="E748" s="12"/>
      <c r="F748" s="39"/>
      <c r="G748" s="36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>
      <c r="A749" s="41"/>
      <c r="B749" s="16"/>
      <c r="C749" s="16"/>
      <c r="D749" s="37"/>
      <c r="E749" s="16"/>
      <c r="F749" s="37"/>
      <c r="G749" s="38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40"/>
      <c r="B750" s="12"/>
      <c r="C750" s="12"/>
      <c r="D750" s="39"/>
      <c r="E750" s="12"/>
      <c r="F750" s="39"/>
      <c r="G750" s="36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>
      <c r="A751" s="41"/>
      <c r="B751" s="16"/>
      <c r="C751" s="16"/>
      <c r="D751" s="37"/>
      <c r="E751" s="16"/>
      <c r="F751" s="37"/>
      <c r="G751" s="38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40"/>
      <c r="B752" s="12"/>
      <c r="C752" s="12"/>
      <c r="D752" s="39"/>
      <c r="E752" s="12"/>
      <c r="F752" s="39"/>
      <c r="G752" s="36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>
      <c r="A753" s="41"/>
      <c r="B753" s="16"/>
      <c r="C753" s="16"/>
      <c r="D753" s="37"/>
      <c r="E753" s="16"/>
      <c r="F753" s="37"/>
      <c r="G753" s="38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40"/>
      <c r="B754" s="12"/>
      <c r="C754" s="12"/>
      <c r="D754" s="39"/>
      <c r="E754" s="12"/>
      <c r="F754" s="39"/>
      <c r="G754" s="36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>
      <c r="A755" s="41"/>
      <c r="B755" s="16"/>
      <c r="C755" s="16"/>
      <c r="D755" s="37"/>
      <c r="E755" s="16"/>
      <c r="F755" s="37"/>
      <c r="G755" s="38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40"/>
      <c r="B756" s="12"/>
      <c r="C756" s="12"/>
      <c r="D756" s="39"/>
      <c r="E756" s="12"/>
      <c r="F756" s="39"/>
      <c r="G756" s="36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>
      <c r="A757" s="41"/>
      <c r="B757" s="16"/>
      <c r="C757" s="16"/>
      <c r="D757" s="37"/>
      <c r="E757" s="16"/>
      <c r="F757" s="37"/>
      <c r="G757" s="38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40"/>
      <c r="B758" s="12"/>
      <c r="C758" s="12"/>
      <c r="D758" s="39"/>
      <c r="E758" s="12"/>
      <c r="F758" s="39"/>
      <c r="G758" s="36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>
      <c r="A759" s="41"/>
      <c r="B759" s="16"/>
      <c r="C759" s="16"/>
      <c r="D759" s="37"/>
      <c r="E759" s="16"/>
      <c r="F759" s="37"/>
      <c r="G759" s="38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40"/>
      <c r="B760" s="12"/>
      <c r="C760" s="12"/>
      <c r="D760" s="39"/>
      <c r="E760" s="12"/>
      <c r="F760" s="39"/>
      <c r="G760" s="36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>
      <c r="A761" s="41"/>
      <c r="B761" s="16"/>
      <c r="C761" s="16"/>
      <c r="D761" s="37"/>
      <c r="E761" s="16"/>
      <c r="F761" s="37"/>
      <c r="G761" s="38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40"/>
      <c r="B762" s="12"/>
      <c r="C762" s="12"/>
      <c r="D762" s="39"/>
      <c r="E762" s="12"/>
      <c r="F762" s="39"/>
      <c r="G762" s="36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>
      <c r="A763" s="41"/>
      <c r="B763" s="16"/>
      <c r="C763" s="16"/>
      <c r="D763" s="37"/>
      <c r="E763" s="16"/>
      <c r="F763" s="37"/>
      <c r="G763" s="38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40"/>
      <c r="B764" s="12"/>
      <c r="C764" s="12"/>
      <c r="D764" s="39"/>
      <c r="E764" s="12"/>
      <c r="F764" s="39"/>
      <c r="G764" s="36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>
      <c r="A765" s="41"/>
      <c r="B765" s="16"/>
      <c r="C765" s="16"/>
      <c r="D765" s="37"/>
      <c r="E765" s="16"/>
      <c r="F765" s="37"/>
      <c r="G765" s="38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40"/>
      <c r="B766" s="12"/>
      <c r="C766" s="12"/>
      <c r="D766" s="39"/>
      <c r="E766" s="12"/>
      <c r="F766" s="39"/>
      <c r="G766" s="36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>
      <c r="A767" s="41"/>
      <c r="B767" s="16"/>
      <c r="C767" s="16"/>
      <c r="D767" s="37"/>
      <c r="E767" s="16"/>
      <c r="F767" s="37"/>
      <c r="G767" s="38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40"/>
      <c r="B768" s="12"/>
      <c r="C768" s="12"/>
      <c r="D768" s="39"/>
      <c r="E768" s="12"/>
      <c r="F768" s="39"/>
      <c r="G768" s="36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>
      <c r="A769" s="41"/>
      <c r="B769" s="16"/>
      <c r="C769" s="16"/>
      <c r="D769" s="37"/>
      <c r="E769" s="16"/>
      <c r="F769" s="37"/>
      <c r="G769" s="38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40"/>
      <c r="B770" s="12"/>
      <c r="C770" s="12"/>
      <c r="D770" s="39"/>
      <c r="E770" s="12"/>
      <c r="F770" s="39"/>
      <c r="G770" s="36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>
      <c r="A771" s="41"/>
      <c r="B771" s="16"/>
      <c r="C771" s="16"/>
      <c r="D771" s="37"/>
      <c r="E771" s="16"/>
      <c r="F771" s="37"/>
      <c r="G771" s="38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40"/>
      <c r="B772" s="12"/>
      <c r="C772" s="12"/>
      <c r="D772" s="39"/>
      <c r="E772" s="12"/>
      <c r="F772" s="39"/>
      <c r="G772" s="36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>
      <c r="A773" s="41"/>
      <c r="B773" s="16"/>
      <c r="C773" s="16"/>
      <c r="D773" s="37"/>
      <c r="E773" s="16"/>
      <c r="F773" s="37"/>
      <c r="G773" s="38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40"/>
      <c r="B774" s="12"/>
      <c r="C774" s="12"/>
      <c r="D774" s="39"/>
      <c r="E774" s="12"/>
      <c r="F774" s="39"/>
      <c r="G774" s="36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>
      <c r="A775" s="41"/>
      <c r="B775" s="16"/>
      <c r="C775" s="16"/>
      <c r="D775" s="37"/>
      <c r="E775" s="16"/>
      <c r="F775" s="37"/>
      <c r="G775" s="38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40"/>
      <c r="B776" s="12"/>
      <c r="C776" s="12"/>
      <c r="D776" s="39"/>
      <c r="E776" s="12"/>
      <c r="F776" s="39"/>
      <c r="G776" s="36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>
      <c r="A777" s="41"/>
      <c r="B777" s="16"/>
      <c r="C777" s="16"/>
      <c r="D777" s="37"/>
      <c r="E777" s="16"/>
      <c r="F777" s="37"/>
      <c r="G777" s="38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40"/>
      <c r="B778" s="12"/>
      <c r="C778" s="12"/>
      <c r="D778" s="39"/>
      <c r="E778" s="12"/>
      <c r="F778" s="39"/>
      <c r="G778" s="36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>
      <c r="A779" s="41"/>
      <c r="B779" s="16"/>
      <c r="C779" s="16"/>
      <c r="D779" s="37"/>
      <c r="E779" s="16"/>
      <c r="F779" s="37"/>
      <c r="G779" s="38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40"/>
      <c r="B780" s="12"/>
      <c r="C780" s="12"/>
      <c r="D780" s="39"/>
      <c r="E780" s="12"/>
      <c r="F780" s="39"/>
      <c r="G780" s="36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>
      <c r="A781" s="41"/>
      <c r="B781" s="16"/>
      <c r="C781" s="16"/>
      <c r="D781" s="37"/>
      <c r="E781" s="16"/>
      <c r="F781" s="37"/>
      <c r="G781" s="38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40"/>
      <c r="B782" s="12"/>
      <c r="C782" s="12"/>
      <c r="D782" s="39"/>
      <c r="E782" s="12"/>
      <c r="F782" s="39"/>
      <c r="G782" s="36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>
      <c r="A783" s="41"/>
      <c r="B783" s="16"/>
      <c r="C783" s="16"/>
      <c r="D783" s="37"/>
      <c r="E783" s="16"/>
      <c r="F783" s="37"/>
      <c r="G783" s="38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40"/>
      <c r="B784" s="12"/>
      <c r="C784" s="12"/>
      <c r="D784" s="39"/>
      <c r="E784" s="12"/>
      <c r="F784" s="39"/>
      <c r="G784" s="36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>
      <c r="A785" s="41"/>
      <c r="B785" s="16"/>
      <c r="C785" s="16"/>
      <c r="D785" s="37"/>
      <c r="E785" s="16"/>
      <c r="F785" s="37"/>
      <c r="G785" s="38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40"/>
      <c r="B786" s="12"/>
      <c r="C786" s="12"/>
      <c r="D786" s="39"/>
      <c r="E786" s="12"/>
      <c r="F786" s="39"/>
      <c r="G786" s="36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>
      <c r="A787" s="41"/>
      <c r="B787" s="16"/>
      <c r="C787" s="16"/>
      <c r="D787" s="37"/>
      <c r="E787" s="16"/>
      <c r="F787" s="37"/>
      <c r="G787" s="38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40"/>
      <c r="B788" s="12"/>
      <c r="C788" s="12"/>
      <c r="D788" s="39"/>
      <c r="E788" s="12"/>
      <c r="F788" s="39"/>
      <c r="G788" s="36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>
      <c r="A789" s="41"/>
      <c r="B789" s="16"/>
      <c r="C789" s="16"/>
      <c r="D789" s="37"/>
      <c r="E789" s="16"/>
      <c r="F789" s="37"/>
      <c r="G789" s="38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40"/>
      <c r="B790" s="12"/>
      <c r="C790" s="12"/>
      <c r="D790" s="39"/>
      <c r="E790" s="12"/>
      <c r="F790" s="39"/>
      <c r="G790" s="36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>
      <c r="A791" s="41"/>
      <c r="B791" s="16"/>
      <c r="C791" s="16"/>
      <c r="D791" s="37"/>
      <c r="E791" s="16"/>
      <c r="F791" s="37"/>
      <c r="G791" s="38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40"/>
      <c r="B792" s="12"/>
      <c r="C792" s="12"/>
      <c r="D792" s="39"/>
      <c r="E792" s="12"/>
      <c r="F792" s="39"/>
      <c r="G792" s="36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>
      <c r="A793" s="41"/>
      <c r="B793" s="16"/>
      <c r="C793" s="16"/>
      <c r="D793" s="37"/>
      <c r="E793" s="16"/>
      <c r="F793" s="37"/>
      <c r="G793" s="38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40"/>
      <c r="B794" s="12"/>
      <c r="C794" s="12"/>
      <c r="D794" s="39"/>
      <c r="E794" s="12"/>
      <c r="F794" s="39"/>
      <c r="G794" s="36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>
      <c r="A795" s="41"/>
      <c r="B795" s="16"/>
      <c r="C795" s="16"/>
      <c r="D795" s="37"/>
      <c r="E795" s="16"/>
      <c r="F795" s="37"/>
      <c r="G795" s="38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40"/>
      <c r="B796" s="12"/>
      <c r="C796" s="12"/>
      <c r="D796" s="39"/>
      <c r="E796" s="12"/>
      <c r="F796" s="39"/>
      <c r="G796" s="36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>
      <c r="A797" s="41"/>
      <c r="B797" s="16"/>
      <c r="C797" s="16"/>
      <c r="D797" s="37"/>
      <c r="E797" s="16"/>
      <c r="F797" s="37"/>
      <c r="G797" s="38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40"/>
      <c r="B798" s="12"/>
      <c r="C798" s="12"/>
      <c r="D798" s="39"/>
      <c r="E798" s="12"/>
      <c r="F798" s="39"/>
      <c r="G798" s="36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>
      <c r="A799" s="41"/>
      <c r="B799" s="16"/>
      <c r="C799" s="16"/>
      <c r="D799" s="37"/>
      <c r="E799" s="16"/>
      <c r="F799" s="37"/>
      <c r="G799" s="38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40"/>
      <c r="B800" s="12"/>
      <c r="C800" s="12"/>
      <c r="D800" s="39"/>
      <c r="E800" s="12"/>
      <c r="F800" s="39"/>
      <c r="G800" s="36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>
      <c r="A801" s="41"/>
      <c r="B801" s="16"/>
      <c r="C801" s="16"/>
      <c r="D801" s="37"/>
      <c r="E801" s="16"/>
      <c r="F801" s="37"/>
      <c r="G801" s="38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40"/>
      <c r="B802" s="12"/>
      <c r="C802" s="12"/>
      <c r="D802" s="39"/>
      <c r="E802" s="12"/>
      <c r="F802" s="39"/>
      <c r="G802" s="36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>
      <c r="A803" s="41"/>
      <c r="B803" s="16"/>
      <c r="C803" s="16"/>
      <c r="D803" s="37"/>
      <c r="E803" s="16"/>
      <c r="F803" s="37"/>
      <c r="G803" s="38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40"/>
      <c r="B804" s="12"/>
      <c r="C804" s="12"/>
      <c r="D804" s="39"/>
      <c r="E804" s="12"/>
      <c r="F804" s="39"/>
      <c r="G804" s="36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>
      <c r="A805" s="41"/>
      <c r="B805" s="16"/>
      <c r="C805" s="16"/>
      <c r="D805" s="37"/>
      <c r="E805" s="16"/>
      <c r="F805" s="37"/>
      <c r="G805" s="38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40"/>
      <c r="B806" s="12"/>
      <c r="C806" s="12"/>
      <c r="D806" s="39"/>
      <c r="E806" s="12"/>
      <c r="F806" s="39"/>
      <c r="G806" s="36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>
      <c r="A807" s="41"/>
      <c r="B807" s="16"/>
      <c r="C807" s="16"/>
      <c r="D807" s="37"/>
      <c r="E807" s="16"/>
      <c r="F807" s="37"/>
      <c r="G807" s="38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40"/>
      <c r="B808" s="12"/>
      <c r="C808" s="12"/>
      <c r="D808" s="39"/>
      <c r="E808" s="12"/>
      <c r="F808" s="39"/>
      <c r="G808" s="36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>
      <c r="A809" s="41"/>
      <c r="B809" s="16"/>
      <c r="C809" s="16"/>
      <c r="D809" s="37"/>
      <c r="E809" s="16"/>
      <c r="F809" s="37"/>
      <c r="G809" s="38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40"/>
      <c r="B810" s="12"/>
      <c r="C810" s="12"/>
      <c r="D810" s="39"/>
      <c r="E810" s="12"/>
      <c r="F810" s="39"/>
      <c r="G810" s="36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>
      <c r="A811" s="41"/>
      <c r="B811" s="16"/>
      <c r="C811" s="16"/>
      <c r="D811" s="37"/>
      <c r="E811" s="16"/>
      <c r="F811" s="37"/>
      <c r="G811" s="38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40"/>
      <c r="B812" s="12"/>
      <c r="C812" s="12"/>
      <c r="D812" s="39"/>
      <c r="E812" s="12"/>
      <c r="F812" s="39"/>
      <c r="G812" s="36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>
      <c r="A813" s="41"/>
      <c r="B813" s="16"/>
      <c r="C813" s="16"/>
      <c r="D813" s="37"/>
      <c r="E813" s="16"/>
      <c r="F813" s="37"/>
      <c r="G813" s="38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40"/>
      <c r="B814" s="12"/>
      <c r="C814" s="12"/>
      <c r="D814" s="39"/>
      <c r="E814" s="12"/>
      <c r="F814" s="39"/>
      <c r="G814" s="36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>
      <c r="A815" s="41"/>
      <c r="B815" s="16"/>
      <c r="C815" s="16"/>
      <c r="D815" s="37"/>
      <c r="E815" s="16"/>
      <c r="F815" s="37"/>
      <c r="G815" s="38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40"/>
      <c r="B816" s="12"/>
      <c r="C816" s="12"/>
      <c r="D816" s="39"/>
      <c r="E816" s="12"/>
      <c r="F816" s="39"/>
      <c r="G816" s="36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>
      <c r="A817" s="41"/>
      <c r="B817" s="16"/>
      <c r="C817" s="16"/>
      <c r="D817" s="37"/>
      <c r="E817" s="16"/>
      <c r="F817" s="37"/>
      <c r="G817" s="38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40"/>
      <c r="B818" s="12"/>
      <c r="C818" s="12"/>
      <c r="D818" s="39"/>
      <c r="E818" s="12"/>
      <c r="F818" s="39"/>
      <c r="G818" s="36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>
      <c r="A819" s="41"/>
      <c r="B819" s="16"/>
      <c r="C819" s="16"/>
      <c r="D819" s="37"/>
      <c r="E819" s="16"/>
      <c r="F819" s="37"/>
      <c r="G819" s="38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40"/>
      <c r="B820" s="12"/>
      <c r="C820" s="12"/>
      <c r="D820" s="39"/>
      <c r="E820" s="12"/>
      <c r="F820" s="39"/>
      <c r="G820" s="36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>
      <c r="A821" s="41"/>
      <c r="B821" s="16"/>
      <c r="C821" s="16"/>
      <c r="D821" s="37"/>
      <c r="E821" s="16"/>
      <c r="F821" s="37"/>
      <c r="G821" s="38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40"/>
      <c r="B822" s="12"/>
      <c r="C822" s="12"/>
      <c r="D822" s="39"/>
      <c r="E822" s="12"/>
      <c r="F822" s="39"/>
      <c r="G822" s="36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>
      <c r="A823" s="41"/>
      <c r="B823" s="16"/>
      <c r="C823" s="16"/>
      <c r="D823" s="37"/>
      <c r="E823" s="16"/>
      <c r="F823" s="37"/>
      <c r="G823" s="38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40"/>
      <c r="B824" s="12"/>
      <c r="C824" s="12"/>
      <c r="D824" s="39"/>
      <c r="E824" s="12"/>
      <c r="F824" s="39"/>
      <c r="G824" s="36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>
      <c r="A825" s="41"/>
      <c r="B825" s="16"/>
      <c r="C825" s="16"/>
      <c r="D825" s="37"/>
      <c r="E825" s="16"/>
      <c r="F825" s="37"/>
      <c r="G825" s="38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40"/>
      <c r="B826" s="12"/>
      <c r="C826" s="12"/>
      <c r="D826" s="39"/>
      <c r="E826" s="12"/>
      <c r="F826" s="39"/>
      <c r="G826" s="36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>
      <c r="A827" s="41"/>
      <c r="B827" s="16"/>
      <c r="C827" s="16"/>
      <c r="D827" s="37"/>
      <c r="E827" s="16"/>
      <c r="F827" s="37"/>
      <c r="G827" s="38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40"/>
      <c r="B828" s="12"/>
      <c r="C828" s="12"/>
      <c r="D828" s="39"/>
      <c r="E828" s="12"/>
      <c r="F828" s="39"/>
      <c r="G828" s="36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>
      <c r="A829" s="41"/>
      <c r="B829" s="16"/>
      <c r="C829" s="16"/>
      <c r="D829" s="37"/>
      <c r="E829" s="16"/>
      <c r="F829" s="37"/>
      <c r="G829" s="38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40"/>
      <c r="B830" s="12"/>
      <c r="C830" s="12"/>
      <c r="D830" s="39"/>
      <c r="E830" s="12"/>
      <c r="F830" s="39"/>
      <c r="G830" s="36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>
      <c r="A831" s="41"/>
      <c r="B831" s="16"/>
      <c r="C831" s="16"/>
      <c r="D831" s="37"/>
      <c r="E831" s="16"/>
      <c r="F831" s="37"/>
      <c r="G831" s="38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40"/>
      <c r="B832" s="12"/>
      <c r="C832" s="12"/>
      <c r="D832" s="39"/>
      <c r="E832" s="12"/>
      <c r="F832" s="39"/>
      <c r="G832" s="36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>
      <c r="A833" s="41"/>
      <c r="B833" s="16"/>
      <c r="C833" s="16"/>
      <c r="D833" s="37"/>
      <c r="E833" s="16"/>
      <c r="F833" s="37"/>
      <c r="G833" s="38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40"/>
      <c r="B834" s="12"/>
      <c r="C834" s="12"/>
      <c r="D834" s="39"/>
      <c r="E834" s="12"/>
      <c r="F834" s="39"/>
      <c r="G834" s="36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>
      <c r="A835" s="41"/>
      <c r="B835" s="16"/>
      <c r="C835" s="16"/>
      <c r="D835" s="37"/>
      <c r="E835" s="16"/>
      <c r="F835" s="37"/>
      <c r="G835" s="38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40"/>
      <c r="B836" s="12"/>
      <c r="C836" s="12"/>
      <c r="D836" s="39"/>
      <c r="E836" s="12"/>
      <c r="F836" s="39"/>
      <c r="G836" s="36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>
      <c r="A837" s="41"/>
      <c r="B837" s="16"/>
      <c r="C837" s="16"/>
      <c r="D837" s="37"/>
      <c r="E837" s="16"/>
      <c r="F837" s="37"/>
      <c r="G837" s="38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40"/>
      <c r="B838" s="12"/>
      <c r="C838" s="12"/>
      <c r="D838" s="39"/>
      <c r="E838" s="12"/>
      <c r="F838" s="39"/>
      <c r="G838" s="36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>
      <c r="A839" s="41"/>
      <c r="B839" s="16"/>
      <c r="C839" s="16"/>
      <c r="D839" s="37"/>
      <c r="E839" s="16"/>
      <c r="F839" s="37"/>
      <c r="G839" s="38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40"/>
      <c r="B840" s="12"/>
      <c r="C840" s="12"/>
      <c r="D840" s="39"/>
      <c r="E840" s="12"/>
      <c r="F840" s="39"/>
      <c r="G840" s="36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>
      <c r="A841" s="41"/>
      <c r="B841" s="16"/>
      <c r="C841" s="16"/>
      <c r="D841" s="37"/>
      <c r="E841" s="16"/>
      <c r="F841" s="37"/>
      <c r="G841" s="38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40"/>
      <c r="B842" s="12"/>
      <c r="C842" s="12"/>
      <c r="D842" s="39"/>
      <c r="E842" s="12"/>
      <c r="F842" s="39"/>
      <c r="G842" s="36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>
      <c r="A843" s="41"/>
      <c r="B843" s="16"/>
      <c r="C843" s="16"/>
      <c r="D843" s="37"/>
      <c r="E843" s="16"/>
      <c r="F843" s="37"/>
      <c r="G843" s="38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40"/>
      <c r="B844" s="12"/>
      <c r="C844" s="12"/>
      <c r="D844" s="39"/>
      <c r="E844" s="12"/>
      <c r="F844" s="39"/>
      <c r="G844" s="36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>
      <c r="A845" s="41"/>
      <c r="B845" s="16"/>
      <c r="C845" s="16"/>
      <c r="D845" s="37"/>
      <c r="E845" s="16"/>
      <c r="F845" s="37"/>
      <c r="G845" s="38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40"/>
      <c r="B846" s="12"/>
      <c r="C846" s="12"/>
      <c r="D846" s="39"/>
      <c r="E846" s="12"/>
      <c r="F846" s="39"/>
      <c r="G846" s="36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>
      <c r="A847" s="41"/>
      <c r="B847" s="16"/>
      <c r="C847" s="16"/>
      <c r="D847" s="37"/>
      <c r="E847" s="16"/>
      <c r="F847" s="37"/>
      <c r="G847" s="38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40"/>
      <c r="B848" s="12"/>
      <c r="C848" s="12"/>
      <c r="D848" s="39"/>
      <c r="E848" s="12"/>
      <c r="F848" s="39"/>
      <c r="G848" s="36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>
      <c r="A849" s="41"/>
      <c r="B849" s="16"/>
      <c r="C849" s="16"/>
      <c r="D849" s="37"/>
      <c r="E849" s="16"/>
      <c r="F849" s="37"/>
      <c r="G849" s="38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40"/>
      <c r="B850" s="12"/>
      <c r="C850" s="12"/>
      <c r="D850" s="39"/>
      <c r="E850" s="12"/>
      <c r="F850" s="39"/>
      <c r="G850" s="36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>
      <c r="A851" s="41"/>
      <c r="B851" s="16"/>
      <c r="C851" s="16"/>
      <c r="D851" s="37"/>
      <c r="E851" s="16"/>
      <c r="F851" s="37"/>
      <c r="G851" s="38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40"/>
      <c r="B852" s="12"/>
      <c r="C852" s="12"/>
      <c r="D852" s="39"/>
      <c r="E852" s="12"/>
      <c r="F852" s="39"/>
      <c r="G852" s="36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>
      <c r="A853" s="41"/>
      <c r="B853" s="16"/>
      <c r="C853" s="16"/>
      <c r="D853" s="37"/>
      <c r="E853" s="16"/>
      <c r="F853" s="37"/>
      <c r="G853" s="38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40"/>
      <c r="B854" s="12"/>
      <c r="C854" s="12"/>
      <c r="D854" s="39"/>
      <c r="E854" s="12"/>
      <c r="F854" s="39"/>
      <c r="G854" s="36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>
      <c r="A855" s="41"/>
      <c r="B855" s="16"/>
      <c r="C855" s="16"/>
      <c r="D855" s="37"/>
      <c r="E855" s="16"/>
      <c r="F855" s="37"/>
      <c r="G855" s="38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40"/>
      <c r="B856" s="12"/>
      <c r="C856" s="12"/>
      <c r="D856" s="39"/>
      <c r="E856" s="12"/>
      <c r="F856" s="39"/>
      <c r="G856" s="36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>
      <c r="A857" s="41"/>
      <c r="B857" s="16"/>
      <c r="C857" s="16"/>
      <c r="D857" s="37"/>
      <c r="E857" s="16"/>
      <c r="F857" s="37"/>
      <c r="G857" s="38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40"/>
      <c r="B858" s="12"/>
      <c r="C858" s="12"/>
      <c r="D858" s="39"/>
      <c r="E858" s="12"/>
      <c r="F858" s="39"/>
      <c r="G858" s="36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>
      <c r="A859" s="41"/>
      <c r="B859" s="16"/>
      <c r="C859" s="16"/>
      <c r="D859" s="37"/>
      <c r="E859" s="16"/>
      <c r="F859" s="37"/>
      <c r="G859" s="38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40"/>
      <c r="B860" s="12"/>
      <c r="C860" s="12"/>
      <c r="D860" s="39"/>
      <c r="E860" s="12"/>
      <c r="F860" s="39"/>
      <c r="G860" s="36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>
      <c r="A861" s="41"/>
      <c r="B861" s="16"/>
      <c r="C861" s="16"/>
      <c r="D861" s="37"/>
      <c r="E861" s="16"/>
      <c r="F861" s="37"/>
      <c r="G861" s="38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40"/>
      <c r="B862" s="12"/>
      <c r="C862" s="12"/>
      <c r="D862" s="39"/>
      <c r="E862" s="12"/>
      <c r="F862" s="39"/>
      <c r="G862" s="36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>
      <c r="A863" s="41"/>
      <c r="B863" s="16"/>
      <c r="C863" s="16"/>
      <c r="D863" s="37"/>
      <c r="E863" s="16"/>
      <c r="F863" s="37"/>
      <c r="G863" s="38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40"/>
      <c r="B864" s="12"/>
      <c r="C864" s="12"/>
      <c r="D864" s="39"/>
      <c r="E864" s="12"/>
      <c r="F864" s="39"/>
      <c r="G864" s="36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>
      <c r="A865" s="41"/>
      <c r="B865" s="16"/>
      <c r="C865" s="16"/>
      <c r="D865" s="37"/>
      <c r="E865" s="16"/>
      <c r="F865" s="37"/>
      <c r="G865" s="38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40"/>
      <c r="B866" s="12"/>
      <c r="C866" s="12"/>
      <c r="D866" s="39"/>
      <c r="E866" s="12"/>
      <c r="F866" s="39"/>
      <c r="G866" s="36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>
      <c r="A867" s="41"/>
      <c r="B867" s="16"/>
      <c r="C867" s="16"/>
      <c r="D867" s="37"/>
      <c r="E867" s="16"/>
      <c r="F867" s="37"/>
      <c r="G867" s="38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40"/>
      <c r="B868" s="12"/>
      <c r="C868" s="12"/>
      <c r="D868" s="39"/>
      <c r="E868" s="12"/>
      <c r="F868" s="39"/>
      <c r="G868" s="36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>
      <c r="A869" s="41"/>
      <c r="B869" s="16"/>
      <c r="C869" s="16"/>
      <c r="D869" s="37"/>
      <c r="E869" s="16"/>
      <c r="F869" s="37"/>
      <c r="G869" s="38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40"/>
      <c r="B870" s="12"/>
      <c r="C870" s="12"/>
      <c r="D870" s="39"/>
      <c r="E870" s="12"/>
      <c r="F870" s="39"/>
      <c r="G870" s="36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>
      <c r="A871" s="41"/>
      <c r="B871" s="16"/>
      <c r="C871" s="16"/>
      <c r="D871" s="37"/>
      <c r="E871" s="16"/>
      <c r="F871" s="37"/>
      <c r="G871" s="38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40"/>
      <c r="B872" s="12"/>
      <c r="C872" s="12"/>
      <c r="D872" s="39"/>
      <c r="E872" s="12"/>
      <c r="F872" s="39"/>
      <c r="G872" s="36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>
      <c r="A873" s="41"/>
      <c r="B873" s="16"/>
      <c r="C873" s="16"/>
      <c r="D873" s="37"/>
      <c r="E873" s="16"/>
      <c r="F873" s="37"/>
      <c r="G873" s="38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40"/>
      <c r="B874" s="12"/>
      <c r="C874" s="12"/>
      <c r="D874" s="39"/>
      <c r="E874" s="12"/>
      <c r="F874" s="39"/>
      <c r="G874" s="36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>
      <c r="A875" s="41"/>
      <c r="B875" s="16"/>
      <c r="C875" s="16"/>
      <c r="D875" s="37"/>
      <c r="E875" s="16"/>
      <c r="F875" s="37"/>
      <c r="G875" s="38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40"/>
      <c r="B876" s="12"/>
      <c r="C876" s="12"/>
      <c r="D876" s="39"/>
      <c r="E876" s="12"/>
      <c r="F876" s="39"/>
      <c r="G876" s="36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>
      <c r="A877" s="41"/>
      <c r="B877" s="16"/>
      <c r="C877" s="16"/>
      <c r="D877" s="37"/>
      <c r="E877" s="16"/>
      <c r="F877" s="37"/>
      <c r="G877" s="38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40"/>
      <c r="B878" s="12"/>
      <c r="C878" s="12"/>
      <c r="D878" s="39"/>
      <c r="E878" s="12"/>
      <c r="F878" s="39"/>
      <c r="G878" s="36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>
      <c r="A879" s="41"/>
      <c r="B879" s="16"/>
      <c r="C879" s="16"/>
      <c r="D879" s="37"/>
      <c r="E879" s="16"/>
      <c r="F879" s="37"/>
      <c r="G879" s="38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40"/>
      <c r="B880" s="12"/>
      <c r="C880" s="12"/>
      <c r="D880" s="39"/>
      <c r="E880" s="12"/>
      <c r="F880" s="39"/>
      <c r="G880" s="36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>
      <c r="A881" s="41"/>
      <c r="B881" s="16"/>
      <c r="C881" s="16"/>
      <c r="D881" s="37"/>
      <c r="E881" s="16"/>
      <c r="F881" s="37"/>
      <c r="G881" s="38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40"/>
      <c r="B882" s="12"/>
      <c r="C882" s="12"/>
      <c r="D882" s="39"/>
      <c r="E882" s="12"/>
      <c r="F882" s="39"/>
      <c r="G882" s="36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>
      <c r="A883" s="41"/>
      <c r="B883" s="16"/>
      <c r="C883" s="16"/>
      <c r="D883" s="37"/>
      <c r="E883" s="16"/>
      <c r="F883" s="37"/>
      <c r="G883" s="38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40"/>
      <c r="B884" s="12"/>
      <c r="C884" s="12"/>
      <c r="D884" s="39"/>
      <c r="E884" s="12"/>
      <c r="F884" s="39"/>
      <c r="G884" s="36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>
      <c r="A885" s="41"/>
      <c r="B885" s="16"/>
      <c r="C885" s="16"/>
      <c r="D885" s="37"/>
      <c r="E885" s="16"/>
      <c r="F885" s="37"/>
      <c r="G885" s="38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40"/>
      <c r="B886" s="12"/>
      <c r="C886" s="12"/>
      <c r="D886" s="39"/>
      <c r="E886" s="12"/>
      <c r="F886" s="39"/>
      <c r="G886" s="36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>
      <c r="A887" s="41"/>
      <c r="B887" s="16"/>
      <c r="C887" s="16"/>
      <c r="D887" s="37"/>
      <c r="E887" s="16"/>
      <c r="F887" s="37"/>
      <c r="G887" s="38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40"/>
      <c r="B888" s="12"/>
      <c r="C888" s="12"/>
      <c r="D888" s="39"/>
      <c r="E888" s="12"/>
      <c r="F888" s="39"/>
      <c r="G888" s="36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>
      <c r="A889" s="41"/>
      <c r="B889" s="16"/>
      <c r="C889" s="16"/>
      <c r="D889" s="37"/>
      <c r="E889" s="16"/>
      <c r="F889" s="37"/>
      <c r="G889" s="38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40"/>
      <c r="B890" s="12"/>
      <c r="C890" s="12"/>
      <c r="D890" s="39"/>
      <c r="E890" s="12"/>
      <c r="F890" s="39"/>
      <c r="G890" s="36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>
      <c r="A891" s="41"/>
      <c r="B891" s="16"/>
      <c r="C891" s="16"/>
      <c r="D891" s="37"/>
      <c r="E891" s="16"/>
      <c r="F891" s="37"/>
      <c r="G891" s="38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40"/>
      <c r="B892" s="12"/>
      <c r="C892" s="12"/>
      <c r="D892" s="39"/>
      <c r="E892" s="12"/>
      <c r="F892" s="39"/>
      <c r="G892" s="36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>
      <c r="A893" s="41"/>
      <c r="B893" s="16"/>
      <c r="C893" s="16"/>
      <c r="D893" s="37"/>
      <c r="E893" s="16"/>
      <c r="F893" s="37"/>
      <c r="G893" s="38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40"/>
      <c r="B894" s="12"/>
      <c r="C894" s="12"/>
      <c r="D894" s="39"/>
      <c r="E894" s="12"/>
      <c r="F894" s="39"/>
      <c r="G894" s="36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>
      <c r="A895" s="41"/>
      <c r="B895" s="16"/>
      <c r="C895" s="16"/>
      <c r="D895" s="37"/>
      <c r="E895" s="16"/>
      <c r="F895" s="37"/>
      <c r="G895" s="38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40"/>
      <c r="B896" s="12"/>
      <c r="C896" s="12"/>
      <c r="D896" s="39"/>
      <c r="E896" s="12"/>
      <c r="F896" s="39"/>
      <c r="G896" s="36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>
      <c r="A897" s="41"/>
      <c r="B897" s="16"/>
      <c r="C897" s="16"/>
      <c r="D897" s="37"/>
      <c r="E897" s="16"/>
      <c r="F897" s="37"/>
      <c r="G897" s="38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40"/>
      <c r="B898" s="12"/>
      <c r="C898" s="12"/>
      <c r="D898" s="39"/>
      <c r="E898" s="12"/>
      <c r="F898" s="39"/>
      <c r="G898" s="36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>
      <c r="A899" s="41"/>
      <c r="B899" s="16"/>
      <c r="C899" s="16"/>
      <c r="D899" s="37"/>
      <c r="E899" s="16"/>
      <c r="F899" s="37"/>
      <c r="G899" s="38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40"/>
      <c r="B900" s="12"/>
      <c r="C900" s="12"/>
      <c r="D900" s="39"/>
      <c r="E900" s="12"/>
      <c r="F900" s="39"/>
      <c r="G900" s="36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>
      <c r="A901" s="41"/>
      <c r="B901" s="16"/>
      <c r="C901" s="16"/>
      <c r="D901" s="37"/>
      <c r="E901" s="16"/>
      <c r="F901" s="37"/>
      <c r="G901" s="38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40"/>
      <c r="B902" s="12"/>
      <c r="C902" s="12"/>
      <c r="D902" s="39"/>
      <c r="E902" s="12"/>
      <c r="F902" s="39"/>
      <c r="G902" s="36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>
      <c r="A903" s="41"/>
      <c r="B903" s="16"/>
      <c r="C903" s="16"/>
      <c r="D903" s="37"/>
      <c r="E903" s="16"/>
      <c r="F903" s="37"/>
      <c r="G903" s="38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40"/>
      <c r="B904" s="12"/>
      <c r="C904" s="12"/>
      <c r="D904" s="39"/>
      <c r="E904" s="12"/>
      <c r="F904" s="39"/>
      <c r="G904" s="36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>
      <c r="A905" s="41"/>
      <c r="B905" s="16"/>
      <c r="C905" s="16"/>
      <c r="D905" s="37"/>
      <c r="E905" s="16"/>
      <c r="F905" s="37"/>
      <c r="G905" s="38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40"/>
      <c r="B906" s="12"/>
      <c r="C906" s="12"/>
      <c r="D906" s="39"/>
      <c r="E906" s="12"/>
      <c r="F906" s="39"/>
      <c r="G906" s="36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>
      <c r="A907" s="41"/>
      <c r="B907" s="16"/>
      <c r="C907" s="16"/>
      <c r="D907" s="37"/>
      <c r="E907" s="16"/>
      <c r="F907" s="37"/>
      <c r="G907" s="38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40"/>
      <c r="B908" s="12"/>
      <c r="C908" s="12"/>
      <c r="D908" s="39"/>
      <c r="E908" s="12"/>
      <c r="F908" s="39"/>
      <c r="G908" s="36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>
      <c r="A909" s="41"/>
      <c r="B909" s="16"/>
      <c r="C909" s="16"/>
      <c r="D909" s="37"/>
      <c r="E909" s="16"/>
      <c r="F909" s="37"/>
      <c r="G909" s="38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40"/>
      <c r="B910" s="12"/>
      <c r="C910" s="12"/>
      <c r="D910" s="39"/>
      <c r="E910" s="12"/>
      <c r="F910" s="39"/>
      <c r="G910" s="36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>
      <c r="A911" s="41"/>
      <c r="B911" s="16"/>
      <c r="C911" s="16"/>
      <c r="D911" s="37"/>
      <c r="E911" s="16"/>
      <c r="F911" s="37"/>
      <c r="G911" s="38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40"/>
      <c r="B912" s="12"/>
      <c r="C912" s="12"/>
      <c r="D912" s="39"/>
      <c r="E912" s="12"/>
      <c r="F912" s="39"/>
      <c r="G912" s="36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>
      <c r="A913" s="41"/>
      <c r="B913" s="16"/>
      <c r="C913" s="16"/>
      <c r="D913" s="37"/>
      <c r="E913" s="16"/>
      <c r="F913" s="37"/>
      <c r="G913" s="38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40"/>
      <c r="B914" s="12"/>
      <c r="C914" s="12"/>
      <c r="D914" s="39"/>
      <c r="E914" s="12"/>
      <c r="F914" s="39"/>
      <c r="G914" s="36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>
      <c r="A915" s="41"/>
      <c r="B915" s="16"/>
      <c r="C915" s="16"/>
      <c r="D915" s="37"/>
      <c r="E915" s="16"/>
      <c r="F915" s="37"/>
      <c r="G915" s="38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40"/>
      <c r="B916" s="12"/>
      <c r="C916" s="12"/>
      <c r="D916" s="39"/>
      <c r="E916" s="12"/>
      <c r="F916" s="39"/>
      <c r="G916" s="36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>
      <c r="A917" s="41"/>
      <c r="B917" s="16"/>
      <c r="C917" s="16"/>
      <c r="D917" s="37"/>
      <c r="E917" s="16"/>
      <c r="F917" s="37"/>
      <c r="G917" s="38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40"/>
      <c r="B918" s="12"/>
      <c r="C918" s="12"/>
      <c r="D918" s="39"/>
      <c r="E918" s="12"/>
      <c r="F918" s="39"/>
      <c r="G918" s="36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>
      <c r="A919" s="41"/>
      <c r="B919" s="16"/>
      <c r="C919" s="16"/>
      <c r="D919" s="37"/>
      <c r="E919" s="16"/>
      <c r="F919" s="37"/>
      <c r="G919" s="38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40"/>
      <c r="B920" s="12"/>
      <c r="C920" s="12"/>
      <c r="D920" s="39"/>
      <c r="E920" s="12"/>
      <c r="F920" s="39"/>
      <c r="G920" s="36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>
      <c r="A921" s="41"/>
      <c r="B921" s="16"/>
      <c r="C921" s="16"/>
      <c r="D921" s="37"/>
      <c r="E921" s="16"/>
      <c r="F921" s="37"/>
      <c r="G921" s="38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40"/>
      <c r="B922" s="12"/>
      <c r="C922" s="12"/>
      <c r="D922" s="39"/>
      <c r="E922" s="12"/>
      <c r="F922" s="39"/>
      <c r="G922" s="36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>
      <c r="A923" s="41"/>
      <c r="B923" s="16"/>
      <c r="C923" s="16"/>
      <c r="D923" s="37"/>
      <c r="E923" s="16"/>
      <c r="F923" s="37"/>
      <c r="G923" s="38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40"/>
      <c r="B924" s="12"/>
      <c r="C924" s="12"/>
      <c r="D924" s="39"/>
      <c r="E924" s="12"/>
      <c r="F924" s="39"/>
      <c r="G924" s="36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>
      <c r="A925" s="41"/>
      <c r="B925" s="16"/>
      <c r="C925" s="16"/>
      <c r="D925" s="37"/>
      <c r="E925" s="16"/>
      <c r="F925" s="37"/>
      <c r="G925" s="38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40"/>
      <c r="B926" s="12"/>
      <c r="C926" s="12"/>
      <c r="D926" s="39"/>
      <c r="E926" s="12"/>
      <c r="F926" s="39"/>
      <c r="G926" s="36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>
      <c r="A927" s="41"/>
      <c r="B927" s="16"/>
      <c r="C927" s="16"/>
      <c r="D927" s="37"/>
      <c r="E927" s="16"/>
      <c r="F927" s="37"/>
      <c r="G927" s="38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40"/>
      <c r="B928" s="12"/>
      <c r="C928" s="12"/>
      <c r="D928" s="39"/>
      <c r="E928" s="12"/>
      <c r="F928" s="39"/>
      <c r="G928" s="36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>
      <c r="A929" s="41"/>
      <c r="B929" s="16"/>
      <c r="C929" s="16"/>
      <c r="D929" s="37"/>
      <c r="E929" s="16"/>
      <c r="F929" s="37"/>
      <c r="G929" s="38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40"/>
      <c r="B930" s="12"/>
      <c r="C930" s="12"/>
      <c r="D930" s="39"/>
      <c r="E930" s="12"/>
      <c r="F930" s="39"/>
      <c r="G930" s="36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>
      <c r="A931" s="41"/>
      <c r="B931" s="16"/>
      <c r="C931" s="16"/>
      <c r="D931" s="37"/>
      <c r="E931" s="16"/>
      <c r="F931" s="37"/>
      <c r="G931" s="38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40"/>
      <c r="B932" s="12"/>
      <c r="C932" s="12"/>
      <c r="D932" s="39"/>
      <c r="E932" s="12"/>
      <c r="F932" s="39"/>
      <c r="G932" s="36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>
      <c r="A933" s="41"/>
      <c r="B933" s="16"/>
      <c r="C933" s="16"/>
      <c r="D933" s="37"/>
      <c r="E933" s="16"/>
      <c r="F933" s="37"/>
      <c r="G933" s="38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40"/>
      <c r="B934" s="12"/>
      <c r="C934" s="12"/>
      <c r="D934" s="39"/>
      <c r="E934" s="12"/>
      <c r="F934" s="39"/>
      <c r="G934" s="36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>
      <c r="A935" s="41"/>
      <c r="B935" s="16"/>
      <c r="C935" s="16"/>
      <c r="D935" s="37"/>
      <c r="E935" s="16"/>
      <c r="F935" s="37"/>
      <c r="G935" s="38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40"/>
      <c r="B936" s="12"/>
      <c r="C936" s="12"/>
      <c r="D936" s="39"/>
      <c r="E936" s="12"/>
      <c r="F936" s="39"/>
      <c r="G936" s="36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>
      <c r="A937" s="41"/>
      <c r="B937" s="16"/>
      <c r="C937" s="16"/>
      <c r="D937" s="37"/>
      <c r="E937" s="16"/>
      <c r="F937" s="37"/>
      <c r="G937" s="38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40"/>
      <c r="B938" s="12"/>
      <c r="C938" s="12"/>
      <c r="D938" s="39"/>
      <c r="E938" s="12"/>
      <c r="F938" s="39"/>
      <c r="G938" s="36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>
      <c r="A939" s="41"/>
      <c r="B939" s="16"/>
      <c r="C939" s="16"/>
      <c r="D939" s="37"/>
      <c r="E939" s="16"/>
      <c r="F939" s="37"/>
      <c r="G939" s="38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40"/>
      <c r="B940" s="12"/>
      <c r="C940" s="12"/>
      <c r="D940" s="39"/>
      <c r="E940" s="12"/>
      <c r="F940" s="39"/>
      <c r="G940" s="36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>
      <c r="A941" s="41"/>
      <c r="B941" s="16"/>
      <c r="C941" s="16"/>
      <c r="D941" s="37"/>
      <c r="E941" s="16"/>
      <c r="F941" s="37"/>
      <c r="G941" s="38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40"/>
      <c r="B942" s="12"/>
      <c r="C942" s="12"/>
      <c r="D942" s="39"/>
      <c r="E942" s="12"/>
      <c r="F942" s="39"/>
      <c r="G942" s="36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>
      <c r="A943" s="41"/>
      <c r="B943" s="16"/>
      <c r="C943" s="16"/>
      <c r="D943" s="37"/>
      <c r="E943" s="16"/>
      <c r="F943" s="37"/>
      <c r="G943" s="38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40"/>
      <c r="B944" s="12"/>
      <c r="C944" s="12"/>
      <c r="D944" s="39"/>
      <c r="E944" s="12"/>
      <c r="F944" s="39"/>
      <c r="G944" s="36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>
      <c r="A945" s="41"/>
      <c r="B945" s="16"/>
      <c r="C945" s="16"/>
      <c r="D945" s="37"/>
      <c r="E945" s="16"/>
      <c r="F945" s="37"/>
      <c r="G945" s="38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40"/>
      <c r="B946" s="12"/>
      <c r="C946" s="12"/>
      <c r="D946" s="39"/>
      <c r="E946" s="12"/>
      <c r="F946" s="39"/>
      <c r="G946" s="36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>
      <c r="A947" s="41"/>
      <c r="B947" s="16"/>
      <c r="C947" s="16"/>
      <c r="D947" s="37"/>
      <c r="E947" s="16"/>
      <c r="F947" s="37"/>
      <c r="G947" s="38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40"/>
      <c r="B948" s="12"/>
      <c r="C948" s="12"/>
      <c r="D948" s="39"/>
      <c r="E948" s="12"/>
      <c r="F948" s="39"/>
      <c r="G948" s="36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>
      <c r="A949" s="41"/>
      <c r="B949" s="16"/>
      <c r="C949" s="16"/>
      <c r="D949" s="37"/>
      <c r="E949" s="16"/>
      <c r="F949" s="37"/>
      <c r="G949" s="38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40"/>
      <c r="B950" s="12"/>
      <c r="C950" s="12"/>
      <c r="D950" s="39"/>
      <c r="E950" s="12"/>
      <c r="F950" s="39"/>
      <c r="G950" s="36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>
      <c r="A951" s="41"/>
      <c r="B951" s="16"/>
      <c r="C951" s="16"/>
      <c r="D951" s="37"/>
      <c r="E951" s="16"/>
      <c r="F951" s="37"/>
      <c r="G951" s="38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40"/>
      <c r="B952" s="12"/>
      <c r="C952" s="12"/>
      <c r="D952" s="39"/>
      <c r="E952" s="12"/>
      <c r="F952" s="39"/>
      <c r="G952" s="36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>
      <c r="A953" s="41"/>
      <c r="B953" s="16"/>
      <c r="C953" s="16"/>
      <c r="D953" s="37"/>
      <c r="E953" s="16"/>
      <c r="F953" s="37"/>
      <c r="G953" s="38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40"/>
      <c r="B954" s="12"/>
      <c r="C954" s="12"/>
      <c r="D954" s="39"/>
      <c r="E954" s="12"/>
      <c r="F954" s="39"/>
      <c r="G954" s="36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>
      <c r="A955" s="41"/>
      <c r="B955" s="16"/>
      <c r="C955" s="16"/>
      <c r="D955" s="37"/>
      <c r="E955" s="16"/>
      <c r="F955" s="37"/>
      <c r="G955" s="38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40"/>
      <c r="B956" s="12"/>
      <c r="C956" s="12"/>
      <c r="D956" s="39"/>
      <c r="E956" s="12"/>
      <c r="F956" s="39"/>
      <c r="G956" s="36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>
      <c r="A957" s="41"/>
      <c r="B957" s="16"/>
      <c r="C957" s="16"/>
      <c r="D957" s="37"/>
      <c r="E957" s="16"/>
      <c r="F957" s="37"/>
      <c r="G957" s="38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40"/>
      <c r="B958" s="12"/>
      <c r="C958" s="12"/>
      <c r="D958" s="39"/>
      <c r="E958" s="12"/>
      <c r="F958" s="39"/>
      <c r="G958" s="36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>
      <c r="A959" s="41"/>
      <c r="B959" s="16"/>
      <c r="C959" s="16"/>
      <c r="D959" s="37"/>
      <c r="E959" s="16"/>
      <c r="F959" s="37"/>
      <c r="G959" s="38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40"/>
      <c r="B960" s="12"/>
      <c r="C960" s="12"/>
      <c r="D960" s="39"/>
      <c r="E960" s="12"/>
      <c r="F960" s="39"/>
      <c r="G960" s="36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>
      <c r="A961" s="41"/>
      <c r="B961" s="16"/>
      <c r="C961" s="16"/>
      <c r="D961" s="37"/>
      <c r="E961" s="16"/>
      <c r="F961" s="37"/>
      <c r="G961" s="38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40"/>
      <c r="B962" s="12"/>
      <c r="C962" s="12"/>
      <c r="D962" s="39"/>
      <c r="E962" s="12"/>
      <c r="F962" s="39"/>
      <c r="G962" s="36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>
      <c r="A963" s="41"/>
      <c r="B963" s="16"/>
      <c r="C963" s="16"/>
      <c r="D963" s="37"/>
      <c r="E963" s="16"/>
      <c r="F963" s="37"/>
      <c r="G963" s="38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40"/>
      <c r="B964" s="12"/>
      <c r="C964" s="12"/>
      <c r="D964" s="39"/>
      <c r="E964" s="12"/>
      <c r="F964" s="39"/>
      <c r="G964" s="36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>
      <c r="A965" s="41"/>
      <c r="B965" s="16"/>
      <c r="C965" s="16"/>
      <c r="D965" s="37"/>
      <c r="E965" s="16"/>
      <c r="F965" s="37"/>
      <c r="G965" s="38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40"/>
      <c r="B966" s="12"/>
      <c r="C966" s="12"/>
      <c r="D966" s="39"/>
      <c r="E966" s="12"/>
      <c r="F966" s="39"/>
      <c r="G966" s="36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>
      <c r="A967" s="41"/>
      <c r="B967" s="16"/>
      <c r="C967" s="16"/>
      <c r="D967" s="37"/>
      <c r="E967" s="16"/>
      <c r="F967" s="37"/>
      <c r="G967" s="38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40"/>
      <c r="B968" s="12"/>
      <c r="C968" s="12"/>
      <c r="D968" s="39"/>
      <c r="E968" s="12"/>
      <c r="F968" s="39"/>
      <c r="G968" s="36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>
      <c r="A969" s="41"/>
      <c r="B969" s="16"/>
      <c r="C969" s="16"/>
      <c r="D969" s="37"/>
      <c r="E969" s="16"/>
      <c r="F969" s="37"/>
      <c r="G969" s="38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40"/>
      <c r="B970" s="12"/>
      <c r="C970" s="12"/>
      <c r="D970" s="39"/>
      <c r="E970" s="12"/>
      <c r="F970" s="39"/>
      <c r="G970" s="36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>
      <c r="A971" s="41"/>
      <c r="B971" s="16"/>
      <c r="C971" s="16"/>
      <c r="D971" s="37"/>
      <c r="E971" s="16"/>
      <c r="F971" s="37"/>
      <c r="G971" s="38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40"/>
      <c r="B972" s="12"/>
      <c r="C972" s="12"/>
      <c r="D972" s="39"/>
      <c r="E972" s="12"/>
      <c r="F972" s="39"/>
      <c r="G972" s="36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>
      <c r="A973" s="41"/>
      <c r="B973" s="16"/>
      <c r="C973" s="16"/>
      <c r="D973" s="37"/>
      <c r="E973" s="16"/>
      <c r="F973" s="37"/>
      <c r="G973" s="38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40"/>
      <c r="B974" s="12"/>
      <c r="C974" s="12"/>
      <c r="D974" s="39"/>
      <c r="E974" s="12"/>
      <c r="F974" s="39"/>
      <c r="G974" s="36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>
      <c r="A975" s="41"/>
      <c r="B975" s="16"/>
      <c r="C975" s="16"/>
      <c r="D975" s="37"/>
      <c r="E975" s="16"/>
      <c r="F975" s="37"/>
      <c r="G975" s="38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40"/>
      <c r="B976" s="12"/>
      <c r="C976" s="12"/>
      <c r="D976" s="39"/>
      <c r="E976" s="12"/>
      <c r="F976" s="39"/>
      <c r="G976" s="36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>
      <c r="A977" s="41"/>
      <c r="B977" s="16"/>
      <c r="C977" s="16"/>
      <c r="D977" s="37"/>
      <c r="E977" s="16"/>
      <c r="F977" s="37"/>
      <c r="G977" s="38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40"/>
      <c r="B978" s="12"/>
      <c r="C978" s="12"/>
      <c r="D978" s="39"/>
      <c r="E978" s="12"/>
      <c r="F978" s="39"/>
      <c r="G978" s="36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>
      <c r="A979" s="41"/>
      <c r="B979" s="16"/>
      <c r="C979" s="16"/>
      <c r="D979" s="37"/>
      <c r="E979" s="16"/>
      <c r="F979" s="37"/>
      <c r="G979" s="38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40"/>
      <c r="B980" s="12"/>
      <c r="C980" s="12"/>
      <c r="D980" s="39"/>
      <c r="E980" s="12"/>
      <c r="F980" s="39"/>
      <c r="G980" s="36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>
      <c r="A981" s="41"/>
      <c r="B981" s="16"/>
      <c r="C981" s="16"/>
      <c r="D981" s="37"/>
      <c r="E981" s="16"/>
      <c r="F981" s="37"/>
      <c r="G981" s="38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40"/>
      <c r="B982" s="12"/>
      <c r="C982" s="12"/>
      <c r="D982" s="39"/>
      <c r="E982" s="12"/>
      <c r="F982" s="39"/>
      <c r="G982" s="36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>
      <c r="A983" s="41"/>
      <c r="B983" s="16"/>
      <c r="C983" s="16"/>
      <c r="D983" s="37"/>
      <c r="E983" s="16"/>
      <c r="F983" s="37"/>
      <c r="G983" s="38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40"/>
      <c r="B984" s="12"/>
      <c r="C984" s="12"/>
      <c r="D984" s="39"/>
      <c r="E984" s="12"/>
      <c r="F984" s="39"/>
      <c r="G984" s="36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>
      <c r="A985" s="41"/>
      <c r="B985" s="16"/>
      <c r="C985" s="16"/>
      <c r="D985" s="37"/>
      <c r="E985" s="16"/>
      <c r="F985" s="37"/>
      <c r="G985" s="38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40"/>
      <c r="B986" s="12"/>
      <c r="C986" s="12"/>
      <c r="D986" s="39"/>
      <c r="E986" s="12"/>
      <c r="F986" s="39"/>
      <c r="G986" s="36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>
      <c r="A987" s="41"/>
      <c r="B987" s="16"/>
      <c r="C987" s="16"/>
      <c r="D987" s="37"/>
      <c r="E987" s="16"/>
      <c r="F987" s="37"/>
      <c r="G987" s="38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40"/>
      <c r="B988" s="12"/>
      <c r="C988" s="12"/>
      <c r="D988" s="39"/>
      <c r="E988" s="12"/>
      <c r="F988" s="39"/>
      <c r="G988" s="36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>
      <c r="A989" s="41"/>
      <c r="B989" s="16"/>
      <c r="C989" s="16"/>
      <c r="D989" s="37"/>
      <c r="E989" s="16"/>
      <c r="F989" s="37"/>
      <c r="G989" s="38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40"/>
      <c r="B990" s="12"/>
      <c r="C990" s="12"/>
      <c r="D990" s="39"/>
      <c r="E990" s="12"/>
      <c r="F990" s="39"/>
      <c r="G990" s="36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>
      <c r="A991" s="41"/>
      <c r="B991" s="16"/>
      <c r="C991" s="16"/>
      <c r="D991" s="37"/>
      <c r="E991" s="16"/>
      <c r="F991" s="37"/>
      <c r="G991" s="38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40"/>
      <c r="B992" s="12"/>
      <c r="C992" s="12"/>
      <c r="D992" s="39"/>
      <c r="E992" s="12"/>
      <c r="F992" s="39"/>
      <c r="G992" s="36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>
      <c r="A993" s="41"/>
      <c r="B993" s="16"/>
      <c r="C993" s="16"/>
      <c r="D993" s="37"/>
      <c r="E993" s="16"/>
      <c r="F993" s="37"/>
      <c r="G993" s="38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40"/>
      <c r="B994" s="12"/>
      <c r="C994" s="12"/>
      <c r="D994" s="39"/>
      <c r="E994" s="12"/>
      <c r="F994" s="39"/>
      <c r="G994" s="36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>
      <c r="A995" s="41"/>
      <c r="B995" s="16"/>
      <c r="C995" s="16"/>
      <c r="D995" s="37"/>
      <c r="E995" s="16"/>
      <c r="F995" s="37"/>
      <c r="G995" s="38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40"/>
      <c r="B996" s="12"/>
      <c r="C996" s="12"/>
      <c r="D996" s="39"/>
      <c r="E996" s="12"/>
      <c r="F996" s="39"/>
      <c r="G996" s="36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>
      <c r="A997" s="41"/>
      <c r="B997" s="16"/>
      <c r="C997" s="16"/>
      <c r="D997" s="37"/>
      <c r="E997" s="16"/>
      <c r="F997" s="37"/>
      <c r="G997" s="38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40"/>
      <c r="B998" s="12"/>
      <c r="C998" s="12"/>
      <c r="D998" s="39"/>
      <c r="E998" s="12"/>
      <c r="F998" s="39"/>
      <c r="G998" s="36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</sheetData>
  <mergeCells count="2">
    <mergeCell ref="A1:B2"/>
    <mergeCell ref="A6:B8"/>
  </mergeCells>
  <dataValidations>
    <dataValidation type="list" allowBlank="1" showInputMessage="1" showErrorMessage="1" prompt="Select" sqref="B3">
      <formula1>Location!$B$2:$B$744</formula1>
    </dataValidation>
  </dataValidations>
  <hyperlinks>
    <hyperlink r:id="rId1" ref="E12"/>
    <hyperlink r:id="rId2" ref="E13"/>
    <hyperlink r:id="rId3" ref="E15"/>
    <hyperlink r:id="rId4" ref="E16"/>
    <hyperlink r:id="rId5" ref="E17"/>
    <hyperlink r:id="rId6" ref="E18"/>
    <hyperlink r:id="rId7" ref="E19"/>
    <hyperlink r:id="rId8" ref="E20"/>
    <hyperlink r:id="rId9" ref="E22"/>
    <hyperlink r:id="rId10" ref="E23"/>
    <hyperlink r:id="rId11" ref="E24"/>
    <hyperlink r:id="rId12" ref="E25"/>
    <hyperlink r:id="rId13" ref="E26"/>
  </hyperlinks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13"/>
    <col customWidth="1" min="5" max="5" width="32.25"/>
    <col customWidth="1" min="6" max="6" width="22.63"/>
  </cols>
  <sheetData>
    <row r="1">
      <c r="A1" s="42" t="s">
        <v>5</v>
      </c>
      <c r="B1" s="42" t="s">
        <v>6</v>
      </c>
      <c r="C1" s="42" t="s">
        <v>7</v>
      </c>
      <c r="D1" s="42" t="s">
        <v>8</v>
      </c>
      <c r="E1" s="42" t="s">
        <v>9</v>
      </c>
    </row>
    <row r="2">
      <c r="A2" s="43" t="str">
        <f>IFERROR(__xludf.DUMMYFUNCTION("IMPORTRANGE(""https://docs.google.com/spreadsheets/d/1PhoDX8QySKB-Ss1C1OJmMMPe4GBeuE0xc204lbfqUFo"",""Data!C2:H9999"")"),"Zen Kyoto Apartment Hotel")</f>
        <v>Zen Kyoto Apartment Hotel</v>
      </c>
      <c r="B2" s="43"/>
      <c r="C2" s="43" t="str">
        <f>IFERROR(__xludf.DUMMYFUNCTION("""COMPUTED_VALUE"""),"Kyoto")</f>
        <v>Kyoto</v>
      </c>
      <c r="D2" s="43">
        <f>IFERROR(__xludf.DUMMYFUNCTION("""COMPUTED_VALUE"""),28.0)</f>
        <v>28</v>
      </c>
      <c r="E2" s="44" t="str">
        <f>IFERROR(__xludf.DUMMYFUNCTION("""COMPUTED_VALUE"""),"https://zenkyoto.com/")</f>
        <v>https://zenkyoto.com/</v>
      </c>
      <c r="F2" s="43"/>
    </row>
    <row r="3">
      <c r="A3" s="43" t="str">
        <f>IFERROR(__xludf.DUMMYFUNCTION("""COMPUTED_VALUE"""),"Pool Villa Sanrriott Okinawa Motobu")</f>
        <v>Pool Villa Sanrriott Okinawa Motobu</v>
      </c>
      <c r="B3" s="43"/>
      <c r="C3" s="43" t="str">
        <f>IFERROR(__xludf.DUMMYFUNCTION("""COMPUTED_VALUE"""),"Okinawa")</f>
        <v>Okinawa</v>
      </c>
      <c r="D3" s="43">
        <f>IFERROR(__xludf.DUMMYFUNCTION("""COMPUTED_VALUE"""),5.0)</f>
        <v>5</v>
      </c>
      <c r="E3" s="44" t="str">
        <f>IFERROR(__xludf.DUMMYFUNCTION("""COMPUTED_VALUE"""),"https://okinawa-sanrriott.com/en")</f>
        <v>https://okinawa-sanrriott.com/en</v>
      </c>
      <c r="F3" s="43"/>
    </row>
    <row r="4">
      <c r="A4" s="43" t="str">
        <f>IFERROR(__xludf.DUMMYFUNCTION("""COMPUTED_VALUE"""),"Hotel Sanrriott Osaka Honmachi")</f>
        <v>Hotel Sanrriott Osaka Honmachi</v>
      </c>
      <c r="B4" s="43"/>
      <c r="C4" s="43" t="str">
        <f>IFERROR(__xludf.DUMMYFUNCTION("""COMPUTED_VALUE"""),"Osaka")</f>
        <v>Osaka</v>
      </c>
      <c r="D4" s="43">
        <f>IFERROR(__xludf.DUMMYFUNCTION("""COMPUTED_VALUE"""),113.0)</f>
        <v>113</v>
      </c>
      <c r="E4" s="44" t="str">
        <f>IFERROR(__xludf.DUMMYFUNCTION("""COMPUTED_VALUE"""),"https://sanrriott.com/osaka-hommachi/")</f>
        <v>https://sanrriott.com/osaka-hommachi/</v>
      </c>
      <c r="F4" s="43"/>
    </row>
    <row r="5">
      <c r="A5" s="43" t="str">
        <f>IFERROR(__xludf.DUMMYFUNCTION("""COMPUTED_VALUE"""),"Hotel Sanrriott Shinsaibashi")</f>
        <v>Hotel Sanrriott Shinsaibashi</v>
      </c>
      <c r="B5" s="43"/>
      <c r="C5" s="43" t="str">
        <f>IFERROR(__xludf.DUMMYFUNCTION("""COMPUTED_VALUE"""),"Osaka")</f>
        <v>Osaka</v>
      </c>
      <c r="D5" s="43">
        <f>IFERROR(__xludf.DUMMYFUNCTION("""COMPUTED_VALUE"""),115.0)</f>
        <v>115</v>
      </c>
      <c r="E5" s="44" t="str">
        <f>IFERROR(__xludf.DUMMYFUNCTION("""COMPUTED_VALUE"""),"https://www.sanrriott-shinsaibashi.com/")</f>
        <v>https://www.sanrriott-shinsaibashi.com/</v>
      </c>
      <c r="F5" s="43"/>
    </row>
    <row r="6">
      <c r="A6" s="43" t="str">
        <f>IFERROR(__xludf.DUMMYFUNCTION("""COMPUTED_VALUE"""),"Dio Higashishinsaibashi")</f>
        <v>Dio Higashishinsaibashi</v>
      </c>
      <c r="B6" s="43"/>
      <c r="C6" s="43" t="str">
        <f>IFERROR(__xludf.DUMMYFUNCTION("""COMPUTED_VALUE"""),"Osaka")</f>
        <v>Osaka</v>
      </c>
      <c r="D6" s="43">
        <f>IFERROR(__xludf.DUMMYFUNCTION("""COMPUTED_VALUE"""),16.0)</f>
        <v>16</v>
      </c>
      <c r="E6" s="43"/>
      <c r="F6" s="43"/>
    </row>
    <row r="7">
      <c r="A7" s="43" t="str">
        <f>IFERROR(__xludf.DUMMYFUNCTION("""COMPUTED_VALUE"""),"Hotel Sanriot Kitahama")</f>
        <v>Hotel Sanriot Kitahama</v>
      </c>
      <c r="B7" s="43"/>
      <c r="C7" s="43" t="str">
        <f>IFERROR(__xludf.DUMMYFUNCTION("""COMPUTED_VALUE"""),"Osaka")</f>
        <v>Osaka</v>
      </c>
      <c r="D7" s="43">
        <f>IFERROR(__xludf.DUMMYFUNCTION("""COMPUTED_VALUE"""),12.0)</f>
        <v>12</v>
      </c>
      <c r="E7" s="44" t="str">
        <f>IFERROR(__xludf.DUMMYFUNCTION("""COMPUTED_VALUE"""),"https://hpdsp.jp/sanrriott-kitahama/")</f>
        <v>https://hpdsp.jp/sanrriott-kitahama/</v>
      </c>
      <c r="F7" s="43"/>
    </row>
    <row r="8">
      <c r="A8" s="43" t="str">
        <f>IFERROR(__xludf.DUMMYFUNCTION("""COMPUTED_VALUE"""),"TORACO konohana")</f>
        <v>TORACO konohana</v>
      </c>
      <c r="B8" s="43"/>
      <c r="C8" s="43" t="str">
        <f>IFERROR(__xludf.DUMMYFUNCTION("""COMPUTED_VALUE"""),"Osaka")</f>
        <v>Osaka</v>
      </c>
      <c r="D8" s="43">
        <f>IFERROR(__xludf.DUMMYFUNCTION("""COMPUTED_VALUE"""),5.0)</f>
        <v>5</v>
      </c>
      <c r="E8" s="44" t="str">
        <f>IFERROR(__xludf.DUMMYFUNCTION("""COMPUTED_VALUE"""),"https://hpdsp.jp/toraco-konohana/en/")</f>
        <v>https://hpdsp.jp/toraco-konohana/en/</v>
      </c>
      <c r="F8" s="43"/>
    </row>
    <row r="9">
      <c r="A9" s="43" t="str">
        <f>IFERROR(__xludf.DUMMYFUNCTION("""COMPUTED_VALUE"""),"Hotel Amaterrace Nihonbashi East")</f>
        <v>Hotel Amaterrace Nihonbashi East</v>
      </c>
      <c r="B9" s="43"/>
      <c r="C9" s="43" t="str">
        <f>IFERROR(__xludf.DUMMYFUNCTION("""COMPUTED_VALUE"""),"Osaka")</f>
        <v>Osaka</v>
      </c>
      <c r="D9" s="43">
        <f>IFERROR(__xludf.DUMMYFUNCTION("""COMPUTED_VALUE"""),26.0)</f>
        <v>26</v>
      </c>
      <c r="E9" s="44" t="str">
        <f>IFERROR(__xludf.DUMMYFUNCTION("""COMPUTED_VALUE"""),"https://hpdsp.jp/amaterrace-higashi/")</f>
        <v>https://hpdsp.jp/amaterrace-higashi/</v>
      </c>
      <c r="F9" s="43"/>
    </row>
    <row r="10">
      <c r="A10" s="43" t="str">
        <f>IFERROR(__xludf.DUMMYFUNCTION("""COMPUTED_VALUE"""),"Shinsaibashi Cargo")</f>
        <v>Shinsaibashi Cargo</v>
      </c>
      <c r="B10" s="43"/>
      <c r="C10" s="43" t="str">
        <f>IFERROR(__xludf.DUMMYFUNCTION("""COMPUTED_VALUE"""),"Osaka")</f>
        <v>Osaka</v>
      </c>
      <c r="D10" s="43">
        <f>IFERROR(__xludf.DUMMYFUNCTION("""COMPUTED_VALUE"""),84.0)</f>
        <v>84</v>
      </c>
      <c r="E10" s="44" t="str">
        <f>IFERROR(__xludf.DUMMYFUNCTION("""COMPUTED_VALUE"""),"https://hpdsp.jp/hotel-cargo/")</f>
        <v>https://hpdsp.jp/hotel-cargo/</v>
      </c>
      <c r="F10" s="43"/>
    </row>
    <row r="11">
      <c r="A11" s="43" t="str">
        <f>IFERROR(__xludf.DUMMYFUNCTION("""COMPUTED_VALUE"""),"Hotel Amaterrace En")</f>
        <v>Hotel Amaterrace En</v>
      </c>
      <c r="B11" s="43"/>
      <c r="C11" s="43" t="str">
        <f>IFERROR(__xludf.DUMMYFUNCTION("""COMPUTED_VALUE"""),"Osaka")</f>
        <v>Osaka</v>
      </c>
      <c r="D11" s="43">
        <f>IFERROR(__xludf.DUMMYFUNCTION("""COMPUTED_VALUE"""),14.0)</f>
        <v>14</v>
      </c>
      <c r="E11" s="44" t="str">
        <f>IFERROR(__xludf.DUMMYFUNCTION("""COMPUTED_VALUE"""),"https://hpdsp.jp/amaterrace-yosuga/")</f>
        <v>https://hpdsp.jp/amaterrace-yosuga/</v>
      </c>
      <c r="F11" s="43"/>
    </row>
    <row r="12">
      <c r="A12" s="43" t="str">
        <f>IFERROR(__xludf.DUMMYFUNCTION("""COMPUTED_VALUE"""),"The Strings Hotel Nagoya")</f>
        <v>The Strings Hotel Nagoya</v>
      </c>
      <c r="B12" s="43"/>
      <c r="C12" s="43" t="str">
        <f>IFERROR(__xludf.DUMMYFUNCTION("""COMPUTED_VALUE"""),"Aichi")</f>
        <v>Aichi</v>
      </c>
      <c r="D12" s="43">
        <f>IFERROR(__xludf.DUMMYFUNCTION("""COMPUTED_VALUE"""),126.0)</f>
        <v>126</v>
      </c>
      <c r="E12" s="44" t="str">
        <f>IFERROR(__xludf.DUMMYFUNCTION("""COMPUTED_VALUE"""),"https://www.strings-group.jp/nagoya/")</f>
        <v>https://www.strings-group.jp/nagoya/</v>
      </c>
      <c r="F12" s="43"/>
    </row>
    <row r="13">
      <c r="A13" s="43" t="str">
        <f>IFERROR(__xludf.DUMMYFUNCTION("""COMPUTED_VALUE"""),"Light and Maple")</f>
        <v>Light and Maple</v>
      </c>
      <c r="B13" s="43"/>
      <c r="C13" s="43" t="str">
        <f>IFERROR(__xludf.DUMMYFUNCTION("""COMPUTED_VALUE"""),"Aomori")</f>
        <v>Aomori</v>
      </c>
      <c r="D13" s="43">
        <f>IFERROR(__xludf.DUMMYFUNCTION("""COMPUTED_VALUE"""),8.0)</f>
        <v>8</v>
      </c>
      <c r="E13" s="44" t="str">
        <f>IFERROR(__xludf.DUMMYFUNCTION("""COMPUTED_VALUE"""),"https://akaritokaede.com/")</f>
        <v>https://akaritokaede.com/</v>
      </c>
      <c r="F13" s="43"/>
    </row>
    <row r="14">
      <c r="A14" s="43" t="str">
        <f>IFERROR(__xludf.DUMMYFUNCTION("""COMPUTED_VALUE"""),"Lake Towada Sakura")</f>
        <v>Lake Towada Sakura</v>
      </c>
      <c r="B14" s="43"/>
      <c r="C14" s="43" t="str">
        <f>IFERROR(__xludf.DUMMYFUNCTION("""COMPUTED_VALUE"""),"Aomori")</f>
        <v>Aomori</v>
      </c>
      <c r="D14" s="43">
        <f>IFERROR(__xludf.DUMMYFUNCTION("""COMPUTED_VALUE"""),24.0)</f>
        <v>24</v>
      </c>
      <c r="E14" s="44" t="str">
        <f>IFERROR(__xludf.DUMMYFUNCTION("""COMPUTED_VALUE"""),"https://towadakohansakura.com/")</f>
        <v>https://towadakohansakura.com/</v>
      </c>
      <c r="F14" s="43"/>
    </row>
    <row r="15">
      <c r="A15" s="43" t="str">
        <f>IFERROR(__xludf.DUMMYFUNCTION("""COMPUTED_VALUE"""),"Hotel Tenpyo Naramachi")</f>
        <v>Hotel Tenpyo Naramachi</v>
      </c>
      <c r="B15" s="43"/>
      <c r="C15" s="43" t="str">
        <f>IFERROR(__xludf.DUMMYFUNCTION("""COMPUTED_VALUE"""),"Nara")</f>
        <v>Nara</v>
      </c>
      <c r="D15" s="43">
        <f>IFERROR(__xludf.DUMMYFUNCTION("""COMPUTED_VALUE"""),44.0)</f>
        <v>44</v>
      </c>
      <c r="E15" s="44" t="str">
        <f>IFERROR(__xludf.DUMMYFUNCTION("""COMPUTED_VALUE"""),"https://hotel-tenpyo-naramachi.jp/")</f>
        <v>https://hotel-tenpyo-naramachi.jp/</v>
      </c>
      <c r="F15" s="43"/>
    </row>
    <row r="16">
      <c r="A16" s="43" t="str">
        <f>IFERROR(__xludf.DUMMYFUNCTION("""COMPUTED_VALUE"""),"First Cabin Midosuji Namba")</f>
        <v>First Cabin Midosuji Namba</v>
      </c>
      <c r="B16" s="43"/>
      <c r="C16" s="43" t="str">
        <f>IFERROR(__xludf.DUMMYFUNCTION("""COMPUTED_VALUE"""),"Osaka")</f>
        <v>Osaka</v>
      </c>
      <c r="D16" s="43">
        <f>IFERROR(__xludf.DUMMYFUNCTION("""COMPUTED_VALUE"""),153.0)</f>
        <v>153</v>
      </c>
      <c r="E16" s="44" t="str">
        <f>IFERROR(__xludf.DUMMYFUNCTION("""COMPUTED_VALUE"""),"https://first-cabin.jp/hotels/midosujinanba/")</f>
        <v>https://first-cabin.jp/hotels/midosujinanba/</v>
      </c>
      <c r="F16" s="43"/>
    </row>
    <row r="17">
      <c r="A17" s="43" t="str">
        <f>IFERROR(__xludf.DUMMYFUNCTION("""COMPUTED_VALUE"""),"First Cabin Kansai Airport")</f>
        <v>First Cabin Kansai Airport</v>
      </c>
      <c r="B17" s="43"/>
      <c r="C17" s="43" t="str">
        <f>IFERROR(__xludf.DUMMYFUNCTION("""COMPUTED_VALUE"""),"Osaka")</f>
        <v>Osaka</v>
      </c>
      <c r="D17" s="43">
        <f>IFERROR(__xludf.DUMMYFUNCTION("""COMPUTED_VALUE"""),59.0)</f>
        <v>59</v>
      </c>
      <c r="E17" s="43"/>
      <c r="F17" s="43"/>
    </row>
    <row r="18">
      <c r="A18" s="43" t="str">
        <f>IFERROR(__xludf.DUMMYFUNCTION("""COMPUTED_VALUE"""),"TOCORO. Mt.Fuji CAMP &amp; GLAMPING")</f>
        <v>TOCORO. Mt.Fuji CAMP &amp; GLAMPING</v>
      </c>
      <c r="B18" s="43"/>
      <c r="C18" s="43" t="str">
        <f>IFERROR(__xludf.DUMMYFUNCTION("""COMPUTED_VALUE"""),"Yamanashi")</f>
        <v>Yamanashi</v>
      </c>
      <c r="D18" s="43">
        <f>IFERROR(__xludf.DUMMYFUNCTION("""COMPUTED_VALUE"""),9.0)</f>
        <v>9</v>
      </c>
      <c r="E18" s="44" t="str">
        <f>IFERROR(__xludf.DUMMYFUNCTION("""COMPUTED_VALUE"""),"https://tocoro.camp/")</f>
        <v>https://tocoro.camp/</v>
      </c>
      <c r="F18" s="43"/>
    </row>
    <row r="19">
      <c r="A19" s="43" t="str">
        <f>IFERROR(__xludf.DUMMYFUNCTION("""COMPUTED_VALUE"""),"Liber Hotel")</f>
        <v>Liber Hotel</v>
      </c>
      <c r="B19" s="43"/>
      <c r="C19" s="43" t="str">
        <f>IFERROR(__xludf.DUMMYFUNCTION("""COMPUTED_VALUE"""),"Osaka")</f>
        <v>Osaka</v>
      </c>
      <c r="D19" s="43">
        <f>IFERROR(__xludf.DUMMYFUNCTION("""COMPUTED_VALUE"""),760.0)</f>
        <v>760</v>
      </c>
      <c r="E19" s="44" t="str">
        <f>IFERROR(__xludf.DUMMYFUNCTION("""COMPUTED_VALUE"""),"https://hotel-liber.jp/?wovn=en")</f>
        <v>https://hotel-liber.jp/?wovn=en</v>
      </c>
      <c r="F19" s="43"/>
    </row>
    <row r="20">
      <c r="A20" s="43" t="str">
        <f>IFERROR(__xludf.DUMMYFUNCTION("""COMPUTED_VALUE"""),"Maihama Eurasia")</f>
        <v>Maihama Eurasia</v>
      </c>
      <c r="B20" s="43"/>
      <c r="C20" s="43" t="str">
        <f>IFERROR(__xludf.DUMMYFUNCTION("""COMPUTED_VALUE"""),"Chiba")</f>
        <v>Chiba</v>
      </c>
      <c r="D20" s="43">
        <f>IFERROR(__xludf.DUMMYFUNCTION("""COMPUTED_VALUE"""),289.0)</f>
        <v>289</v>
      </c>
      <c r="E20" s="44" t="str">
        <f>IFERROR(__xludf.DUMMYFUNCTION("""COMPUTED_VALUE"""),"https://my-spa.jp/")</f>
        <v>https://my-spa.jp/</v>
      </c>
      <c r="F20" s="43"/>
    </row>
    <row r="21">
      <c r="A21" s="43" t="str">
        <f>IFERROR(__xludf.DUMMYFUNCTION("""COMPUTED_VALUE"""),"SUNSET BEACH HOTEL")</f>
        <v>SUNSET BEACH HOTEL</v>
      </c>
      <c r="B21" s="43"/>
      <c r="C21" s="43" t="str">
        <f>IFERROR(__xludf.DUMMYFUNCTION("""COMPUTED_VALUE"""),"Okinawa")</f>
        <v>Okinawa</v>
      </c>
      <c r="D21" s="43">
        <f>IFERROR(__xludf.DUMMYFUNCTION("""COMPUTED_VALUE"""),25.0)</f>
        <v>25</v>
      </c>
      <c r="E21" s="44" t="str">
        <f>IFERROR(__xludf.DUMMYFUNCTION("""COMPUTED_VALUE"""),"https://beachmonpa.co.jp/")</f>
        <v>https://beachmonpa.co.jp/</v>
      </c>
      <c r="F21" s="43"/>
    </row>
    <row r="22">
      <c r="A22" s="43" t="str">
        <f>IFERROR(__xludf.DUMMYFUNCTION("""COMPUTED_VALUE"""),"Cocojas Monpa")</f>
        <v>Cocojas Monpa</v>
      </c>
      <c r="B22" s="43"/>
      <c r="C22" s="43" t="str">
        <f>IFERROR(__xludf.DUMMYFUNCTION("""COMPUTED_VALUE"""),"Okinawa")</f>
        <v>Okinawa</v>
      </c>
      <c r="D22" s="43">
        <f>IFERROR(__xludf.DUMMYFUNCTION("""COMPUTED_VALUE"""),75.0)</f>
        <v>75</v>
      </c>
      <c r="E22" s="44" t="str">
        <f>IFERROR(__xludf.DUMMYFUNCTION("""COMPUTED_VALUE"""),"https://www.cocomonpa.co.jp/")</f>
        <v>https://www.cocomonpa.co.jp/</v>
      </c>
      <c r="F22" s="43"/>
    </row>
    <row r="23">
      <c r="A23" s="43" t="str">
        <f>IFERROR(__xludf.DUMMYFUNCTION("""COMPUTED_VALUE"""),"Condominium Hotel Monpa")</f>
        <v>Condominium Hotel Monpa</v>
      </c>
      <c r="B23" s="43"/>
      <c r="C23" s="43" t="str">
        <f>IFERROR(__xludf.DUMMYFUNCTION("""COMPUTED_VALUE"""),"Okinawa")</f>
        <v>Okinawa</v>
      </c>
      <c r="D23" s="43">
        <f>IFERROR(__xludf.DUMMYFUNCTION("""COMPUTED_VALUE"""),68.0)</f>
        <v>68</v>
      </c>
      <c r="E23" s="44" t="str">
        <f>IFERROR(__xludf.DUMMYFUNCTION("""COMPUTED_VALUE"""),"https://monpa.co.jp/")</f>
        <v>https://monpa.co.jp/</v>
      </c>
      <c r="F23" s="43"/>
    </row>
    <row r="24">
      <c r="A24" s="43" t="str">
        <f>IFERROR(__xludf.DUMMYFUNCTION("""COMPUTED_VALUE"""),"Diamond Setouchi Marine Hotel")</f>
        <v>Diamond Setouchi Marine Hotel</v>
      </c>
      <c r="B24" s="43"/>
      <c r="C24" s="43" t="str">
        <f>IFERROR(__xludf.DUMMYFUNCTION("""COMPUTED_VALUE"""),"Okayama")</f>
        <v>Okayama</v>
      </c>
      <c r="D24" s="43">
        <f>IFERROR(__xludf.DUMMYFUNCTION("""COMPUTED_VALUE"""),188.0)</f>
        <v>188</v>
      </c>
      <c r="E24" s="44" t="str">
        <f>IFERROR(__xludf.DUMMYFUNCTION("""COMPUTED_VALUE"""),"https://www.marine-hotel.co.jp/")</f>
        <v>https://www.marine-hotel.co.jp/</v>
      </c>
      <c r="F24" s="43"/>
    </row>
    <row r="25">
      <c r="A25" s="43" t="str">
        <f>IFERROR(__xludf.DUMMYFUNCTION("""COMPUTED_VALUE"""),"Allamand Aoyama")</f>
        <v>Allamand Aoyama</v>
      </c>
      <c r="B25" s="43"/>
      <c r="C25" s="43" t="str">
        <f>IFERROR(__xludf.DUMMYFUNCTION("""COMPUTED_VALUE"""),"Tokyo")</f>
        <v>Tokyo</v>
      </c>
      <c r="D25" s="43">
        <f>IFERROR(__xludf.DUMMYFUNCTION("""COMPUTED_VALUE"""),42.0)</f>
        <v>42</v>
      </c>
      <c r="E25" s="44" t="str">
        <f>IFERROR(__xludf.DUMMYFUNCTION("""COMPUTED_VALUE"""),"https://hotel-allamanda-aoyama.jp/")</f>
        <v>https://hotel-allamanda-aoyama.jp/</v>
      </c>
      <c r="F25" s="43"/>
    </row>
    <row r="26">
      <c r="A26" s="43" t="str">
        <f>IFERROR(__xludf.DUMMYFUNCTION("""COMPUTED_VALUE"""),"Magachabaru Okinawa")</f>
        <v>Magachabaru Okinawa</v>
      </c>
      <c r="B26" s="43"/>
      <c r="C26" s="43" t="str">
        <f>IFERROR(__xludf.DUMMYFUNCTION("""COMPUTED_VALUE"""),"Okinawa")</f>
        <v>Okinawa</v>
      </c>
      <c r="D26" s="43">
        <f>IFERROR(__xludf.DUMMYFUNCTION("""COMPUTED_VALUE"""),11.0)</f>
        <v>11</v>
      </c>
      <c r="E26" s="44" t="str">
        <f>IFERROR(__xludf.DUMMYFUNCTION("""COMPUTED_VALUE"""),"https://magachabaru.com/")</f>
        <v>https://magachabaru.com/</v>
      </c>
      <c r="F26" s="43"/>
    </row>
    <row r="27">
      <c r="A27" s="43" t="str">
        <f>IFERROR(__xludf.DUMMYFUNCTION("""COMPUTED_VALUE"""),"Richmond")</f>
        <v>Richmond</v>
      </c>
      <c r="B27" s="43"/>
      <c r="C27" s="43"/>
      <c r="D27" s="43"/>
      <c r="E27" s="44" t="str">
        <f>IFERROR(__xludf.DUMMYFUNCTION("""COMPUTED_VALUE"""),"https://richmondhotel.jp/")</f>
        <v>https://richmondhotel.jp/</v>
      </c>
      <c r="F27" s="43"/>
    </row>
    <row r="28">
      <c r="A28" s="43" t="str">
        <f>IFERROR(__xludf.DUMMYFUNCTION("""COMPUTED_VALUE"""),"Green Rich")</f>
        <v>Green Rich</v>
      </c>
      <c r="B28" s="43"/>
      <c r="C28" s="43"/>
      <c r="D28" s="43" t="str">
        <f>IFERROR(__xludf.DUMMYFUNCTION("""COMPUTED_VALUE"""),"n/a")</f>
        <v>n/a</v>
      </c>
      <c r="E28" s="44" t="str">
        <f>IFERROR(__xludf.DUMMYFUNCTION("""COMPUTED_VALUE"""),"https://greenrichhotels.jp/")</f>
        <v>https://greenrichhotels.jp/</v>
      </c>
      <c r="F28" s="43"/>
    </row>
    <row r="29">
      <c r="A29" s="43" t="str">
        <f>IFERROR(__xludf.DUMMYFUNCTION("""COMPUTED_VALUE"""),"Plan Do See")</f>
        <v>Plan Do See</v>
      </c>
      <c r="B29" s="43"/>
      <c r="C29" s="43"/>
      <c r="D29" s="43"/>
      <c r="E29" s="44" t="str">
        <f>IFERROR(__xludf.DUMMYFUNCTION("""COMPUTED_VALUE"""),"https://pdshotels.com/")</f>
        <v>https://pdshotels.com/</v>
      </c>
      <c r="F29" s="43"/>
    </row>
    <row r="30">
      <c r="A30" s="43" t="str">
        <f>IFERROR(__xludf.DUMMYFUNCTION("""COMPUTED_VALUE"""),"Valuation management")</f>
        <v>Valuation management</v>
      </c>
      <c r="B30" s="43"/>
      <c r="C30" s="43"/>
      <c r="D30" s="43"/>
      <c r="E30" s="44" t="str">
        <f>IFERROR(__xludf.DUMMYFUNCTION("""COMPUTED_VALUE"""),"https://www.vmg.co.jp/")</f>
        <v>https://www.vmg.co.jp/</v>
      </c>
      <c r="F30" s="43"/>
    </row>
    <row r="31">
      <c r="A31" s="43" t="str">
        <f>IFERROR(__xludf.DUMMYFUNCTION("""COMPUTED_VALUE"""),"NIPPONIA HOTEL HAKODATE PORT TOWN")</f>
        <v>NIPPONIA HOTEL HAKODATE PORT TOWN</v>
      </c>
      <c r="B31" s="43"/>
      <c r="C31" s="43" t="str">
        <f>IFERROR(__xludf.DUMMYFUNCTION("""COMPUTED_VALUE"""),"Hokkaido")</f>
        <v>Hokkaido</v>
      </c>
      <c r="D31" s="43"/>
      <c r="E31" s="44" t="str">
        <f>IFERROR(__xludf.DUMMYFUNCTION("""COMPUTED_VALUE"""),"https://www.vmg-hakodate.com/")</f>
        <v>https://www.vmg-hakodate.com/</v>
      </c>
      <c r="F31" s="43"/>
    </row>
    <row r="32">
      <c r="A32" s="43" t="str">
        <f>IFERROR(__xludf.DUMMYFUNCTION("""COMPUTED_VALUE"""),"Sawara Merchant Town Hotel NIPPONIA")</f>
        <v>Sawara Merchant Town Hotel NIPPONIA</v>
      </c>
      <c r="B32" s="43"/>
      <c r="C32" s="43" t="str">
        <f>IFERROR(__xludf.DUMMYFUNCTION("""COMPUTED_VALUE"""),"Chiba")</f>
        <v>Chiba</v>
      </c>
      <c r="D32" s="43"/>
      <c r="E32" s="44" t="str">
        <f>IFERROR(__xludf.DUMMYFUNCTION("""COMPUTED_VALUE"""),"https://www.nipponia-sawara.jp/")</f>
        <v>https://www.nipponia-sawara.jp/</v>
      </c>
      <c r="F32" s="43"/>
    </row>
    <row r="33">
      <c r="A33" s="43" t="str">
        <f>IFERROR(__xludf.DUMMYFUNCTION("""COMPUTED_VALUE"""),"NIPPONIA HOTEL Iga Ueno Castle Town")</f>
        <v>NIPPONIA HOTEL Iga Ueno Castle Town</v>
      </c>
      <c r="B33" s="43"/>
      <c r="C33" s="43" t="str">
        <f>IFERROR(__xludf.DUMMYFUNCTION("""COMPUTED_VALUE"""),"Mie")</f>
        <v>Mie</v>
      </c>
      <c r="D33" s="43"/>
      <c r="E33" s="44" t="str">
        <f>IFERROR(__xludf.DUMMYFUNCTION("""COMPUTED_VALUE"""),"https://www.vmg-igaueno.com/")</f>
        <v>https://www.vmg-igaueno.com/</v>
      </c>
      <c r="F33" s="43"/>
    </row>
    <row r="34">
      <c r="A34" s="43" t="str">
        <f>IFERROR(__xludf.DUMMYFUNCTION("""COMPUTED_VALUE"""),"HOTEL VMG RESORT KYOTO")</f>
        <v>HOTEL VMG RESORT KYOTO</v>
      </c>
      <c r="B34" s="43"/>
      <c r="C34" s="43" t="str">
        <f>IFERROR(__xludf.DUMMYFUNCTION("""COMPUTED_VALUE"""),"Kyoto")</f>
        <v>Kyoto</v>
      </c>
      <c r="D34" s="43"/>
      <c r="E34" s="44" t="str">
        <f>IFERROR(__xludf.DUMMYFUNCTION("""COMPUTED_VALUE"""),"https://www.vmg-kyoto.com/")</f>
        <v>https://www.vmg-kyoto.com/</v>
      </c>
      <c r="F34" s="43"/>
    </row>
    <row r="35">
      <c r="A35" s="43" t="str">
        <f>IFERROR(__xludf.DUMMYFUNCTION("""COMPUTED_VALUE"""),"NIPPONIA HOTEL NARA Naramachi")</f>
        <v>NIPPONIA HOTEL NARA Naramachi</v>
      </c>
      <c r="B35" s="43"/>
      <c r="C35" s="43" t="str">
        <f>IFERROR(__xludf.DUMMYFUNCTION("""COMPUTED_VALUE"""),"Nara")</f>
        <v>Nara</v>
      </c>
      <c r="D35" s="43"/>
      <c r="E35" s="44" t="str">
        <f>IFERROR(__xludf.DUMMYFUNCTION("""COMPUTED_VALUE"""),"https://www.naramachistay.com/")</f>
        <v>https://www.naramachistay.com/</v>
      </c>
      <c r="F35" s="43"/>
    </row>
    <row r="36">
      <c r="A36" s="43" t="str">
        <f>IFERROR(__xludf.DUMMYFUNCTION("""COMPUTED_VALUE"""),"Sasayama Castle Town Hotel NIPPONIA")</f>
        <v>Sasayama Castle Town Hotel NIPPONIA</v>
      </c>
      <c r="B36" s="43"/>
      <c r="C36" s="43" t="str">
        <f>IFERROR(__xludf.DUMMYFUNCTION("""COMPUTED_VALUE"""),"Hyōgo")</f>
        <v>Hyōgo</v>
      </c>
      <c r="D36" s="43"/>
      <c r="E36" s="44" t="str">
        <f>IFERROR(__xludf.DUMMYFUNCTION("""COMPUTED_VALUE"""),"https://www.sasayamastay.jp/")</f>
        <v>https://www.sasayamastay.jp/</v>
      </c>
      <c r="F36" s="43"/>
    </row>
    <row r="37">
      <c r="A37" s="43" t="str">
        <f>IFERROR(__xludf.DUMMYFUNCTION("""COMPUTED_VALUE"""),"Takeda Castle Town Hotel EN")</f>
        <v>Takeda Castle Town Hotel EN</v>
      </c>
      <c r="B37" s="43"/>
      <c r="C37" s="43" t="str">
        <f>IFERROR(__xludf.DUMMYFUNCTION("""COMPUTED_VALUE"""),"Hyōgo")</f>
        <v>Hyōgo</v>
      </c>
      <c r="D37" s="43"/>
      <c r="E37" s="44" t="str">
        <f>IFERROR(__xludf.DUMMYFUNCTION("""COMPUTED_VALUE"""),"https://www.takedacastle.jp/")</f>
        <v>https://www.takedacastle.jp/</v>
      </c>
      <c r="F37" s="43"/>
    </row>
    <row r="38">
      <c r="A38" s="43" t="str">
        <f>IFERROR(__xludf.DUMMYFUNCTION("""COMPUTED_VALUE"""),"NIPPONIA HOTEL Takehara Salt Town")</f>
        <v>NIPPONIA HOTEL Takehara Salt Town</v>
      </c>
      <c r="B38" s="43"/>
      <c r="C38" s="43"/>
      <c r="D38" s="43"/>
      <c r="E38" s="44" t="str">
        <f>IFERROR(__xludf.DUMMYFUNCTION("""COMPUTED_VALUE"""),"https://www.nipponia-takehara.com/")</f>
        <v>https://www.nipponia-takehara.com/</v>
      </c>
      <c r="F38" s="43"/>
    </row>
    <row r="39">
      <c r="A39" s="43" t="str">
        <f>IFERROR(__xludf.DUMMYFUNCTION("""COMPUTED_VALUE"""),"NIPPONIA HOTEL Ozu Castle Town")</f>
        <v>NIPPONIA HOTEL Ozu Castle Town</v>
      </c>
      <c r="B39" s="43"/>
      <c r="C39" s="43"/>
      <c r="D39" s="43"/>
      <c r="E39" s="44" t="str">
        <f>IFERROR(__xludf.DUMMYFUNCTION("""COMPUTED_VALUE"""),"https://www.ozucastle.com/")</f>
        <v>https://www.ozucastle.com/</v>
      </c>
      <c r="F39" s="43"/>
    </row>
    <row r="40">
      <c r="A40" s="43" t="str">
        <f>IFERROR(__xludf.DUMMYFUNCTION("""COMPUTED_VALUE"""),"HOTEL CULTIA Dazaifu")</f>
        <v>HOTEL CULTIA Dazaifu</v>
      </c>
      <c r="B40" s="43"/>
      <c r="C40" s="43" t="str">
        <f>IFERROR(__xludf.DUMMYFUNCTION("""COMPUTED_VALUE"""),"Fukuoka")</f>
        <v>Fukuoka</v>
      </c>
      <c r="D40" s="43"/>
      <c r="E40" s="44" t="str">
        <f>IFERROR(__xludf.DUMMYFUNCTION("""COMPUTED_VALUE"""),"https://www.cultia-dazaifu.com/")</f>
        <v>https://www.cultia-dazaifu.com/</v>
      </c>
      <c r="F40" s="43"/>
    </row>
    <row r="41">
      <c r="A41" s="43" t="str">
        <f>IFERROR(__xludf.DUMMYFUNCTION("""COMPUTED_VALUE"""),"NIPPONIA HOTEL Yame Fukushima Merchant Town")</f>
        <v>NIPPONIA HOTEL Yame Fukushima Merchant Town</v>
      </c>
      <c r="B41" s="43"/>
      <c r="C41" s="43" t="str">
        <f>IFERROR(__xludf.DUMMYFUNCTION("""COMPUTED_VALUE"""),"Fukuoka")</f>
        <v>Fukuoka</v>
      </c>
      <c r="D41" s="43"/>
      <c r="E41" s="44" t="str">
        <f>IFERROR(__xludf.DUMMYFUNCTION("""COMPUTED_VALUE"""),"https://www.yame-fukushimastay.com/")</f>
        <v>https://www.yame-fukushimastay.com/</v>
      </c>
      <c r="F41" s="43"/>
    </row>
    <row r="42">
      <c r="A42" s="43" t="str">
        <f>IFERROR(__xludf.DUMMYFUNCTION("""COMPUTED_VALUE"""),"Hotel Rings Kyoto")</f>
        <v>Hotel Rings Kyoto</v>
      </c>
      <c r="B42" s="43"/>
      <c r="C42" s="43" t="str">
        <f>IFERROR(__xludf.DUMMYFUNCTION("""COMPUTED_VALUE"""),"Kyoto")</f>
        <v>Kyoto</v>
      </c>
      <c r="D42" s="43">
        <f>IFERROR(__xludf.DUMMYFUNCTION("""COMPUTED_VALUE"""),38.0)</f>
        <v>38</v>
      </c>
      <c r="E42" s="44" t="str">
        <f>IFERROR(__xludf.DUMMYFUNCTION("""COMPUTED_VALUE"""),"https://hotel-rings.com/")</f>
        <v>https://hotel-rings.com/</v>
      </c>
      <c r="F42" s="43"/>
    </row>
    <row r="43">
      <c r="A43" s="43" t="str">
        <f>IFERROR(__xludf.DUMMYFUNCTION("""COMPUTED_VALUE"""),"Tourist Hotel Tamaru")</f>
        <v>Tourist Hotel Tamaru</v>
      </c>
      <c r="B43" s="43"/>
      <c r="C43" s="43" t="str">
        <f>IFERROR(__xludf.DUMMYFUNCTION("""COMPUTED_VALUE"""),"Nara")</f>
        <v>Nara</v>
      </c>
      <c r="D43" s="43">
        <f>IFERROR(__xludf.DUMMYFUNCTION("""COMPUTED_VALUE"""),26.0)</f>
        <v>26</v>
      </c>
      <c r="E43" s="44" t="str">
        <f>IFERROR(__xludf.DUMMYFUNCTION("""COMPUTED_VALUE"""),"https://www.nara-tamaru.com/")</f>
        <v>https://www.nara-tamaru.com/</v>
      </c>
      <c r="F43" s="43"/>
    </row>
    <row r="44">
      <c r="A44" s="43" t="str">
        <f>IFERROR(__xludf.DUMMYFUNCTION("""COMPUTED_VALUE"""),"Nasu Hamil Forest")</f>
        <v>Nasu Hamil Forest</v>
      </c>
      <c r="B44" s="43"/>
      <c r="C44" s="43" t="str">
        <f>IFERROR(__xludf.DUMMYFUNCTION("""COMPUTED_VALUE"""),"Tochigi")</f>
        <v>Tochigi</v>
      </c>
      <c r="D44" s="43">
        <f>IFERROR(__xludf.DUMMYFUNCTION("""COMPUTED_VALUE"""),21.0)</f>
        <v>21</v>
      </c>
      <c r="E44" s="44" t="str">
        <f>IFERROR(__xludf.DUMMYFUNCTION("""COMPUTED_VALUE"""),"https://www.hamirunomori.com/")</f>
        <v>https://www.hamirunomori.com/</v>
      </c>
      <c r="F44" s="43"/>
    </row>
    <row r="45">
      <c r="A45" s="43" t="str">
        <f>IFERROR(__xludf.DUMMYFUNCTION("""COMPUTED_VALUE"""),"Hamill's Forest with DOG")</f>
        <v>Hamill's Forest with DOG</v>
      </c>
      <c r="B45" s="43"/>
      <c r="C45" s="43" t="str">
        <f>IFERROR(__xludf.DUMMYFUNCTION("""COMPUTED_VALUE"""),"Tochigi")</f>
        <v>Tochigi</v>
      </c>
      <c r="D45" s="43">
        <f>IFERROR(__xludf.DUMMYFUNCTION("""COMPUTED_VALUE"""),6.0)</f>
        <v>6</v>
      </c>
      <c r="E45" s="44" t="str">
        <f>IFERROR(__xludf.DUMMYFUNCTION("""COMPUTED_VALUE"""),"https://www.hamirus-forest.com/")</f>
        <v>https://www.hamirus-forest.com/</v>
      </c>
      <c r="F45" s="43"/>
    </row>
    <row r="46">
      <c r="A46" s="43" t="str">
        <f>IFERROR(__xludf.DUMMYFUNCTION("""COMPUTED_VALUE"""),"Sugar Beach Oarai")</f>
        <v>Sugar Beach Oarai</v>
      </c>
      <c r="B46" s="43"/>
      <c r="C46" s="43"/>
      <c r="D46" s="43">
        <f>IFERROR(__xludf.DUMMYFUNCTION("""COMPUTED_VALUE"""),22.0)</f>
        <v>22</v>
      </c>
      <c r="E46" s="44" t="str">
        <f>IFERROR(__xludf.DUMMYFUNCTION("""COMPUTED_VALUE"""),"https://www.sugarbeach-oarai.com/")</f>
        <v>https://www.sugarbeach-oarai.com/</v>
      </c>
      <c r="F46" s="43"/>
    </row>
    <row r="47">
      <c r="A47" s="43" t="str">
        <f>IFERROR(__xludf.DUMMYFUNCTION("""COMPUTED_VALUE"""),"TACO GLAMP THE MEXICO")</f>
        <v>TACO GLAMP THE MEXICO</v>
      </c>
      <c r="B47" s="43"/>
      <c r="C47" s="43" t="str">
        <f>IFERROR(__xludf.DUMMYFUNCTION("""COMPUTED_VALUE"""),"Chiba")</f>
        <v>Chiba</v>
      </c>
      <c r="D47" s="43">
        <f>IFERROR(__xludf.DUMMYFUNCTION("""COMPUTED_VALUE"""),23.0)</f>
        <v>23</v>
      </c>
      <c r="E47" s="44" t="str">
        <f>IFERROR(__xludf.DUMMYFUNCTION("""COMPUTED_VALUE"""),"https://www.tacoglamp.com/")</f>
        <v>https://www.tacoglamp.com/</v>
      </c>
      <c r="F47" s="43"/>
    </row>
    <row r="48">
      <c r="A48" s="43" t="str">
        <f>IFERROR(__xludf.DUMMYFUNCTION("""COMPUTED_VALUE"""),"Takataki Lake Glamping Resort")</f>
        <v>Takataki Lake Glamping Resort</v>
      </c>
      <c r="B48" s="43"/>
      <c r="C48" s="43" t="str">
        <f>IFERROR(__xludf.DUMMYFUNCTION("""COMPUTED_VALUE"""),"Chiba")</f>
        <v>Chiba</v>
      </c>
      <c r="D48" s="43">
        <f>IFERROR(__xludf.DUMMYFUNCTION("""COMPUTED_VALUE"""),19.0)</f>
        <v>19</v>
      </c>
      <c r="E48" s="44" t="str">
        <f>IFERROR(__xludf.DUMMYFUNCTION("""COMPUTED_VALUE"""),"https://www.takatakiko-glamping.com/")</f>
        <v>https://www.takatakiko-glamping.com/</v>
      </c>
      <c r="F48" s="43"/>
    </row>
    <row r="49">
      <c r="A49" s="43" t="str">
        <f>IFERROR(__xludf.DUMMYFUNCTION("""COMPUTED_VALUE"""),"UFUFU VILLAGE")</f>
        <v>UFUFU VILLAGE</v>
      </c>
      <c r="B49" s="43"/>
      <c r="C49" s="43"/>
      <c r="D49" s="43">
        <f>IFERROR(__xludf.DUMMYFUNCTION("""COMPUTED_VALUE"""),23.0)</f>
        <v>23</v>
      </c>
      <c r="E49" s="44" t="str">
        <f>IFERROR(__xludf.DUMMYFUNCTION("""COMPUTED_VALUE"""),"https://ufufu-village.jp/")</f>
        <v>https://ufufu-village.jp/</v>
      </c>
      <c r="F49" s="43"/>
    </row>
    <row r="50">
      <c r="A50" s="43" t="str">
        <f>IFERROR(__xludf.DUMMYFUNCTION("""COMPUTED_VALUE"""),"Sky Terrace")</f>
        <v>Sky Terrace</v>
      </c>
      <c r="B50" s="43"/>
      <c r="C50" s="43"/>
      <c r="D50" s="43">
        <f>IFERROR(__xludf.DUMMYFUNCTION("""COMPUTED_VALUE"""),15.0)</f>
        <v>15</v>
      </c>
      <c r="E50" s="44" t="str">
        <f>IFERROR(__xludf.DUMMYFUNCTION("""COMPUTED_VALUE"""),"https://www.tenkuu-terrace.jp/")</f>
        <v>https://www.tenkuu-terrace.jp/</v>
      </c>
      <c r="F50" s="43"/>
    </row>
    <row r="51">
      <c r="A51" s="43" t="str">
        <f>IFERROR(__xludf.DUMMYFUNCTION("""COMPUTED_VALUE"""),"MIRU NESEKO")</f>
        <v>MIRU NESEKO</v>
      </c>
      <c r="B51" s="43"/>
      <c r="C51" s="43" t="str">
        <f>IFERROR(__xludf.DUMMYFUNCTION("""COMPUTED_VALUE"""),"Hokkaido")</f>
        <v>Hokkaido</v>
      </c>
      <c r="D51" s="43">
        <f>IFERROR(__xludf.DUMMYFUNCTION("""COMPUTED_VALUE"""),47.0)</f>
        <v>47</v>
      </c>
      <c r="E51" s="44" t="str">
        <f>IFERROR(__xludf.DUMMYFUNCTION("""COMPUTED_VALUE"""),"https://mirucollection.com/miruniseko/")</f>
        <v>https://mirucollection.com/miruniseko/</v>
      </c>
      <c r="F51" s="43"/>
    </row>
    <row r="52">
      <c r="A52" s="43" t="str">
        <f>IFERROR(__xludf.DUMMYFUNCTION("""COMPUTED_VALUE"""),"NIKI Hills Winery")</f>
        <v>NIKI Hills Winery</v>
      </c>
      <c r="B52" s="43"/>
      <c r="C52" s="43" t="str">
        <f>IFERROR(__xludf.DUMMYFUNCTION("""COMPUTED_VALUE"""),"Hokkaido")</f>
        <v>Hokkaido</v>
      </c>
      <c r="D52" s="43">
        <f>IFERROR(__xludf.DUMMYFUNCTION("""COMPUTED_VALUE"""),8.0)</f>
        <v>8</v>
      </c>
      <c r="E52" s="44" t="str">
        <f>IFERROR(__xludf.DUMMYFUNCTION("""COMPUTED_VALUE"""),"https://nikihills.co.jp/")</f>
        <v>https://nikihills.co.jp/</v>
      </c>
      <c r="F52" s="43"/>
    </row>
    <row r="53">
      <c r="A53" s="43" t="str">
        <f>IFERROR(__xludf.DUMMYFUNCTION("""COMPUTED_VALUE"""),"Hotel Sardonyx Tokyo")</f>
        <v>Hotel Sardonyx Tokyo</v>
      </c>
      <c r="B53" s="43"/>
      <c r="C53" s="43"/>
      <c r="D53" s="43">
        <f>IFERROR(__xludf.DUMMYFUNCTION("""COMPUTED_VALUE"""),135.0)</f>
        <v>135</v>
      </c>
      <c r="E53" s="44" t="str">
        <f>IFERROR(__xludf.DUMMYFUNCTION("""COMPUTED_VALUE"""),"https://www.hotel-sardonyx.com/tokyo/")</f>
        <v>https://www.hotel-sardonyx.com/tokyo/</v>
      </c>
      <c r="F53" s="43"/>
    </row>
    <row r="54">
      <c r="A54" s="43" t="str">
        <f>IFERROR(__xludf.DUMMYFUNCTION("""COMPUTED_VALUE"""),"Seven Colors Ishigakijima")</f>
        <v>Seven Colors Ishigakijima</v>
      </c>
      <c r="B54" s="43"/>
      <c r="C54" s="43" t="str">
        <f>IFERROR(__xludf.DUMMYFUNCTION("""COMPUTED_VALUE"""),"Okinawa")</f>
        <v>Okinawa</v>
      </c>
      <c r="D54" s="43">
        <f>IFERROR(__xludf.DUMMYFUNCTION("""COMPUTED_VALUE"""),7.0)</f>
        <v>7</v>
      </c>
      <c r="E54" s="44" t="str">
        <f>IFERROR(__xludf.DUMMYFUNCTION("""COMPUTED_VALUE"""),"https://www.hotel-sevencolors.com/")</f>
        <v>https://www.hotel-sevencolors.com/</v>
      </c>
      <c r="F54" s="43"/>
    </row>
    <row r="55">
      <c r="A55" s="43" t="str">
        <f>IFERROR(__xludf.DUMMYFUNCTION("""COMPUTED_VALUE"""),"Tenpyo Ryokan")</f>
        <v>Tenpyo Ryokan</v>
      </c>
      <c r="B55" s="43"/>
      <c r="C55" s="43" t="str">
        <f>IFERROR(__xludf.DUMMYFUNCTION("""COMPUTED_VALUE"""),"Nara")</f>
        <v>Nara</v>
      </c>
      <c r="D55" s="43">
        <f>IFERROR(__xludf.DUMMYFUNCTION("""COMPUTED_VALUE"""),20.0)</f>
        <v>20</v>
      </c>
      <c r="E55" s="44" t="str">
        <f>IFERROR(__xludf.DUMMYFUNCTION("""COMPUTED_VALUE"""),"https://tenpyo.com/")</f>
        <v>https://tenpyo.com/</v>
      </c>
      <c r="F55" s="43"/>
    </row>
    <row r="56">
      <c r="A56" s="43" t="str">
        <f>IFERROR(__xludf.DUMMYFUNCTION("""COMPUTED_VALUE"""),"EN HOTEL Hakata")</f>
        <v>EN HOTEL Hakata</v>
      </c>
      <c r="B56" s="43"/>
      <c r="C56" s="43" t="str">
        <f>IFERROR(__xludf.DUMMYFUNCTION("""COMPUTED_VALUE"""),"Fukuoka")</f>
        <v>Fukuoka</v>
      </c>
      <c r="D56" s="43">
        <f>IFERROR(__xludf.DUMMYFUNCTION("""COMPUTED_VALUE"""),155.0)</f>
        <v>155</v>
      </c>
      <c r="E56" s="44" t="str">
        <f>IFERROR(__xludf.DUMMYFUNCTION("""COMPUTED_VALUE"""),"https://en-hotel.com/hakata/")</f>
        <v>https://en-hotel.com/hakata/</v>
      </c>
      <c r="F56" s="43"/>
    </row>
    <row r="57">
      <c r="A57" s="43" t="str">
        <f>IFERROR(__xludf.DUMMYFUNCTION("""COMPUTED_VALUE"""),"Kidoin")</f>
        <v>Kidoin</v>
      </c>
      <c r="B57" s="43"/>
      <c r="C57" s="43"/>
      <c r="D57" s="43">
        <f>IFERROR(__xludf.DUMMYFUNCTION("""COMPUTED_VALUE"""),40.0)</f>
        <v>40</v>
      </c>
      <c r="E57" s="44" t="str">
        <f>IFERROR(__xludf.DUMMYFUNCTION("""COMPUTED_VALUE"""),"https://kedouin.com/")</f>
        <v>https://kedouin.com/</v>
      </c>
      <c r="F57" s="43"/>
    </row>
    <row r="58">
      <c r="A58" s="43" t="str">
        <f>IFERROR(__xludf.DUMMYFUNCTION("""COMPUTED_VALUE"""),"Spa Naito")</f>
        <v>Spa Naito</v>
      </c>
      <c r="B58" s="43"/>
      <c r="C58" s="43" t="str">
        <f>IFERROR(__xludf.DUMMYFUNCTION("""COMPUTED_VALUE"""),"Yamanashi")</f>
        <v>Yamanashi</v>
      </c>
      <c r="D58" s="43">
        <f>IFERROR(__xludf.DUMMYFUNCTION("""COMPUTED_VALUE"""),200.0)</f>
        <v>200</v>
      </c>
      <c r="E58" s="44" t="str">
        <f>IFERROR(__xludf.DUMMYFUNCTION("""COMPUTED_VALUE"""),"https://www.hotel-naito.com/spaland/")</f>
        <v>https://www.hotel-naito.com/spaland/</v>
      </c>
      <c r="F58" s="43"/>
    </row>
    <row r="59">
      <c r="A59" s="43" t="str">
        <f>IFERROR(__xludf.DUMMYFUNCTION("""COMPUTED_VALUE"""),"Aso Baien Spa Resort (9 facilities)")</f>
        <v>Aso Baien Spa Resort (9 facilities)</v>
      </c>
      <c r="B59" s="43"/>
      <c r="C59" s="43"/>
      <c r="D59" s="43">
        <f>IFERROR(__xludf.DUMMYFUNCTION("""COMPUTED_VALUE"""),50.0)</f>
        <v>50</v>
      </c>
      <c r="E59" s="44" t="str">
        <f>IFERROR(__xludf.DUMMYFUNCTION("""COMPUTED_VALUE"""),"https://aso-baien.com/")</f>
        <v>https://aso-baien.com/</v>
      </c>
      <c r="F59" s="43"/>
    </row>
    <row r="60">
      <c r="A60" s="43" t="str">
        <f>IFERROR(__xludf.DUMMYFUNCTION("""COMPUTED_VALUE"""),"Tsukikouki Yufuin")</f>
        <v>Tsukikouki Yufuin</v>
      </c>
      <c r="B60" s="43"/>
      <c r="C60" s="43" t="str">
        <f>IFERROR(__xludf.DUMMYFUNCTION("""COMPUTED_VALUE"""),"Ōita")</f>
        <v>Ōita</v>
      </c>
      <c r="D60" s="43"/>
      <c r="E60" s="44" t="str">
        <f>IFERROR(__xludf.DUMMYFUNCTION("""COMPUTED_VALUE"""),"https://gekkoju-yufuin.jp/")</f>
        <v>https://gekkoju-yufuin.jp/</v>
      </c>
      <c r="F60" s="43"/>
    </row>
    <row r="61">
      <c r="A61" s="43" t="str">
        <f>IFERROR(__xludf.DUMMYFUNCTION("""COMPUTED_VALUE"""),"Tsuki Kouki Kurokawa")</f>
        <v>Tsuki Kouki Kurokawa</v>
      </c>
      <c r="B61" s="43"/>
      <c r="C61" s="43" t="str">
        <f>IFERROR(__xludf.DUMMYFUNCTION("""COMPUTED_VALUE"""),"Ōita")</f>
        <v>Ōita</v>
      </c>
      <c r="D61" s="43"/>
      <c r="E61" s="44" t="str">
        <f>IFERROR(__xludf.DUMMYFUNCTION("""COMPUTED_VALUE"""),"https://gekkoujyu.com/")</f>
        <v>https://gekkoujyu.com/</v>
      </c>
      <c r="F61" s="43"/>
    </row>
    <row r="62">
      <c r="A62" s="43" t="str">
        <f>IFERROR(__xludf.DUMMYFUNCTION("""COMPUTED_VALUE"""),"Yufuin Villa Itsuki")</f>
        <v>Yufuin Villa Itsuki</v>
      </c>
      <c r="B62" s="43"/>
      <c r="C62" s="43" t="str">
        <f>IFERROR(__xludf.DUMMYFUNCTION("""COMPUTED_VALUE"""),"Ōita")</f>
        <v>Ōita</v>
      </c>
      <c r="D62" s="43"/>
      <c r="E62" s="44" t="str">
        <f>IFERROR(__xludf.DUMMYFUNCTION("""COMPUTED_VALUE"""),"https://bettei-itsuki.jp/")</f>
        <v>https://bettei-itsuki.jp/</v>
      </c>
      <c r="F62" s="43"/>
    </row>
    <row r="63">
      <c r="A63" s="43" t="str">
        <f>IFERROR(__xludf.DUMMYFUNCTION("""COMPUTED_VALUE"""),"Yufuin Plum Garden")</f>
        <v>Yufuin Plum Garden</v>
      </c>
      <c r="B63" s="43"/>
      <c r="C63" s="43" t="str">
        <f>IFERROR(__xludf.DUMMYFUNCTION("""COMPUTED_VALUE"""),"Ōita")</f>
        <v>Ōita</v>
      </c>
      <c r="D63" s="43"/>
      <c r="E63" s="44" t="str">
        <f>IFERROR(__xludf.DUMMYFUNCTION("""COMPUTED_VALUE"""),"https://www.yufuin-baien.com/")</f>
        <v>https://www.yufuin-baien.com/</v>
      </c>
      <c r="F63" s="43"/>
    </row>
    <row r="64">
      <c r="A64" s="43" t="str">
        <f>IFERROR(__xludf.DUMMYFUNCTION("""COMPUTED_VALUE"""),"Yufuin Toshoan")</f>
        <v>Yufuin Toshoan</v>
      </c>
      <c r="B64" s="43"/>
      <c r="C64" s="43" t="str">
        <f>IFERROR(__xludf.DUMMYFUNCTION("""COMPUTED_VALUE"""),"Ōita")</f>
        <v>Ōita</v>
      </c>
      <c r="D64" s="43"/>
      <c r="E64" s="44" t="str">
        <f>IFERROR(__xludf.DUMMYFUNCTION("""COMPUTED_VALUE"""),"https://tosyoan.com/")</f>
        <v>https://tosyoan.com/</v>
      </c>
      <c r="F64" s="43"/>
    </row>
    <row r="65">
      <c r="A65" s="43" t="str">
        <f>IFERROR(__xludf.DUMMYFUNCTION("""COMPUTED_VALUE"""),"The Sound of Yukyo - Yusai")</f>
        <v>The Sound of Yukyo - Yusai</v>
      </c>
      <c r="B65" s="43"/>
      <c r="C65" s="43" t="str">
        <f>IFERROR(__xludf.DUMMYFUNCTION("""COMPUTED_VALUE"""),"Ōita")</f>
        <v>Ōita</v>
      </c>
      <c r="D65" s="43"/>
      <c r="E65" s="44" t="str">
        <f>IFERROR(__xludf.DUMMYFUNCTION("""COMPUTED_VALUE"""),"https://yusai.com/")</f>
        <v>https://yusai.com/</v>
      </c>
      <c r="F65" s="43"/>
    </row>
    <row r="66">
      <c r="A66" s="43" t="str">
        <f>IFERROR(__xludf.DUMMYFUNCTION("""COMPUTED_VALUE"""),"Hananoki River Terrace")</f>
        <v>Hananoki River Terrace</v>
      </c>
      <c r="B66" s="43"/>
      <c r="C66" s="43" t="str">
        <f>IFERROR(__xludf.DUMMYFUNCTION("""COMPUTED_VALUE"""),"Ōita")</f>
        <v>Ōita</v>
      </c>
      <c r="D66" s="43"/>
      <c r="E66" s="44" t="str">
        <f>IFERROR(__xludf.DUMMYFUNCTION("""COMPUTED_VALUE"""),"https://hita-hananoki.com/")</f>
        <v>https://hita-hananoki.com/</v>
      </c>
      <c r="F66" s="43"/>
    </row>
    <row r="67">
      <c r="A67" s="43" t="str">
        <f>IFERROR(__xludf.DUMMYFUNCTION("""COMPUTED_VALUE"""),"Takeo Onsen: Kyotoya, a Taisho-era romantic inn")</f>
        <v>Takeo Onsen: Kyotoya, a Taisho-era romantic inn</v>
      </c>
      <c r="B67" s="43"/>
      <c r="C67" s="43"/>
      <c r="D67" s="43"/>
      <c r="E67" s="44" t="str">
        <f>IFERROR(__xludf.DUMMYFUNCTION("""COMPUTED_VALUE"""),"https://www.saga-kyotoya.jp/")</f>
        <v>https://www.saga-kyotoya.jp/</v>
      </c>
      <c r="F67" s="43"/>
    </row>
    <row r="68">
      <c r="A68" s="43" t="str">
        <f>IFERROR(__xludf.DUMMYFUNCTION("""COMPUTED_VALUE"""),"Tochigi JIMINIE Club Mikamo Nature House (15 facilities)")</f>
        <v>Tochigi JIMINIE Club Mikamo Nature House (15 facilities)</v>
      </c>
      <c r="B68" s="43"/>
      <c r="C68" s="43" t="str">
        <f>IFERROR(__xludf.DUMMYFUNCTION("""COMPUTED_VALUE"""),"Tochigi")</f>
        <v>Tochigi</v>
      </c>
      <c r="D68" s="43">
        <f>IFERROR(__xludf.DUMMYFUNCTION("""COMPUTED_VALUE"""),46.0)</f>
        <v>46</v>
      </c>
      <c r="E68" s="44" t="str">
        <f>IFERROR(__xludf.DUMMYFUNCTION("""COMPUTED_VALUE"""),"https://mikamoshizennoie.com/")</f>
        <v>https://mikamoshizennoie.com/</v>
      </c>
      <c r="F68" s="43"/>
    </row>
    <row r="69">
      <c r="A69" s="43" t="str">
        <f>IFERROR(__xludf.DUMMYFUNCTION("""COMPUTED_VALUE"""),"Ooe Valley Stay")</f>
        <v>Ooe Valley Stay</v>
      </c>
      <c r="B69" s="43"/>
      <c r="C69" s="43"/>
      <c r="D69" s="43">
        <f>IFERROR(__xludf.DUMMYFUNCTION("""COMPUTED_VALUE"""),31.0)</f>
        <v>31</v>
      </c>
      <c r="E69" s="44" t="str">
        <f>IFERROR(__xludf.DUMMYFUNCTION("""COMPUTED_VALUE"""),"https://ooevalley.jp/")</f>
        <v>https://ooevalley.jp/</v>
      </c>
      <c r="F69" s="43"/>
    </row>
    <row r="70">
      <c r="A70" s="43" t="str">
        <f>IFERROR(__xludf.DUMMYFUNCTION("""COMPUTED_VALUE"""),"Hachinohe Plaza Hotel")</f>
        <v>Hachinohe Plaza Hotel</v>
      </c>
      <c r="B70" s="43"/>
      <c r="C70" s="43" t="str">
        <f>IFERROR(__xludf.DUMMYFUNCTION("""COMPUTED_VALUE"""),"Aomori")</f>
        <v>Aomori</v>
      </c>
      <c r="D70" s="43">
        <f>IFERROR(__xludf.DUMMYFUNCTION("""COMPUTED_VALUE"""),59.0)</f>
        <v>59</v>
      </c>
      <c r="E70" s="44" t="str">
        <f>IFERROR(__xludf.DUMMYFUNCTION("""COMPUTED_VALUE"""),"https://plazahotel.jp/")</f>
        <v>https://plazahotel.jp/</v>
      </c>
      <c r="F70" s="43"/>
    </row>
    <row r="71">
      <c r="A71" s="43" t="str">
        <f>IFERROR(__xludf.DUMMYFUNCTION("""COMPUTED_VALUE"""),"Okayama Glamping Sorania (2 facilities)")</f>
        <v>Okayama Glamping Sorania (2 facilities)</v>
      </c>
      <c r="B71" s="43"/>
      <c r="C71" s="43"/>
      <c r="D71" s="43">
        <f>IFERROR(__xludf.DUMMYFUNCTION("""COMPUTED_VALUE"""),12.0)</f>
        <v>12</v>
      </c>
      <c r="E71" s="44" t="str">
        <f>IFERROR(__xludf.DUMMYFUNCTION("""COMPUTED_VALUE"""),"https://sorania.jp/")</f>
        <v>https://sorania.jp/</v>
      </c>
      <c r="F71" s="43"/>
    </row>
    <row r="72">
      <c r="A72" s="43" t="str">
        <f>IFERROR(__xludf.DUMMYFUNCTION("""COMPUTED_VALUE"""),"Rizzaizen Hotel Okinawa (2 facilities)")</f>
        <v>Rizzaizen Hotel Okinawa (2 facilities)</v>
      </c>
      <c r="B72" s="43"/>
      <c r="C72" s="43" t="str">
        <f>IFERROR(__xludf.DUMMYFUNCTION("""COMPUTED_VALUE"""),"Okinawa")</f>
        <v>Okinawa</v>
      </c>
      <c r="D72" s="43">
        <f>IFERROR(__xludf.DUMMYFUNCTION("""COMPUTED_VALUE"""),8.0)</f>
        <v>8</v>
      </c>
      <c r="E72" s="44" t="str">
        <f>IFERROR(__xludf.DUMMYFUNCTION("""COMPUTED_VALUE"""),"https://resorthotels.okinawa/")</f>
        <v>https://resorthotels.okinawa/</v>
      </c>
      <c r="F72" s="43"/>
    </row>
    <row r="73">
      <c r="A73" s="43" t="str">
        <f>IFERROR(__xludf.DUMMYFUNCTION("""COMPUTED_VALUE"""),"Excellent Golf Club Ichishi Onsen Course")</f>
        <v>Excellent Golf Club Ichishi Onsen Course</v>
      </c>
      <c r="B73" s="43"/>
      <c r="C73" s="43" t="str">
        <f>IFERROR(__xludf.DUMMYFUNCTION("""COMPUTED_VALUE"""),"Tochigi")</f>
        <v>Tochigi</v>
      </c>
      <c r="D73" s="43">
        <f>IFERROR(__xludf.DUMMYFUNCTION("""COMPUTED_VALUE"""),17.0)</f>
        <v>17</v>
      </c>
      <c r="E73" s="43"/>
      <c r="F73" s="43"/>
    </row>
    <row r="74">
      <c r="A74" s="43" t="str">
        <f>IFERROR(__xludf.DUMMYFUNCTION("""COMPUTED_VALUE"""),"Natural Hot Spring Kawachinaganoso")</f>
        <v>Natural Hot Spring Kawachinaganoso</v>
      </c>
      <c r="B74" s="43"/>
      <c r="C74" s="43" t="str">
        <f>IFERROR(__xludf.DUMMYFUNCTION("""COMPUTED_VALUE"""),"Osaka")</f>
        <v>Osaka</v>
      </c>
      <c r="D74" s="43">
        <f>IFERROR(__xludf.DUMMYFUNCTION("""COMPUTED_VALUE"""),17.0)</f>
        <v>17</v>
      </c>
      <c r="E74" s="44" t="str">
        <f>IFERROR(__xludf.DUMMYFUNCTION("""COMPUTED_VALUE"""),"https://kawachinaganosou.com/")</f>
        <v>https://kawachinaganosou.com/</v>
      </c>
      <c r="F74" s="43"/>
    </row>
    <row r="75">
      <c r="A75" s="43" t="str">
        <f>IFERROR(__xludf.DUMMYFUNCTION("""COMPUTED_VALUE"""),"Kamogawa Grand Tower")</f>
        <v>Kamogawa Grand Tower</v>
      </c>
      <c r="B75" s="43"/>
      <c r="C75" s="43" t="str">
        <f>IFERROR(__xludf.DUMMYFUNCTION("""COMPUTED_VALUE"""),"Chiba")</f>
        <v>Chiba</v>
      </c>
      <c r="D75" s="43">
        <f>IFERROR(__xludf.DUMMYFUNCTION("""COMPUTED_VALUE"""),84.0)</f>
        <v>84</v>
      </c>
      <c r="E75" s="44" t="str">
        <f>IFERROR(__xludf.DUMMYFUNCTION("""COMPUTED_VALUE"""),"https://www.kgh.ne.jp/05/")</f>
        <v>https://www.kgh.ne.jp/05/</v>
      </c>
      <c r="F75" s="43"/>
    </row>
    <row r="76">
      <c r="A76" s="43" t="str">
        <f>IFERROR(__xludf.DUMMYFUNCTION("""COMPUTED_VALUE"""),"Kamogawa Grand Hotel")</f>
        <v>Kamogawa Grand Hotel</v>
      </c>
      <c r="B76" s="43"/>
      <c r="C76" s="43" t="str">
        <f>IFERROR(__xludf.DUMMYFUNCTION("""COMPUTED_VALUE"""),"Chiba")</f>
        <v>Chiba</v>
      </c>
      <c r="D76" s="43">
        <f>IFERROR(__xludf.DUMMYFUNCTION("""COMPUTED_VALUE"""),120.0)</f>
        <v>120</v>
      </c>
      <c r="E76" s="44" t="str">
        <f>IFERROR(__xludf.DUMMYFUNCTION("""COMPUTED_VALUE"""),"https://www.kgh.ne.jp/04/")</f>
        <v>https://www.kgh.ne.jp/04/</v>
      </c>
      <c r="F76" s="43"/>
    </row>
    <row r="77">
      <c r="A77" s="43" t="str">
        <f>IFERROR(__xludf.DUMMYFUNCTION("""COMPUTED_VALUE"""),"THE BAMBOO FOREST")</f>
        <v>THE BAMBOO FOREST</v>
      </c>
      <c r="B77" s="43"/>
      <c r="C77" s="43" t="str">
        <f>IFERROR(__xludf.DUMMYFUNCTION("""COMPUTED_VALUE"""),"Chiba")</f>
        <v>Chiba</v>
      </c>
      <c r="D77" s="43">
        <f>IFERROR(__xludf.DUMMYFUNCTION("""COMPUTED_VALUE"""),6.0)</f>
        <v>6</v>
      </c>
      <c r="E77" s="44" t="str">
        <f>IFERROR(__xludf.DUMMYFUNCTION("""COMPUTED_VALUE"""),"https://bamboo-forest.jp/")</f>
        <v>https://bamboo-forest.jp/</v>
      </c>
      <c r="F77" s="43"/>
    </row>
    <row r="78">
      <c r="A78" s="43" t="str">
        <f>IFERROR(__xludf.DUMMYFUNCTION("""COMPUTED_VALUE"""),"Hotel Binario Umeda")</f>
        <v>Hotel Binario Umeda</v>
      </c>
      <c r="B78" s="43"/>
      <c r="C78" s="43" t="str">
        <f>IFERROR(__xludf.DUMMYFUNCTION("""COMPUTED_VALUE"""),"Osaka")</f>
        <v>Osaka</v>
      </c>
      <c r="D78" s="43">
        <f>IFERROR(__xludf.DUMMYFUNCTION("""COMPUTED_VALUE"""),118.0)</f>
        <v>118</v>
      </c>
      <c r="E78" s="44" t="str">
        <f>IFERROR(__xludf.DUMMYFUNCTION("""COMPUTED_VALUE"""),"https://hotel-binario.jp/umeda/")</f>
        <v>https://hotel-binario.jp/umeda/</v>
      </c>
      <c r="F78" s="43"/>
    </row>
    <row r="79">
      <c r="A79" s="43" t="str">
        <f>IFERROR(__xludf.DUMMYFUNCTION("""COMPUTED_VALUE"""),"Hotel Binario SAGA ARASHIYAMA")</f>
        <v>Hotel Binario SAGA ARASHIYAMA</v>
      </c>
      <c r="B79" s="43"/>
      <c r="C79" s="43" t="str">
        <f>IFERROR(__xludf.DUMMYFUNCTION("""COMPUTED_VALUE"""),"Kyoto")</f>
        <v>Kyoto</v>
      </c>
      <c r="D79" s="43">
        <f>IFERROR(__xludf.DUMMYFUNCTION("""COMPUTED_VALUE"""),28.0)</f>
        <v>28</v>
      </c>
      <c r="E79" s="44" t="str">
        <f>IFERROR(__xludf.DUMMYFUNCTION("""COMPUTED_VALUE"""),"https://hotel-binario.jp/arashiyama/")</f>
        <v>https://hotel-binario.jp/arashiyama/</v>
      </c>
      <c r="F79" s="43"/>
    </row>
    <row r="80">
      <c r="A80" s="43" t="str">
        <f>IFERROR(__xludf.DUMMYFUNCTION("""COMPUTED_VALUE"""),"Hotel Binario Komatsu")</f>
        <v>Hotel Binario Komatsu</v>
      </c>
      <c r="B80" s="43"/>
      <c r="C80" s="43"/>
      <c r="D80" s="43">
        <f>IFERROR(__xludf.DUMMYFUNCTION("""COMPUTED_VALUE"""),99.0)</f>
        <v>99</v>
      </c>
      <c r="E80" s="44" t="str">
        <f>IFERROR(__xludf.DUMMYFUNCTION("""COMPUTED_VALUE"""),"https://hotelgranbinario.com/")</f>
        <v>https://hotelgranbinario.com/</v>
      </c>
      <c r="F80" s="43"/>
    </row>
    <row r="81">
      <c r="A81" s="43" t="str">
        <f>IFERROR(__xludf.DUMMYFUNCTION("""COMPUTED_VALUE"""),"Hotel Binario Komatsu Annex")</f>
        <v>Hotel Binario Komatsu Annex</v>
      </c>
      <c r="B81" s="43"/>
      <c r="C81" s="43"/>
      <c r="D81" s="43">
        <f>IFERROR(__xludf.DUMMYFUNCTION("""COMPUTED_VALUE"""),65.0)</f>
        <v>65</v>
      </c>
      <c r="E81" s="44" t="str">
        <f>IFERROR(__xludf.DUMMYFUNCTION("""COMPUTED_VALUE"""),"https://hotelgranbinario.com/")</f>
        <v>https://hotelgranbinario.com/</v>
      </c>
      <c r="F81" s="43"/>
    </row>
    <row r="82">
      <c r="A82" s="43" t="str">
        <f>IFERROR(__xludf.DUMMYFUNCTION("""COMPUTED_VALUE"""),"Hotel Binario Tsuruga")</f>
        <v>Hotel Binario Tsuruga</v>
      </c>
      <c r="B82" s="43"/>
      <c r="C82" s="43"/>
      <c r="D82" s="43">
        <f>IFERROR(__xludf.DUMMYFUNCTION("""COMPUTED_VALUE"""),131.0)</f>
        <v>131</v>
      </c>
      <c r="E82" s="44" t="str">
        <f>IFERROR(__xludf.DUMMYFUNCTION("""COMPUTED_VALUE"""),"https://hotelgranbinario-tsuruga.com/")</f>
        <v>https://hotelgranbinario-tsuruga.com/</v>
      </c>
      <c r="F82" s="43"/>
    </row>
    <row r="83">
      <c r="A83" s="43" t="str">
        <f>IFERROR(__xludf.DUMMYFUNCTION("""COMPUTED_VALUE"""),"Nikko Lake Chuzenji Onsen Hotel Hanaan")</f>
        <v>Nikko Lake Chuzenji Onsen Hotel Hanaan</v>
      </c>
      <c r="B83" s="43"/>
      <c r="C83" s="43" t="str">
        <f>IFERROR(__xludf.DUMMYFUNCTION("""COMPUTED_VALUE"""),"Tochigi")</f>
        <v>Tochigi</v>
      </c>
      <c r="D83" s="43">
        <f>IFERROR(__xludf.DUMMYFUNCTION("""COMPUTED_VALUE"""),20.0)</f>
        <v>20</v>
      </c>
      <c r="E83" s="44" t="str">
        <f>IFERROR(__xludf.DUMMYFUNCTION("""COMPUTED_VALUE"""),"https://www.hana-an.jp/")</f>
        <v>https://www.hana-an.jp/</v>
      </c>
      <c r="F83" s="43"/>
    </row>
    <row r="84">
      <c r="A84" s="43" t="str">
        <f>IFERROR(__xludf.DUMMYFUNCTION("""COMPUTED_VALUE"""),"San'in Yumura Onsen Spring Inn Yuamu")</f>
        <v>San'in Yumura Onsen Spring Inn Yuamu</v>
      </c>
      <c r="B84" s="43"/>
      <c r="C84" s="43" t="str">
        <f>IFERROR(__xludf.DUMMYFUNCTION("""COMPUTED_VALUE"""),"Hyōgo")</f>
        <v>Hyōgo</v>
      </c>
      <c r="D84" s="43">
        <f>IFERROR(__xludf.DUMMYFUNCTION("""COMPUTED_VALUE"""),34.0)</f>
        <v>34</v>
      </c>
      <c r="E84" s="44" t="str">
        <f>IFERROR(__xludf.DUMMYFUNCTION("""COMPUTED_VALUE"""),"https://www.yukemuri.co.jp/")</f>
        <v>https://www.yukemuri.co.jp/</v>
      </c>
      <c r="F84" s="43"/>
    </row>
    <row r="85">
      <c r="A85" s="43" t="str">
        <f>IFERROR(__xludf.DUMMYFUNCTION("""COMPUTED_VALUE"""),"Osaka Garden Palace")</f>
        <v>Osaka Garden Palace</v>
      </c>
      <c r="B85" s="43"/>
      <c r="C85" s="43" t="str">
        <f>IFERROR(__xludf.DUMMYFUNCTION("""COMPUTED_VALUE"""),"Osaka")</f>
        <v>Osaka</v>
      </c>
      <c r="D85" s="43">
        <f>IFERROR(__xludf.DUMMYFUNCTION("""COMPUTED_VALUE"""),290.0)</f>
        <v>290</v>
      </c>
      <c r="E85" s="44" t="str">
        <f>IFERROR(__xludf.DUMMYFUNCTION("""COMPUTED_VALUE"""),"https://www.hotelgp-osaka.com/")</f>
        <v>https://www.hotelgp-osaka.com/</v>
      </c>
      <c r="F85" s="43"/>
    </row>
    <row r="86">
      <c r="A86" s="43" t="str">
        <f>IFERROR(__xludf.DUMMYFUNCTION("""COMPUTED_VALUE"""),"Luck Hotel Yokkaichi (5 facilities)")</f>
        <v>Luck Hotel Yokkaichi (5 facilities)</v>
      </c>
      <c r="B86" s="43"/>
      <c r="C86" s="43"/>
      <c r="D86" s="43">
        <f>IFERROR(__xludf.DUMMYFUNCTION("""COMPUTED_VALUE"""),86.0)</f>
        <v>86</v>
      </c>
      <c r="E86" s="44" t="str">
        <f>IFERROR(__xludf.DUMMYFUNCTION("""COMPUTED_VALUE"""),"https://www.lachotel.co.jp/yokkaichi")</f>
        <v>https://www.lachotel.co.jp/yokkaichi</v>
      </c>
      <c r="F86" s="43"/>
    </row>
    <row r="87">
      <c r="A87" s="43" t="str">
        <f>IFERROR(__xludf.DUMMYFUNCTION("""COMPUTED_VALUE"""),"Private Pool Villa Kouri The Sweet")</f>
        <v>Private Pool Villa Kouri The Sweet</v>
      </c>
      <c r="B87" s="43"/>
      <c r="C87" s="43" t="str">
        <f>IFERROR(__xludf.DUMMYFUNCTION("""COMPUTED_VALUE"""),"Okinawa")</f>
        <v>Okinawa</v>
      </c>
      <c r="D87" s="43">
        <f>IFERROR(__xludf.DUMMYFUNCTION("""COMPUTED_VALUE"""),2.0)</f>
        <v>2</v>
      </c>
      <c r="E87" s="44" t="str">
        <f>IFERROR(__xludf.DUMMYFUNCTION("""COMPUTED_VALUE"""),"https://www.kouri-villa.com/")</f>
        <v>https://www.kouri-villa.com/</v>
      </c>
      <c r="F87" s="43"/>
    </row>
    <row r="88">
      <c r="A88" s="43" t="str">
        <f>IFERROR(__xludf.DUMMYFUNCTION("""COMPUTED_VALUE"""),"Lala Resort Hotel Green Green (10 facilities)")</f>
        <v>Lala Resort Hotel Green Green (10 facilities)</v>
      </c>
      <c r="B88" s="43"/>
      <c r="C88" s="43"/>
      <c r="D88" s="43">
        <f>IFERROR(__xludf.DUMMYFUNCTION("""COMPUTED_VALUE"""),206.0)</f>
        <v>206</v>
      </c>
      <c r="E88" s="44" t="str">
        <f>IFERROR(__xludf.DUMMYFUNCTION("""COMPUTED_VALUE"""),"https://www.hotel-gg.com/?page=1")</f>
        <v>https://www.hotel-gg.com/?page=1</v>
      </c>
      <c r="F88" s="43"/>
    </row>
    <row r="89">
      <c r="A89" s="43" t="str">
        <f>IFERROR(__xludf.DUMMYFUNCTION("""COMPUTED_VALUE"""),"Imari Grand Hotel")</f>
        <v>Imari Grand Hotel</v>
      </c>
      <c r="B89" s="43"/>
      <c r="C89" s="43"/>
      <c r="D89" s="43">
        <f>IFERROR(__xludf.DUMMYFUNCTION("""COMPUTED_VALUE"""),154.0)</f>
        <v>154</v>
      </c>
      <c r="E89" s="44" t="str">
        <f>IFERROR(__xludf.DUMMYFUNCTION("""COMPUTED_VALUE"""),"https://www.igh.jp/main/1.html")</f>
        <v>https://www.igh.jp/main/1.html</v>
      </c>
      <c r="F89" s="43"/>
    </row>
    <row r="90">
      <c r="A90" s="43" t="str">
        <f>IFERROR(__xludf.DUMMYFUNCTION("""COMPUTED_VALUE"""),"Shonan Label")</f>
        <v>Shonan Label</v>
      </c>
      <c r="B90" s="43"/>
      <c r="C90" s="43"/>
      <c r="D90" s="43"/>
      <c r="E90" s="44" t="str">
        <f>IFERROR(__xludf.DUMMYFUNCTION("""COMPUTED_VALUE"""),"https://shonan-label.com/")</f>
        <v>https://shonan-label.com/</v>
      </c>
      <c r="F90" s="43"/>
    </row>
    <row r="91">
      <c r="A91" s="43" t="str">
        <f>IFERROR(__xludf.DUMMYFUNCTION("""COMPUTED_VALUE"""),"Miyako City Osaka Honmachi")</f>
        <v>Miyako City Osaka Honmachi</v>
      </c>
      <c r="B91" s="43"/>
      <c r="C91" s="43" t="str">
        <f>IFERROR(__xludf.DUMMYFUNCTION("""COMPUTED_VALUE"""),"Osaka")</f>
        <v>Osaka</v>
      </c>
      <c r="D91" s="43"/>
      <c r="E91" s="44" t="str">
        <f>IFERROR(__xludf.DUMMYFUNCTION("""COMPUTED_VALUE"""),"https://www.miyakohotels.ne.jp/hommachi/")</f>
        <v>https://www.miyakohotels.ne.jp/hommachi/</v>
      </c>
      <c r="F91" s="43"/>
    </row>
    <row r="92">
      <c r="A92" s="43" t="str">
        <f>IFERROR(__xludf.DUMMYFUNCTION("""COMPUTED_VALUE"""),"Fukuoka Condominiums (3 facilities)")</f>
        <v>Fukuoka Condominiums (3 facilities)</v>
      </c>
      <c r="B92" s="43"/>
      <c r="C92" s="43" t="str">
        <f>IFERROR(__xludf.DUMMYFUNCTION("""COMPUTED_VALUE"""),"Fukuoka")</f>
        <v>Fukuoka</v>
      </c>
      <c r="D92" s="43">
        <f>IFERROR(__xludf.DUMMYFUNCTION("""COMPUTED_VALUE"""),9.0)</f>
        <v>9</v>
      </c>
      <c r="E92" s="44" t="str">
        <f>IFERROR(__xludf.DUMMYFUNCTION("""COMPUTED_VALUE"""),"https://fukuoka-hotel.jp/")</f>
        <v>https://fukuoka-hotel.jp/</v>
      </c>
      <c r="F92" s="43"/>
    </row>
    <row r="93">
      <c r="A93" s="43" t="str">
        <f>IFERROR(__xludf.DUMMYFUNCTION("""COMPUTED_VALUE"""),"Holonic")</f>
        <v>Holonic</v>
      </c>
      <c r="B93" s="43"/>
      <c r="C93" s="43"/>
      <c r="D93" s="43"/>
      <c r="E93" s="43"/>
      <c r="F93" s="43"/>
    </row>
    <row r="94">
      <c r="A94" s="43" t="str">
        <f>IFERROR(__xludf.DUMMYFUNCTION("""COMPUTED_VALUE"""),"villa “AMADA” &lt;Yoron Island&gt;")</f>
        <v>villa “AMADA” &lt;Yoron Island&gt;</v>
      </c>
      <c r="B94" s="43"/>
      <c r="C94" s="43"/>
      <c r="D94" s="43">
        <f>IFERROR(__xludf.DUMMYFUNCTION("""COMPUTED_VALUE"""),1.0)</f>
        <v>1</v>
      </c>
      <c r="E94" s="44" t="str">
        <f>IFERROR(__xludf.DUMMYFUNCTION("""COMPUTED_VALUE"""),"https://amada-yoron.com/")</f>
        <v>https://amada-yoron.com/</v>
      </c>
      <c r="F94" s="43"/>
    </row>
    <row r="95">
      <c r="A95" s="43" t="str">
        <f>IFERROR(__xludf.DUMMYFUNCTION("""COMPUTED_VALUE"""),"ANDO HOTEL Nara Wakakusayama")</f>
        <v>ANDO HOTEL Nara Wakakusayama</v>
      </c>
      <c r="B95" s="43"/>
      <c r="C95" s="43" t="str">
        <f>IFERROR(__xludf.DUMMYFUNCTION("""COMPUTED_VALUE"""),"Nara")</f>
        <v>Nara</v>
      </c>
      <c r="D95" s="43">
        <f>IFERROR(__xludf.DUMMYFUNCTION("""COMPUTED_VALUE"""),24.0)</f>
        <v>24</v>
      </c>
      <c r="E95" s="44" t="str">
        <f>IFERROR(__xludf.DUMMYFUNCTION("""COMPUTED_VALUE"""),"https://andohotelnara.com/")</f>
        <v>https://andohotelnara.com/</v>
      </c>
      <c r="F95" s="43"/>
    </row>
    <row r="96">
      <c r="A96" s="43" t="str">
        <f>IFERROR(__xludf.DUMMYFUNCTION("""COMPUTED_VALUE"""),"Kowakien related")</f>
        <v>Kowakien related</v>
      </c>
      <c r="B96" s="43"/>
      <c r="C96" s="43"/>
      <c r="D96" s="43"/>
      <c r="E96" s="44" t="str">
        <f>IFERROR(__xludf.DUMMYFUNCTION("""COMPUTED_VALUE"""),"https://www.hakone-hotelkowakien.jp/")</f>
        <v>https://www.hakone-hotelkowakien.jp/</v>
      </c>
      <c r="F96" s="43"/>
    </row>
    <row r="97">
      <c r="A97" s="43" t="str">
        <f>IFERROR(__xludf.DUMMYFUNCTION("""COMPUTED_VALUE"""),"Sundance Resort Kawaguchiko")</f>
        <v>Sundance Resort Kawaguchiko</v>
      </c>
      <c r="B97" s="43"/>
      <c r="C97" s="43" t="str">
        <f>IFERROR(__xludf.DUMMYFUNCTION("""COMPUTED_VALUE"""),"Yamanashi")</f>
        <v>Yamanashi</v>
      </c>
      <c r="D97" s="43"/>
      <c r="E97" s="44" t="str">
        <f>IFERROR(__xludf.DUMMYFUNCTION("""COMPUTED_VALUE"""),"https://www.sundance-resortclub.jp/resort/kawaguchiko/")</f>
        <v>https://www.sundance-resortclub.jp/resort/kawaguchiko/</v>
      </c>
      <c r="F97" s="43"/>
    </row>
    <row r="98">
      <c r="A98" s="43" t="str">
        <f>IFERROR(__xludf.DUMMYFUNCTION("""COMPUTED_VALUE"""),"Sundance Resort Lake Yamanaka")</f>
        <v>Sundance Resort Lake Yamanaka</v>
      </c>
      <c r="B98" s="43"/>
      <c r="C98" s="43" t="str">
        <f>IFERROR(__xludf.DUMMYFUNCTION("""COMPUTED_VALUE"""),"Yamanashi")</f>
        <v>Yamanashi</v>
      </c>
      <c r="D98" s="43"/>
      <c r="E98" s="44" t="str">
        <f>IFERROR(__xludf.DUMMYFUNCTION("""COMPUTED_VALUE"""),"https://www.sundance-resortclub.jp/resort/yamanakako/")</f>
        <v>https://www.sundance-resortclub.jp/resort/yamanakako/</v>
      </c>
      <c r="F98" s="43"/>
    </row>
    <row r="99">
      <c r="A99" s="43" t="str">
        <f>IFERROR(__xludf.DUMMYFUNCTION("""COMPUTED_VALUE"""),"Sundance Resort Tateshina")</f>
        <v>Sundance Resort Tateshina</v>
      </c>
      <c r="B99" s="43"/>
      <c r="C99" s="43" t="str">
        <f>IFERROR(__xludf.DUMMYFUNCTION("""COMPUTED_VALUE"""),"Nagano")</f>
        <v>Nagano</v>
      </c>
      <c r="D99" s="43"/>
      <c r="E99" s="44" t="str">
        <f>IFERROR(__xludf.DUMMYFUNCTION("""COMPUTED_VALUE"""),"https://www.sundance-resortclub.jp/resort/tateshina/")</f>
        <v>https://www.sundance-resortclub.jp/resort/tateshina/</v>
      </c>
      <c r="F99" s="43"/>
    </row>
    <row r="100">
      <c r="A100" s="43" t="str">
        <f>IFERROR(__xludf.DUMMYFUNCTION("""COMPUTED_VALUE"""),"Sundance Resort Izukogen")</f>
        <v>Sundance Resort Izukogen</v>
      </c>
      <c r="B100" s="43"/>
      <c r="C100" s="43"/>
      <c r="D100" s="43"/>
      <c r="E100" s="43"/>
      <c r="F100" s="43"/>
    </row>
    <row r="101">
      <c r="A101" s="43" t="str">
        <f>IFERROR(__xludf.DUMMYFUNCTION("""COMPUTED_VALUE"""),"Sundance Resort Izukogen ANNEX")</f>
        <v>Sundance Resort Izukogen ANNEX</v>
      </c>
      <c r="B101" s="43"/>
      <c r="C101" s="43"/>
      <c r="D101" s="43"/>
      <c r="E101" s="43"/>
      <c r="F101" s="43"/>
    </row>
    <row r="102">
      <c r="A102" s="43" t="str">
        <f>IFERROR(__xludf.DUMMYFUNCTION("""COMPUTED_VALUE"""),"Sundance Resort Hakone Miyagino")</f>
        <v>Sundance Resort Hakone Miyagino</v>
      </c>
      <c r="B102" s="43"/>
      <c r="C102" s="43"/>
      <c r="D102" s="43"/>
      <c r="E102" s="44" t="str">
        <f>IFERROR(__xludf.DUMMYFUNCTION("""COMPUTED_VALUE"""),"https://www.sundance-resortclub.jp/resort/hakonemiyagino/")</f>
        <v>https://www.sundance-resortclub.jp/resort/hakonemiyagino/</v>
      </c>
      <c r="F102" s="43"/>
    </row>
    <row r="103">
      <c r="A103" s="43" t="str">
        <f>IFERROR(__xludf.DUMMYFUNCTION("""COMPUTED_VALUE"""),"Sundance Resort Hakone Gora")</f>
        <v>Sundance Resort Hakone Gora</v>
      </c>
      <c r="B103" s="43"/>
      <c r="C103" s="43"/>
      <c r="D103" s="43"/>
      <c r="E103" s="44" t="str">
        <f>IFERROR(__xludf.DUMMYFUNCTION("""COMPUTED_VALUE"""),"https://www.sundance-resortclub.jp/resort/hakonegoura/")</f>
        <v>https://www.sundance-resortclub.jp/resort/hakonegoura/</v>
      </c>
      <c r="F103" s="43"/>
    </row>
    <row r="104">
      <c r="A104" s="43" t="str">
        <f>IFERROR(__xludf.DUMMYFUNCTION("""COMPUTED_VALUE"""),"Sundance Resort Karuizawa")</f>
        <v>Sundance Resort Karuizawa</v>
      </c>
      <c r="B104" s="43"/>
      <c r="C104" s="43" t="str">
        <f>IFERROR(__xludf.DUMMYFUNCTION("""COMPUTED_VALUE"""),"Nagano")</f>
        <v>Nagano</v>
      </c>
      <c r="D104" s="43"/>
      <c r="E104" s="44" t="str">
        <f>IFERROR(__xludf.DUMMYFUNCTION("""COMPUTED_VALUE"""),"https://www.sundance-resortclub.jp/resort/karuizawa/")</f>
        <v>https://www.sundance-resortclub.jp/resort/karuizawa/</v>
      </c>
      <c r="F104" s="43"/>
    </row>
    <row r="105">
      <c r="A105" s="43" t="str">
        <f>IFERROR(__xludf.DUMMYFUNCTION("""COMPUTED_VALUE"""),"Sundance Resort Awa-Kamogawa")</f>
        <v>Sundance Resort Awa-Kamogawa</v>
      </c>
      <c r="B105" s="43"/>
      <c r="C105" s="43" t="str">
        <f>IFERROR(__xludf.DUMMYFUNCTION("""COMPUTED_VALUE"""),"Chiba")</f>
        <v>Chiba</v>
      </c>
      <c r="D105" s="43"/>
      <c r="E105" s="44" t="str">
        <f>IFERROR(__xludf.DUMMYFUNCTION("""COMPUTED_VALUE"""),"https://www.sundance-resortclub.jp/resort/awakamogawa/")</f>
        <v>https://www.sundance-resortclub.jp/resort/awakamogawa/</v>
      </c>
      <c r="F105" s="43"/>
    </row>
    <row r="106">
      <c r="A106" s="43" t="str">
        <f>IFERROR(__xludf.DUMMYFUNCTION("""COMPUTED_VALUE"""),"Sundance Resort Onjuku")</f>
        <v>Sundance Resort Onjuku</v>
      </c>
      <c r="B106" s="43"/>
      <c r="C106" s="43" t="str">
        <f>IFERROR(__xludf.DUMMYFUNCTION("""COMPUTED_VALUE"""),"Chiba")</f>
        <v>Chiba</v>
      </c>
      <c r="D106" s="43"/>
      <c r="E106" s="44" t="str">
        <f>IFERROR(__xludf.DUMMYFUNCTION("""COMPUTED_VALUE"""),"https://www.sundance-resortclub.jp/resort/onjuku/")</f>
        <v>https://www.sundance-resortclub.jp/resort/onjuku/</v>
      </c>
      <c r="F106" s="43"/>
    </row>
    <row r="107">
      <c r="A107" s="43" t="str">
        <f>IFERROR(__xludf.DUMMYFUNCTION("""COMPUTED_VALUE"""),"Sundance Resort Kusatsu")</f>
        <v>Sundance Resort Kusatsu</v>
      </c>
      <c r="B107" s="43"/>
      <c r="C107" s="43"/>
      <c r="D107" s="43"/>
      <c r="E107" s="44" t="str">
        <f>IFERROR(__xludf.DUMMYFUNCTION("""COMPUTED_VALUE"""),"https://www.sundance-resortclub.jp/resort/kusatsu/")</f>
        <v>https://www.sundance-resortclub.jp/resort/kusatsu/</v>
      </c>
      <c r="F107" s="43"/>
    </row>
    <row r="108">
      <c r="A108" s="43" t="str">
        <f>IFERROR(__xludf.DUMMYFUNCTION("""COMPUTED_VALUE"""),"Sundance Resort Katsuura East")</f>
        <v>Sundance Resort Katsuura East</v>
      </c>
      <c r="B108" s="43"/>
      <c r="C108" s="43" t="str">
        <f>IFERROR(__xludf.DUMMYFUNCTION("""COMPUTED_VALUE"""),"Chiba")</f>
        <v>Chiba</v>
      </c>
      <c r="D108" s="43"/>
      <c r="E108" s="44" t="str">
        <f>IFERROR(__xludf.DUMMYFUNCTION("""COMPUTED_VALUE"""),"https://www.sundance-resortclub.jp/resort/katsuuraeast/")</f>
        <v>https://www.sundance-resortclub.jp/resort/katsuuraeast/</v>
      </c>
      <c r="F108" s="43"/>
    </row>
    <row r="109">
      <c r="A109" s="43" t="str">
        <f>IFERROR(__xludf.DUMMYFUNCTION("""COMPUTED_VALUE"""),"Sundance Resort Atami")</f>
        <v>Sundance Resort Atami</v>
      </c>
      <c r="B109" s="43"/>
      <c r="C109" s="43"/>
      <c r="D109" s="43"/>
      <c r="E109" s="44" t="str">
        <f>IFERROR(__xludf.DUMMYFUNCTION("""COMPUTED_VALUE"""),"https://www.sundance-resortclub.jp/resort/atami/")</f>
        <v>https://www.sundance-resortclub.jp/resort/atami/</v>
      </c>
      <c r="F109" s="43"/>
    </row>
    <row r="110">
      <c r="A110" s="43" t="str">
        <f>IFERROR(__xludf.DUMMYFUNCTION("""COMPUTED_VALUE"""),"Sundance Resort Nasu")</f>
        <v>Sundance Resort Nasu</v>
      </c>
      <c r="B110" s="43"/>
      <c r="C110" s="43" t="str">
        <f>IFERROR(__xludf.DUMMYFUNCTION("""COMPUTED_VALUE"""),"Tochigi")</f>
        <v>Tochigi</v>
      </c>
      <c r="D110" s="43"/>
      <c r="E110" s="43"/>
      <c r="F110" s="43"/>
    </row>
    <row r="111">
      <c r="A111" s="43" t="str">
        <f>IFERROR(__xludf.DUMMYFUNCTION("""COMPUTED_VALUE"""),"Club Wyndham Shirakabaso Shiga Kogen")</f>
        <v>Club Wyndham Shirakabaso Shiga Kogen</v>
      </c>
      <c r="B111" s="43"/>
      <c r="C111" s="43" t="str">
        <f>IFERROR(__xludf.DUMMYFUNCTION("""COMPUTED_VALUE"""),"Nagano")</f>
        <v>Nagano</v>
      </c>
      <c r="D111" s="43"/>
      <c r="E111" s="44" t="str">
        <f>IFERROR(__xludf.DUMMYFUNCTION("""COMPUTED_VALUE"""),"https://clubwyndhamasia.com/ja/resort/club-wyndham-sundance-resort-shirakabaso-shiga-kogen/")</f>
        <v>https://clubwyndhamasia.com/ja/resort/club-wyndham-sundance-resort-shirakabaso-shiga-kogen/</v>
      </c>
      <c r="F111" s="43"/>
    </row>
    <row r="112">
      <c r="A112" s="43" t="str">
        <f>IFERROR(__xludf.DUMMYFUNCTION("""COMPUTED_VALUE"""),"Club Wyndham Chikumakan Nagano")</f>
        <v>Club Wyndham Chikumakan Nagano</v>
      </c>
      <c r="B112" s="43"/>
      <c r="C112" s="43" t="str">
        <f>IFERROR(__xludf.DUMMYFUNCTION("""COMPUTED_VALUE"""),"Nagano")</f>
        <v>Nagano</v>
      </c>
      <c r="D112" s="43"/>
      <c r="E112" s="44" t="str">
        <f>IFERROR(__xludf.DUMMYFUNCTION("""COMPUTED_VALUE"""),"https://clubwyndhamchikumakan.com/")</f>
        <v>https://clubwyndhamchikumakan.com/</v>
      </c>
      <c r="F112" s="43"/>
    </row>
    <row r="113">
      <c r="A113" s="43" t="str">
        <f>IFERROR(__xludf.DUMMYFUNCTION("""COMPUTED_VALUE"""),"Fuji Tenka Hall")</f>
        <v>Fuji Tenka Hall</v>
      </c>
      <c r="B113" s="43"/>
      <c r="C113" s="43"/>
      <c r="D113" s="43"/>
      <c r="E113" s="44" t="str">
        <f>IFERROR(__xludf.DUMMYFUNCTION("""COMPUTED_VALUE"""),"https://fujitennka.jp/")</f>
        <v>https://fujitennka.jp/</v>
      </c>
      <c r="F113" s="43"/>
    </row>
    <row r="114">
      <c r="A114" s="43" t="str">
        <f>IFERROR(__xludf.DUMMYFUNCTION("""COMPUTED_VALUE"""),"La Jolie Motomachi")</f>
        <v>La Jolie Motomachi</v>
      </c>
      <c r="B114" s="43"/>
      <c r="C114" s="43"/>
      <c r="D114" s="43"/>
      <c r="E114" s="44" t="str">
        <f>IFERROR(__xludf.DUMMYFUNCTION("""COMPUTED_VALUE"""),"https://lajolie-hakodate.com/")</f>
        <v>https://lajolie-hakodate.com/</v>
      </c>
      <c r="F114" s="43"/>
    </row>
    <row r="115">
      <c r="A115" s="43" t="str">
        <f>IFERROR(__xludf.DUMMYFUNCTION("""COMPUTED_VALUE"""),"Stellar Site Hakodate")</f>
        <v>Stellar Site Hakodate</v>
      </c>
      <c r="B115" s="43"/>
      <c r="C115" s="43" t="str">
        <f>IFERROR(__xludf.DUMMYFUNCTION("""COMPUTED_VALUE"""),"Hokkaido")</f>
        <v>Hokkaido</v>
      </c>
      <c r="D115" s="43"/>
      <c r="E115" s="44" t="str">
        <f>IFERROR(__xludf.DUMMYFUNCTION("""COMPUTED_VALUE"""),"https://stella-site.com/")</f>
        <v>https://stella-site.com/</v>
      </c>
      <c r="F115" s="43"/>
    </row>
    <row r="116">
      <c r="A116" s="43" t="str">
        <f>IFERROR(__xludf.DUMMYFUNCTION("""COMPUTED_VALUE"""),"View Mount Hakodate")</f>
        <v>View Mount Hakodate</v>
      </c>
      <c r="B116" s="43"/>
      <c r="C116" s="43" t="str">
        <f>IFERROR(__xludf.DUMMYFUNCTION("""COMPUTED_VALUE"""),"Hokkaido")</f>
        <v>Hokkaido</v>
      </c>
      <c r="D116" s="43"/>
      <c r="E116" s="44" t="str">
        <f>IFERROR(__xludf.DUMMYFUNCTION("""COMPUTED_VALUE"""),"https://view-mt-hakodate.com/")</f>
        <v>https://view-mt-hakodate.com/</v>
      </c>
      <c r="F116" s="43"/>
    </row>
    <row r="117">
      <c r="A117" s="43" t="str">
        <f>IFERROR(__xludf.DUMMYFUNCTION("""COMPUTED_VALUE"""),"Panoramic Motomachi")</f>
        <v>Panoramic Motomachi</v>
      </c>
      <c r="B117" s="43"/>
      <c r="C117" s="43"/>
      <c r="D117" s="43"/>
      <c r="E117" s="44" t="str">
        <f>IFERROR(__xludf.DUMMYFUNCTION("""COMPUTED_VALUE"""),"https://hakodate-condominium.com/")</f>
        <v>https://hakodate-condominium.com/</v>
      </c>
      <c r="F117" s="43"/>
    </row>
    <row r="118">
      <c r="A118" s="43" t="str">
        <f>IFERROR(__xludf.DUMMYFUNCTION("""COMPUTED_VALUE"""),"T Hotel Ryuo")</f>
        <v>T Hotel Ryuo</v>
      </c>
      <c r="B118" s="43"/>
      <c r="C118" s="43" t="str">
        <f>IFERROR(__xludf.DUMMYFUNCTION("""COMPUTED_VALUE"""),"Nagano")</f>
        <v>Nagano</v>
      </c>
      <c r="D118" s="43"/>
      <c r="E118" s="44" t="str">
        <f>IFERROR(__xludf.DUMMYFUNCTION("""COMPUTED_VALUE"""),"https://thotel.jp/en/")</f>
        <v>https://thotel.jp/en/</v>
      </c>
      <c r="F118" s="43"/>
    </row>
    <row r="119">
      <c r="A119" s="43" t="str">
        <f>IFERROR(__xludf.DUMMYFUNCTION("""COMPUTED_VALUE"""),"Pod Select Hotel Shinjuku")</f>
        <v>Pod Select Hotel Shinjuku</v>
      </c>
      <c r="B119" s="43"/>
      <c r="C119" s="43"/>
      <c r="D119" s="43"/>
      <c r="E119" s="44" t="str">
        <f>IFERROR(__xludf.DUMMYFUNCTION("""COMPUTED_VALUE"""),"https://www.podinns.co.jp/")</f>
        <v>https://www.podinns.co.jp/</v>
      </c>
      <c r="F119" s="43"/>
    </row>
    <row r="120">
      <c r="A120" s="43" t="str">
        <f>IFERROR(__xludf.DUMMYFUNCTION("""COMPUTED_VALUE"""),"The Stay Nishikasai")</f>
        <v>The Stay Nishikasai</v>
      </c>
      <c r="B120" s="43"/>
      <c r="C120" s="43"/>
      <c r="D120" s="43"/>
      <c r="E120" s="44" t="str">
        <f>IFERROR(__xludf.DUMMYFUNCTION("""COMPUTED_VALUE"""),"https://shorturl.at/ucewG")</f>
        <v>https://shorturl.at/ucewG</v>
      </c>
      <c r="F120" s="43"/>
    </row>
    <row r="121">
      <c r="A121" s="43" t="str">
        <f>IFERROR(__xludf.DUMMYFUNCTION("""COMPUTED_VALUE"""),"The Stay Sapporo")</f>
        <v>The Stay Sapporo</v>
      </c>
      <c r="B121" s="43"/>
      <c r="C121" s="43" t="str">
        <f>IFERROR(__xludf.DUMMYFUNCTION("""COMPUTED_VALUE"""),"Hokkaido")</f>
        <v>Hokkaido</v>
      </c>
      <c r="D121" s="43"/>
      <c r="E121" s="44" t="str">
        <f>IFERROR(__xludf.DUMMYFUNCTION("""COMPUTED_VALUE"""),"https://gh-ldk.jp/sapporo/")</f>
        <v>https://gh-ldk.jp/sapporo/</v>
      </c>
      <c r="F121" s="43"/>
    </row>
    <row r="122">
      <c r="A122" s="43" t="str">
        <f>IFERROR(__xludf.DUMMYFUNCTION("""COMPUTED_VALUE"""),"BAY COAST AGAIN")</f>
        <v>BAY COAST AGAIN</v>
      </c>
      <c r="B122" s="43"/>
      <c r="C122" s="43" t="str">
        <f>IFERROR(__xludf.DUMMYFUNCTION("""COMPUTED_VALUE"""),"Okinawa")</f>
        <v>Okinawa</v>
      </c>
      <c r="D122" s="43">
        <f>IFERROR(__xludf.DUMMYFUNCTION("""COMPUTED_VALUE"""),3.0)</f>
        <v>3</v>
      </c>
      <c r="E122" s="44" t="str">
        <f>IFERROR(__xludf.DUMMYFUNCTION("""COMPUTED_VALUE"""),"https://bay-coast.again-resorts.com/")</f>
        <v>https://bay-coast.again-resorts.com/</v>
      </c>
      <c r="F122" s="43"/>
    </row>
    <row r="123">
      <c r="A123" s="43" t="str">
        <f>IFERROR(__xludf.DUMMYFUNCTION("""COMPUTED_VALUE"""),"Working in the forest")</f>
        <v>Working in the forest</v>
      </c>
      <c r="B123" s="43"/>
      <c r="C123" s="43" t="str">
        <f>IFERROR(__xludf.DUMMYFUNCTION("""COMPUTED_VALUE"""),"Tochigi")</f>
        <v>Tochigi</v>
      </c>
      <c r="D123" s="43"/>
      <c r="E123" s="44" t="str">
        <f>IFERROR(__xludf.DUMMYFUNCTION("""COMPUTED_VALUE"""),"https://www.nasuppo.com/")</f>
        <v>https://www.nasuppo.com/</v>
      </c>
      <c r="F123" s="43"/>
    </row>
    <row r="124">
      <c r="A124" s="43" t="str">
        <f>IFERROR(__xludf.DUMMYFUNCTION("""COMPUTED_VALUE"""),"N living")</f>
        <v>N living</v>
      </c>
      <c r="B124" s="43"/>
      <c r="C124" s="43" t="str">
        <f>IFERROR(__xludf.DUMMYFUNCTION("""COMPUTED_VALUE"""),"Chiba")</f>
        <v>Chiba</v>
      </c>
      <c r="D124" s="43">
        <f>IFERROR(__xludf.DUMMYFUNCTION("""COMPUTED_VALUE"""),1.0)</f>
        <v>1</v>
      </c>
      <c r="E124" s="43"/>
      <c r="F124" s="43"/>
    </row>
    <row r="125">
      <c r="A125" s="43" t="str">
        <f>IFERROR(__xludf.DUMMYFUNCTION("""COMPUTED_VALUE"""),"N Resort")</f>
        <v>N Resort</v>
      </c>
      <c r="B125" s="43"/>
      <c r="C125" s="43" t="str">
        <f>IFERROR(__xludf.DUMMYFUNCTION("""COMPUTED_VALUE"""),"Chiba")</f>
        <v>Chiba</v>
      </c>
      <c r="D125" s="43">
        <f>IFERROR(__xludf.DUMMYFUNCTION("""COMPUTED_VALUE"""),1.0)</f>
        <v>1</v>
      </c>
      <c r="E125" s="43"/>
      <c r="F125" s="43"/>
    </row>
    <row r="126">
      <c r="A126" s="43" t="str">
        <f>IFERROR(__xludf.DUMMYFUNCTION("""COMPUTED_VALUE"""),"N stay")</f>
        <v>N stay</v>
      </c>
      <c r="B126" s="43"/>
      <c r="C126" s="43" t="str">
        <f>IFERROR(__xludf.DUMMYFUNCTION("""COMPUTED_VALUE"""),"Chiba")</f>
        <v>Chiba</v>
      </c>
      <c r="D126" s="43">
        <f>IFERROR(__xludf.DUMMYFUNCTION("""COMPUTED_VALUE"""),2.0)</f>
        <v>2</v>
      </c>
      <c r="E126" s="43"/>
      <c r="F126" s="43"/>
    </row>
    <row r="127">
      <c r="A127" s="43" t="str">
        <f>IFERROR(__xludf.DUMMYFUNCTION("""COMPUTED_VALUE"""),"Ronsard Resort Irabu")</f>
        <v>Ronsard Resort Irabu</v>
      </c>
      <c r="B127" s="43"/>
      <c r="C127" s="43" t="str">
        <f>IFERROR(__xludf.DUMMYFUNCTION("""COMPUTED_VALUE"""),"Okinawa")</f>
        <v>Okinawa</v>
      </c>
      <c r="D127" s="43">
        <f>IFERROR(__xludf.DUMMYFUNCTION("""COMPUTED_VALUE"""),5.0)</f>
        <v>5</v>
      </c>
      <c r="E127" s="44" t="str">
        <f>IFERROR(__xludf.DUMMYFUNCTION("""COMPUTED_VALUE"""),"https://ronsard-resort.com/")</f>
        <v>https://ronsard-resort.com/</v>
      </c>
      <c r="F127" s="43"/>
    </row>
    <row r="128">
      <c r="A128" s="43" t="str">
        <f>IFERROR(__xludf.DUMMYFUNCTION("""COMPUTED_VALUE"""),"La Vista Kirishima Hills")</f>
        <v>La Vista Kirishima Hills</v>
      </c>
      <c r="B128" s="43"/>
      <c r="C128" s="43"/>
      <c r="D128" s="43">
        <f>IFERROR(__xludf.DUMMYFUNCTION("""COMPUTED_VALUE"""),105.0)</f>
        <v>105</v>
      </c>
      <c r="E128" s="44" t="str">
        <f>IFERROR(__xludf.DUMMYFUNCTION("""COMPUTED_VALUE"""),"https://dormy-hotels.com/")</f>
        <v>https://dormy-hotels.com/</v>
      </c>
      <c r="F128" s="43"/>
    </row>
    <row r="129">
      <c r="A129" s="43" t="str">
        <f>IFERROR(__xludf.DUMMYFUNCTION("""COMPUTED_VALUE"""),"AMANE RESORT SEIKAI (2 facilities)")</f>
        <v>AMANE RESORT SEIKAI (2 facilities)</v>
      </c>
      <c r="B129" s="43"/>
      <c r="C129" s="43" t="str">
        <f>IFERROR(__xludf.DUMMYFUNCTION("""COMPUTED_VALUE"""),"Ōita")</f>
        <v>Ōita</v>
      </c>
      <c r="D129" s="43">
        <f>IFERROR(__xludf.DUMMYFUNCTION("""COMPUTED_VALUE"""),60.0)</f>
        <v>60</v>
      </c>
      <c r="E129" s="44" t="str">
        <f>IFERROR(__xludf.DUMMYFUNCTION("""COMPUTED_VALUE"""),"https://www.seikai.co.jp/")</f>
        <v>https://www.seikai.co.jp/</v>
      </c>
      <c r="F129" s="43"/>
    </row>
    <row r="130">
      <c r="A130" s="43" t="str">
        <f>IFERROR(__xludf.DUMMYFUNCTION("""COMPUTED_VALUE"""),"KAMAKURA HOTEL")</f>
        <v>KAMAKURA HOTEL</v>
      </c>
      <c r="B130" s="43"/>
      <c r="C130" s="43"/>
      <c r="D130" s="43"/>
      <c r="E130" s="44" t="str">
        <f>IFERROR(__xludf.DUMMYFUNCTION("""COMPUTED_VALUE"""),"https://kamakurahotel.jp/")</f>
        <v>https://kamakurahotel.jp/</v>
      </c>
      <c r="F130" s="43"/>
    </row>
    <row r="131">
      <c r="A131" s="43" t="str">
        <f>IFERROR(__xludf.DUMMYFUNCTION("""COMPUTED_VALUE"""),"THE UBUFURU ISHIGAKI (Ishigaki Resort Hotel)")</f>
        <v>THE UBUFURU ISHIGAKI (Ishigaki Resort Hotel)</v>
      </c>
      <c r="B131" s="43"/>
      <c r="C131" s="43" t="str">
        <f>IFERROR(__xludf.DUMMYFUNCTION("""COMPUTED_VALUE"""),"Okinawa")</f>
        <v>Okinawa</v>
      </c>
      <c r="D131" s="43"/>
      <c r="E131" s="44" t="str">
        <f>IFERROR(__xludf.DUMMYFUNCTION("""COMPUTED_VALUE"""),"https://theubufuruishigaki.com/en/")</f>
        <v>https://theubufuruishigaki.com/en/</v>
      </c>
      <c r="F131" s="43"/>
    </row>
    <row r="132">
      <c r="A132" s="43" t="str">
        <f>IFERROR(__xludf.DUMMYFUNCTION("""COMPUTED_VALUE"""),"AMANÉ RESORT SEIKAI")</f>
        <v>AMANÉ RESORT SEIKAI</v>
      </c>
      <c r="B132" s="43"/>
      <c r="C132" s="43" t="str">
        <f>IFERROR(__xludf.DUMMYFUNCTION("""COMPUTED_VALUE"""),"Ōita")</f>
        <v>Ōita</v>
      </c>
      <c r="D132" s="43">
        <f>IFERROR(__xludf.DUMMYFUNCTION("""COMPUTED_VALUE"""),60.0)</f>
        <v>60</v>
      </c>
      <c r="E132" s="44" t="str">
        <f>IFERROR(__xludf.DUMMYFUNCTION("""COMPUTED_VALUE"""),"https://www.seikai.co.jp/")</f>
        <v>https://www.seikai.co.jp/</v>
      </c>
      <c r="F132" s="43"/>
    </row>
    <row r="133">
      <c r="A133" s="43" t="str">
        <f>IFERROR(__xludf.DUMMYFUNCTION("""COMPUTED_VALUE"""),"Hotel Cypress Karuizawa")</f>
        <v>Hotel Cypress Karuizawa</v>
      </c>
      <c r="B133" s="43"/>
      <c r="C133" s="43" t="str">
        <f>IFERROR(__xludf.DUMMYFUNCTION("""COMPUTED_VALUE"""),"Nagano")</f>
        <v>Nagano</v>
      </c>
      <c r="D133" s="43">
        <f>IFERROR(__xludf.DUMMYFUNCTION("""COMPUTED_VALUE"""),86.0)</f>
        <v>86</v>
      </c>
      <c r="E133" s="44" t="str">
        <f>IFERROR(__xludf.DUMMYFUNCTION("""COMPUTED_VALUE"""),"https://www.cypresshotels.jp/karuizawa/")</f>
        <v>https://www.cypresshotels.jp/karuizawa/</v>
      </c>
      <c r="F133" s="43"/>
    </row>
    <row r="134">
      <c r="A134" s="43"/>
      <c r="B134" s="43"/>
      <c r="C134" s="43"/>
      <c r="D134" s="43"/>
      <c r="E134" s="43"/>
      <c r="F134" s="43"/>
    </row>
    <row r="135">
      <c r="A135" s="43"/>
      <c r="B135" s="43"/>
      <c r="C135" s="43"/>
      <c r="D135" s="43"/>
      <c r="E135" s="43"/>
      <c r="F135" s="43"/>
    </row>
    <row r="136">
      <c r="A136" s="43"/>
      <c r="B136" s="43"/>
      <c r="C136" s="43"/>
      <c r="D136" s="43"/>
      <c r="E136" s="43"/>
      <c r="F136" s="43"/>
    </row>
    <row r="137">
      <c r="A137" s="43"/>
      <c r="B137" s="43"/>
      <c r="C137" s="43"/>
      <c r="D137" s="43"/>
      <c r="E137" s="43"/>
      <c r="F137" s="43"/>
    </row>
    <row r="138">
      <c r="A138" s="43"/>
      <c r="B138" s="43"/>
      <c r="C138" s="43"/>
      <c r="D138" s="43"/>
      <c r="E138" s="43"/>
      <c r="F138" s="43"/>
    </row>
    <row r="139">
      <c r="A139" s="43"/>
      <c r="B139" s="43"/>
      <c r="C139" s="43"/>
      <c r="D139" s="43"/>
      <c r="E139" s="43"/>
      <c r="F139" s="43"/>
    </row>
    <row r="140">
      <c r="A140" s="43"/>
      <c r="B140" s="43"/>
      <c r="C140" s="43"/>
      <c r="D140" s="43"/>
      <c r="E140" s="43"/>
      <c r="F140" s="43"/>
    </row>
    <row r="141">
      <c r="A141" s="43"/>
      <c r="B141" s="43"/>
      <c r="C141" s="43"/>
      <c r="D141" s="43"/>
      <c r="E141" s="43"/>
      <c r="F141" s="43"/>
    </row>
    <row r="142">
      <c r="A142" s="43"/>
      <c r="B142" s="43"/>
      <c r="C142" s="43"/>
      <c r="D142" s="43"/>
      <c r="E142" s="43"/>
      <c r="F142" s="43"/>
    </row>
    <row r="143">
      <c r="A143" s="43"/>
      <c r="B143" s="43"/>
      <c r="C143" s="43"/>
      <c r="D143" s="43"/>
      <c r="E143" s="43"/>
      <c r="F143" s="43"/>
    </row>
    <row r="144">
      <c r="A144" s="43"/>
      <c r="B144" s="43"/>
      <c r="C144" s="43"/>
      <c r="D144" s="43"/>
      <c r="E144" s="43"/>
      <c r="F144" s="43"/>
    </row>
    <row r="145">
      <c r="A145" s="43"/>
      <c r="B145" s="43"/>
      <c r="C145" s="43"/>
      <c r="D145" s="43"/>
      <c r="E145" s="43"/>
      <c r="F145" s="43"/>
    </row>
    <row r="146">
      <c r="A146" s="43"/>
      <c r="B146" s="43"/>
      <c r="C146" s="43"/>
      <c r="D146" s="43"/>
      <c r="E146" s="43"/>
      <c r="F146" s="43"/>
    </row>
    <row r="147">
      <c r="A147" s="43"/>
      <c r="B147" s="43"/>
      <c r="C147" s="43"/>
      <c r="D147" s="43"/>
      <c r="E147" s="43"/>
      <c r="F147" s="43"/>
    </row>
    <row r="148">
      <c r="A148" s="43"/>
      <c r="B148" s="43"/>
      <c r="C148" s="43"/>
      <c r="D148" s="43"/>
      <c r="E148" s="43"/>
      <c r="F148" s="43"/>
    </row>
    <row r="149">
      <c r="A149" s="43"/>
      <c r="B149" s="43"/>
      <c r="C149" s="43"/>
      <c r="D149" s="43"/>
      <c r="E149" s="43"/>
      <c r="F149" s="43"/>
    </row>
    <row r="150">
      <c r="A150" s="43"/>
      <c r="B150" s="43"/>
      <c r="C150" s="43"/>
      <c r="D150" s="43"/>
      <c r="E150" s="43"/>
      <c r="F150" s="43"/>
    </row>
    <row r="151">
      <c r="A151" s="43"/>
      <c r="B151" s="43"/>
      <c r="C151" s="43"/>
      <c r="D151" s="43"/>
      <c r="E151" s="43"/>
      <c r="F151" s="43"/>
    </row>
    <row r="152">
      <c r="A152" s="43"/>
      <c r="B152" s="43"/>
      <c r="C152" s="43"/>
      <c r="D152" s="43"/>
      <c r="E152" s="43"/>
      <c r="F152" s="43"/>
    </row>
    <row r="153">
      <c r="A153" s="43"/>
      <c r="B153" s="43"/>
      <c r="C153" s="43"/>
      <c r="D153" s="43"/>
      <c r="E153" s="43"/>
      <c r="F153" s="43"/>
    </row>
    <row r="154">
      <c r="A154" s="43"/>
      <c r="B154" s="43"/>
      <c r="C154" s="43"/>
      <c r="D154" s="43"/>
      <c r="E154" s="43"/>
      <c r="F154" s="43"/>
    </row>
    <row r="155">
      <c r="A155" s="43"/>
      <c r="B155" s="43"/>
      <c r="C155" s="43"/>
      <c r="D155" s="43"/>
      <c r="E155" s="43"/>
      <c r="F155" s="43"/>
    </row>
    <row r="156">
      <c r="A156" s="43"/>
      <c r="B156" s="43"/>
      <c r="C156" s="43"/>
      <c r="D156" s="43"/>
      <c r="E156" s="43"/>
      <c r="F156" s="43"/>
    </row>
    <row r="157">
      <c r="A157" s="43"/>
      <c r="B157" s="43"/>
      <c r="C157" s="43"/>
      <c r="D157" s="43"/>
      <c r="E157" s="43"/>
      <c r="F157" s="43"/>
    </row>
    <row r="158">
      <c r="A158" s="43"/>
      <c r="B158" s="43"/>
      <c r="C158" s="43"/>
      <c r="D158" s="43"/>
      <c r="E158" s="43"/>
      <c r="F158" s="43"/>
    </row>
    <row r="159">
      <c r="A159" s="43"/>
      <c r="B159" s="43"/>
      <c r="C159" s="43"/>
      <c r="D159" s="43"/>
      <c r="E159" s="43"/>
      <c r="F159" s="43"/>
    </row>
    <row r="160">
      <c r="A160" s="43"/>
      <c r="B160" s="43"/>
      <c r="C160" s="43"/>
      <c r="D160" s="43"/>
      <c r="E160" s="43"/>
      <c r="F160" s="43"/>
    </row>
    <row r="161">
      <c r="A161" s="43"/>
      <c r="B161" s="43"/>
      <c r="C161" s="43"/>
      <c r="D161" s="43"/>
      <c r="E161" s="43"/>
      <c r="F161" s="43"/>
    </row>
    <row r="162">
      <c r="A162" s="43"/>
      <c r="B162" s="43"/>
      <c r="C162" s="43"/>
      <c r="D162" s="43"/>
      <c r="E162" s="43"/>
      <c r="F162" s="43"/>
    </row>
    <row r="163">
      <c r="A163" s="43"/>
      <c r="B163" s="43"/>
      <c r="C163" s="43"/>
      <c r="D163" s="43"/>
      <c r="E163" s="43"/>
      <c r="F163" s="43"/>
    </row>
    <row r="164">
      <c r="A164" s="43"/>
      <c r="B164" s="43"/>
      <c r="C164" s="43"/>
      <c r="D164" s="43"/>
      <c r="E164" s="43"/>
      <c r="F164" s="43"/>
    </row>
    <row r="165">
      <c r="A165" s="43"/>
      <c r="B165" s="43"/>
      <c r="C165" s="43"/>
      <c r="D165" s="43"/>
      <c r="E165" s="43"/>
      <c r="F165" s="43"/>
    </row>
    <row r="166">
      <c r="A166" s="43"/>
      <c r="B166" s="43"/>
      <c r="C166" s="43"/>
      <c r="D166" s="43"/>
      <c r="E166" s="43"/>
      <c r="F166" s="43"/>
    </row>
    <row r="167">
      <c r="A167" s="43"/>
      <c r="B167" s="43"/>
      <c r="C167" s="43"/>
      <c r="D167" s="43"/>
      <c r="E167" s="43"/>
      <c r="F167" s="43"/>
    </row>
    <row r="168">
      <c r="A168" s="43"/>
      <c r="B168" s="43"/>
      <c r="C168" s="43"/>
      <c r="D168" s="43"/>
      <c r="E168" s="43"/>
      <c r="F168" s="43"/>
    </row>
    <row r="169">
      <c r="A169" s="43"/>
      <c r="B169" s="43"/>
      <c r="C169" s="43"/>
      <c r="D169" s="43"/>
      <c r="E169" s="43"/>
      <c r="F169" s="43"/>
    </row>
    <row r="170">
      <c r="A170" s="43"/>
      <c r="B170" s="43"/>
      <c r="C170" s="43"/>
      <c r="D170" s="43"/>
      <c r="E170" s="43"/>
      <c r="F170" s="43"/>
    </row>
    <row r="171">
      <c r="A171" s="43"/>
      <c r="B171" s="43"/>
      <c r="C171" s="43"/>
      <c r="D171" s="43"/>
      <c r="E171" s="43"/>
      <c r="F171" s="43"/>
    </row>
    <row r="172">
      <c r="A172" s="43"/>
      <c r="B172" s="43"/>
      <c r="C172" s="43"/>
      <c r="D172" s="43"/>
      <c r="E172" s="43"/>
      <c r="F172" s="43"/>
    </row>
    <row r="173">
      <c r="A173" s="43"/>
      <c r="B173" s="43"/>
      <c r="C173" s="43"/>
      <c r="D173" s="43"/>
      <c r="E173" s="43"/>
      <c r="F173" s="43"/>
    </row>
    <row r="174">
      <c r="A174" s="43"/>
      <c r="B174" s="43"/>
      <c r="C174" s="43"/>
      <c r="D174" s="43"/>
      <c r="E174" s="43"/>
      <c r="F174" s="43"/>
    </row>
    <row r="175">
      <c r="A175" s="43"/>
      <c r="B175" s="43"/>
      <c r="C175" s="43"/>
      <c r="D175" s="43"/>
      <c r="E175" s="43"/>
      <c r="F175" s="43"/>
    </row>
    <row r="176">
      <c r="A176" s="43"/>
      <c r="B176" s="43"/>
      <c r="C176" s="43"/>
      <c r="D176" s="43"/>
      <c r="E176" s="43"/>
      <c r="F176" s="43"/>
    </row>
    <row r="177">
      <c r="A177" s="43"/>
      <c r="B177" s="43"/>
      <c r="C177" s="43"/>
      <c r="D177" s="43"/>
      <c r="E177" s="43"/>
      <c r="F177" s="43"/>
    </row>
    <row r="178">
      <c r="A178" s="43"/>
      <c r="B178" s="43"/>
      <c r="C178" s="43"/>
      <c r="D178" s="43"/>
      <c r="E178" s="43"/>
      <c r="F178" s="43"/>
    </row>
    <row r="179">
      <c r="A179" s="43"/>
      <c r="B179" s="43"/>
      <c r="C179" s="43"/>
      <c r="D179" s="43"/>
      <c r="E179" s="43"/>
      <c r="F179" s="43"/>
    </row>
    <row r="180">
      <c r="A180" s="43"/>
      <c r="B180" s="43"/>
      <c r="C180" s="43"/>
      <c r="D180" s="43"/>
      <c r="E180" s="43"/>
      <c r="F180" s="43"/>
    </row>
    <row r="181">
      <c r="A181" s="43"/>
      <c r="B181" s="43"/>
      <c r="C181" s="43"/>
      <c r="D181" s="43"/>
      <c r="E181" s="43"/>
      <c r="F181" s="43"/>
    </row>
    <row r="182">
      <c r="A182" s="43"/>
      <c r="B182" s="43"/>
      <c r="C182" s="43"/>
      <c r="D182" s="43"/>
      <c r="E182" s="43"/>
      <c r="F182" s="43"/>
    </row>
    <row r="183">
      <c r="A183" s="43"/>
      <c r="B183" s="43"/>
      <c r="C183" s="43"/>
      <c r="D183" s="43"/>
      <c r="E183" s="43"/>
      <c r="F183" s="43"/>
    </row>
    <row r="184">
      <c r="A184" s="43"/>
      <c r="B184" s="43"/>
      <c r="C184" s="43"/>
      <c r="D184" s="43"/>
      <c r="E184" s="43"/>
      <c r="F184" s="43"/>
    </row>
    <row r="185">
      <c r="A185" s="43"/>
      <c r="B185" s="43"/>
      <c r="C185" s="43"/>
      <c r="D185" s="43"/>
      <c r="E185" s="43"/>
      <c r="F185" s="43"/>
    </row>
    <row r="186">
      <c r="A186" s="43"/>
      <c r="B186" s="43"/>
      <c r="C186" s="43"/>
      <c r="D186" s="43"/>
      <c r="E186" s="43"/>
      <c r="F186" s="43"/>
    </row>
    <row r="187">
      <c r="A187" s="43"/>
      <c r="B187" s="43"/>
      <c r="C187" s="43"/>
      <c r="D187" s="43"/>
      <c r="E187" s="43"/>
      <c r="F187" s="43"/>
    </row>
    <row r="188">
      <c r="A188" s="43"/>
      <c r="B188" s="43"/>
      <c r="C188" s="43"/>
      <c r="D188" s="43"/>
      <c r="E188" s="43"/>
      <c r="F188" s="43"/>
    </row>
    <row r="189">
      <c r="A189" s="43"/>
      <c r="B189" s="43"/>
      <c r="C189" s="43"/>
      <c r="D189" s="43"/>
      <c r="E189" s="43"/>
      <c r="F189" s="43"/>
    </row>
    <row r="190">
      <c r="A190" s="43"/>
      <c r="B190" s="43"/>
      <c r="C190" s="43"/>
      <c r="D190" s="43"/>
      <c r="E190" s="43"/>
      <c r="F190" s="43"/>
    </row>
    <row r="191">
      <c r="A191" s="43"/>
      <c r="B191" s="43"/>
      <c r="C191" s="43"/>
      <c r="D191" s="43"/>
      <c r="E191" s="43"/>
      <c r="F191" s="43"/>
    </row>
    <row r="192">
      <c r="A192" s="43"/>
      <c r="B192" s="43"/>
      <c r="C192" s="43"/>
      <c r="D192" s="43"/>
      <c r="E192" s="43"/>
      <c r="F192" s="43"/>
    </row>
    <row r="193">
      <c r="A193" s="43"/>
      <c r="B193" s="43"/>
      <c r="C193" s="43"/>
      <c r="D193" s="43"/>
      <c r="E193" s="43"/>
      <c r="F193" s="43"/>
    </row>
    <row r="194">
      <c r="A194" s="43"/>
      <c r="B194" s="43"/>
      <c r="C194" s="43"/>
      <c r="D194" s="43"/>
      <c r="E194" s="43"/>
      <c r="F194" s="43"/>
    </row>
    <row r="195">
      <c r="A195" s="43"/>
      <c r="B195" s="43"/>
      <c r="C195" s="43"/>
      <c r="D195" s="43"/>
      <c r="E195" s="43"/>
      <c r="F195" s="43"/>
    </row>
    <row r="196">
      <c r="A196" s="43"/>
      <c r="B196" s="43"/>
      <c r="C196" s="43"/>
      <c r="D196" s="43"/>
      <c r="E196" s="43"/>
      <c r="F196" s="43"/>
    </row>
    <row r="197">
      <c r="A197" s="43"/>
      <c r="B197" s="43"/>
      <c r="C197" s="43"/>
      <c r="D197" s="43"/>
      <c r="E197" s="43"/>
      <c r="F197" s="43"/>
    </row>
    <row r="198">
      <c r="A198" s="43"/>
      <c r="B198" s="43"/>
      <c r="C198" s="43"/>
      <c r="D198" s="43"/>
      <c r="E198" s="43"/>
      <c r="F198" s="43"/>
    </row>
    <row r="199">
      <c r="A199" s="43"/>
      <c r="B199" s="43"/>
      <c r="C199" s="43"/>
      <c r="D199" s="43"/>
      <c r="E199" s="43"/>
      <c r="F199" s="43"/>
    </row>
    <row r="200">
      <c r="A200" s="43"/>
      <c r="B200" s="43"/>
      <c r="C200" s="43"/>
      <c r="D200" s="43"/>
      <c r="E200" s="43"/>
      <c r="F200" s="43"/>
    </row>
    <row r="201">
      <c r="A201" s="43"/>
      <c r="B201" s="43"/>
      <c r="C201" s="43"/>
      <c r="D201" s="43"/>
      <c r="E201" s="43"/>
      <c r="F201" s="43"/>
    </row>
    <row r="202">
      <c r="A202" s="43"/>
      <c r="B202" s="43"/>
      <c r="C202" s="43"/>
      <c r="D202" s="43"/>
      <c r="E202" s="43"/>
      <c r="F202" s="43"/>
    </row>
    <row r="203">
      <c r="A203" s="43"/>
      <c r="B203" s="43"/>
      <c r="C203" s="43"/>
      <c r="D203" s="43"/>
      <c r="E203" s="43"/>
      <c r="F203" s="43"/>
    </row>
    <row r="204">
      <c r="A204" s="43"/>
      <c r="B204" s="43"/>
      <c r="C204" s="43"/>
      <c r="D204" s="43"/>
      <c r="E204" s="43"/>
      <c r="F204" s="43"/>
    </row>
    <row r="205">
      <c r="A205" s="43"/>
      <c r="B205" s="43"/>
      <c r="C205" s="43"/>
      <c r="D205" s="43"/>
      <c r="E205" s="43"/>
      <c r="F205" s="43"/>
    </row>
    <row r="206">
      <c r="A206" s="43"/>
      <c r="B206" s="43"/>
      <c r="C206" s="43"/>
      <c r="D206" s="43"/>
      <c r="E206" s="43"/>
      <c r="F206" s="43"/>
    </row>
    <row r="207">
      <c r="A207" s="43"/>
      <c r="B207" s="43"/>
      <c r="C207" s="43"/>
      <c r="D207" s="43"/>
      <c r="E207" s="43"/>
      <c r="F207" s="43"/>
    </row>
    <row r="208">
      <c r="A208" s="43"/>
      <c r="B208" s="43"/>
      <c r="C208" s="43"/>
      <c r="D208" s="43"/>
      <c r="E208" s="43"/>
      <c r="F208" s="43"/>
    </row>
    <row r="209">
      <c r="A209" s="43"/>
      <c r="B209" s="43"/>
      <c r="C209" s="43"/>
      <c r="D209" s="43"/>
      <c r="E209" s="43"/>
      <c r="F209" s="43"/>
    </row>
    <row r="210">
      <c r="A210" s="43"/>
      <c r="B210" s="43"/>
      <c r="C210" s="43"/>
      <c r="D210" s="43"/>
      <c r="E210" s="43"/>
      <c r="F210" s="43"/>
    </row>
    <row r="211">
      <c r="A211" s="43"/>
      <c r="B211" s="43"/>
      <c r="C211" s="43"/>
      <c r="D211" s="43"/>
      <c r="E211" s="43"/>
      <c r="F211" s="43"/>
    </row>
    <row r="212">
      <c r="A212" s="43"/>
      <c r="B212" s="43"/>
      <c r="C212" s="43"/>
      <c r="D212" s="43"/>
      <c r="E212" s="43"/>
      <c r="F212" s="43"/>
    </row>
    <row r="213">
      <c r="A213" s="43"/>
      <c r="B213" s="43"/>
      <c r="C213" s="43"/>
      <c r="D213" s="43"/>
      <c r="E213" s="43"/>
      <c r="F213" s="43"/>
    </row>
    <row r="214">
      <c r="A214" s="43"/>
      <c r="B214" s="43"/>
      <c r="C214" s="43"/>
      <c r="D214" s="43"/>
      <c r="E214" s="43"/>
      <c r="F214" s="43"/>
    </row>
    <row r="215">
      <c r="A215" s="43"/>
      <c r="B215" s="43"/>
      <c r="C215" s="43"/>
      <c r="D215" s="43"/>
      <c r="E215" s="43"/>
      <c r="F215" s="43"/>
    </row>
    <row r="216">
      <c r="A216" s="43"/>
      <c r="B216" s="43"/>
      <c r="C216" s="43"/>
      <c r="D216" s="43"/>
      <c r="E216" s="43"/>
      <c r="F216" s="43"/>
    </row>
    <row r="217">
      <c r="A217" s="43"/>
      <c r="B217" s="43"/>
      <c r="C217" s="43"/>
      <c r="D217" s="43"/>
      <c r="E217" s="43"/>
      <c r="F217" s="43"/>
    </row>
    <row r="218">
      <c r="A218" s="43"/>
      <c r="B218" s="43"/>
      <c r="C218" s="43"/>
      <c r="D218" s="43"/>
      <c r="E218" s="43"/>
      <c r="F218" s="43"/>
    </row>
    <row r="219">
      <c r="A219" s="43"/>
      <c r="B219" s="43"/>
      <c r="C219" s="43"/>
      <c r="D219" s="43"/>
      <c r="E219" s="43"/>
      <c r="F219" s="43"/>
    </row>
    <row r="220">
      <c r="A220" s="43"/>
      <c r="B220" s="43"/>
      <c r="C220" s="43"/>
      <c r="D220" s="43"/>
      <c r="E220" s="43"/>
      <c r="F220" s="43"/>
    </row>
    <row r="221">
      <c r="A221" s="43"/>
      <c r="B221" s="43"/>
      <c r="C221" s="43"/>
      <c r="D221" s="43"/>
      <c r="E221" s="43"/>
      <c r="F221" s="43"/>
    </row>
    <row r="222">
      <c r="A222" s="43"/>
      <c r="B222" s="43"/>
      <c r="C222" s="43"/>
      <c r="D222" s="43"/>
      <c r="E222" s="43"/>
      <c r="F222" s="43"/>
    </row>
    <row r="223">
      <c r="A223" s="43"/>
      <c r="B223" s="43"/>
      <c r="C223" s="43"/>
      <c r="D223" s="43"/>
      <c r="E223" s="43"/>
      <c r="F223" s="43"/>
    </row>
    <row r="224">
      <c r="A224" s="43"/>
      <c r="B224" s="43"/>
      <c r="C224" s="43"/>
      <c r="D224" s="43"/>
      <c r="E224" s="43"/>
      <c r="F224" s="43"/>
    </row>
    <row r="225">
      <c r="A225" s="43"/>
      <c r="B225" s="43"/>
      <c r="C225" s="43"/>
      <c r="D225" s="43"/>
      <c r="E225" s="43"/>
      <c r="F225" s="43"/>
    </row>
    <row r="226">
      <c r="A226" s="43"/>
      <c r="B226" s="43"/>
      <c r="C226" s="43"/>
      <c r="D226" s="43"/>
      <c r="E226" s="43"/>
      <c r="F226" s="43"/>
    </row>
    <row r="227">
      <c r="A227" s="43"/>
      <c r="B227" s="43"/>
      <c r="C227" s="43"/>
      <c r="D227" s="43"/>
      <c r="E227" s="43"/>
      <c r="F227" s="43"/>
    </row>
    <row r="228">
      <c r="A228" s="43"/>
      <c r="B228" s="43"/>
      <c r="C228" s="43"/>
      <c r="D228" s="43"/>
      <c r="E228" s="43"/>
      <c r="F228" s="43"/>
    </row>
    <row r="229">
      <c r="A229" s="43"/>
      <c r="B229" s="43"/>
      <c r="C229" s="43"/>
      <c r="D229" s="43"/>
      <c r="E229" s="43"/>
      <c r="F229" s="43"/>
    </row>
    <row r="230">
      <c r="A230" s="43"/>
      <c r="B230" s="43"/>
      <c r="C230" s="43"/>
      <c r="D230" s="43"/>
      <c r="E230" s="43"/>
      <c r="F230" s="43"/>
    </row>
    <row r="231">
      <c r="A231" s="43"/>
      <c r="B231" s="43"/>
      <c r="C231" s="43"/>
      <c r="D231" s="43"/>
      <c r="E231" s="43"/>
      <c r="F231" s="43"/>
    </row>
    <row r="232">
      <c r="A232" s="43"/>
      <c r="B232" s="43"/>
      <c r="C232" s="43"/>
      <c r="D232" s="43"/>
      <c r="E232" s="43"/>
      <c r="F232" s="43"/>
    </row>
    <row r="233">
      <c r="A233" s="43"/>
      <c r="B233" s="43"/>
      <c r="C233" s="43"/>
      <c r="D233" s="43"/>
      <c r="E233" s="43"/>
      <c r="F233" s="43"/>
    </row>
    <row r="234">
      <c r="A234" s="43"/>
      <c r="B234" s="43"/>
      <c r="C234" s="43"/>
      <c r="D234" s="43"/>
      <c r="E234" s="43"/>
      <c r="F234" s="43"/>
    </row>
    <row r="235">
      <c r="A235" s="43"/>
      <c r="B235" s="43"/>
      <c r="C235" s="43"/>
      <c r="D235" s="43"/>
      <c r="E235" s="43"/>
      <c r="F235" s="43"/>
    </row>
    <row r="236">
      <c r="A236" s="43"/>
      <c r="B236" s="43"/>
      <c r="C236" s="43"/>
      <c r="D236" s="43"/>
      <c r="E236" s="43"/>
      <c r="F236" s="43"/>
    </row>
    <row r="237">
      <c r="A237" s="43"/>
      <c r="B237" s="43"/>
      <c r="C237" s="43"/>
      <c r="D237" s="43"/>
      <c r="E237" s="43"/>
      <c r="F237" s="43"/>
    </row>
    <row r="238">
      <c r="A238" s="43"/>
      <c r="B238" s="43"/>
      <c r="C238" s="43"/>
      <c r="D238" s="43"/>
      <c r="E238" s="43"/>
      <c r="F238" s="43"/>
    </row>
    <row r="239">
      <c r="A239" s="43"/>
      <c r="B239" s="43"/>
      <c r="C239" s="43"/>
      <c r="D239" s="43"/>
      <c r="E239" s="43"/>
      <c r="F239" s="43"/>
    </row>
    <row r="240">
      <c r="A240" s="43"/>
      <c r="B240" s="43"/>
      <c r="C240" s="43"/>
      <c r="D240" s="43"/>
      <c r="E240" s="43"/>
      <c r="F240" s="43"/>
    </row>
    <row r="241">
      <c r="A241" s="43"/>
      <c r="B241" s="43"/>
      <c r="C241" s="43"/>
      <c r="D241" s="43"/>
      <c r="E241" s="43"/>
      <c r="F241" s="43"/>
    </row>
    <row r="242">
      <c r="A242" s="43"/>
      <c r="B242" s="43"/>
      <c r="C242" s="43"/>
      <c r="D242" s="43"/>
      <c r="E242" s="43"/>
      <c r="F242" s="43"/>
    </row>
    <row r="243">
      <c r="A243" s="43"/>
      <c r="B243" s="43"/>
      <c r="C243" s="43"/>
      <c r="D243" s="43"/>
      <c r="E243" s="43"/>
      <c r="F243" s="43"/>
    </row>
    <row r="244">
      <c r="A244" s="43"/>
      <c r="B244" s="43"/>
      <c r="C244" s="43"/>
      <c r="D244" s="43"/>
      <c r="E244" s="43"/>
      <c r="F244" s="43"/>
    </row>
    <row r="245">
      <c r="A245" s="43"/>
      <c r="B245" s="43"/>
      <c r="C245" s="43"/>
      <c r="D245" s="43"/>
      <c r="E245" s="43"/>
      <c r="F245" s="43"/>
    </row>
    <row r="246">
      <c r="A246" s="43"/>
      <c r="B246" s="43"/>
      <c r="C246" s="43"/>
      <c r="D246" s="43"/>
      <c r="E246" s="43"/>
      <c r="F246" s="43"/>
    </row>
    <row r="247">
      <c r="A247" s="43"/>
      <c r="B247" s="43"/>
      <c r="C247" s="43"/>
      <c r="D247" s="43"/>
      <c r="E247" s="43"/>
      <c r="F247" s="43"/>
    </row>
    <row r="248">
      <c r="A248" s="43"/>
      <c r="B248" s="43"/>
      <c r="C248" s="43"/>
      <c r="D248" s="43"/>
      <c r="E248" s="43"/>
      <c r="F248" s="43"/>
    </row>
    <row r="249">
      <c r="A249" s="43"/>
      <c r="B249" s="43"/>
      <c r="C249" s="43"/>
      <c r="D249" s="43"/>
      <c r="E249" s="43"/>
      <c r="F249" s="43"/>
    </row>
    <row r="250">
      <c r="A250" s="43"/>
      <c r="B250" s="43"/>
      <c r="C250" s="43"/>
      <c r="D250" s="43"/>
      <c r="E250" s="43"/>
      <c r="F250" s="43"/>
    </row>
    <row r="251">
      <c r="A251" s="43"/>
      <c r="B251" s="43"/>
      <c r="C251" s="43"/>
      <c r="D251" s="43"/>
      <c r="E251" s="43"/>
      <c r="F251" s="43"/>
    </row>
    <row r="252">
      <c r="A252" s="43"/>
      <c r="B252" s="43"/>
      <c r="C252" s="43"/>
      <c r="D252" s="43"/>
      <c r="E252" s="43"/>
      <c r="F252" s="43"/>
    </row>
    <row r="253">
      <c r="A253" s="43"/>
      <c r="B253" s="43"/>
      <c r="C253" s="43"/>
      <c r="D253" s="43"/>
      <c r="E253" s="43"/>
      <c r="F253" s="43"/>
    </row>
    <row r="254">
      <c r="A254" s="43"/>
      <c r="B254" s="43"/>
      <c r="C254" s="43"/>
      <c r="D254" s="43"/>
      <c r="E254" s="43"/>
      <c r="F254" s="43"/>
    </row>
    <row r="255">
      <c r="A255" s="43"/>
      <c r="B255" s="43"/>
      <c r="C255" s="43"/>
      <c r="D255" s="43"/>
      <c r="E255" s="43"/>
      <c r="F255" s="43"/>
    </row>
    <row r="256">
      <c r="A256" s="43"/>
      <c r="B256" s="43"/>
      <c r="C256" s="43"/>
      <c r="D256" s="43"/>
      <c r="E256" s="43"/>
      <c r="F256" s="43"/>
    </row>
    <row r="257">
      <c r="A257" s="43"/>
      <c r="B257" s="43"/>
      <c r="C257" s="43"/>
      <c r="D257" s="43"/>
      <c r="E257" s="43"/>
      <c r="F257" s="43"/>
    </row>
    <row r="258">
      <c r="A258" s="43"/>
      <c r="B258" s="43"/>
      <c r="C258" s="43"/>
      <c r="D258" s="43"/>
      <c r="E258" s="43"/>
      <c r="F258" s="43"/>
    </row>
    <row r="259">
      <c r="A259" s="43"/>
      <c r="B259" s="43"/>
      <c r="C259" s="43"/>
      <c r="D259" s="43"/>
      <c r="E259" s="43"/>
      <c r="F259" s="43"/>
    </row>
    <row r="260">
      <c r="A260" s="43"/>
      <c r="B260" s="43"/>
      <c r="C260" s="43"/>
      <c r="D260" s="43"/>
      <c r="E260" s="43"/>
      <c r="F260" s="43"/>
    </row>
    <row r="261">
      <c r="A261" s="43"/>
      <c r="B261" s="43"/>
      <c r="C261" s="43"/>
      <c r="D261" s="43"/>
      <c r="E261" s="43"/>
      <c r="F261" s="43"/>
    </row>
    <row r="262">
      <c r="A262" s="43"/>
      <c r="B262" s="43"/>
      <c r="C262" s="43"/>
      <c r="D262" s="43"/>
      <c r="E262" s="43"/>
      <c r="F262" s="43"/>
    </row>
    <row r="263">
      <c r="A263" s="43"/>
      <c r="B263" s="43"/>
      <c r="C263" s="43"/>
      <c r="D263" s="43"/>
      <c r="E263" s="43"/>
      <c r="F263" s="43"/>
    </row>
    <row r="264">
      <c r="A264" s="43"/>
      <c r="B264" s="43"/>
      <c r="C264" s="43"/>
      <c r="D264" s="43"/>
      <c r="E264" s="43"/>
      <c r="F264" s="43"/>
    </row>
    <row r="265">
      <c r="A265" s="43"/>
      <c r="B265" s="43"/>
      <c r="C265" s="43"/>
      <c r="D265" s="43"/>
      <c r="E265" s="43"/>
      <c r="F265" s="43"/>
    </row>
    <row r="266">
      <c r="A266" s="43"/>
      <c r="B266" s="43"/>
      <c r="C266" s="43"/>
      <c r="D266" s="43"/>
      <c r="E266" s="43"/>
      <c r="F266" s="43"/>
    </row>
    <row r="267">
      <c r="A267" s="43"/>
      <c r="B267" s="43"/>
      <c r="C267" s="43"/>
      <c r="D267" s="43"/>
      <c r="E267" s="43"/>
      <c r="F267" s="43"/>
    </row>
    <row r="268">
      <c r="A268" s="43"/>
      <c r="B268" s="43"/>
      <c r="C268" s="43"/>
      <c r="D268" s="43"/>
      <c r="E268" s="43"/>
      <c r="F268" s="43"/>
    </row>
    <row r="269">
      <c r="A269" s="43"/>
      <c r="B269" s="43"/>
      <c r="C269" s="43"/>
      <c r="D269" s="43"/>
      <c r="E269" s="43"/>
      <c r="F269" s="43"/>
    </row>
    <row r="270">
      <c r="A270" s="43"/>
      <c r="B270" s="43"/>
      <c r="C270" s="43"/>
      <c r="D270" s="43"/>
      <c r="E270" s="43"/>
      <c r="F270" s="43"/>
    </row>
    <row r="271">
      <c r="A271" s="43"/>
      <c r="B271" s="43"/>
      <c r="C271" s="43"/>
      <c r="D271" s="43"/>
      <c r="E271" s="43"/>
      <c r="F271" s="43"/>
    </row>
    <row r="272">
      <c r="A272" s="43"/>
      <c r="B272" s="43"/>
      <c r="C272" s="43"/>
      <c r="D272" s="43"/>
      <c r="E272" s="43"/>
      <c r="F272" s="43"/>
    </row>
    <row r="273">
      <c r="A273" s="43"/>
      <c r="B273" s="43"/>
      <c r="C273" s="43"/>
      <c r="D273" s="43"/>
      <c r="E273" s="43"/>
      <c r="F273" s="43"/>
    </row>
    <row r="274">
      <c r="A274" s="43"/>
      <c r="B274" s="43"/>
      <c r="C274" s="43"/>
      <c r="D274" s="43"/>
      <c r="E274" s="43"/>
      <c r="F274" s="43"/>
    </row>
    <row r="275">
      <c r="A275" s="43"/>
      <c r="B275" s="43"/>
      <c r="C275" s="43"/>
      <c r="D275" s="43"/>
      <c r="E275" s="43"/>
      <c r="F275" s="43"/>
    </row>
    <row r="276">
      <c r="A276" s="43"/>
      <c r="B276" s="43"/>
      <c r="C276" s="43"/>
      <c r="D276" s="43"/>
      <c r="E276" s="43"/>
      <c r="F276" s="43"/>
    </row>
    <row r="277">
      <c r="A277" s="43"/>
      <c r="B277" s="43"/>
      <c r="C277" s="43"/>
      <c r="D277" s="43"/>
      <c r="E277" s="43"/>
      <c r="F277" s="43"/>
    </row>
    <row r="278">
      <c r="A278" s="43"/>
      <c r="B278" s="43"/>
      <c r="C278" s="43"/>
      <c r="D278" s="43"/>
      <c r="E278" s="43"/>
      <c r="F278" s="43"/>
    </row>
    <row r="279">
      <c r="A279" s="43"/>
      <c r="B279" s="43"/>
      <c r="C279" s="43"/>
      <c r="D279" s="43"/>
      <c r="E279" s="43"/>
      <c r="F279" s="43"/>
    </row>
    <row r="280">
      <c r="A280" s="43"/>
      <c r="B280" s="43"/>
      <c r="C280" s="43"/>
      <c r="D280" s="43"/>
      <c r="E280" s="43"/>
      <c r="F280" s="43"/>
    </row>
    <row r="281">
      <c r="A281" s="43"/>
      <c r="B281" s="43"/>
      <c r="C281" s="43"/>
      <c r="D281" s="43"/>
      <c r="E281" s="43"/>
      <c r="F281" s="43"/>
    </row>
    <row r="282">
      <c r="A282" s="43"/>
      <c r="B282" s="43"/>
      <c r="C282" s="43"/>
      <c r="D282" s="43"/>
      <c r="E282" s="43"/>
      <c r="F282" s="43"/>
    </row>
    <row r="283">
      <c r="A283" s="43"/>
      <c r="B283" s="43"/>
      <c r="C283" s="43"/>
      <c r="D283" s="43"/>
      <c r="E283" s="43"/>
      <c r="F283" s="43"/>
    </row>
    <row r="284">
      <c r="A284" s="43"/>
      <c r="B284" s="43"/>
      <c r="C284" s="43"/>
      <c r="D284" s="43"/>
      <c r="E284" s="43"/>
      <c r="F284" s="43"/>
    </row>
    <row r="285">
      <c r="A285" s="43"/>
      <c r="B285" s="43"/>
      <c r="C285" s="43"/>
      <c r="D285" s="43"/>
      <c r="E285" s="43"/>
      <c r="F285" s="43"/>
    </row>
    <row r="286">
      <c r="A286" s="43"/>
      <c r="B286" s="43"/>
      <c r="C286" s="43"/>
      <c r="D286" s="43"/>
      <c r="E286" s="43"/>
      <c r="F286" s="43"/>
    </row>
    <row r="287">
      <c r="A287" s="43"/>
      <c r="B287" s="43"/>
      <c r="C287" s="43"/>
      <c r="D287" s="43"/>
      <c r="E287" s="43"/>
      <c r="F287" s="43"/>
    </row>
    <row r="288">
      <c r="A288" s="43"/>
      <c r="B288" s="43"/>
      <c r="C288" s="43"/>
      <c r="D288" s="43"/>
      <c r="E288" s="43"/>
      <c r="F288" s="43"/>
    </row>
    <row r="289">
      <c r="A289" s="43"/>
      <c r="B289" s="43"/>
      <c r="C289" s="43"/>
      <c r="D289" s="43"/>
      <c r="E289" s="43"/>
      <c r="F289" s="43"/>
    </row>
    <row r="290">
      <c r="A290" s="43"/>
      <c r="B290" s="43"/>
      <c r="C290" s="43"/>
      <c r="D290" s="43"/>
      <c r="E290" s="43"/>
      <c r="F290" s="43"/>
    </row>
    <row r="291">
      <c r="A291" s="43"/>
      <c r="B291" s="43"/>
      <c r="C291" s="43"/>
      <c r="D291" s="43"/>
      <c r="E291" s="43"/>
      <c r="F291" s="43"/>
    </row>
    <row r="292">
      <c r="A292" s="43"/>
      <c r="B292" s="43"/>
      <c r="C292" s="43"/>
      <c r="D292" s="43"/>
      <c r="E292" s="43"/>
      <c r="F292" s="43"/>
    </row>
    <row r="293">
      <c r="A293" s="43"/>
      <c r="B293" s="43"/>
      <c r="C293" s="43"/>
      <c r="D293" s="43"/>
      <c r="E293" s="43"/>
      <c r="F293" s="43"/>
    </row>
    <row r="294">
      <c r="A294" s="43"/>
      <c r="B294" s="43"/>
      <c r="C294" s="43"/>
      <c r="D294" s="43"/>
      <c r="E294" s="43"/>
      <c r="F294" s="43"/>
    </row>
    <row r="295">
      <c r="A295" s="43"/>
      <c r="B295" s="43"/>
      <c r="C295" s="43"/>
      <c r="D295" s="43"/>
      <c r="E295" s="43"/>
      <c r="F295" s="43"/>
    </row>
    <row r="296">
      <c r="A296" s="43"/>
      <c r="B296" s="43"/>
      <c r="C296" s="43"/>
      <c r="D296" s="43"/>
      <c r="E296" s="43"/>
      <c r="F296" s="43"/>
    </row>
    <row r="297">
      <c r="A297" s="43"/>
      <c r="B297" s="43"/>
      <c r="C297" s="43"/>
      <c r="D297" s="43"/>
      <c r="E297" s="43"/>
      <c r="F297" s="43"/>
    </row>
    <row r="298">
      <c r="A298" s="43"/>
      <c r="B298" s="43"/>
      <c r="C298" s="43"/>
      <c r="D298" s="43"/>
      <c r="E298" s="43"/>
      <c r="F298" s="43"/>
    </row>
    <row r="299">
      <c r="A299" s="43"/>
      <c r="B299" s="43"/>
      <c r="C299" s="43"/>
      <c r="D299" s="43"/>
      <c r="E299" s="43"/>
      <c r="F299" s="43"/>
    </row>
    <row r="300">
      <c r="A300" s="43"/>
      <c r="B300" s="43"/>
      <c r="C300" s="43"/>
      <c r="D300" s="43"/>
      <c r="E300" s="43"/>
      <c r="F300" s="43"/>
    </row>
    <row r="301">
      <c r="A301" s="43"/>
      <c r="B301" s="43"/>
      <c r="C301" s="43"/>
      <c r="D301" s="43"/>
      <c r="E301" s="43"/>
      <c r="F301" s="43"/>
    </row>
    <row r="302">
      <c r="A302" s="43"/>
      <c r="B302" s="43"/>
      <c r="C302" s="43"/>
      <c r="D302" s="43"/>
      <c r="E302" s="43"/>
      <c r="F302" s="43"/>
    </row>
    <row r="303">
      <c r="A303" s="43"/>
      <c r="B303" s="43"/>
      <c r="C303" s="43"/>
      <c r="D303" s="43"/>
      <c r="E303" s="43"/>
      <c r="F303" s="43"/>
    </row>
    <row r="304">
      <c r="A304" s="43"/>
      <c r="B304" s="43"/>
      <c r="C304" s="43"/>
      <c r="D304" s="43"/>
      <c r="E304" s="43"/>
      <c r="F304" s="43"/>
    </row>
    <row r="305">
      <c r="A305" s="43"/>
      <c r="B305" s="43"/>
      <c r="C305" s="43"/>
      <c r="D305" s="43"/>
      <c r="E305" s="43"/>
      <c r="F305" s="43"/>
    </row>
    <row r="306">
      <c r="A306" s="43"/>
      <c r="B306" s="43"/>
      <c r="C306" s="43"/>
      <c r="D306" s="43"/>
      <c r="E306" s="43"/>
      <c r="F306" s="43"/>
    </row>
    <row r="307">
      <c r="A307" s="43"/>
      <c r="B307" s="43"/>
      <c r="C307" s="43"/>
      <c r="D307" s="43"/>
      <c r="E307" s="43"/>
      <c r="F307" s="43"/>
    </row>
    <row r="308">
      <c r="A308" s="43"/>
      <c r="B308" s="43"/>
      <c r="C308" s="43"/>
      <c r="D308" s="43"/>
      <c r="E308" s="43"/>
      <c r="F308" s="43"/>
    </row>
    <row r="309">
      <c r="A309" s="43"/>
      <c r="B309" s="43"/>
      <c r="C309" s="43"/>
      <c r="D309" s="43"/>
      <c r="E309" s="43"/>
      <c r="F309" s="43"/>
    </row>
    <row r="310">
      <c r="A310" s="43"/>
      <c r="B310" s="43"/>
      <c r="C310" s="43"/>
      <c r="D310" s="43"/>
      <c r="E310" s="43"/>
      <c r="F310" s="43"/>
    </row>
    <row r="311">
      <c r="A311" s="43"/>
      <c r="B311" s="43"/>
      <c r="C311" s="43"/>
      <c r="D311" s="43"/>
      <c r="E311" s="43"/>
      <c r="F311" s="43"/>
    </row>
    <row r="312">
      <c r="A312" s="43"/>
      <c r="B312" s="43"/>
      <c r="C312" s="43"/>
      <c r="D312" s="43"/>
      <c r="E312" s="43"/>
      <c r="F312" s="43"/>
    </row>
    <row r="313">
      <c r="A313" s="43"/>
      <c r="B313" s="43"/>
      <c r="C313" s="43"/>
      <c r="D313" s="43"/>
      <c r="E313" s="43"/>
      <c r="F313" s="43"/>
    </row>
    <row r="314">
      <c r="A314" s="43"/>
      <c r="B314" s="43"/>
      <c r="C314" s="43"/>
      <c r="D314" s="43"/>
      <c r="E314" s="43"/>
      <c r="F314" s="43"/>
    </row>
    <row r="315">
      <c r="A315" s="43"/>
      <c r="B315" s="43"/>
      <c r="C315" s="43"/>
      <c r="D315" s="43"/>
      <c r="E315" s="43"/>
      <c r="F315" s="43"/>
    </row>
    <row r="316">
      <c r="A316" s="43"/>
      <c r="B316" s="43"/>
      <c r="C316" s="43"/>
      <c r="D316" s="43"/>
      <c r="E316" s="43"/>
      <c r="F316" s="43"/>
    </row>
    <row r="317">
      <c r="A317" s="43"/>
      <c r="B317" s="43"/>
      <c r="C317" s="43"/>
      <c r="D317" s="43"/>
      <c r="E317" s="43"/>
      <c r="F317" s="43"/>
    </row>
    <row r="318">
      <c r="A318" s="43"/>
      <c r="B318" s="43"/>
      <c r="C318" s="43"/>
      <c r="D318" s="43"/>
      <c r="E318" s="43"/>
      <c r="F318" s="43"/>
    </row>
    <row r="319">
      <c r="A319" s="43"/>
      <c r="B319" s="43"/>
      <c r="C319" s="43"/>
      <c r="D319" s="43"/>
      <c r="E319" s="43"/>
      <c r="F319" s="43"/>
    </row>
    <row r="320">
      <c r="A320" s="43"/>
      <c r="B320" s="43"/>
      <c r="C320" s="43"/>
      <c r="D320" s="43"/>
      <c r="E320" s="43"/>
      <c r="F320" s="43"/>
    </row>
    <row r="321">
      <c r="A321" s="43"/>
      <c r="B321" s="43"/>
      <c r="C321" s="43"/>
      <c r="D321" s="43"/>
      <c r="E321" s="43"/>
      <c r="F321" s="43"/>
    </row>
    <row r="322">
      <c r="A322" s="43"/>
      <c r="B322" s="43"/>
      <c r="C322" s="43"/>
      <c r="D322" s="43"/>
      <c r="E322" s="43"/>
      <c r="F322" s="43"/>
    </row>
    <row r="323">
      <c r="A323" s="43"/>
      <c r="B323" s="43"/>
      <c r="C323" s="43"/>
      <c r="D323" s="43"/>
      <c r="E323" s="43"/>
      <c r="F323" s="43"/>
    </row>
    <row r="324">
      <c r="A324" s="43"/>
      <c r="B324" s="43"/>
      <c r="C324" s="43"/>
      <c r="D324" s="43"/>
      <c r="E324" s="43"/>
      <c r="F324" s="43"/>
    </row>
    <row r="325">
      <c r="A325" s="43"/>
      <c r="B325" s="43"/>
      <c r="C325" s="43"/>
      <c r="D325" s="43"/>
      <c r="E325" s="43"/>
      <c r="F325" s="43"/>
    </row>
    <row r="326">
      <c r="A326" s="43"/>
      <c r="B326" s="43"/>
      <c r="C326" s="43"/>
      <c r="D326" s="43"/>
      <c r="E326" s="43"/>
      <c r="F326" s="43"/>
    </row>
    <row r="327">
      <c r="A327" s="43"/>
      <c r="B327" s="43"/>
      <c r="C327" s="43"/>
      <c r="D327" s="43"/>
      <c r="E327" s="43"/>
      <c r="F327" s="43"/>
    </row>
    <row r="328">
      <c r="A328" s="43"/>
      <c r="B328" s="43"/>
      <c r="C328" s="43"/>
      <c r="D328" s="43"/>
      <c r="E328" s="43"/>
      <c r="F328" s="43"/>
    </row>
    <row r="329">
      <c r="A329" s="43"/>
      <c r="B329" s="43"/>
      <c r="C329" s="43"/>
      <c r="D329" s="43"/>
      <c r="E329" s="43"/>
      <c r="F329" s="43"/>
    </row>
    <row r="330">
      <c r="A330" s="43"/>
      <c r="B330" s="43"/>
      <c r="C330" s="43"/>
      <c r="D330" s="43"/>
      <c r="E330" s="43"/>
      <c r="F330" s="43"/>
    </row>
    <row r="331">
      <c r="A331" s="43"/>
      <c r="B331" s="43"/>
      <c r="C331" s="43"/>
      <c r="D331" s="43"/>
      <c r="E331" s="43"/>
      <c r="F331" s="43"/>
    </row>
    <row r="332">
      <c r="A332" s="43"/>
      <c r="B332" s="43"/>
      <c r="C332" s="43"/>
      <c r="D332" s="43"/>
      <c r="E332" s="43"/>
      <c r="F332" s="43"/>
    </row>
    <row r="333">
      <c r="A333" s="43"/>
      <c r="B333" s="43"/>
      <c r="C333" s="43"/>
      <c r="D333" s="43"/>
      <c r="E333" s="43"/>
      <c r="F333" s="43"/>
    </row>
    <row r="334">
      <c r="A334" s="43"/>
      <c r="B334" s="43"/>
      <c r="C334" s="43"/>
      <c r="D334" s="43"/>
      <c r="E334" s="43"/>
      <c r="F334" s="43"/>
    </row>
    <row r="335">
      <c r="A335" s="43"/>
      <c r="B335" s="43"/>
      <c r="C335" s="43"/>
      <c r="D335" s="43"/>
      <c r="E335" s="43"/>
      <c r="F335" s="43"/>
    </row>
    <row r="336">
      <c r="A336" s="43"/>
      <c r="B336" s="43"/>
      <c r="C336" s="43"/>
      <c r="D336" s="43"/>
      <c r="E336" s="43"/>
      <c r="F336" s="43"/>
    </row>
    <row r="337">
      <c r="A337" s="43"/>
      <c r="B337" s="43"/>
      <c r="C337" s="43"/>
      <c r="D337" s="43"/>
      <c r="E337" s="43"/>
      <c r="F337" s="43"/>
    </row>
    <row r="338">
      <c r="A338" s="43"/>
      <c r="B338" s="43"/>
      <c r="C338" s="43"/>
      <c r="D338" s="43"/>
      <c r="E338" s="43"/>
      <c r="F338" s="43"/>
    </row>
    <row r="339">
      <c r="A339" s="43"/>
      <c r="B339" s="43"/>
      <c r="C339" s="43"/>
      <c r="D339" s="43"/>
      <c r="E339" s="43"/>
      <c r="F339" s="43"/>
    </row>
    <row r="340">
      <c r="A340" s="43"/>
      <c r="B340" s="43"/>
      <c r="C340" s="43"/>
      <c r="D340" s="43"/>
      <c r="E340" s="43"/>
      <c r="F340" s="43"/>
    </row>
    <row r="341">
      <c r="A341" s="43"/>
      <c r="B341" s="43"/>
      <c r="C341" s="43"/>
      <c r="D341" s="43"/>
      <c r="E341" s="43"/>
      <c r="F341" s="43"/>
    </row>
    <row r="342">
      <c r="A342" s="43"/>
      <c r="B342" s="43"/>
      <c r="C342" s="43"/>
      <c r="D342" s="43"/>
      <c r="E342" s="43"/>
      <c r="F342" s="43"/>
    </row>
    <row r="343">
      <c r="A343" s="43"/>
      <c r="B343" s="43"/>
      <c r="C343" s="43"/>
      <c r="D343" s="43"/>
      <c r="E343" s="43"/>
      <c r="F343" s="43"/>
    </row>
    <row r="344">
      <c r="A344" s="43"/>
      <c r="B344" s="43"/>
      <c r="C344" s="43"/>
      <c r="D344" s="43"/>
      <c r="E344" s="43"/>
      <c r="F344" s="43"/>
    </row>
    <row r="345">
      <c r="A345" s="43"/>
      <c r="B345" s="43"/>
      <c r="C345" s="43"/>
      <c r="D345" s="43"/>
      <c r="E345" s="43"/>
      <c r="F345" s="43"/>
    </row>
    <row r="346">
      <c r="A346" s="43"/>
      <c r="B346" s="43"/>
      <c r="C346" s="43"/>
      <c r="D346" s="43"/>
      <c r="E346" s="43"/>
      <c r="F346" s="43"/>
    </row>
    <row r="347">
      <c r="A347" s="43"/>
      <c r="B347" s="43"/>
      <c r="C347" s="43"/>
      <c r="D347" s="43"/>
      <c r="E347" s="43"/>
      <c r="F347" s="43"/>
    </row>
    <row r="348">
      <c r="A348" s="43"/>
      <c r="B348" s="43"/>
      <c r="C348" s="43"/>
      <c r="D348" s="43"/>
      <c r="E348" s="43"/>
      <c r="F348" s="43"/>
    </row>
    <row r="349">
      <c r="A349" s="43"/>
      <c r="B349" s="43"/>
      <c r="C349" s="43"/>
      <c r="D349" s="43"/>
      <c r="E349" s="43"/>
      <c r="F349" s="43"/>
    </row>
    <row r="350">
      <c r="A350" s="43"/>
      <c r="B350" s="43"/>
      <c r="C350" s="43"/>
      <c r="D350" s="43"/>
      <c r="E350" s="43"/>
      <c r="F350" s="43"/>
    </row>
    <row r="351">
      <c r="A351" s="43"/>
      <c r="B351" s="43"/>
      <c r="C351" s="43"/>
      <c r="D351" s="43"/>
      <c r="E351" s="43"/>
      <c r="F351" s="43"/>
    </row>
    <row r="352">
      <c r="A352" s="43"/>
      <c r="B352" s="43"/>
      <c r="C352" s="43"/>
      <c r="D352" s="43"/>
      <c r="E352" s="43"/>
      <c r="F352" s="43"/>
    </row>
    <row r="353">
      <c r="A353" s="43"/>
      <c r="B353" s="43"/>
      <c r="C353" s="43"/>
      <c r="D353" s="43"/>
      <c r="E353" s="43"/>
      <c r="F353" s="43"/>
    </row>
    <row r="354">
      <c r="A354" s="43"/>
      <c r="B354" s="43"/>
      <c r="C354" s="43"/>
      <c r="D354" s="43"/>
      <c r="E354" s="43"/>
      <c r="F354" s="43"/>
    </row>
    <row r="355">
      <c r="A355" s="43"/>
      <c r="B355" s="43"/>
      <c r="C355" s="43"/>
      <c r="D355" s="43"/>
      <c r="E355" s="43"/>
      <c r="F355" s="43"/>
    </row>
    <row r="356">
      <c r="A356" s="43"/>
      <c r="B356" s="43"/>
      <c r="C356" s="43"/>
      <c r="D356" s="43"/>
      <c r="E356" s="43"/>
      <c r="F356" s="43"/>
    </row>
    <row r="357">
      <c r="A357" s="43"/>
      <c r="B357" s="43"/>
      <c r="C357" s="43"/>
      <c r="D357" s="43"/>
      <c r="E357" s="43"/>
      <c r="F357" s="43"/>
    </row>
    <row r="358">
      <c r="A358" s="43"/>
      <c r="B358" s="43"/>
      <c r="C358" s="43"/>
      <c r="D358" s="43"/>
      <c r="E358" s="43"/>
      <c r="F358" s="43"/>
    </row>
    <row r="359">
      <c r="A359" s="43"/>
      <c r="B359" s="43"/>
      <c r="C359" s="43"/>
      <c r="D359" s="43"/>
      <c r="E359" s="43"/>
      <c r="F359" s="43"/>
    </row>
    <row r="360">
      <c r="A360" s="43"/>
      <c r="B360" s="43"/>
      <c r="C360" s="43"/>
      <c r="D360" s="43"/>
      <c r="E360" s="43"/>
      <c r="F360" s="43"/>
    </row>
    <row r="361">
      <c r="A361" s="43"/>
      <c r="B361" s="43"/>
      <c r="C361" s="43"/>
      <c r="D361" s="43"/>
      <c r="E361" s="43"/>
      <c r="F361" s="43"/>
    </row>
    <row r="362">
      <c r="A362" s="43"/>
      <c r="B362" s="43"/>
      <c r="C362" s="43"/>
      <c r="D362" s="43"/>
      <c r="E362" s="43"/>
      <c r="F362" s="43"/>
    </row>
    <row r="363">
      <c r="A363" s="43"/>
      <c r="B363" s="43"/>
      <c r="C363" s="43"/>
      <c r="D363" s="43"/>
      <c r="E363" s="43"/>
      <c r="F363" s="43"/>
    </row>
    <row r="364">
      <c r="A364" s="43"/>
      <c r="B364" s="43"/>
      <c r="C364" s="43"/>
      <c r="D364" s="43"/>
      <c r="E364" s="43"/>
      <c r="F364" s="43"/>
    </row>
    <row r="365">
      <c r="A365" s="43"/>
      <c r="B365" s="43"/>
      <c r="C365" s="43"/>
      <c r="D365" s="43"/>
      <c r="E365" s="43"/>
      <c r="F365" s="43"/>
    </row>
    <row r="366">
      <c r="A366" s="43"/>
      <c r="B366" s="43"/>
      <c r="C366" s="43"/>
      <c r="D366" s="43"/>
      <c r="E366" s="43"/>
      <c r="F366" s="43"/>
    </row>
    <row r="367">
      <c r="A367" s="43"/>
      <c r="B367" s="43"/>
      <c r="C367" s="43"/>
      <c r="D367" s="43"/>
      <c r="E367" s="43"/>
      <c r="F367" s="43"/>
    </row>
    <row r="368">
      <c r="A368" s="43"/>
      <c r="B368" s="43"/>
      <c r="C368" s="43"/>
      <c r="D368" s="43"/>
      <c r="E368" s="43"/>
      <c r="F368" s="43"/>
    </row>
    <row r="369">
      <c r="A369" s="43"/>
      <c r="B369" s="43"/>
      <c r="C369" s="43"/>
      <c r="D369" s="43"/>
      <c r="E369" s="43"/>
      <c r="F369" s="43"/>
    </row>
    <row r="370">
      <c r="A370" s="43"/>
      <c r="B370" s="43"/>
      <c r="C370" s="43"/>
      <c r="D370" s="43"/>
      <c r="E370" s="43"/>
      <c r="F370" s="43"/>
    </row>
    <row r="371">
      <c r="A371" s="43"/>
      <c r="B371" s="43"/>
      <c r="C371" s="43"/>
      <c r="D371" s="43"/>
      <c r="E371" s="43"/>
      <c r="F371" s="43"/>
    </row>
    <row r="372">
      <c r="A372" s="43"/>
      <c r="B372" s="43"/>
      <c r="C372" s="43"/>
      <c r="D372" s="43"/>
      <c r="E372" s="43"/>
      <c r="F372" s="43"/>
    </row>
    <row r="373">
      <c r="A373" s="43"/>
      <c r="B373" s="43"/>
      <c r="C373" s="43"/>
      <c r="D373" s="43"/>
      <c r="E373" s="43"/>
      <c r="F373" s="43"/>
    </row>
    <row r="374">
      <c r="A374" s="43"/>
      <c r="B374" s="43"/>
      <c r="C374" s="43"/>
      <c r="D374" s="43"/>
      <c r="E374" s="43"/>
      <c r="F374" s="43"/>
    </row>
    <row r="375">
      <c r="A375" s="43"/>
      <c r="B375" s="43"/>
      <c r="C375" s="43"/>
      <c r="D375" s="43"/>
      <c r="E375" s="43"/>
      <c r="F375" s="43"/>
    </row>
    <row r="376">
      <c r="A376" s="43"/>
      <c r="B376" s="43"/>
      <c r="C376" s="43"/>
      <c r="D376" s="43"/>
      <c r="E376" s="43"/>
      <c r="F376" s="43"/>
    </row>
    <row r="377">
      <c r="A377" s="43"/>
      <c r="B377" s="43"/>
      <c r="C377" s="43"/>
      <c r="D377" s="43"/>
      <c r="E377" s="43"/>
      <c r="F377" s="43"/>
    </row>
    <row r="378">
      <c r="A378" s="43"/>
      <c r="B378" s="43"/>
      <c r="C378" s="43"/>
      <c r="D378" s="43"/>
      <c r="E378" s="43"/>
      <c r="F378" s="43"/>
    </row>
    <row r="379">
      <c r="A379" s="43"/>
      <c r="B379" s="43"/>
      <c r="C379" s="43"/>
      <c r="D379" s="43"/>
      <c r="E379" s="43"/>
      <c r="F379" s="43"/>
    </row>
    <row r="380">
      <c r="A380" s="43"/>
      <c r="B380" s="43"/>
      <c r="C380" s="43"/>
      <c r="D380" s="43"/>
      <c r="E380" s="43"/>
      <c r="F380" s="43"/>
    </row>
    <row r="381">
      <c r="A381" s="43"/>
      <c r="B381" s="43"/>
      <c r="C381" s="43"/>
      <c r="D381" s="43"/>
      <c r="E381" s="43"/>
      <c r="F381" s="43"/>
    </row>
    <row r="382">
      <c r="A382" s="43"/>
      <c r="B382" s="43"/>
      <c r="C382" s="43"/>
      <c r="D382" s="43"/>
      <c r="E382" s="43"/>
      <c r="F382" s="43"/>
    </row>
    <row r="383">
      <c r="A383" s="43"/>
      <c r="B383" s="43"/>
      <c r="C383" s="43"/>
      <c r="D383" s="43"/>
      <c r="E383" s="43"/>
      <c r="F383" s="43"/>
    </row>
    <row r="384">
      <c r="A384" s="43"/>
      <c r="B384" s="43"/>
      <c r="C384" s="43"/>
      <c r="D384" s="43"/>
      <c r="E384" s="43"/>
      <c r="F384" s="43"/>
    </row>
    <row r="385">
      <c r="A385" s="43"/>
      <c r="B385" s="43"/>
      <c r="C385" s="43"/>
      <c r="D385" s="43"/>
      <c r="E385" s="43"/>
      <c r="F385" s="43"/>
    </row>
    <row r="386">
      <c r="A386" s="43"/>
      <c r="B386" s="43"/>
      <c r="C386" s="43"/>
      <c r="D386" s="43"/>
      <c r="E386" s="43"/>
      <c r="F386" s="43"/>
    </row>
    <row r="387">
      <c r="A387" s="43"/>
      <c r="B387" s="43"/>
      <c r="C387" s="43"/>
      <c r="D387" s="43"/>
      <c r="E387" s="43"/>
      <c r="F387" s="43"/>
    </row>
    <row r="388">
      <c r="A388" s="43"/>
      <c r="B388" s="43"/>
      <c r="C388" s="43"/>
      <c r="D388" s="43"/>
      <c r="E388" s="43"/>
      <c r="F388" s="43"/>
    </row>
    <row r="389">
      <c r="A389" s="43"/>
      <c r="B389" s="43"/>
      <c r="C389" s="43"/>
      <c r="D389" s="43"/>
      <c r="E389" s="43"/>
      <c r="F389" s="43"/>
    </row>
    <row r="390">
      <c r="A390" s="43"/>
      <c r="B390" s="43"/>
      <c r="C390" s="43"/>
      <c r="D390" s="43"/>
      <c r="E390" s="43"/>
      <c r="F390" s="43"/>
    </row>
    <row r="391">
      <c r="A391" s="43"/>
      <c r="B391" s="43"/>
      <c r="C391" s="43"/>
      <c r="D391" s="43"/>
      <c r="E391" s="43"/>
      <c r="F391" s="43"/>
    </row>
    <row r="392">
      <c r="A392" s="43"/>
      <c r="B392" s="43"/>
      <c r="C392" s="43"/>
      <c r="D392" s="43"/>
      <c r="E392" s="43"/>
      <c r="F392" s="43"/>
    </row>
    <row r="393">
      <c r="A393" s="43"/>
      <c r="B393" s="43"/>
      <c r="C393" s="43"/>
      <c r="D393" s="43"/>
      <c r="E393" s="43"/>
      <c r="F393" s="43"/>
    </row>
    <row r="394">
      <c r="A394" s="43"/>
      <c r="B394" s="43"/>
      <c r="C394" s="43"/>
      <c r="D394" s="43"/>
      <c r="E394" s="43"/>
      <c r="F394" s="43"/>
    </row>
    <row r="395">
      <c r="A395" s="43"/>
      <c r="B395" s="43"/>
      <c r="C395" s="43"/>
      <c r="D395" s="43"/>
      <c r="E395" s="43"/>
      <c r="F395" s="43"/>
    </row>
    <row r="396">
      <c r="A396" s="43"/>
      <c r="B396" s="43"/>
      <c r="C396" s="43"/>
      <c r="D396" s="43"/>
      <c r="E396" s="43"/>
      <c r="F396" s="43"/>
    </row>
    <row r="397">
      <c r="A397" s="43"/>
      <c r="B397" s="43"/>
      <c r="C397" s="43"/>
      <c r="D397" s="43"/>
      <c r="E397" s="43"/>
      <c r="F397" s="43"/>
    </row>
    <row r="398">
      <c r="A398" s="43"/>
      <c r="B398" s="43"/>
      <c r="C398" s="43"/>
      <c r="D398" s="43"/>
      <c r="E398" s="43"/>
      <c r="F398" s="43"/>
    </row>
    <row r="399">
      <c r="A399" s="43"/>
      <c r="B399" s="43"/>
      <c r="C399" s="43"/>
      <c r="D399" s="43"/>
      <c r="E399" s="43"/>
      <c r="F399" s="43"/>
    </row>
    <row r="400">
      <c r="A400" s="43"/>
      <c r="B400" s="43"/>
      <c r="C400" s="43"/>
      <c r="D400" s="43"/>
      <c r="E400" s="43"/>
      <c r="F400" s="43"/>
    </row>
    <row r="401">
      <c r="A401" s="43"/>
      <c r="B401" s="43"/>
      <c r="C401" s="43"/>
      <c r="D401" s="43"/>
      <c r="E401" s="43"/>
      <c r="F401" s="43"/>
    </row>
    <row r="402">
      <c r="A402" s="43"/>
      <c r="B402" s="43"/>
      <c r="C402" s="43"/>
      <c r="D402" s="43"/>
      <c r="E402" s="43"/>
      <c r="F402" s="43"/>
    </row>
    <row r="403">
      <c r="A403" s="43"/>
      <c r="B403" s="43"/>
      <c r="C403" s="43"/>
      <c r="D403" s="43"/>
      <c r="E403" s="43"/>
      <c r="F403" s="43"/>
    </row>
    <row r="404">
      <c r="A404" s="43"/>
      <c r="B404" s="43"/>
      <c r="C404" s="43"/>
      <c r="D404" s="43"/>
      <c r="E404" s="43"/>
      <c r="F404" s="43"/>
    </row>
    <row r="405">
      <c r="A405" s="43"/>
      <c r="B405" s="43"/>
      <c r="C405" s="43"/>
      <c r="D405" s="43"/>
      <c r="E405" s="43"/>
      <c r="F405" s="43"/>
    </row>
    <row r="406">
      <c r="A406" s="43"/>
      <c r="B406" s="43"/>
      <c r="C406" s="43"/>
      <c r="D406" s="43"/>
      <c r="E406" s="43"/>
      <c r="F406" s="43"/>
    </row>
    <row r="407">
      <c r="A407" s="43"/>
      <c r="B407" s="43"/>
      <c r="C407" s="43"/>
      <c r="D407" s="43"/>
      <c r="E407" s="43"/>
      <c r="F407" s="43"/>
    </row>
    <row r="408">
      <c r="A408" s="43"/>
      <c r="B408" s="43"/>
      <c r="C408" s="43"/>
      <c r="D408" s="43"/>
      <c r="E408" s="43"/>
      <c r="F408" s="43"/>
    </row>
    <row r="409">
      <c r="A409" s="43"/>
      <c r="B409" s="43"/>
      <c r="C409" s="43"/>
      <c r="D409" s="43"/>
      <c r="E409" s="43"/>
      <c r="F409" s="43"/>
    </row>
    <row r="410">
      <c r="A410" s="43"/>
      <c r="B410" s="43"/>
      <c r="C410" s="43"/>
      <c r="D410" s="43"/>
      <c r="E410" s="43"/>
      <c r="F410" s="43"/>
    </row>
    <row r="411">
      <c r="A411" s="43"/>
      <c r="B411" s="43"/>
      <c r="C411" s="43"/>
      <c r="D411" s="43"/>
      <c r="E411" s="43"/>
      <c r="F411" s="43"/>
    </row>
    <row r="412">
      <c r="A412" s="43"/>
      <c r="B412" s="43"/>
      <c r="C412" s="43"/>
      <c r="D412" s="43"/>
      <c r="E412" s="43"/>
      <c r="F412" s="43"/>
    </row>
    <row r="413">
      <c r="A413" s="43"/>
      <c r="B413" s="43"/>
      <c r="C413" s="43"/>
      <c r="D413" s="43"/>
      <c r="E413" s="43"/>
      <c r="F413" s="43"/>
    </row>
    <row r="414">
      <c r="A414" s="43"/>
      <c r="B414" s="43"/>
      <c r="C414" s="43"/>
      <c r="D414" s="43"/>
      <c r="E414" s="43"/>
      <c r="F414" s="43"/>
    </row>
    <row r="415">
      <c r="A415" s="43"/>
      <c r="B415" s="43"/>
      <c r="C415" s="43"/>
      <c r="D415" s="43"/>
      <c r="E415" s="43"/>
      <c r="F415" s="43"/>
    </row>
    <row r="416">
      <c r="A416" s="43"/>
      <c r="B416" s="43"/>
      <c r="C416" s="43"/>
      <c r="D416" s="43"/>
      <c r="E416" s="43"/>
      <c r="F416" s="43"/>
    </row>
    <row r="417">
      <c r="A417" s="43"/>
      <c r="B417" s="43"/>
      <c r="C417" s="43"/>
      <c r="D417" s="43"/>
      <c r="E417" s="43"/>
      <c r="F417" s="43"/>
    </row>
    <row r="418">
      <c r="A418" s="43"/>
      <c r="B418" s="43"/>
      <c r="C418" s="43"/>
      <c r="D418" s="43"/>
      <c r="E418" s="43"/>
      <c r="F418" s="43"/>
    </row>
    <row r="419">
      <c r="A419" s="43"/>
      <c r="B419" s="43"/>
      <c r="C419" s="43"/>
      <c r="D419" s="43"/>
      <c r="E419" s="43"/>
      <c r="F419" s="43"/>
    </row>
    <row r="420">
      <c r="A420" s="43"/>
      <c r="B420" s="43"/>
      <c r="C420" s="43"/>
      <c r="D420" s="43"/>
      <c r="E420" s="43"/>
      <c r="F420" s="43"/>
    </row>
    <row r="421">
      <c r="A421" s="43"/>
      <c r="B421" s="43"/>
      <c r="C421" s="43"/>
      <c r="D421" s="43"/>
      <c r="E421" s="43"/>
      <c r="F421" s="43"/>
    </row>
    <row r="422">
      <c r="A422" s="43"/>
      <c r="B422" s="43"/>
      <c r="C422" s="43"/>
      <c r="D422" s="43"/>
      <c r="E422" s="43"/>
      <c r="F422" s="43"/>
    </row>
    <row r="423">
      <c r="A423" s="43"/>
      <c r="B423" s="43"/>
      <c r="C423" s="43"/>
      <c r="D423" s="43"/>
      <c r="E423" s="43"/>
      <c r="F423" s="43"/>
    </row>
    <row r="424">
      <c r="A424" s="43"/>
      <c r="B424" s="43"/>
      <c r="C424" s="43"/>
      <c r="D424" s="43"/>
      <c r="E424" s="43"/>
      <c r="F424" s="43"/>
    </row>
    <row r="425">
      <c r="A425" s="43"/>
      <c r="B425" s="43"/>
      <c r="C425" s="43"/>
      <c r="D425" s="43"/>
      <c r="E425" s="43"/>
      <c r="F425" s="43"/>
    </row>
    <row r="426">
      <c r="A426" s="43"/>
      <c r="B426" s="43"/>
      <c r="C426" s="43"/>
      <c r="D426" s="43"/>
      <c r="E426" s="43"/>
      <c r="F426" s="43"/>
    </row>
    <row r="427">
      <c r="A427" s="43"/>
      <c r="B427" s="43"/>
      <c r="C427" s="43"/>
      <c r="D427" s="43"/>
      <c r="E427" s="43"/>
      <c r="F427" s="43"/>
    </row>
    <row r="428">
      <c r="A428" s="43"/>
      <c r="B428" s="43"/>
      <c r="C428" s="43"/>
      <c r="D428" s="43"/>
      <c r="E428" s="43"/>
      <c r="F428" s="43"/>
    </row>
    <row r="429">
      <c r="A429" s="43"/>
      <c r="B429" s="43"/>
      <c r="C429" s="43"/>
      <c r="D429" s="43"/>
      <c r="E429" s="43"/>
      <c r="F429" s="43"/>
    </row>
    <row r="430">
      <c r="A430" s="43"/>
      <c r="B430" s="43"/>
      <c r="C430" s="43"/>
      <c r="D430" s="43"/>
      <c r="E430" s="43"/>
      <c r="F430" s="43"/>
    </row>
    <row r="431">
      <c r="A431" s="43"/>
      <c r="B431" s="43"/>
      <c r="C431" s="43"/>
      <c r="D431" s="43"/>
      <c r="E431" s="43"/>
      <c r="F431" s="43"/>
    </row>
    <row r="432">
      <c r="A432" s="43"/>
      <c r="B432" s="43"/>
      <c r="C432" s="43"/>
      <c r="D432" s="43"/>
      <c r="E432" s="43"/>
      <c r="F432" s="43"/>
    </row>
    <row r="433">
      <c r="A433" s="43"/>
      <c r="B433" s="43"/>
      <c r="C433" s="43"/>
      <c r="D433" s="43"/>
      <c r="E433" s="43"/>
      <c r="F433" s="43"/>
    </row>
    <row r="434">
      <c r="A434" s="43"/>
      <c r="B434" s="43"/>
      <c r="C434" s="43"/>
      <c r="D434" s="43"/>
      <c r="E434" s="43"/>
      <c r="F434" s="43"/>
    </row>
    <row r="435">
      <c r="A435" s="43"/>
      <c r="B435" s="43"/>
      <c r="C435" s="43"/>
      <c r="D435" s="43"/>
      <c r="E435" s="43"/>
      <c r="F435" s="43"/>
    </row>
    <row r="436">
      <c r="A436" s="43"/>
      <c r="B436" s="43"/>
      <c r="C436" s="43"/>
      <c r="D436" s="43"/>
      <c r="E436" s="43"/>
      <c r="F436" s="43"/>
    </row>
    <row r="437">
      <c r="A437" s="43"/>
      <c r="B437" s="43"/>
      <c r="C437" s="43"/>
      <c r="D437" s="43"/>
      <c r="E437" s="43"/>
      <c r="F437" s="43"/>
    </row>
    <row r="438">
      <c r="A438" s="43"/>
      <c r="B438" s="43"/>
      <c r="C438" s="43"/>
      <c r="D438" s="43"/>
      <c r="E438" s="43"/>
      <c r="F438" s="43"/>
    </row>
    <row r="439">
      <c r="A439" s="43"/>
      <c r="B439" s="43"/>
      <c r="C439" s="43"/>
      <c r="D439" s="43"/>
      <c r="E439" s="43"/>
      <c r="F439" s="43"/>
    </row>
    <row r="440">
      <c r="A440" s="43"/>
      <c r="B440" s="43"/>
      <c r="C440" s="43"/>
      <c r="D440" s="43"/>
      <c r="E440" s="43"/>
      <c r="F440" s="43"/>
    </row>
    <row r="441">
      <c r="A441" s="43"/>
      <c r="B441" s="43"/>
      <c r="C441" s="43"/>
      <c r="D441" s="43"/>
      <c r="E441" s="43"/>
      <c r="F441" s="43"/>
    </row>
    <row r="442">
      <c r="A442" s="43"/>
      <c r="B442" s="43"/>
      <c r="C442" s="43"/>
      <c r="D442" s="43"/>
      <c r="E442" s="43"/>
      <c r="F442" s="43"/>
    </row>
    <row r="443">
      <c r="A443" s="43"/>
      <c r="B443" s="43"/>
      <c r="C443" s="43"/>
      <c r="D443" s="43"/>
      <c r="E443" s="43"/>
      <c r="F443" s="43"/>
    </row>
    <row r="444">
      <c r="A444" s="43"/>
      <c r="B444" s="43"/>
      <c r="C444" s="43"/>
      <c r="D444" s="43"/>
      <c r="E444" s="43"/>
      <c r="F444" s="43"/>
    </row>
    <row r="445">
      <c r="A445" s="43"/>
      <c r="B445" s="43"/>
      <c r="C445" s="43"/>
      <c r="D445" s="43"/>
      <c r="E445" s="43"/>
      <c r="F445" s="43"/>
    </row>
    <row r="446">
      <c r="A446" s="43"/>
      <c r="B446" s="43"/>
      <c r="C446" s="43"/>
      <c r="D446" s="43"/>
      <c r="E446" s="43"/>
      <c r="F446" s="43"/>
    </row>
    <row r="447">
      <c r="A447" s="43"/>
      <c r="B447" s="43"/>
      <c r="C447" s="43"/>
      <c r="D447" s="43"/>
      <c r="E447" s="43"/>
      <c r="F447" s="43"/>
    </row>
    <row r="448">
      <c r="A448" s="43"/>
      <c r="B448" s="43"/>
      <c r="C448" s="43"/>
      <c r="D448" s="43"/>
      <c r="E448" s="43"/>
      <c r="F448" s="43"/>
    </row>
    <row r="449">
      <c r="A449" s="43"/>
      <c r="B449" s="43"/>
      <c r="C449" s="43"/>
      <c r="D449" s="43"/>
      <c r="E449" s="43"/>
      <c r="F449" s="43"/>
    </row>
    <row r="450">
      <c r="A450" s="43"/>
      <c r="B450" s="43"/>
      <c r="C450" s="43"/>
      <c r="D450" s="43"/>
      <c r="E450" s="43"/>
      <c r="F450" s="43"/>
    </row>
    <row r="451">
      <c r="A451" s="43"/>
      <c r="B451" s="43"/>
      <c r="C451" s="43"/>
      <c r="D451" s="43"/>
      <c r="E451" s="43"/>
      <c r="F451" s="43"/>
    </row>
    <row r="452">
      <c r="A452" s="43"/>
      <c r="B452" s="43"/>
      <c r="C452" s="43"/>
      <c r="D452" s="43"/>
      <c r="E452" s="43"/>
      <c r="F452" s="43"/>
    </row>
    <row r="453">
      <c r="A453" s="43"/>
      <c r="B453" s="43"/>
      <c r="C453" s="43"/>
      <c r="D453" s="43"/>
      <c r="E453" s="43"/>
      <c r="F453" s="43"/>
    </row>
    <row r="454">
      <c r="A454" s="43"/>
      <c r="B454" s="43"/>
      <c r="C454" s="43"/>
      <c r="D454" s="43"/>
      <c r="E454" s="43"/>
      <c r="F454" s="43"/>
    </row>
    <row r="455">
      <c r="A455" s="43"/>
      <c r="B455" s="43"/>
      <c r="C455" s="43"/>
      <c r="D455" s="43"/>
      <c r="E455" s="43"/>
      <c r="F455" s="43"/>
    </row>
    <row r="456">
      <c r="A456" s="43"/>
      <c r="B456" s="43"/>
      <c r="C456" s="43"/>
      <c r="D456" s="43"/>
      <c r="E456" s="43"/>
      <c r="F456" s="43"/>
    </row>
    <row r="457">
      <c r="A457" s="43"/>
      <c r="B457" s="43"/>
      <c r="C457" s="43"/>
      <c r="D457" s="43"/>
      <c r="E457" s="43"/>
      <c r="F457" s="43"/>
    </row>
    <row r="458">
      <c r="A458" s="43"/>
      <c r="B458" s="43"/>
      <c r="C458" s="43"/>
      <c r="D458" s="43"/>
      <c r="E458" s="43"/>
      <c r="F458" s="43"/>
    </row>
    <row r="459">
      <c r="A459" s="43"/>
      <c r="B459" s="43"/>
      <c r="C459" s="43"/>
      <c r="D459" s="43"/>
      <c r="E459" s="43"/>
      <c r="F459" s="43"/>
    </row>
    <row r="460">
      <c r="A460" s="43"/>
      <c r="B460" s="43"/>
      <c r="C460" s="43"/>
      <c r="D460" s="43"/>
      <c r="E460" s="43"/>
      <c r="F460" s="43"/>
    </row>
    <row r="461">
      <c r="A461" s="43"/>
      <c r="B461" s="43"/>
      <c r="C461" s="43"/>
      <c r="D461" s="43"/>
      <c r="E461" s="43"/>
      <c r="F461" s="43"/>
    </row>
    <row r="462">
      <c r="A462" s="43"/>
      <c r="B462" s="43"/>
      <c r="C462" s="43"/>
      <c r="D462" s="43"/>
      <c r="E462" s="43"/>
      <c r="F462" s="43"/>
    </row>
    <row r="463">
      <c r="A463" s="43"/>
      <c r="B463" s="43"/>
      <c r="C463" s="43"/>
      <c r="D463" s="43"/>
      <c r="E463" s="43"/>
      <c r="F463" s="43"/>
    </row>
    <row r="464">
      <c r="A464" s="43"/>
      <c r="B464" s="43"/>
      <c r="C464" s="43"/>
      <c r="D464" s="43"/>
      <c r="E464" s="43"/>
      <c r="F464" s="43"/>
    </row>
    <row r="465">
      <c r="A465" s="43"/>
      <c r="B465" s="43"/>
      <c r="C465" s="43"/>
      <c r="D465" s="43"/>
      <c r="E465" s="43"/>
      <c r="F465" s="43"/>
    </row>
    <row r="466">
      <c r="A466" s="43"/>
      <c r="B466" s="43"/>
      <c r="C466" s="43"/>
      <c r="D466" s="43"/>
      <c r="E466" s="43"/>
      <c r="F466" s="43"/>
    </row>
    <row r="467">
      <c r="A467" s="43"/>
      <c r="B467" s="43"/>
      <c r="C467" s="43"/>
      <c r="D467" s="43"/>
      <c r="E467" s="43"/>
      <c r="F467" s="43"/>
    </row>
    <row r="468">
      <c r="A468" s="43"/>
      <c r="B468" s="43"/>
      <c r="C468" s="43"/>
      <c r="D468" s="43"/>
      <c r="E468" s="43"/>
      <c r="F468" s="43"/>
    </row>
    <row r="469">
      <c r="A469" s="43"/>
      <c r="B469" s="43"/>
      <c r="C469" s="43"/>
      <c r="D469" s="43"/>
      <c r="E469" s="43"/>
      <c r="F469" s="43"/>
    </row>
    <row r="470">
      <c r="A470" s="43"/>
      <c r="B470" s="43"/>
      <c r="C470" s="43"/>
      <c r="D470" s="43"/>
      <c r="E470" s="43"/>
      <c r="F470" s="43"/>
    </row>
    <row r="471">
      <c r="A471" s="43"/>
      <c r="B471" s="43"/>
      <c r="C471" s="43"/>
      <c r="D471" s="43"/>
      <c r="E471" s="43"/>
      <c r="F471" s="43"/>
    </row>
    <row r="472">
      <c r="A472" s="43"/>
      <c r="B472" s="43"/>
      <c r="C472" s="43"/>
      <c r="D472" s="43"/>
      <c r="E472" s="43"/>
      <c r="F472" s="43"/>
    </row>
    <row r="473">
      <c r="A473" s="43"/>
      <c r="B473" s="43"/>
      <c r="C473" s="43"/>
      <c r="D473" s="43"/>
      <c r="E473" s="43"/>
      <c r="F473" s="43"/>
    </row>
    <row r="474">
      <c r="A474" s="43"/>
      <c r="B474" s="43"/>
      <c r="C474" s="43"/>
      <c r="D474" s="43"/>
      <c r="E474" s="43"/>
      <c r="F474" s="43"/>
    </row>
    <row r="475">
      <c r="A475" s="43"/>
      <c r="B475" s="43"/>
      <c r="C475" s="43"/>
      <c r="D475" s="43"/>
      <c r="E475" s="43"/>
      <c r="F475" s="43"/>
    </row>
    <row r="476">
      <c r="A476" s="43"/>
      <c r="B476" s="43"/>
      <c r="C476" s="43"/>
      <c r="D476" s="43"/>
      <c r="E476" s="43"/>
      <c r="F476" s="43"/>
    </row>
    <row r="477">
      <c r="A477" s="43"/>
      <c r="B477" s="43"/>
      <c r="C477" s="43"/>
      <c r="D477" s="43"/>
      <c r="E477" s="43"/>
      <c r="F477" s="43"/>
    </row>
    <row r="478">
      <c r="A478" s="43"/>
      <c r="B478" s="43"/>
      <c r="C478" s="43"/>
      <c r="D478" s="43"/>
      <c r="E478" s="43"/>
      <c r="F478" s="43"/>
    </row>
    <row r="479">
      <c r="A479" s="43"/>
      <c r="B479" s="43"/>
      <c r="C479" s="43"/>
      <c r="D479" s="43"/>
      <c r="E479" s="43"/>
      <c r="F479" s="43"/>
    </row>
    <row r="480">
      <c r="A480" s="43"/>
      <c r="B480" s="43"/>
      <c r="C480" s="43"/>
      <c r="D480" s="43"/>
      <c r="E480" s="43"/>
      <c r="F480" s="43"/>
    </row>
    <row r="481">
      <c r="A481" s="43"/>
      <c r="B481" s="43"/>
      <c r="C481" s="43"/>
      <c r="D481" s="43"/>
      <c r="E481" s="43"/>
      <c r="F481" s="43"/>
    </row>
    <row r="482">
      <c r="A482" s="43"/>
      <c r="B482" s="43"/>
      <c r="C482" s="43"/>
      <c r="D482" s="43"/>
      <c r="E482" s="43"/>
      <c r="F482" s="43"/>
    </row>
    <row r="483">
      <c r="A483" s="43"/>
      <c r="B483" s="43"/>
      <c r="C483" s="43"/>
      <c r="D483" s="43"/>
      <c r="E483" s="43"/>
      <c r="F483" s="43"/>
    </row>
    <row r="484">
      <c r="A484" s="43"/>
      <c r="B484" s="43"/>
      <c r="C484" s="43"/>
      <c r="D484" s="43"/>
      <c r="E484" s="43"/>
      <c r="F484" s="43"/>
    </row>
    <row r="485">
      <c r="A485" s="43"/>
      <c r="B485" s="43"/>
      <c r="C485" s="43"/>
      <c r="D485" s="43"/>
      <c r="E485" s="43"/>
      <c r="F485" s="43"/>
    </row>
    <row r="486">
      <c r="A486" s="43"/>
      <c r="B486" s="43"/>
      <c r="C486" s="43"/>
      <c r="D486" s="43"/>
      <c r="E486" s="43"/>
      <c r="F486" s="43"/>
    </row>
    <row r="487">
      <c r="A487" s="43"/>
      <c r="B487" s="43"/>
      <c r="C487" s="43"/>
      <c r="D487" s="43"/>
      <c r="E487" s="43"/>
      <c r="F487" s="43"/>
    </row>
    <row r="488">
      <c r="A488" s="43"/>
      <c r="B488" s="43"/>
      <c r="C488" s="43"/>
      <c r="D488" s="43"/>
      <c r="E488" s="43"/>
      <c r="F488" s="43"/>
    </row>
    <row r="489">
      <c r="A489" s="43"/>
      <c r="B489" s="43"/>
      <c r="C489" s="43"/>
      <c r="D489" s="43"/>
      <c r="E489" s="43"/>
      <c r="F489" s="43"/>
    </row>
    <row r="490">
      <c r="A490" s="43"/>
      <c r="B490" s="43"/>
      <c r="C490" s="43"/>
      <c r="D490" s="43"/>
      <c r="E490" s="43"/>
      <c r="F490" s="43"/>
    </row>
    <row r="491">
      <c r="A491" s="43"/>
      <c r="B491" s="43"/>
      <c r="C491" s="43"/>
      <c r="D491" s="43"/>
      <c r="E491" s="43"/>
      <c r="F491" s="43"/>
    </row>
    <row r="492">
      <c r="A492" s="43"/>
      <c r="B492" s="43"/>
      <c r="C492" s="43"/>
      <c r="D492" s="43"/>
      <c r="E492" s="43"/>
      <c r="F492" s="43"/>
    </row>
    <row r="493">
      <c r="A493" s="43"/>
      <c r="B493" s="43"/>
      <c r="C493" s="43"/>
      <c r="D493" s="43"/>
      <c r="E493" s="43"/>
      <c r="F493" s="43"/>
    </row>
    <row r="494">
      <c r="A494" s="43"/>
      <c r="B494" s="43"/>
      <c r="C494" s="43"/>
      <c r="D494" s="43"/>
      <c r="E494" s="43"/>
      <c r="F494" s="43"/>
    </row>
    <row r="495">
      <c r="A495" s="43"/>
      <c r="B495" s="43"/>
      <c r="C495" s="43"/>
      <c r="D495" s="43"/>
      <c r="E495" s="43"/>
      <c r="F495" s="43"/>
    </row>
    <row r="496">
      <c r="A496" s="43"/>
      <c r="B496" s="43"/>
      <c r="C496" s="43"/>
      <c r="D496" s="43"/>
      <c r="E496" s="43"/>
      <c r="F496" s="43"/>
    </row>
    <row r="497">
      <c r="A497" s="43"/>
      <c r="B497" s="43"/>
      <c r="C497" s="43"/>
      <c r="D497" s="43"/>
      <c r="E497" s="43"/>
      <c r="F497" s="43"/>
    </row>
    <row r="498">
      <c r="A498" s="43"/>
      <c r="B498" s="43"/>
      <c r="C498" s="43"/>
      <c r="D498" s="43"/>
      <c r="E498" s="43"/>
      <c r="F498" s="43"/>
    </row>
    <row r="499">
      <c r="A499" s="43"/>
      <c r="B499" s="43"/>
      <c r="C499" s="43"/>
      <c r="D499" s="43"/>
      <c r="E499" s="43"/>
      <c r="F499" s="43"/>
    </row>
    <row r="500">
      <c r="A500" s="43"/>
      <c r="B500" s="43"/>
      <c r="C500" s="43"/>
      <c r="D500" s="43"/>
      <c r="E500" s="43"/>
      <c r="F500" s="43"/>
    </row>
    <row r="501">
      <c r="A501" s="43"/>
      <c r="B501" s="43"/>
      <c r="C501" s="43"/>
      <c r="D501" s="43"/>
      <c r="E501" s="43"/>
      <c r="F501" s="43"/>
    </row>
    <row r="502">
      <c r="A502" s="43"/>
      <c r="B502" s="43"/>
      <c r="C502" s="43"/>
      <c r="D502" s="43"/>
      <c r="E502" s="43"/>
      <c r="F502" s="43"/>
    </row>
    <row r="503">
      <c r="A503" s="43"/>
      <c r="B503" s="43"/>
      <c r="C503" s="43"/>
      <c r="D503" s="43"/>
      <c r="E503" s="43"/>
      <c r="F503" s="43"/>
    </row>
    <row r="504">
      <c r="A504" s="43"/>
      <c r="B504" s="43"/>
      <c r="C504" s="43"/>
      <c r="D504" s="43"/>
      <c r="E504" s="43"/>
      <c r="F504" s="43"/>
    </row>
    <row r="505">
      <c r="A505" s="43"/>
      <c r="B505" s="43"/>
      <c r="C505" s="43"/>
      <c r="D505" s="43"/>
      <c r="E505" s="43"/>
      <c r="F505" s="43"/>
    </row>
    <row r="506">
      <c r="A506" s="43"/>
      <c r="B506" s="43"/>
      <c r="C506" s="43"/>
      <c r="D506" s="43"/>
      <c r="E506" s="43"/>
      <c r="F506" s="43"/>
    </row>
    <row r="507">
      <c r="A507" s="43"/>
      <c r="B507" s="43"/>
      <c r="C507" s="43"/>
      <c r="D507" s="43"/>
      <c r="E507" s="43"/>
      <c r="F507" s="43"/>
    </row>
    <row r="508">
      <c r="A508" s="43"/>
      <c r="B508" s="43"/>
      <c r="C508" s="43"/>
      <c r="D508" s="43"/>
      <c r="E508" s="43"/>
      <c r="F508" s="43"/>
    </row>
    <row r="509">
      <c r="A509" s="43"/>
      <c r="B509" s="43"/>
      <c r="C509" s="43"/>
      <c r="D509" s="43"/>
      <c r="E509" s="43"/>
      <c r="F509" s="43"/>
    </row>
    <row r="510">
      <c r="A510" s="43"/>
      <c r="B510" s="43"/>
      <c r="C510" s="43"/>
      <c r="D510" s="43"/>
      <c r="E510" s="43"/>
      <c r="F510" s="43"/>
    </row>
    <row r="511">
      <c r="A511" s="43"/>
      <c r="B511" s="43"/>
      <c r="C511" s="43"/>
      <c r="D511" s="43"/>
      <c r="E511" s="43"/>
      <c r="F511" s="43"/>
    </row>
    <row r="512">
      <c r="A512" s="43"/>
      <c r="B512" s="43"/>
      <c r="C512" s="43"/>
      <c r="D512" s="43"/>
      <c r="E512" s="43"/>
      <c r="F512" s="43"/>
    </row>
    <row r="513">
      <c r="A513" s="43"/>
      <c r="B513" s="43"/>
      <c r="C513" s="43"/>
      <c r="D513" s="43"/>
      <c r="E513" s="43"/>
      <c r="F513" s="43"/>
    </row>
    <row r="514">
      <c r="A514" s="43"/>
      <c r="B514" s="43"/>
      <c r="C514" s="43"/>
      <c r="D514" s="43"/>
      <c r="E514" s="43"/>
      <c r="F514" s="43"/>
    </row>
    <row r="515">
      <c r="A515" s="43"/>
      <c r="B515" s="43"/>
      <c r="C515" s="43"/>
      <c r="D515" s="43"/>
      <c r="E515" s="43"/>
      <c r="F515" s="43"/>
    </row>
    <row r="516">
      <c r="A516" s="43"/>
      <c r="B516" s="43"/>
      <c r="C516" s="43"/>
      <c r="D516" s="43"/>
      <c r="E516" s="43"/>
      <c r="F516" s="43"/>
    </row>
    <row r="517">
      <c r="A517" s="43"/>
      <c r="B517" s="43"/>
      <c r="C517" s="43"/>
      <c r="D517" s="43"/>
      <c r="E517" s="43"/>
      <c r="F517" s="43"/>
    </row>
    <row r="518">
      <c r="A518" s="43"/>
      <c r="B518" s="43"/>
      <c r="C518" s="43"/>
      <c r="D518" s="43"/>
      <c r="E518" s="43"/>
      <c r="F518" s="43"/>
    </row>
    <row r="519">
      <c r="A519" s="43"/>
      <c r="B519" s="43"/>
      <c r="C519" s="43"/>
      <c r="D519" s="43"/>
      <c r="E519" s="43"/>
      <c r="F519" s="43"/>
    </row>
    <row r="520">
      <c r="A520" s="43"/>
      <c r="B520" s="43"/>
      <c r="C520" s="43"/>
      <c r="D520" s="43"/>
      <c r="E520" s="43"/>
      <c r="F520" s="43"/>
    </row>
    <row r="521">
      <c r="A521" s="43"/>
      <c r="B521" s="43"/>
      <c r="C521" s="43"/>
      <c r="D521" s="43"/>
      <c r="E521" s="43"/>
      <c r="F521" s="43"/>
    </row>
    <row r="522">
      <c r="A522" s="43"/>
      <c r="B522" s="43"/>
      <c r="C522" s="43"/>
      <c r="D522" s="43"/>
      <c r="E522" s="43"/>
      <c r="F522" s="43"/>
    </row>
    <row r="523">
      <c r="A523" s="43"/>
      <c r="B523" s="43"/>
      <c r="C523" s="43"/>
      <c r="D523" s="43"/>
      <c r="E523" s="43"/>
      <c r="F523" s="43"/>
    </row>
    <row r="524">
      <c r="A524" s="43"/>
      <c r="B524" s="43"/>
      <c r="C524" s="43"/>
      <c r="D524" s="43"/>
      <c r="E524" s="43"/>
      <c r="F524" s="43"/>
    </row>
    <row r="525">
      <c r="A525" s="43"/>
      <c r="B525" s="43"/>
      <c r="C525" s="43"/>
      <c r="D525" s="43"/>
      <c r="E525" s="43"/>
      <c r="F525" s="43"/>
    </row>
    <row r="526">
      <c r="A526" s="43"/>
      <c r="B526" s="43"/>
      <c r="C526" s="43"/>
      <c r="D526" s="43"/>
      <c r="E526" s="43"/>
      <c r="F526" s="43"/>
    </row>
    <row r="527">
      <c r="A527" s="43"/>
      <c r="B527" s="43"/>
      <c r="C527" s="43"/>
      <c r="D527" s="43"/>
      <c r="E527" s="43"/>
      <c r="F527" s="43"/>
    </row>
    <row r="528">
      <c r="A528" s="43"/>
      <c r="B528" s="43"/>
      <c r="C528" s="43"/>
      <c r="D528" s="43"/>
      <c r="E528" s="43"/>
      <c r="F528" s="43"/>
    </row>
    <row r="529">
      <c r="A529" s="43"/>
      <c r="B529" s="43"/>
      <c r="C529" s="43"/>
      <c r="D529" s="43"/>
      <c r="E529" s="43"/>
      <c r="F529" s="43"/>
    </row>
    <row r="530">
      <c r="A530" s="43"/>
      <c r="B530" s="43"/>
      <c r="C530" s="43"/>
      <c r="D530" s="43"/>
      <c r="E530" s="43"/>
      <c r="F530" s="43"/>
    </row>
    <row r="531">
      <c r="A531" s="43"/>
      <c r="B531" s="43"/>
      <c r="C531" s="43"/>
      <c r="D531" s="43"/>
      <c r="E531" s="43"/>
      <c r="F531" s="43"/>
    </row>
    <row r="532">
      <c r="A532" s="43"/>
      <c r="B532" s="43"/>
      <c r="C532" s="43"/>
      <c r="D532" s="43"/>
      <c r="E532" s="43"/>
      <c r="F532" s="43"/>
    </row>
    <row r="533">
      <c r="A533" s="43"/>
      <c r="B533" s="43"/>
      <c r="C533" s="43"/>
      <c r="D533" s="43"/>
      <c r="E533" s="43"/>
      <c r="F533" s="43"/>
    </row>
    <row r="534">
      <c r="A534" s="43"/>
      <c r="B534" s="43"/>
      <c r="C534" s="43"/>
      <c r="D534" s="43"/>
      <c r="E534" s="43"/>
      <c r="F534" s="43"/>
    </row>
    <row r="535">
      <c r="A535" s="43"/>
      <c r="B535" s="43"/>
      <c r="C535" s="43"/>
      <c r="D535" s="43"/>
      <c r="E535" s="43"/>
      <c r="F535" s="43"/>
    </row>
    <row r="536">
      <c r="A536" s="43"/>
      <c r="B536" s="43"/>
      <c r="C536" s="43"/>
      <c r="D536" s="43"/>
      <c r="E536" s="43"/>
      <c r="F536" s="43"/>
    </row>
    <row r="537">
      <c r="A537" s="43"/>
      <c r="B537" s="43"/>
      <c r="C537" s="43"/>
      <c r="D537" s="43"/>
      <c r="E537" s="43"/>
      <c r="F537" s="43"/>
    </row>
    <row r="538">
      <c r="A538" s="43"/>
      <c r="B538" s="43"/>
      <c r="C538" s="43"/>
      <c r="D538" s="43"/>
      <c r="E538" s="43"/>
      <c r="F538" s="43"/>
    </row>
    <row r="539">
      <c r="A539" s="43"/>
      <c r="B539" s="43"/>
      <c r="C539" s="43"/>
      <c r="D539" s="43"/>
      <c r="E539" s="43"/>
      <c r="F539" s="43"/>
    </row>
    <row r="540">
      <c r="A540" s="43"/>
      <c r="B540" s="43"/>
      <c r="C540" s="43"/>
      <c r="D540" s="43"/>
      <c r="E540" s="43"/>
      <c r="F540" s="43"/>
    </row>
    <row r="541">
      <c r="A541" s="43"/>
      <c r="B541" s="43"/>
      <c r="C541" s="43"/>
      <c r="D541" s="43"/>
      <c r="E541" s="43"/>
      <c r="F541" s="43"/>
    </row>
    <row r="542">
      <c r="A542" s="43"/>
      <c r="B542" s="43"/>
      <c r="C542" s="43"/>
      <c r="D542" s="43"/>
      <c r="E542" s="43"/>
      <c r="F542" s="43"/>
    </row>
    <row r="543">
      <c r="A543" s="43"/>
      <c r="B543" s="43"/>
      <c r="C543" s="43"/>
      <c r="D543" s="43"/>
      <c r="E543" s="43"/>
      <c r="F543" s="43"/>
    </row>
    <row r="544">
      <c r="A544" s="43"/>
      <c r="B544" s="43"/>
      <c r="C544" s="43"/>
      <c r="D544" s="43"/>
      <c r="E544" s="43"/>
      <c r="F544" s="43"/>
    </row>
    <row r="545">
      <c r="A545" s="43"/>
      <c r="B545" s="43"/>
      <c r="C545" s="43"/>
      <c r="D545" s="43"/>
      <c r="E545" s="43"/>
      <c r="F545" s="43"/>
    </row>
    <row r="546">
      <c r="A546" s="43"/>
      <c r="B546" s="43"/>
      <c r="C546" s="43"/>
      <c r="D546" s="43"/>
      <c r="E546" s="43"/>
      <c r="F546" s="43"/>
    </row>
    <row r="547">
      <c r="A547" s="43"/>
      <c r="B547" s="43"/>
      <c r="C547" s="43"/>
      <c r="D547" s="43"/>
      <c r="E547" s="43"/>
      <c r="F547" s="43"/>
    </row>
    <row r="548">
      <c r="A548" s="43"/>
      <c r="B548" s="43"/>
      <c r="C548" s="43"/>
      <c r="D548" s="43"/>
      <c r="E548" s="43"/>
      <c r="F548" s="43"/>
    </row>
    <row r="549">
      <c r="A549" s="43"/>
      <c r="B549" s="43"/>
      <c r="C549" s="43"/>
      <c r="D549" s="43"/>
      <c r="E549" s="43"/>
      <c r="F549" s="43"/>
    </row>
    <row r="550">
      <c r="A550" s="43"/>
      <c r="B550" s="43"/>
      <c r="C550" s="43"/>
      <c r="D550" s="43"/>
      <c r="E550" s="43"/>
      <c r="F550" s="43"/>
    </row>
    <row r="551">
      <c r="A551" s="43"/>
      <c r="B551" s="43"/>
      <c r="C551" s="43"/>
      <c r="D551" s="43"/>
      <c r="E551" s="43"/>
      <c r="F551" s="43"/>
    </row>
    <row r="552">
      <c r="A552" s="43"/>
      <c r="B552" s="43"/>
      <c r="C552" s="43"/>
      <c r="D552" s="43"/>
      <c r="E552" s="43"/>
      <c r="F552" s="43"/>
    </row>
    <row r="553">
      <c r="A553" s="43"/>
      <c r="B553" s="43"/>
      <c r="C553" s="43"/>
      <c r="D553" s="43"/>
      <c r="E553" s="43"/>
      <c r="F553" s="43"/>
    </row>
    <row r="554">
      <c r="A554" s="43"/>
      <c r="B554" s="43"/>
      <c r="C554" s="43"/>
      <c r="D554" s="43"/>
      <c r="E554" s="43"/>
      <c r="F554" s="43"/>
    </row>
    <row r="555">
      <c r="A555" s="43"/>
      <c r="B555" s="43"/>
      <c r="C555" s="43"/>
      <c r="D555" s="43"/>
      <c r="E555" s="43"/>
      <c r="F555" s="43"/>
    </row>
    <row r="556">
      <c r="A556" s="43"/>
      <c r="B556" s="43"/>
      <c r="C556" s="43"/>
      <c r="D556" s="43"/>
      <c r="E556" s="43"/>
      <c r="F556" s="43"/>
    </row>
    <row r="557">
      <c r="A557" s="43"/>
      <c r="B557" s="43"/>
      <c r="C557" s="43"/>
      <c r="D557" s="43"/>
      <c r="E557" s="43"/>
      <c r="F557" s="43"/>
    </row>
    <row r="558">
      <c r="A558" s="43"/>
      <c r="B558" s="43"/>
      <c r="C558" s="43"/>
      <c r="D558" s="43"/>
      <c r="E558" s="43"/>
      <c r="F558" s="43"/>
    </row>
    <row r="559">
      <c r="A559" s="43"/>
      <c r="B559" s="43"/>
      <c r="C559" s="43"/>
      <c r="D559" s="43"/>
      <c r="E559" s="43"/>
      <c r="F559" s="43"/>
    </row>
    <row r="560">
      <c r="A560" s="43"/>
      <c r="B560" s="43"/>
      <c r="C560" s="43"/>
      <c r="D560" s="43"/>
      <c r="E560" s="43"/>
      <c r="F560" s="43"/>
    </row>
    <row r="561">
      <c r="A561" s="43"/>
      <c r="B561" s="43"/>
      <c r="C561" s="43"/>
      <c r="D561" s="43"/>
      <c r="E561" s="43"/>
      <c r="F561" s="43"/>
    </row>
    <row r="562">
      <c r="A562" s="43"/>
      <c r="B562" s="43"/>
      <c r="C562" s="43"/>
      <c r="D562" s="43"/>
      <c r="E562" s="43"/>
      <c r="F562" s="43"/>
    </row>
    <row r="563">
      <c r="A563" s="43"/>
      <c r="B563" s="43"/>
      <c r="C563" s="43"/>
      <c r="D563" s="43"/>
      <c r="E563" s="43"/>
      <c r="F563" s="43"/>
    </row>
    <row r="564">
      <c r="A564" s="43"/>
      <c r="B564" s="43"/>
      <c r="C564" s="43"/>
      <c r="D564" s="43"/>
      <c r="E564" s="43"/>
      <c r="F564" s="43"/>
    </row>
    <row r="565">
      <c r="A565" s="43"/>
      <c r="B565" s="43"/>
      <c r="C565" s="43"/>
      <c r="D565" s="43"/>
      <c r="E565" s="43"/>
      <c r="F565" s="43"/>
    </row>
    <row r="566">
      <c r="A566" s="43"/>
      <c r="B566" s="43"/>
      <c r="C566" s="43"/>
      <c r="D566" s="43"/>
      <c r="E566" s="43"/>
      <c r="F566" s="43"/>
    </row>
    <row r="567">
      <c r="A567" s="43"/>
      <c r="B567" s="43"/>
      <c r="C567" s="43"/>
      <c r="D567" s="43"/>
      <c r="E567" s="43"/>
      <c r="F567" s="43"/>
    </row>
    <row r="568">
      <c r="A568" s="43"/>
      <c r="B568" s="43"/>
      <c r="C568" s="43"/>
      <c r="D568" s="43"/>
      <c r="E568" s="43"/>
      <c r="F568" s="43"/>
    </row>
    <row r="569">
      <c r="A569" s="43"/>
      <c r="B569" s="43"/>
      <c r="C569" s="43"/>
      <c r="D569" s="43"/>
      <c r="E569" s="43"/>
      <c r="F569" s="43"/>
    </row>
    <row r="570">
      <c r="A570" s="43"/>
      <c r="B570" s="43"/>
      <c r="C570" s="43"/>
      <c r="D570" s="43"/>
      <c r="E570" s="43"/>
      <c r="F570" s="43"/>
    </row>
    <row r="571">
      <c r="A571" s="43"/>
      <c r="B571" s="43"/>
      <c r="C571" s="43"/>
      <c r="D571" s="43"/>
      <c r="E571" s="43"/>
      <c r="F571" s="43"/>
    </row>
    <row r="572">
      <c r="A572" s="43"/>
      <c r="B572" s="43"/>
      <c r="C572" s="43"/>
      <c r="D572" s="43"/>
      <c r="E572" s="43"/>
      <c r="F572" s="43"/>
    </row>
    <row r="573">
      <c r="A573" s="43"/>
      <c r="B573" s="43"/>
      <c r="C573" s="43"/>
      <c r="D573" s="43"/>
      <c r="E573" s="43"/>
      <c r="F573" s="43"/>
    </row>
    <row r="574">
      <c r="A574" s="43"/>
      <c r="B574" s="43"/>
      <c r="C574" s="43"/>
      <c r="D574" s="43"/>
      <c r="E574" s="43"/>
      <c r="F574" s="43"/>
    </row>
    <row r="575">
      <c r="A575" s="43"/>
      <c r="B575" s="43"/>
      <c r="C575" s="43"/>
      <c r="D575" s="43"/>
      <c r="E575" s="43"/>
      <c r="F575" s="43"/>
    </row>
    <row r="576">
      <c r="A576" s="43"/>
      <c r="B576" s="43"/>
      <c r="C576" s="43"/>
      <c r="D576" s="43"/>
      <c r="E576" s="43"/>
      <c r="F576" s="43"/>
    </row>
    <row r="577">
      <c r="A577" s="43"/>
      <c r="B577" s="43"/>
      <c r="C577" s="43"/>
      <c r="D577" s="43"/>
      <c r="E577" s="43"/>
      <c r="F577" s="43"/>
    </row>
    <row r="578">
      <c r="A578" s="43"/>
      <c r="B578" s="43"/>
      <c r="C578" s="43"/>
      <c r="D578" s="43"/>
      <c r="E578" s="43"/>
      <c r="F578" s="43"/>
    </row>
    <row r="579">
      <c r="A579" s="43"/>
      <c r="B579" s="43"/>
      <c r="C579" s="43"/>
      <c r="D579" s="43"/>
      <c r="E579" s="43"/>
      <c r="F579" s="43"/>
    </row>
    <row r="580">
      <c r="A580" s="43"/>
      <c r="B580" s="43"/>
      <c r="C580" s="43"/>
      <c r="D580" s="43"/>
      <c r="E580" s="43"/>
      <c r="F580" s="43"/>
    </row>
    <row r="581">
      <c r="A581" s="43"/>
      <c r="B581" s="43"/>
      <c r="C581" s="43"/>
      <c r="D581" s="43"/>
      <c r="E581" s="43"/>
      <c r="F581" s="43"/>
    </row>
    <row r="582">
      <c r="A582" s="43"/>
      <c r="B582" s="43"/>
      <c r="C582" s="43"/>
      <c r="D582" s="43"/>
      <c r="E582" s="43"/>
      <c r="F582" s="43"/>
    </row>
    <row r="583">
      <c r="A583" s="43"/>
      <c r="B583" s="43"/>
      <c r="C583" s="43"/>
      <c r="D583" s="43"/>
      <c r="E583" s="43"/>
      <c r="F583" s="43"/>
    </row>
    <row r="584">
      <c r="A584" s="43"/>
      <c r="B584" s="43"/>
      <c r="C584" s="43"/>
      <c r="D584" s="43"/>
      <c r="E584" s="43"/>
      <c r="F584" s="43"/>
    </row>
    <row r="585">
      <c r="A585" s="43"/>
      <c r="B585" s="43"/>
      <c r="C585" s="43"/>
      <c r="D585" s="43"/>
      <c r="E585" s="43"/>
      <c r="F585" s="43"/>
    </row>
    <row r="586">
      <c r="A586" s="43"/>
      <c r="B586" s="43"/>
      <c r="C586" s="43"/>
      <c r="D586" s="43"/>
      <c r="E586" s="43"/>
      <c r="F586" s="43"/>
    </row>
    <row r="587">
      <c r="A587" s="43"/>
      <c r="B587" s="43"/>
      <c r="C587" s="43"/>
      <c r="D587" s="43"/>
      <c r="E587" s="43"/>
      <c r="F587" s="43"/>
    </row>
    <row r="588">
      <c r="A588" s="43"/>
      <c r="B588" s="43"/>
      <c r="C588" s="43"/>
      <c r="D588" s="43"/>
      <c r="E588" s="43"/>
      <c r="F588" s="43"/>
    </row>
    <row r="589">
      <c r="A589" s="43"/>
      <c r="B589" s="43"/>
      <c r="C589" s="43"/>
      <c r="D589" s="43"/>
      <c r="E589" s="43"/>
      <c r="F589" s="43"/>
    </row>
    <row r="590">
      <c r="A590" s="43"/>
      <c r="B590" s="43"/>
      <c r="C590" s="43"/>
      <c r="D590" s="43"/>
      <c r="E590" s="43"/>
      <c r="F590" s="43"/>
    </row>
    <row r="591">
      <c r="A591" s="43"/>
      <c r="B591" s="43"/>
      <c r="C591" s="43"/>
      <c r="D591" s="43"/>
      <c r="E591" s="43"/>
      <c r="F591" s="43"/>
    </row>
    <row r="592">
      <c r="A592" s="43"/>
      <c r="B592" s="43"/>
      <c r="C592" s="43"/>
      <c r="D592" s="43"/>
      <c r="E592" s="43"/>
      <c r="F592" s="43"/>
    </row>
    <row r="593">
      <c r="A593" s="43"/>
      <c r="B593" s="43"/>
      <c r="C593" s="43"/>
      <c r="D593" s="43"/>
      <c r="E593" s="43"/>
      <c r="F593" s="43"/>
    </row>
    <row r="594">
      <c r="A594" s="43"/>
      <c r="B594" s="43"/>
      <c r="C594" s="43"/>
      <c r="D594" s="43"/>
      <c r="E594" s="43"/>
      <c r="F594" s="43"/>
    </row>
    <row r="595">
      <c r="A595" s="43"/>
      <c r="B595" s="43"/>
      <c r="C595" s="43"/>
      <c r="D595" s="43"/>
      <c r="E595" s="43"/>
      <c r="F595" s="43"/>
    </row>
    <row r="596">
      <c r="A596" s="43"/>
      <c r="B596" s="43"/>
      <c r="C596" s="43"/>
      <c r="D596" s="43"/>
      <c r="E596" s="43"/>
      <c r="F596" s="43"/>
    </row>
    <row r="597">
      <c r="A597" s="43"/>
      <c r="B597" s="43"/>
      <c r="C597" s="43"/>
      <c r="D597" s="43"/>
      <c r="E597" s="43"/>
      <c r="F597" s="43"/>
    </row>
    <row r="598">
      <c r="A598" s="43"/>
      <c r="B598" s="43"/>
      <c r="C598" s="43"/>
      <c r="D598" s="43"/>
      <c r="E598" s="43"/>
      <c r="F598" s="43"/>
    </row>
    <row r="599">
      <c r="A599" s="43"/>
      <c r="B599" s="43"/>
      <c r="C599" s="43"/>
      <c r="D599" s="43"/>
      <c r="E599" s="43"/>
      <c r="F599" s="43"/>
    </row>
    <row r="600">
      <c r="A600" s="43"/>
      <c r="B600" s="43"/>
      <c r="C600" s="43"/>
      <c r="D600" s="43"/>
      <c r="E600" s="43"/>
      <c r="F600" s="43"/>
    </row>
    <row r="601">
      <c r="A601" s="43"/>
      <c r="B601" s="43"/>
      <c r="C601" s="43"/>
      <c r="D601" s="43"/>
      <c r="E601" s="43"/>
      <c r="F601" s="43"/>
    </row>
    <row r="602">
      <c r="A602" s="43"/>
      <c r="B602" s="43"/>
      <c r="C602" s="43"/>
      <c r="D602" s="43"/>
      <c r="E602" s="43"/>
      <c r="F602" s="43"/>
    </row>
    <row r="603">
      <c r="A603" s="43"/>
      <c r="B603" s="43"/>
      <c r="C603" s="43"/>
      <c r="D603" s="43"/>
      <c r="E603" s="43"/>
      <c r="F603" s="43"/>
    </row>
    <row r="604">
      <c r="A604" s="43"/>
      <c r="B604" s="43"/>
      <c r="C604" s="43"/>
      <c r="D604" s="43"/>
      <c r="E604" s="43"/>
      <c r="F604" s="43"/>
    </row>
    <row r="605">
      <c r="A605" s="43"/>
      <c r="B605" s="43"/>
      <c r="C605" s="43"/>
      <c r="D605" s="43"/>
      <c r="E605" s="43"/>
      <c r="F605" s="43"/>
    </row>
    <row r="606">
      <c r="A606" s="43"/>
      <c r="B606" s="43"/>
      <c r="C606" s="43"/>
      <c r="D606" s="43"/>
      <c r="E606" s="43"/>
      <c r="F606" s="43"/>
    </row>
    <row r="607">
      <c r="A607" s="43"/>
      <c r="B607" s="43"/>
      <c r="C607" s="43"/>
      <c r="D607" s="43"/>
      <c r="E607" s="43"/>
      <c r="F607" s="43"/>
    </row>
    <row r="608">
      <c r="A608" s="43"/>
      <c r="B608" s="43"/>
      <c r="C608" s="43"/>
      <c r="D608" s="43"/>
      <c r="E608" s="43"/>
      <c r="F608" s="43"/>
    </row>
    <row r="609">
      <c r="A609" s="43"/>
      <c r="B609" s="43"/>
      <c r="C609" s="43"/>
      <c r="D609" s="43"/>
      <c r="E609" s="43"/>
      <c r="F609" s="43"/>
    </row>
    <row r="610">
      <c r="A610" s="43"/>
      <c r="B610" s="43"/>
      <c r="C610" s="43"/>
      <c r="D610" s="43"/>
      <c r="E610" s="43"/>
      <c r="F610" s="43"/>
    </row>
    <row r="611">
      <c r="A611" s="43"/>
      <c r="B611" s="43"/>
      <c r="C611" s="43"/>
      <c r="D611" s="43"/>
      <c r="E611" s="43"/>
      <c r="F611" s="43"/>
    </row>
    <row r="612">
      <c r="A612" s="43"/>
      <c r="B612" s="43"/>
      <c r="C612" s="43"/>
      <c r="D612" s="43"/>
      <c r="E612" s="43"/>
      <c r="F612" s="43"/>
    </row>
    <row r="613">
      <c r="A613" s="43"/>
      <c r="B613" s="43"/>
      <c r="C613" s="43"/>
      <c r="D613" s="43"/>
      <c r="E613" s="43"/>
      <c r="F613" s="43"/>
    </row>
    <row r="614">
      <c r="A614" s="43"/>
      <c r="B614" s="43"/>
      <c r="C614" s="43"/>
      <c r="D614" s="43"/>
      <c r="E614" s="43"/>
      <c r="F614" s="43"/>
    </row>
    <row r="615">
      <c r="A615" s="43"/>
      <c r="B615" s="43"/>
      <c r="C615" s="43"/>
      <c r="D615" s="43"/>
      <c r="E615" s="43"/>
      <c r="F615" s="43"/>
    </row>
    <row r="616">
      <c r="A616" s="43"/>
      <c r="B616" s="43"/>
      <c r="C616" s="43"/>
      <c r="D616" s="43"/>
      <c r="E616" s="43"/>
      <c r="F616" s="43"/>
    </row>
    <row r="617">
      <c r="A617" s="43"/>
      <c r="B617" s="43"/>
      <c r="C617" s="43"/>
      <c r="D617" s="43"/>
      <c r="E617" s="43"/>
      <c r="F617" s="43"/>
    </row>
    <row r="618">
      <c r="A618" s="43"/>
      <c r="B618" s="43"/>
      <c r="C618" s="43"/>
      <c r="D618" s="43"/>
      <c r="E618" s="43"/>
      <c r="F618" s="43"/>
    </row>
    <row r="619">
      <c r="A619" s="43"/>
      <c r="B619" s="43"/>
      <c r="C619" s="43"/>
      <c r="D619" s="43"/>
      <c r="E619" s="43"/>
      <c r="F619" s="43"/>
    </row>
    <row r="620">
      <c r="A620" s="43"/>
      <c r="B620" s="43"/>
      <c r="C620" s="43"/>
      <c r="D620" s="43"/>
      <c r="E620" s="43"/>
      <c r="F620" s="43"/>
    </row>
    <row r="621">
      <c r="A621" s="43"/>
      <c r="B621" s="43"/>
      <c r="C621" s="43"/>
      <c r="D621" s="43"/>
      <c r="E621" s="43"/>
      <c r="F621" s="43"/>
    </row>
    <row r="622">
      <c r="A622" s="43"/>
      <c r="B622" s="43"/>
      <c r="C622" s="43"/>
      <c r="D622" s="43"/>
      <c r="E622" s="43"/>
      <c r="F622" s="43"/>
    </row>
    <row r="623">
      <c r="A623" s="43"/>
      <c r="B623" s="43"/>
      <c r="C623" s="43"/>
      <c r="D623" s="43"/>
      <c r="E623" s="43"/>
      <c r="F623" s="43"/>
    </row>
    <row r="624">
      <c r="A624" s="43"/>
      <c r="B624" s="43"/>
      <c r="C624" s="43"/>
      <c r="D624" s="43"/>
      <c r="E624" s="43"/>
      <c r="F624" s="43"/>
    </row>
    <row r="625">
      <c r="A625" s="43"/>
      <c r="B625" s="43"/>
      <c r="C625" s="43"/>
      <c r="D625" s="43"/>
      <c r="E625" s="43"/>
      <c r="F625" s="43"/>
    </row>
    <row r="626">
      <c r="A626" s="43"/>
      <c r="B626" s="43"/>
      <c r="C626" s="43"/>
      <c r="D626" s="43"/>
      <c r="E626" s="43"/>
      <c r="F626" s="43"/>
    </row>
    <row r="627">
      <c r="A627" s="43"/>
      <c r="B627" s="43"/>
      <c r="C627" s="43"/>
      <c r="D627" s="43"/>
      <c r="E627" s="43"/>
      <c r="F627" s="43"/>
    </row>
    <row r="628">
      <c r="A628" s="43"/>
      <c r="B628" s="43"/>
      <c r="C628" s="43"/>
      <c r="D628" s="43"/>
      <c r="E628" s="43"/>
      <c r="F628" s="43"/>
    </row>
    <row r="629">
      <c r="A629" s="43"/>
      <c r="B629" s="43"/>
      <c r="C629" s="43"/>
      <c r="D629" s="43"/>
      <c r="E629" s="43"/>
      <c r="F629" s="43"/>
    </row>
    <row r="630">
      <c r="A630" s="43"/>
      <c r="B630" s="43"/>
      <c r="C630" s="43"/>
      <c r="D630" s="43"/>
      <c r="E630" s="43"/>
      <c r="F630" s="43"/>
    </row>
    <row r="631">
      <c r="A631" s="43"/>
      <c r="B631" s="43"/>
      <c r="C631" s="43"/>
      <c r="D631" s="43"/>
      <c r="E631" s="43"/>
      <c r="F631" s="43"/>
    </row>
    <row r="632">
      <c r="A632" s="43"/>
      <c r="B632" s="43"/>
      <c r="C632" s="43"/>
      <c r="D632" s="43"/>
      <c r="E632" s="43"/>
      <c r="F632" s="43"/>
    </row>
    <row r="633">
      <c r="A633" s="43"/>
      <c r="B633" s="43"/>
      <c r="C633" s="43"/>
      <c r="D633" s="43"/>
      <c r="E633" s="43"/>
      <c r="F633" s="43"/>
    </row>
    <row r="634">
      <c r="A634" s="43"/>
      <c r="B634" s="43"/>
      <c r="C634" s="43"/>
      <c r="D634" s="43"/>
      <c r="E634" s="43"/>
      <c r="F634" s="43"/>
    </row>
    <row r="635">
      <c r="A635" s="43"/>
      <c r="B635" s="43"/>
      <c r="C635" s="43"/>
      <c r="D635" s="43"/>
      <c r="E635" s="43"/>
      <c r="F635" s="43"/>
    </row>
    <row r="636">
      <c r="A636" s="43"/>
      <c r="B636" s="43"/>
      <c r="C636" s="43"/>
      <c r="D636" s="43"/>
      <c r="E636" s="43"/>
      <c r="F636" s="43"/>
    </row>
    <row r="637">
      <c r="A637" s="43"/>
      <c r="B637" s="43"/>
      <c r="C637" s="43"/>
      <c r="D637" s="43"/>
      <c r="E637" s="43"/>
      <c r="F637" s="43"/>
    </row>
    <row r="638">
      <c r="A638" s="43"/>
      <c r="B638" s="43"/>
      <c r="C638" s="43"/>
      <c r="D638" s="43"/>
      <c r="E638" s="43"/>
      <c r="F638" s="43"/>
    </row>
    <row r="639">
      <c r="A639" s="43"/>
      <c r="B639" s="43"/>
      <c r="C639" s="43"/>
      <c r="D639" s="43"/>
      <c r="E639" s="43"/>
      <c r="F639" s="43"/>
    </row>
    <row r="640">
      <c r="A640" s="43"/>
      <c r="B640" s="43"/>
      <c r="C640" s="43"/>
      <c r="D640" s="43"/>
      <c r="E640" s="43"/>
      <c r="F640" s="43"/>
    </row>
    <row r="641">
      <c r="A641" s="43"/>
      <c r="B641" s="43"/>
      <c r="C641" s="43"/>
      <c r="D641" s="43"/>
      <c r="E641" s="43"/>
      <c r="F641" s="43"/>
    </row>
    <row r="642">
      <c r="A642" s="43"/>
      <c r="B642" s="43"/>
      <c r="C642" s="43"/>
      <c r="D642" s="43"/>
      <c r="E642" s="43"/>
      <c r="F642" s="43"/>
    </row>
    <row r="643">
      <c r="A643" s="43"/>
      <c r="B643" s="43"/>
      <c r="C643" s="43"/>
      <c r="D643" s="43"/>
      <c r="E643" s="43"/>
      <c r="F643" s="43"/>
    </row>
    <row r="644">
      <c r="A644" s="43"/>
      <c r="B644" s="43"/>
      <c r="C644" s="43"/>
      <c r="D644" s="43"/>
      <c r="E644" s="43"/>
      <c r="F644" s="43"/>
    </row>
    <row r="645">
      <c r="A645" s="43"/>
      <c r="B645" s="43"/>
      <c r="C645" s="43"/>
      <c r="D645" s="43"/>
      <c r="E645" s="43"/>
      <c r="F645" s="43"/>
    </row>
    <row r="646">
      <c r="A646" s="43"/>
      <c r="B646" s="43"/>
      <c r="C646" s="43"/>
      <c r="D646" s="43"/>
      <c r="E646" s="43"/>
      <c r="F646" s="43"/>
    </row>
    <row r="647">
      <c r="A647" s="43"/>
      <c r="B647" s="43"/>
      <c r="C647" s="43"/>
      <c r="D647" s="43"/>
      <c r="E647" s="43"/>
      <c r="F647" s="43"/>
    </row>
    <row r="648">
      <c r="A648" s="43"/>
      <c r="B648" s="43"/>
      <c r="C648" s="43"/>
      <c r="D648" s="43"/>
      <c r="E648" s="43"/>
      <c r="F648" s="43"/>
    </row>
    <row r="649">
      <c r="A649" s="43"/>
      <c r="B649" s="43"/>
      <c r="C649" s="43"/>
      <c r="D649" s="43"/>
      <c r="E649" s="43"/>
      <c r="F649" s="43"/>
    </row>
    <row r="650">
      <c r="A650" s="43"/>
      <c r="B650" s="43"/>
      <c r="C650" s="43"/>
      <c r="D650" s="43"/>
      <c r="E650" s="43"/>
      <c r="F650" s="43"/>
    </row>
    <row r="651">
      <c r="A651" s="43"/>
      <c r="B651" s="43"/>
      <c r="C651" s="43"/>
      <c r="D651" s="43"/>
      <c r="E651" s="43"/>
      <c r="F651" s="43"/>
    </row>
    <row r="652">
      <c r="A652" s="43"/>
      <c r="B652" s="43"/>
      <c r="C652" s="43"/>
      <c r="D652" s="43"/>
      <c r="E652" s="43"/>
      <c r="F652" s="43"/>
    </row>
    <row r="653">
      <c r="A653" s="43"/>
      <c r="B653" s="43"/>
      <c r="C653" s="43"/>
      <c r="D653" s="43"/>
      <c r="E653" s="43"/>
      <c r="F653" s="43"/>
    </row>
    <row r="654">
      <c r="A654" s="43"/>
      <c r="B654" s="43"/>
      <c r="C654" s="43"/>
      <c r="D654" s="43"/>
      <c r="E654" s="43"/>
      <c r="F654" s="43"/>
    </row>
    <row r="655">
      <c r="A655" s="43"/>
      <c r="B655" s="43"/>
      <c r="C655" s="43"/>
      <c r="D655" s="43"/>
      <c r="E655" s="43"/>
      <c r="F655" s="43"/>
    </row>
    <row r="656">
      <c r="A656" s="43"/>
      <c r="B656" s="43"/>
      <c r="C656" s="43"/>
      <c r="D656" s="43"/>
      <c r="E656" s="43"/>
      <c r="F656" s="43"/>
    </row>
    <row r="657">
      <c r="A657" s="43"/>
      <c r="B657" s="43"/>
      <c r="C657" s="43"/>
      <c r="D657" s="43"/>
      <c r="E657" s="43"/>
      <c r="F657" s="43"/>
    </row>
    <row r="658">
      <c r="A658" s="43"/>
      <c r="B658" s="43"/>
      <c r="C658" s="43"/>
      <c r="D658" s="43"/>
      <c r="E658" s="43"/>
      <c r="F658" s="43"/>
    </row>
    <row r="659">
      <c r="A659" s="43"/>
      <c r="B659" s="43"/>
      <c r="C659" s="43"/>
      <c r="D659" s="43"/>
      <c r="E659" s="43"/>
      <c r="F659" s="43"/>
    </row>
    <row r="660">
      <c r="A660" s="43"/>
      <c r="B660" s="43"/>
      <c r="C660" s="43"/>
      <c r="D660" s="43"/>
      <c r="E660" s="43"/>
      <c r="F660" s="43"/>
    </row>
    <row r="661">
      <c r="A661" s="43"/>
      <c r="B661" s="43"/>
      <c r="C661" s="43"/>
      <c r="D661" s="43"/>
      <c r="E661" s="43"/>
      <c r="F661" s="43"/>
    </row>
    <row r="662">
      <c r="A662" s="43"/>
      <c r="B662" s="43"/>
      <c r="C662" s="43"/>
      <c r="D662" s="43"/>
      <c r="E662" s="43"/>
      <c r="F662" s="43"/>
    </row>
    <row r="663">
      <c r="A663" s="43"/>
      <c r="B663" s="43"/>
      <c r="C663" s="43"/>
      <c r="D663" s="43"/>
      <c r="E663" s="43"/>
      <c r="F663" s="43"/>
    </row>
    <row r="664">
      <c r="A664" s="43"/>
      <c r="B664" s="43"/>
      <c r="C664" s="43"/>
      <c r="D664" s="43"/>
      <c r="E664" s="43"/>
      <c r="F664" s="43"/>
    </row>
    <row r="665">
      <c r="A665" s="43"/>
      <c r="B665" s="43"/>
      <c r="C665" s="43"/>
      <c r="D665" s="43"/>
      <c r="E665" s="43"/>
      <c r="F665" s="43"/>
    </row>
    <row r="666">
      <c r="A666" s="43"/>
      <c r="B666" s="43"/>
      <c r="C666" s="43"/>
      <c r="D666" s="43"/>
      <c r="E666" s="43"/>
      <c r="F666" s="43"/>
    </row>
    <row r="667">
      <c r="A667" s="43"/>
      <c r="B667" s="43"/>
      <c r="C667" s="43"/>
      <c r="D667" s="43"/>
      <c r="E667" s="43"/>
      <c r="F667" s="43"/>
    </row>
    <row r="668">
      <c r="A668" s="43"/>
      <c r="B668" s="43"/>
      <c r="C668" s="43"/>
      <c r="D668" s="43"/>
      <c r="E668" s="43"/>
      <c r="F668" s="43"/>
    </row>
    <row r="669">
      <c r="A669" s="43"/>
      <c r="B669" s="43"/>
      <c r="C669" s="43"/>
      <c r="D669" s="43"/>
      <c r="E669" s="43"/>
      <c r="F669" s="43"/>
    </row>
    <row r="670">
      <c r="A670" s="43"/>
      <c r="B670" s="43"/>
      <c r="C670" s="43"/>
      <c r="D670" s="43"/>
      <c r="E670" s="43"/>
      <c r="F670" s="43"/>
    </row>
    <row r="671">
      <c r="A671" s="43"/>
      <c r="B671" s="43"/>
      <c r="C671" s="43"/>
      <c r="D671" s="43"/>
      <c r="E671" s="43"/>
      <c r="F671" s="43"/>
    </row>
    <row r="672">
      <c r="A672" s="43"/>
      <c r="B672" s="43"/>
      <c r="C672" s="43"/>
      <c r="D672" s="43"/>
      <c r="E672" s="43"/>
      <c r="F672" s="43"/>
    </row>
    <row r="673">
      <c r="A673" s="43"/>
      <c r="B673" s="43"/>
      <c r="C673" s="43"/>
      <c r="D673" s="43"/>
      <c r="E673" s="43"/>
      <c r="F673" s="43"/>
    </row>
    <row r="674">
      <c r="A674" s="43"/>
      <c r="B674" s="43"/>
      <c r="C674" s="43"/>
      <c r="D674" s="43"/>
      <c r="E674" s="43"/>
      <c r="F674" s="43"/>
    </row>
    <row r="675">
      <c r="A675" s="43"/>
      <c r="B675" s="43"/>
      <c r="C675" s="43"/>
      <c r="D675" s="43"/>
      <c r="E675" s="43"/>
      <c r="F675" s="43"/>
    </row>
    <row r="676">
      <c r="A676" s="43"/>
      <c r="B676" s="43"/>
      <c r="C676" s="43"/>
      <c r="D676" s="43"/>
      <c r="E676" s="43"/>
      <c r="F676" s="43"/>
    </row>
    <row r="677">
      <c r="A677" s="43"/>
      <c r="B677" s="43"/>
      <c r="C677" s="43"/>
      <c r="D677" s="43"/>
      <c r="E677" s="43"/>
      <c r="F677" s="43"/>
    </row>
    <row r="678">
      <c r="A678" s="43"/>
      <c r="B678" s="43"/>
      <c r="C678" s="43"/>
      <c r="D678" s="43"/>
      <c r="E678" s="43"/>
      <c r="F678" s="43"/>
    </row>
    <row r="679">
      <c r="A679" s="43"/>
      <c r="B679" s="43"/>
      <c r="C679" s="43"/>
      <c r="D679" s="43"/>
      <c r="E679" s="43"/>
      <c r="F679" s="43"/>
    </row>
    <row r="680">
      <c r="A680" s="43"/>
      <c r="B680" s="43"/>
      <c r="C680" s="43"/>
      <c r="D680" s="43"/>
      <c r="E680" s="43"/>
      <c r="F680" s="43"/>
    </row>
    <row r="681">
      <c r="A681" s="43"/>
      <c r="B681" s="43"/>
      <c r="C681" s="43"/>
      <c r="D681" s="43"/>
      <c r="E681" s="43"/>
      <c r="F681" s="43"/>
    </row>
    <row r="682">
      <c r="A682" s="43"/>
      <c r="B682" s="43"/>
      <c r="C682" s="43"/>
      <c r="D682" s="43"/>
      <c r="E682" s="43"/>
      <c r="F682" s="43"/>
    </row>
    <row r="683">
      <c r="A683" s="43"/>
      <c r="B683" s="43"/>
      <c r="C683" s="43"/>
      <c r="D683" s="43"/>
      <c r="E683" s="43"/>
      <c r="F683" s="43"/>
    </row>
    <row r="684">
      <c r="A684" s="43"/>
      <c r="B684" s="43"/>
      <c r="C684" s="43"/>
      <c r="D684" s="43"/>
      <c r="E684" s="43"/>
      <c r="F684" s="43"/>
    </row>
    <row r="685">
      <c r="A685" s="43"/>
      <c r="B685" s="43"/>
      <c r="C685" s="43"/>
      <c r="D685" s="43"/>
      <c r="E685" s="43"/>
      <c r="F685" s="43"/>
    </row>
    <row r="686">
      <c r="A686" s="43"/>
      <c r="B686" s="43"/>
      <c r="C686" s="43"/>
      <c r="D686" s="43"/>
      <c r="E686" s="43"/>
      <c r="F686" s="43"/>
    </row>
    <row r="687">
      <c r="A687" s="43"/>
      <c r="B687" s="43"/>
      <c r="C687" s="43"/>
      <c r="D687" s="43"/>
      <c r="E687" s="43"/>
      <c r="F687" s="43"/>
    </row>
    <row r="688">
      <c r="A688" s="43"/>
      <c r="B688" s="43"/>
      <c r="C688" s="43"/>
      <c r="D688" s="43"/>
      <c r="E688" s="43"/>
      <c r="F688" s="43"/>
    </row>
    <row r="689">
      <c r="A689" s="43"/>
      <c r="B689" s="43"/>
      <c r="C689" s="43"/>
      <c r="D689" s="43"/>
      <c r="E689" s="43"/>
      <c r="F689" s="43"/>
    </row>
    <row r="690">
      <c r="A690" s="43"/>
      <c r="B690" s="43"/>
      <c r="C690" s="43"/>
      <c r="D690" s="43"/>
      <c r="E690" s="43"/>
      <c r="F690" s="43"/>
    </row>
    <row r="691">
      <c r="A691" s="43"/>
      <c r="B691" s="43"/>
      <c r="C691" s="43"/>
      <c r="D691" s="43"/>
      <c r="E691" s="43"/>
      <c r="F691" s="43"/>
    </row>
    <row r="692">
      <c r="A692" s="43"/>
      <c r="B692" s="43"/>
      <c r="C692" s="43"/>
      <c r="D692" s="43"/>
      <c r="E692" s="43"/>
      <c r="F692" s="43"/>
    </row>
    <row r="693">
      <c r="A693" s="43"/>
      <c r="B693" s="43"/>
      <c r="C693" s="43"/>
      <c r="D693" s="43"/>
      <c r="E693" s="43"/>
      <c r="F693" s="43"/>
    </row>
    <row r="694">
      <c r="A694" s="43"/>
      <c r="B694" s="43"/>
      <c r="C694" s="43"/>
      <c r="D694" s="43"/>
      <c r="E694" s="43"/>
      <c r="F694" s="43"/>
    </row>
    <row r="695">
      <c r="A695" s="43"/>
      <c r="B695" s="43"/>
      <c r="C695" s="43"/>
      <c r="D695" s="43"/>
      <c r="E695" s="43"/>
      <c r="F695" s="43"/>
    </row>
    <row r="696">
      <c r="A696" s="43"/>
      <c r="B696" s="43"/>
      <c r="C696" s="43"/>
      <c r="D696" s="43"/>
      <c r="E696" s="43"/>
      <c r="F696" s="43"/>
    </row>
    <row r="697">
      <c r="A697" s="43"/>
      <c r="B697" s="43"/>
      <c r="C697" s="43"/>
      <c r="D697" s="43"/>
      <c r="E697" s="43"/>
      <c r="F697" s="43"/>
    </row>
    <row r="698">
      <c r="A698" s="43"/>
      <c r="B698" s="43"/>
      <c r="C698" s="43"/>
      <c r="D698" s="43"/>
      <c r="E698" s="43"/>
      <c r="F698" s="43"/>
    </row>
    <row r="699">
      <c r="A699" s="43"/>
      <c r="B699" s="43"/>
      <c r="C699" s="43"/>
      <c r="D699" s="43"/>
      <c r="E699" s="43"/>
      <c r="F699" s="43"/>
    </row>
    <row r="700">
      <c r="A700" s="43"/>
      <c r="B700" s="43"/>
      <c r="C700" s="43"/>
      <c r="D700" s="43"/>
      <c r="E700" s="43"/>
      <c r="F700" s="43"/>
    </row>
    <row r="701">
      <c r="A701" s="43"/>
      <c r="B701" s="43"/>
      <c r="C701" s="43"/>
      <c r="D701" s="43"/>
      <c r="E701" s="43"/>
      <c r="F701" s="43"/>
    </row>
    <row r="702">
      <c r="A702" s="43"/>
      <c r="B702" s="43"/>
      <c r="C702" s="43"/>
      <c r="D702" s="43"/>
      <c r="E702" s="43"/>
      <c r="F702" s="43"/>
    </row>
    <row r="703">
      <c r="A703" s="43"/>
      <c r="B703" s="43"/>
      <c r="C703" s="43"/>
      <c r="D703" s="43"/>
      <c r="E703" s="43"/>
      <c r="F703" s="43"/>
    </row>
    <row r="704">
      <c r="A704" s="43"/>
      <c r="B704" s="43"/>
      <c r="C704" s="43"/>
      <c r="D704" s="43"/>
      <c r="E704" s="43"/>
      <c r="F704" s="43"/>
    </row>
    <row r="705">
      <c r="A705" s="43"/>
      <c r="B705" s="43"/>
      <c r="C705" s="43"/>
      <c r="D705" s="43"/>
      <c r="E705" s="43"/>
      <c r="F705" s="43"/>
    </row>
    <row r="706">
      <c r="A706" s="43"/>
      <c r="B706" s="43"/>
      <c r="C706" s="43"/>
      <c r="D706" s="43"/>
      <c r="E706" s="43"/>
      <c r="F706" s="43"/>
    </row>
    <row r="707">
      <c r="A707" s="43"/>
      <c r="B707" s="43"/>
      <c r="C707" s="43"/>
      <c r="D707" s="43"/>
      <c r="E707" s="43"/>
      <c r="F707" s="43"/>
    </row>
    <row r="708">
      <c r="A708" s="43"/>
      <c r="B708" s="43"/>
      <c r="C708" s="43"/>
      <c r="D708" s="43"/>
      <c r="E708" s="43"/>
      <c r="F708" s="43"/>
    </row>
    <row r="709">
      <c r="A709" s="43"/>
      <c r="B709" s="43"/>
      <c r="C709" s="43"/>
      <c r="D709" s="43"/>
      <c r="E709" s="43"/>
      <c r="F709" s="43"/>
    </row>
    <row r="710">
      <c r="A710" s="43"/>
      <c r="B710" s="43"/>
      <c r="C710" s="43"/>
      <c r="D710" s="43"/>
      <c r="E710" s="43"/>
      <c r="F710" s="43"/>
    </row>
    <row r="711">
      <c r="A711" s="43"/>
      <c r="B711" s="43"/>
      <c r="C711" s="43"/>
      <c r="D711" s="43"/>
      <c r="E711" s="43"/>
      <c r="F711" s="43"/>
    </row>
    <row r="712">
      <c r="A712" s="43"/>
      <c r="B712" s="43"/>
      <c r="C712" s="43"/>
      <c r="D712" s="43"/>
      <c r="E712" s="43"/>
      <c r="F712" s="43"/>
    </row>
    <row r="713">
      <c r="A713" s="43"/>
      <c r="B713" s="43"/>
      <c r="C713" s="43"/>
      <c r="D713" s="43"/>
      <c r="E713" s="43"/>
      <c r="F713" s="43"/>
    </row>
    <row r="714">
      <c r="A714" s="43"/>
      <c r="B714" s="43"/>
      <c r="C714" s="43"/>
      <c r="D714" s="43"/>
      <c r="E714" s="43"/>
      <c r="F714" s="43"/>
    </row>
    <row r="715">
      <c r="A715" s="43"/>
      <c r="B715" s="43"/>
      <c r="C715" s="43"/>
      <c r="D715" s="43"/>
      <c r="E715" s="43"/>
      <c r="F715" s="43"/>
    </row>
    <row r="716">
      <c r="A716" s="43"/>
      <c r="B716" s="43"/>
      <c r="C716" s="43"/>
      <c r="D716" s="43"/>
      <c r="E716" s="43"/>
      <c r="F716" s="43"/>
    </row>
    <row r="717">
      <c r="A717" s="43"/>
      <c r="B717" s="43"/>
      <c r="C717" s="43"/>
      <c r="D717" s="43"/>
      <c r="E717" s="43"/>
      <c r="F717" s="43"/>
    </row>
    <row r="718">
      <c r="A718" s="43"/>
      <c r="B718" s="43"/>
      <c r="C718" s="43"/>
      <c r="D718" s="43"/>
      <c r="E718" s="43"/>
      <c r="F718" s="43"/>
    </row>
    <row r="719">
      <c r="A719" s="43"/>
      <c r="B719" s="43"/>
      <c r="C719" s="43"/>
      <c r="D719" s="43"/>
      <c r="E719" s="43"/>
      <c r="F719" s="43"/>
    </row>
    <row r="720">
      <c r="A720" s="43"/>
      <c r="B720" s="43"/>
      <c r="C720" s="43"/>
      <c r="D720" s="43"/>
      <c r="E720" s="43"/>
      <c r="F720" s="43"/>
    </row>
    <row r="721">
      <c r="A721" s="43"/>
      <c r="B721" s="43"/>
      <c r="C721" s="43"/>
      <c r="D721" s="43"/>
      <c r="E721" s="43"/>
      <c r="F721" s="43"/>
    </row>
    <row r="722">
      <c r="A722" s="43"/>
      <c r="B722" s="43"/>
      <c r="C722" s="43"/>
      <c r="D722" s="43"/>
      <c r="E722" s="43"/>
      <c r="F722" s="43"/>
    </row>
    <row r="723">
      <c r="A723" s="43"/>
      <c r="B723" s="43"/>
      <c r="C723" s="43"/>
      <c r="D723" s="43"/>
      <c r="E723" s="43"/>
      <c r="F723" s="43"/>
    </row>
    <row r="724">
      <c r="A724" s="43"/>
      <c r="B724" s="43"/>
      <c r="C724" s="43"/>
      <c r="D724" s="43"/>
      <c r="E724" s="43"/>
      <c r="F724" s="43"/>
    </row>
    <row r="725">
      <c r="A725" s="43"/>
      <c r="B725" s="43"/>
      <c r="C725" s="43"/>
      <c r="D725" s="43"/>
      <c r="E725" s="43"/>
      <c r="F725" s="43"/>
    </row>
    <row r="726">
      <c r="A726" s="43"/>
      <c r="B726" s="43"/>
      <c r="C726" s="43"/>
      <c r="D726" s="43"/>
      <c r="E726" s="43"/>
      <c r="F726" s="43"/>
    </row>
    <row r="727">
      <c r="A727" s="43"/>
      <c r="B727" s="43"/>
      <c r="C727" s="43"/>
      <c r="D727" s="43"/>
      <c r="E727" s="43"/>
      <c r="F727" s="43"/>
    </row>
    <row r="728">
      <c r="A728" s="43"/>
      <c r="B728" s="43"/>
      <c r="C728" s="43"/>
      <c r="D728" s="43"/>
      <c r="E728" s="43"/>
      <c r="F728" s="43"/>
    </row>
    <row r="729">
      <c r="A729" s="43"/>
      <c r="B729" s="43"/>
      <c r="C729" s="43"/>
      <c r="D729" s="43"/>
      <c r="E729" s="43"/>
      <c r="F729" s="43"/>
    </row>
    <row r="730">
      <c r="A730" s="43"/>
      <c r="B730" s="43"/>
      <c r="C730" s="43"/>
      <c r="D730" s="43"/>
      <c r="E730" s="43"/>
      <c r="F730" s="43"/>
    </row>
    <row r="731">
      <c r="A731" s="43"/>
      <c r="B731" s="43"/>
      <c r="C731" s="43"/>
      <c r="D731" s="43"/>
      <c r="E731" s="43"/>
      <c r="F731" s="43"/>
    </row>
    <row r="732">
      <c r="A732" s="43"/>
      <c r="B732" s="43"/>
      <c r="C732" s="43"/>
      <c r="D732" s="43"/>
      <c r="E732" s="43"/>
      <c r="F732" s="43"/>
    </row>
    <row r="733">
      <c r="A733" s="43"/>
      <c r="B733" s="43"/>
      <c r="C733" s="43"/>
      <c r="D733" s="43"/>
      <c r="E733" s="43"/>
      <c r="F733" s="43"/>
    </row>
    <row r="734">
      <c r="A734" s="43"/>
      <c r="B734" s="43"/>
      <c r="C734" s="43"/>
      <c r="D734" s="43"/>
      <c r="E734" s="43"/>
      <c r="F734" s="43"/>
    </row>
    <row r="735">
      <c r="A735" s="43"/>
      <c r="B735" s="43"/>
      <c r="C735" s="43"/>
      <c r="D735" s="43"/>
      <c r="E735" s="43"/>
      <c r="F735" s="43"/>
    </row>
    <row r="736">
      <c r="A736" s="43"/>
      <c r="B736" s="43"/>
      <c r="C736" s="43"/>
      <c r="D736" s="43"/>
      <c r="E736" s="43"/>
      <c r="F736" s="43"/>
    </row>
    <row r="737">
      <c r="A737" s="43"/>
      <c r="B737" s="43"/>
      <c r="C737" s="43"/>
      <c r="D737" s="43"/>
      <c r="E737" s="43"/>
      <c r="F737" s="43"/>
    </row>
    <row r="738">
      <c r="A738" s="43"/>
      <c r="B738" s="43"/>
      <c r="C738" s="43"/>
      <c r="D738" s="43"/>
      <c r="E738" s="43"/>
      <c r="F738" s="43"/>
    </row>
    <row r="739">
      <c r="A739" s="43"/>
      <c r="B739" s="43"/>
      <c r="C739" s="43"/>
      <c r="D739" s="43"/>
      <c r="E739" s="43"/>
      <c r="F739" s="43"/>
    </row>
    <row r="740">
      <c r="A740" s="43"/>
      <c r="B740" s="43"/>
      <c r="C740" s="43"/>
      <c r="D740" s="43"/>
      <c r="E740" s="43"/>
      <c r="F740" s="43"/>
    </row>
    <row r="741">
      <c r="A741" s="43"/>
      <c r="B741" s="43"/>
      <c r="C741" s="43"/>
      <c r="D741" s="43"/>
      <c r="E741" s="43"/>
      <c r="F741" s="43"/>
    </row>
    <row r="742">
      <c r="A742" s="43"/>
      <c r="B742" s="43"/>
      <c r="C742" s="43"/>
      <c r="D742" s="43"/>
      <c r="E742" s="43"/>
      <c r="F742" s="43"/>
    </row>
    <row r="743">
      <c r="A743" s="43"/>
      <c r="B743" s="43"/>
      <c r="C743" s="43"/>
      <c r="D743" s="43"/>
      <c r="E743" s="43"/>
      <c r="F743" s="43"/>
    </row>
    <row r="744">
      <c r="A744" s="43"/>
      <c r="B744" s="43"/>
      <c r="C744" s="43"/>
      <c r="D744" s="43"/>
      <c r="E744" s="43"/>
      <c r="F744" s="43"/>
    </row>
    <row r="745">
      <c r="A745" s="43"/>
      <c r="B745" s="43"/>
      <c r="C745" s="43"/>
      <c r="D745" s="43"/>
      <c r="E745" s="43"/>
      <c r="F745" s="43"/>
    </row>
    <row r="746">
      <c r="A746" s="43"/>
      <c r="B746" s="43"/>
      <c r="C746" s="43"/>
      <c r="D746" s="43"/>
      <c r="E746" s="43"/>
      <c r="F746" s="43"/>
    </row>
    <row r="747">
      <c r="A747" s="43"/>
      <c r="B747" s="43"/>
      <c r="C747" s="43"/>
      <c r="D747" s="43"/>
      <c r="E747" s="43"/>
      <c r="F747" s="43"/>
    </row>
    <row r="748">
      <c r="A748" s="43"/>
      <c r="B748" s="43"/>
      <c r="C748" s="43"/>
      <c r="D748" s="43"/>
      <c r="E748" s="43"/>
      <c r="F748" s="43"/>
    </row>
    <row r="749">
      <c r="A749" s="43"/>
      <c r="B749" s="43"/>
      <c r="C749" s="43"/>
      <c r="D749" s="43"/>
      <c r="E749" s="43"/>
      <c r="F749" s="43"/>
    </row>
    <row r="750">
      <c r="A750" s="43"/>
      <c r="B750" s="43"/>
      <c r="C750" s="43"/>
      <c r="D750" s="43"/>
      <c r="E750" s="43"/>
      <c r="F750" s="43"/>
    </row>
    <row r="751">
      <c r="A751" s="43"/>
      <c r="B751" s="43"/>
      <c r="C751" s="43"/>
      <c r="D751" s="43"/>
      <c r="E751" s="43"/>
      <c r="F751" s="43"/>
    </row>
    <row r="752">
      <c r="A752" s="43"/>
      <c r="B752" s="43"/>
      <c r="C752" s="43"/>
      <c r="D752" s="43"/>
      <c r="E752" s="43"/>
      <c r="F752" s="43"/>
    </row>
    <row r="753">
      <c r="A753" s="43"/>
      <c r="B753" s="43"/>
      <c r="C753" s="43"/>
      <c r="D753" s="43"/>
      <c r="E753" s="43"/>
      <c r="F753" s="43"/>
    </row>
    <row r="754">
      <c r="A754" s="43"/>
      <c r="B754" s="43"/>
      <c r="C754" s="43"/>
      <c r="D754" s="43"/>
      <c r="E754" s="43"/>
      <c r="F754" s="43"/>
    </row>
    <row r="755">
      <c r="A755" s="43"/>
      <c r="B755" s="43"/>
      <c r="C755" s="43"/>
      <c r="D755" s="43"/>
      <c r="E755" s="43"/>
      <c r="F755" s="43"/>
    </row>
    <row r="756">
      <c r="A756" s="43"/>
      <c r="B756" s="43"/>
      <c r="C756" s="43"/>
      <c r="D756" s="43"/>
      <c r="E756" s="43"/>
      <c r="F756" s="43"/>
    </row>
    <row r="757">
      <c r="A757" s="43"/>
      <c r="B757" s="43"/>
      <c r="C757" s="43"/>
      <c r="D757" s="43"/>
      <c r="E757" s="43"/>
      <c r="F757" s="43"/>
    </row>
    <row r="758">
      <c r="A758" s="43"/>
      <c r="B758" s="43"/>
      <c r="C758" s="43"/>
      <c r="D758" s="43"/>
      <c r="E758" s="43"/>
      <c r="F758" s="43"/>
    </row>
    <row r="759">
      <c r="A759" s="43"/>
      <c r="B759" s="43"/>
      <c r="C759" s="43"/>
      <c r="D759" s="43"/>
      <c r="E759" s="43"/>
      <c r="F759" s="43"/>
    </row>
    <row r="760">
      <c r="A760" s="43"/>
      <c r="B760" s="43"/>
      <c r="C760" s="43"/>
      <c r="D760" s="43"/>
      <c r="E760" s="43"/>
      <c r="F760" s="43"/>
    </row>
    <row r="761">
      <c r="A761" s="43"/>
      <c r="B761" s="43"/>
      <c r="C761" s="43"/>
      <c r="D761" s="43"/>
      <c r="E761" s="43"/>
      <c r="F761" s="43"/>
    </row>
    <row r="762">
      <c r="A762" s="43"/>
      <c r="B762" s="43"/>
      <c r="C762" s="43"/>
      <c r="D762" s="43"/>
      <c r="E762" s="43"/>
      <c r="F762" s="43"/>
    </row>
    <row r="763">
      <c r="A763" s="43"/>
      <c r="B763" s="43"/>
      <c r="C763" s="43"/>
      <c r="D763" s="43"/>
      <c r="E763" s="43"/>
      <c r="F763" s="43"/>
    </row>
    <row r="764">
      <c r="A764" s="43"/>
      <c r="B764" s="43"/>
      <c r="C764" s="43"/>
      <c r="D764" s="43"/>
      <c r="E764" s="43"/>
      <c r="F764" s="43"/>
    </row>
    <row r="765">
      <c r="A765" s="43"/>
      <c r="B765" s="43"/>
      <c r="C765" s="43"/>
      <c r="D765" s="43"/>
      <c r="E765" s="43"/>
      <c r="F765" s="43"/>
    </row>
    <row r="766">
      <c r="A766" s="43"/>
      <c r="B766" s="43"/>
      <c r="C766" s="43"/>
      <c r="D766" s="43"/>
      <c r="E766" s="43"/>
      <c r="F766" s="43"/>
    </row>
    <row r="767">
      <c r="A767" s="43"/>
      <c r="B767" s="43"/>
      <c r="C767" s="43"/>
      <c r="D767" s="43"/>
      <c r="E767" s="43"/>
      <c r="F767" s="43"/>
    </row>
    <row r="768">
      <c r="A768" s="43"/>
      <c r="B768" s="43"/>
      <c r="C768" s="43"/>
      <c r="D768" s="43"/>
      <c r="E768" s="43"/>
      <c r="F768" s="43"/>
    </row>
    <row r="769">
      <c r="A769" s="43"/>
      <c r="B769" s="43"/>
      <c r="C769" s="43"/>
      <c r="D769" s="43"/>
      <c r="E769" s="43"/>
      <c r="F769" s="43"/>
    </row>
    <row r="770">
      <c r="A770" s="43"/>
      <c r="B770" s="43"/>
      <c r="C770" s="43"/>
      <c r="D770" s="43"/>
      <c r="E770" s="43"/>
      <c r="F770" s="43"/>
    </row>
    <row r="771">
      <c r="A771" s="43"/>
      <c r="B771" s="43"/>
      <c r="C771" s="43"/>
      <c r="D771" s="43"/>
      <c r="E771" s="43"/>
      <c r="F771" s="43"/>
    </row>
    <row r="772">
      <c r="A772" s="43"/>
      <c r="B772" s="43"/>
      <c r="C772" s="43"/>
      <c r="D772" s="43"/>
      <c r="E772" s="43"/>
      <c r="F772" s="43"/>
    </row>
    <row r="773">
      <c r="A773" s="43"/>
      <c r="B773" s="43"/>
      <c r="C773" s="43"/>
      <c r="D773" s="43"/>
      <c r="E773" s="43"/>
      <c r="F773" s="43"/>
    </row>
    <row r="774">
      <c r="A774" s="43"/>
      <c r="B774" s="43"/>
      <c r="C774" s="43"/>
      <c r="D774" s="43"/>
      <c r="E774" s="43"/>
      <c r="F774" s="43"/>
    </row>
    <row r="775">
      <c r="A775" s="43"/>
      <c r="B775" s="43"/>
      <c r="C775" s="43"/>
      <c r="D775" s="43"/>
      <c r="E775" s="43"/>
      <c r="F775" s="43"/>
    </row>
    <row r="776">
      <c r="A776" s="43"/>
      <c r="B776" s="43"/>
      <c r="C776" s="43"/>
      <c r="D776" s="43"/>
      <c r="E776" s="43"/>
      <c r="F776" s="43"/>
    </row>
    <row r="777">
      <c r="A777" s="43"/>
      <c r="B777" s="43"/>
      <c r="C777" s="43"/>
      <c r="D777" s="43"/>
      <c r="E777" s="43"/>
      <c r="F777" s="43"/>
    </row>
    <row r="778">
      <c r="A778" s="43"/>
      <c r="B778" s="43"/>
      <c r="C778" s="43"/>
      <c r="D778" s="43"/>
      <c r="E778" s="43"/>
      <c r="F778" s="43"/>
    </row>
    <row r="779">
      <c r="A779" s="43"/>
      <c r="B779" s="43"/>
      <c r="C779" s="43"/>
      <c r="D779" s="43"/>
      <c r="E779" s="43"/>
      <c r="F779" s="43"/>
    </row>
    <row r="780">
      <c r="A780" s="43"/>
      <c r="B780" s="43"/>
      <c r="C780" s="43"/>
      <c r="D780" s="43"/>
      <c r="E780" s="43"/>
      <c r="F780" s="43"/>
    </row>
    <row r="781">
      <c r="A781" s="43"/>
      <c r="B781" s="43"/>
      <c r="C781" s="43"/>
      <c r="D781" s="43"/>
      <c r="E781" s="43"/>
      <c r="F781" s="43"/>
    </row>
    <row r="782">
      <c r="A782" s="43"/>
      <c r="B782" s="43"/>
      <c r="C782" s="43"/>
      <c r="D782" s="43"/>
      <c r="E782" s="43"/>
      <c r="F782" s="43"/>
    </row>
    <row r="783">
      <c r="A783" s="43"/>
      <c r="B783" s="43"/>
      <c r="C783" s="43"/>
      <c r="D783" s="43"/>
      <c r="E783" s="43"/>
      <c r="F783" s="43"/>
    </row>
    <row r="784">
      <c r="A784" s="43"/>
      <c r="B784" s="43"/>
      <c r="C784" s="43"/>
      <c r="D784" s="43"/>
      <c r="E784" s="43"/>
      <c r="F784" s="43"/>
    </row>
    <row r="785">
      <c r="A785" s="43"/>
      <c r="B785" s="43"/>
      <c r="C785" s="43"/>
      <c r="D785" s="43"/>
      <c r="E785" s="43"/>
      <c r="F785" s="43"/>
    </row>
    <row r="786">
      <c r="A786" s="43"/>
      <c r="B786" s="43"/>
      <c r="C786" s="43"/>
      <c r="D786" s="43"/>
      <c r="E786" s="43"/>
      <c r="F786" s="43"/>
    </row>
    <row r="787">
      <c r="A787" s="43"/>
      <c r="B787" s="43"/>
      <c r="C787" s="43"/>
      <c r="D787" s="43"/>
      <c r="E787" s="43"/>
      <c r="F787" s="43"/>
    </row>
    <row r="788">
      <c r="A788" s="43"/>
      <c r="B788" s="43"/>
      <c r="C788" s="43"/>
      <c r="D788" s="43"/>
      <c r="E788" s="43"/>
      <c r="F788" s="43"/>
    </row>
    <row r="789">
      <c r="A789" s="43"/>
      <c r="B789" s="43"/>
      <c r="C789" s="43"/>
      <c r="D789" s="43"/>
      <c r="E789" s="43"/>
      <c r="F789" s="43"/>
    </row>
    <row r="790">
      <c r="A790" s="43"/>
      <c r="B790" s="43"/>
      <c r="C790" s="43"/>
      <c r="D790" s="43"/>
      <c r="E790" s="43"/>
      <c r="F790" s="43"/>
    </row>
    <row r="791">
      <c r="A791" s="43"/>
      <c r="B791" s="43"/>
      <c r="C791" s="43"/>
      <c r="D791" s="43"/>
      <c r="E791" s="43"/>
      <c r="F791" s="43"/>
    </row>
    <row r="792">
      <c r="A792" s="43"/>
      <c r="B792" s="43"/>
      <c r="C792" s="43"/>
      <c r="D792" s="43"/>
      <c r="E792" s="43"/>
      <c r="F792" s="43"/>
    </row>
    <row r="793">
      <c r="A793" s="43"/>
      <c r="B793" s="43"/>
      <c r="C793" s="43"/>
      <c r="D793" s="43"/>
      <c r="E793" s="43"/>
      <c r="F793" s="43"/>
    </row>
    <row r="794">
      <c r="A794" s="43"/>
      <c r="B794" s="43"/>
      <c r="C794" s="43"/>
      <c r="D794" s="43"/>
      <c r="E794" s="43"/>
      <c r="F794" s="43"/>
    </row>
    <row r="795">
      <c r="A795" s="43"/>
      <c r="B795" s="43"/>
      <c r="C795" s="43"/>
      <c r="D795" s="43"/>
      <c r="E795" s="43"/>
      <c r="F795" s="43"/>
    </row>
    <row r="796">
      <c r="A796" s="43"/>
      <c r="B796" s="43"/>
      <c r="C796" s="43"/>
      <c r="D796" s="43"/>
      <c r="E796" s="43"/>
      <c r="F796" s="43"/>
    </row>
    <row r="797">
      <c r="A797" s="43"/>
      <c r="B797" s="43"/>
      <c r="C797" s="43"/>
      <c r="D797" s="43"/>
      <c r="E797" s="43"/>
      <c r="F797" s="43"/>
    </row>
    <row r="798">
      <c r="A798" s="43"/>
      <c r="B798" s="43"/>
      <c r="C798" s="43"/>
      <c r="D798" s="43"/>
      <c r="E798" s="43"/>
      <c r="F798" s="43"/>
    </row>
    <row r="799">
      <c r="A799" s="43"/>
      <c r="B799" s="43"/>
      <c r="C799" s="43"/>
      <c r="D799" s="43"/>
      <c r="E799" s="43"/>
      <c r="F799" s="43"/>
    </row>
    <row r="800">
      <c r="A800" s="43"/>
      <c r="B800" s="43"/>
      <c r="C800" s="43"/>
      <c r="D800" s="43"/>
      <c r="E800" s="43"/>
      <c r="F800" s="43"/>
    </row>
    <row r="801">
      <c r="A801" s="43"/>
      <c r="B801" s="43"/>
      <c r="C801" s="43"/>
      <c r="D801" s="43"/>
      <c r="E801" s="43"/>
      <c r="F801" s="43"/>
    </row>
    <row r="802">
      <c r="A802" s="43"/>
      <c r="B802" s="43"/>
      <c r="C802" s="43"/>
      <c r="D802" s="43"/>
      <c r="E802" s="43"/>
      <c r="F802" s="43"/>
    </row>
    <row r="803">
      <c r="A803" s="43"/>
      <c r="B803" s="43"/>
      <c r="C803" s="43"/>
      <c r="D803" s="43"/>
      <c r="E803" s="43"/>
      <c r="F803" s="43"/>
    </row>
    <row r="804">
      <c r="A804" s="43"/>
      <c r="B804" s="43"/>
      <c r="C804" s="43"/>
      <c r="D804" s="43"/>
      <c r="E804" s="43"/>
      <c r="F804" s="43"/>
    </row>
    <row r="805">
      <c r="A805" s="43"/>
      <c r="B805" s="43"/>
      <c r="C805" s="43"/>
      <c r="D805" s="43"/>
      <c r="E805" s="43"/>
      <c r="F805" s="43"/>
    </row>
    <row r="806">
      <c r="A806" s="43"/>
      <c r="B806" s="43"/>
      <c r="C806" s="43"/>
      <c r="D806" s="43"/>
      <c r="E806" s="43"/>
      <c r="F806" s="43"/>
    </row>
    <row r="807">
      <c r="A807" s="43"/>
      <c r="B807" s="43"/>
      <c r="C807" s="43"/>
      <c r="D807" s="43"/>
      <c r="E807" s="43"/>
      <c r="F807" s="43"/>
    </row>
    <row r="808">
      <c r="A808" s="43"/>
      <c r="B808" s="43"/>
      <c r="C808" s="43"/>
      <c r="D808" s="43"/>
      <c r="E808" s="43"/>
      <c r="F808" s="43"/>
    </row>
    <row r="809">
      <c r="A809" s="43"/>
      <c r="B809" s="43"/>
      <c r="C809" s="43"/>
      <c r="D809" s="43"/>
      <c r="E809" s="43"/>
      <c r="F809" s="43"/>
    </row>
    <row r="810">
      <c r="A810" s="43"/>
      <c r="B810" s="43"/>
      <c r="C810" s="43"/>
      <c r="D810" s="43"/>
      <c r="E810" s="43"/>
      <c r="F810" s="43"/>
    </row>
    <row r="811">
      <c r="A811" s="43"/>
      <c r="B811" s="43"/>
      <c r="C811" s="43"/>
      <c r="D811" s="43"/>
      <c r="E811" s="43"/>
      <c r="F811" s="43"/>
    </row>
    <row r="812">
      <c r="A812" s="43"/>
      <c r="B812" s="43"/>
      <c r="C812" s="43"/>
      <c r="D812" s="43"/>
      <c r="E812" s="43"/>
      <c r="F812" s="43"/>
    </row>
    <row r="813">
      <c r="A813" s="43"/>
      <c r="B813" s="43"/>
      <c r="C813" s="43"/>
      <c r="D813" s="43"/>
      <c r="E813" s="43"/>
      <c r="F813" s="43"/>
    </row>
    <row r="814">
      <c r="A814" s="43"/>
      <c r="B814" s="43"/>
      <c r="C814" s="43"/>
      <c r="D814" s="43"/>
      <c r="E814" s="43"/>
      <c r="F814" s="43"/>
    </row>
    <row r="815">
      <c r="A815" s="43"/>
      <c r="B815" s="43"/>
      <c r="C815" s="43"/>
      <c r="D815" s="43"/>
      <c r="E815" s="43"/>
      <c r="F815" s="43"/>
    </row>
    <row r="816">
      <c r="A816" s="43"/>
      <c r="B816" s="43"/>
      <c r="C816" s="43"/>
      <c r="D816" s="43"/>
      <c r="E816" s="43"/>
      <c r="F816" s="43"/>
    </row>
    <row r="817">
      <c r="A817" s="43"/>
      <c r="B817" s="43"/>
      <c r="C817" s="43"/>
      <c r="D817" s="43"/>
      <c r="E817" s="43"/>
      <c r="F817" s="43"/>
    </row>
    <row r="818">
      <c r="A818" s="43"/>
      <c r="B818" s="43"/>
      <c r="C818" s="43"/>
      <c r="D818" s="43"/>
      <c r="E818" s="43"/>
      <c r="F818" s="43"/>
    </row>
    <row r="819">
      <c r="A819" s="43"/>
      <c r="B819" s="43"/>
      <c r="C819" s="43"/>
      <c r="D819" s="43"/>
      <c r="E819" s="43"/>
      <c r="F819" s="43"/>
    </row>
    <row r="820">
      <c r="A820" s="43"/>
      <c r="B820" s="43"/>
      <c r="C820" s="43"/>
      <c r="D820" s="43"/>
      <c r="E820" s="43"/>
      <c r="F820" s="43"/>
    </row>
    <row r="821">
      <c r="A821" s="43"/>
      <c r="B821" s="43"/>
      <c r="C821" s="43"/>
      <c r="D821" s="43"/>
      <c r="E821" s="43"/>
      <c r="F821" s="43"/>
    </row>
    <row r="822">
      <c r="A822" s="43"/>
      <c r="B822" s="43"/>
      <c r="C822" s="43"/>
      <c r="D822" s="43"/>
      <c r="E822" s="43"/>
      <c r="F822" s="43"/>
    </row>
    <row r="823">
      <c r="A823" s="43"/>
      <c r="B823" s="43"/>
      <c r="C823" s="43"/>
      <c r="D823" s="43"/>
      <c r="E823" s="43"/>
      <c r="F823" s="43"/>
    </row>
    <row r="824">
      <c r="A824" s="43"/>
      <c r="B824" s="43"/>
      <c r="C824" s="43"/>
      <c r="D824" s="43"/>
      <c r="E824" s="43"/>
      <c r="F824" s="43"/>
    </row>
    <row r="825">
      <c r="A825" s="43"/>
      <c r="B825" s="43"/>
      <c r="C825" s="43"/>
      <c r="D825" s="43"/>
      <c r="E825" s="43"/>
      <c r="F825" s="43"/>
    </row>
    <row r="826">
      <c r="A826" s="43"/>
      <c r="B826" s="43"/>
      <c r="C826" s="43"/>
      <c r="D826" s="43"/>
      <c r="E826" s="43"/>
      <c r="F826" s="43"/>
    </row>
    <row r="827">
      <c r="A827" s="43"/>
      <c r="B827" s="43"/>
      <c r="C827" s="43"/>
      <c r="D827" s="43"/>
      <c r="E827" s="43"/>
      <c r="F827" s="43"/>
    </row>
    <row r="828">
      <c r="A828" s="43"/>
      <c r="B828" s="43"/>
      <c r="C828" s="43"/>
      <c r="D828" s="43"/>
      <c r="E828" s="43"/>
      <c r="F828" s="43"/>
    </row>
    <row r="829">
      <c r="A829" s="43"/>
      <c r="B829" s="43"/>
      <c r="C829" s="43"/>
      <c r="D829" s="43"/>
      <c r="E829" s="43"/>
      <c r="F829" s="43"/>
    </row>
    <row r="830">
      <c r="A830" s="43"/>
      <c r="B830" s="43"/>
      <c r="C830" s="43"/>
      <c r="D830" s="43"/>
      <c r="E830" s="43"/>
      <c r="F830" s="43"/>
    </row>
    <row r="831">
      <c r="A831" s="43"/>
      <c r="B831" s="43"/>
      <c r="C831" s="43"/>
      <c r="D831" s="43"/>
      <c r="E831" s="43"/>
      <c r="F831" s="43"/>
    </row>
    <row r="832">
      <c r="A832" s="43"/>
      <c r="B832" s="43"/>
      <c r="C832" s="43"/>
      <c r="D832" s="43"/>
      <c r="E832" s="43"/>
      <c r="F832" s="43"/>
    </row>
    <row r="833">
      <c r="A833" s="43"/>
      <c r="B833" s="43"/>
      <c r="C833" s="43"/>
      <c r="D833" s="43"/>
      <c r="E833" s="43"/>
      <c r="F833" s="43"/>
    </row>
    <row r="834">
      <c r="A834" s="43"/>
      <c r="B834" s="43"/>
      <c r="C834" s="43"/>
      <c r="D834" s="43"/>
      <c r="E834" s="43"/>
      <c r="F834" s="43"/>
    </row>
    <row r="835">
      <c r="A835" s="43"/>
      <c r="B835" s="43"/>
      <c r="C835" s="43"/>
      <c r="D835" s="43"/>
      <c r="E835" s="43"/>
      <c r="F835" s="43"/>
    </row>
    <row r="836">
      <c r="A836" s="43"/>
      <c r="B836" s="43"/>
      <c r="C836" s="43"/>
      <c r="D836" s="43"/>
      <c r="E836" s="43"/>
      <c r="F836" s="43"/>
    </row>
    <row r="837">
      <c r="A837" s="43"/>
      <c r="B837" s="43"/>
      <c r="C837" s="43"/>
      <c r="D837" s="43"/>
      <c r="E837" s="43"/>
      <c r="F837" s="43"/>
    </row>
    <row r="838">
      <c r="A838" s="43"/>
      <c r="B838" s="43"/>
      <c r="C838" s="43"/>
      <c r="D838" s="43"/>
      <c r="E838" s="43"/>
      <c r="F838" s="43"/>
    </row>
    <row r="839">
      <c r="A839" s="43"/>
      <c r="B839" s="43"/>
      <c r="C839" s="43"/>
      <c r="D839" s="43"/>
      <c r="E839" s="43"/>
      <c r="F839" s="43"/>
    </row>
    <row r="840">
      <c r="A840" s="43"/>
      <c r="B840" s="43"/>
      <c r="C840" s="43"/>
      <c r="D840" s="43"/>
      <c r="E840" s="43"/>
      <c r="F840" s="43"/>
    </row>
    <row r="841">
      <c r="A841" s="43"/>
      <c r="B841" s="43"/>
      <c r="C841" s="43"/>
      <c r="D841" s="43"/>
      <c r="E841" s="43"/>
      <c r="F841" s="43"/>
    </row>
    <row r="842">
      <c r="A842" s="43"/>
      <c r="B842" s="43"/>
      <c r="C842" s="43"/>
      <c r="D842" s="43"/>
      <c r="E842" s="43"/>
      <c r="F842" s="43"/>
    </row>
    <row r="843">
      <c r="A843" s="43"/>
      <c r="B843" s="43"/>
      <c r="C843" s="43"/>
      <c r="D843" s="43"/>
      <c r="E843" s="43"/>
      <c r="F843" s="43"/>
    </row>
    <row r="844">
      <c r="A844" s="43"/>
      <c r="B844" s="43"/>
      <c r="C844" s="43"/>
      <c r="D844" s="43"/>
      <c r="E844" s="43"/>
      <c r="F844" s="43"/>
    </row>
    <row r="845">
      <c r="A845" s="43"/>
      <c r="B845" s="43"/>
      <c r="C845" s="43"/>
      <c r="D845" s="43"/>
      <c r="E845" s="43"/>
      <c r="F845" s="43"/>
    </row>
    <row r="846">
      <c r="A846" s="43"/>
      <c r="B846" s="43"/>
      <c r="C846" s="43"/>
      <c r="D846" s="43"/>
      <c r="E846" s="43"/>
      <c r="F846" s="43"/>
    </row>
    <row r="847">
      <c r="A847" s="43"/>
      <c r="B847" s="43"/>
      <c r="C847" s="43"/>
      <c r="D847" s="43"/>
      <c r="E847" s="43"/>
      <c r="F847" s="43"/>
    </row>
    <row r="848">
      <c r="A848" s="43"/>
      <c r="B848" s="43"/>
      <c r="C848" s="43"/>
      <c r="D848" s="43"/>
      <c r="E848" s="43"/>
      <c r="F848" s="43"/>
    </row>
    <row r="849">
      <c r="A849" s="43"/>
      <c r="B849" s="43"/>
      <c r="C849" s="43"/>
      <c r="D849" s="43"/>
      <c r="E849" s="43"/>
      <c r="F849" s="43"/>
    </row>
    <row r="850">
      <c r="A850" s="43"/>
      <c r="B850" s="43"/>
      <c r="C850" s="43"/>
      <c r="D850" s="43"/>
      <c r="E850" s="43"/>
      <c r="F850" s="43"/>
    </row>
    <row r="851">
      <c r="A851" s="43"/>
      <c r="B851" s="43"/>
      <c r="C851" s="43"/>
      <c r="D851" s="43"/>
      <c r="E851" s="43"/>
      <c r="F851" s="43"/>
    </row>
    <row r="852">
      <c r="A852" s="43"/>
      <c r="B852" s="43"/>
      <c r="C852" s="43"/>
      <c r="D852" s="43"/>
      <c r="E852" s="43"/>
      <c r="F852" s="43"/>
    </row>
    <row r="853">
      <c r="A853" s="43"/>
      <c r="B853" s="43"/>
      <c r="C853" s="43"/>
      <c r="D853" s="43"/>
      <c r="E853" s="43"/>
      <c r="F853" s="43"/>
    </row>
    <row r="854">
      <c r="A854" s="43"/>
      <c r="B854" s="43"/>
      <c r="C854" s="43"/>
      <c r="D854" s="43"/>
      <c r="E854" s="43"/>
      <c r="F854" s="43"/>
    </row>
    <row r="855">
      <c r="A855" s="43"/>
      <c r="B855" s="43"/>
      <c r="C855" s="43"/>
      <c r="D855" s="43"/>
      <c r="E855" s="43"/>
      <c r="F855" s="43"/>
    </row>
    <row r="856">
      <c r="A856" s="43"/>
      <c r="B856" s="43"/>
      <c r="C856" s="43"/>
      <c r="D856" s="43"/>
      <c r="E856" s="43"/>
      <c r="F856" s="43"/>
    </row>
    <row r="857">
      <c r="A857" s="43"/>
      <c r="B857" s="43"/>
      <c r="C857" s="43"/>
      <c r="D857" s="43"/>
      <c r="E857" s="43"/>
      <c r="F857" s="43"/>
    </row>
    <row r="858">
      <c r="A858" s="43"/>
      <c r="B858" s="43"/>
      <c r="C858" s="43"/>
      <c r="D858" s="43"/>
      <c r="E858" s="43"/>
      <c r="F858" s="43"/>
    </row>
    <row r="859">
      <c r="A859" s="43"/>
      <c r="B859" s="43"/>
      <c r="C859" s="43"/>
      <c r="D859" s="43"/>
      <c r="E859" s="43"/>
      <c r="F859" s="43"/>
    </row>
    <row r="860">
      <c r="A860" s="43"/>
      <c r="B860" s="43"/>
      <c r="C860" s="43"/>
      <c r="D860" s="43"/>
      <c r="E860" s="43"/>
      <c r="F860" s="43"/>
    </row>
    <row r="861">
      <c r="A861" s="43"/>
      <c r="B861" s="43"/>
      <c r="C861" s="43"/>
      <c r="D861" s="43"/>
      <c r="E861" s="43"/>
      <c r="F861" s="43"/>
    </row>
    <row r="862">
      <c r="A862" s="43"/>
      <c r="B862" s="43"/>
      <c r="C862" s="43"/>
      <c r="D862" s="43"/>
      <c r="E862" s="43"/>
      <c r="F862" s="43"/>
    </row>
    <row r="863">
      <c r="A863" s="43"/>
      <c r="B863" s="43"/>
      <c r="C863" s="43"/>
      <c r="D863" s="43"/>
      <c r="E863" s="43"/>
      <c r="F863" s="43"/>
    </row>
    <row r="864">
      <c r="A864" s="43"/>
      <c r="B864" s="43"/>
      <c r="C864" s="43"/>
      <c r="D864" s="43"/>
      <c r="E864" s="43"/>
      <c r="F864" s="43"/>
    </row>
    <row r="865">
      <c r="A865" s="43"/>
      <c r="B865" s="43"/>
      <c r="C865" s="43"/>
      <c r="D865" s="43"/>
      <c r="E865" s="43"/>
      <c r="F865" s="43"/>
    </row>
    <row r="866">
      <c r="A866" s="43"/>
      <c r="B866" s="43"/>
      <c r="C866" s="43"/>
      <c r="D866" s="43"/>
      <c r="E866" s="43"/>
      <c r="F866" s="43"/>
    </row>
    <row r="867">
      <c r="A867" s="43"/>
      <c r="B867" s="43"/>
      <c r="C867" s="43"/>
      <c r="D867" s="43"/>
      <c r="E867" s="43"/>
      <c r="F867" s="43"/>
    </row>
    <row r="868">
      <c r="A868" s="43"/>
      <c r="B868" s="43"/>
      <c r="C868" s="43"/>
      <c r="D868" s="43"/>
      <c r="E868" s="43"/>
      <c r="F868" s="43"/>
    </row>
    <row r="869">
      <c r="A869" s="43"/>
      <c r="B869" s="43"/>
      <c r="C869" s="43"/>
      <c r="D869" s="43"/>
      <c r="E869" s="43"/>
      <c r="F869" s="43"/>
    </row>
    <row r="870">
      <c r="A870" s="43"/>
      <c r="B870" s="43"/>
      <c r="C870" s="43"/>
      <c r="D870" s="43"/>
      <c r="E870" s="43"/>
      <c r="F870" s="43"/>
    </row>
    <row r="871">
      <c r="A871" s="43"/>
      <c r="B871" s="43"/>
      <c r="C871" s="43"/>
      <c r="D871" s="43"/>
      <c r="E871" s="43"/>
      <c r="F871" s="43"/>
    </row>
    <row r="872">
      <c r="A872" s="43"/>
      <c r="B872" s="43"/>
      <c r="C872" s="43"/>
      <c r="D872" s="43"/>
      <c r="E872" s="43"/>
      <c r="F872" s="43"/>
    </row>
    <row r="873">
      <c r="A873" s="43"/>
      <c r="B873" s="43"/>
      <c r="C873" s="43"/>
      <c r="D873" s="43"/>
      <c r="E873" s="43"/>
      <c r="F873" s="43"/>
    </row>
    <row r="874">
      <c r="A874" s="43"/>
      <c r="B874" s="43"/>
      <c r="C874" s="43"/>
      <c r="D874" s="43"/>
      <c r="E874" s="43"/>
      <c r="F874" s="43"/>
    </row>
    <row r="875">
      <c r="A875" s="43"/>
      <c r="B875" s="43"/>
      <c r="C875" s="43"/>
      <c r="D875" s="43"/>
      <c r="E875" s="43"/>
      <c r="F875" s="43"/>
    </row>
    <row r="876">
      <c r="A876" s="43"/>
      <c r="B876" s="43"/>
      <c r="C876" s="43"/>
      <c r="D876" s="43"/>
      <c r="E876" s="43"/>
      <c r="F876" s="43"/>
    </row>
    <row r="877">
      <c r="A877" s="43"/>
      <c r="B877" s="43"/>
      <c r="C877" s="43"/>
      <c r="D877" s="43"/>
      <c r="E877" s="43"/>
      <c r="F877" s="43"/>
    </row>
    <row r="878">
      <c r="A878" s="43"/>
      <c r="B878" s="43"/>
      <c r="C878" s="43"/>
      <c r="D878" s="43"/>
      <c r="E878" s="43"/>
      <c r="F878" s="43"/>
    </row>
    <row r="879">
      <c r="A879" s="43"/>
      <c r="B879" s="43"/>
      <c r="C879" s="43"/>
      <c r="D879" s="43"/>
      <c r="E879" s="43"/>
      <c r="F879" s="43"/>
    </row>
    <row r="880">
      <c r="A880" s="43"/>
      <c r="B880" s="43"/>
      <c r="C880" s="43"/>
      <c r="D880" s="43"/>
      <c r="E880" s="43"/>
      <c r="F880" s="43"/>
    </row>
    <row r="881">
      <c r="A881" s="43"/>
      <c r="B881" s="43"/>
      <c r="C881" s="43"/>
      <c r="D881" s="43"/>
      <c r="E881" s="43"/>
      <c r="F881" s="43"/>
    </row>
    <row r="882">
      <c r="A882" s="43"/>
      <c r="B882" s="43"/>
      <c r="C882" s="43"/>
      <c r="D882" s="43"/>
      <c r="E882" s="43"/>
      <c r="F882" s="43"/>
    </row>
    <row r="883">
      <c r="A883" s="43"/>
      <c r="B883" s="43"/>
      <c r="C883" s="43"/>
      <c r="D883" s="43"/>
      <c r="E883" s="43"/>
      <c r="F883" s="43"/>
    </row>
    <row r="884">
      <c r="A884" s="43"/>
      <c r="B884" s="43"/>
      <c r="C884" s="43"/>
      <c r="D884" s="43"/>
      <c r="E884" s="43"/>
      <c r="F884" s="43"/>
    </row>
    <row r="885">
      <c r="A885" s="43"/>
      <c r="B885" s="43"/>
      <c r="C885" s="43"/>
      <c r="D885" s="43"/>
      <c r="E885" s="43"/>
      <c r="F885" s="43"/>
    </row>
    <row r="886">
      <c r="A886" s="43"/>
      <c r="B886" s="43"/>
      <c r="C886" s="43"/>
      <c r="D886" s="43"/>
      <c r="E886" s="43"/>
      <c r="F886" s="43"/>
    </row>
    <row r="887">
      <c r="A887" s="43"/>
      <c r="B887" s="43"/>
      <c r="C887" s="43"/>
      <c r="D887" s="43"/>
      <c r="E887" s="43"/>
      <c r="F887" s="43"/>
    </row>
    <row r="888">
      <c r="A888" s="43"/>
      <c r="B888" s="43"/>
      <c r="C888" s="43"/>
      <c r="D888" s="43"/>
      <c r="E888" s="43"/>
      <c r="F888" s="43"/>
    </row>
    <row r="889">
      <c r="A889" s="43"/>
      <c r="B889" s="43"/>
      <c r="C889" s="43"/>
      <c r="D889" s="43"/>
      <c r="E889" s="43"/>
      <c r="F889" s="43"/>
    </row>
    <row r="890">
      <c r="A890" s="43"/>
      <c r="B890" s="43"/>
      <c r="C890" s="43"/>
      <c r="D890" s="43"/>
      <c r="E890" s="43"/>
      <c r="F890" s="43"/>
    </row>
    <row r="891">
      <c r="A891" s="43"/>
      <c r="B891" s="43"/>
      <c r="C891" s="43"/>
      <c r="D891" s="43"/>
      <c r="E891" s="43"/>
      <c r="F891" s="43"/>
    </row>
    <row r="892">
      <c r="A892" s="43"/>
      <c r="B892" s="43"/>
      <c r="C892" s="43"/>
      <c r="D892" s="43"/>
      <c r="E892" s="43"/>
      <c r="F892" s="43"/>
    </row>
    <row r="893">
      <c r="A893" s="43"/>
      <c r="B893" s="43"/>
      <c r="C893" s="43"/>
      <c r="D893" s="43"/>
      <c r="E893" s="43"/>
      <c r="F893" s="43"/>
    </row>
    <row r="894">
      <c r="A894" s="43"/>
      <c r="B894" s="43"/>
      <c r="C894" s="43"/>
      <c r="D894" s="43"/>
      <c r="E894" s="43"/>
      <c r="F894" s="43"/>
    </row>
    <row r="895">
      <c r="A895" s="43"/>
      <c r="B895" s="43"/>
      <c r="C895" s="43"/>
      <c r="D895" s="43"/>
      <c r="E895" s="43"/>
      <c r="F895" s="43"/>
    </row>
    <row r="896">
      <c r="A896" s="43"/>
      <c r="B896" s="43"/>
      <c r="C896" s="43"/>
      <c r="D896" s="43"/>
      <c r="E896" s="43"/>
      <c r="F896" s="43"/>
    </row>
    <row r="897">
      <c r="A897" s="43"/>
      <c r="B897" s="43"/>
      <c r="C897" s="43"/>
      <c r="D897" s="43"/>
      <c r="E897" s="43"/>
      <c r="F897" s="43"/>
    </row>
    <row r="898">
      <c r="A898" s="43"/>
      <c r="B898" s="43"/>
      <c r="C898" s="43"/>
      <c r="D898" s="43"/>
      <c r="E898" s="43"/>
      <c r="F898" s="43"/>
    </row>
    <row r="899">
      <c r="A899" s="43"/>
      <c r="B899" s="43"/>
      <c r="C899" s="43"/>
      <c r="D899" s="43"/>
      <c r="E899" s="43"/>
      <c r="F899" s="43"/>
    </row>
    <row r="900">
      <c r="A900" s="43"/>
      <c r="B900" s="43"/>
      <c r="C900" s="43"/>
      <c r="D900" s="43"/>
      <c r="E900" s="43"/>
      <c r="F900" s="43"/>
    </row>
    <row r="901">
      <c r="A901" s="43"/>
      <c r="B901" s="43"/>
      <c r="C901" s="43"/>
      <c r="D901" s="43"/>
      <c r="E901" s="43"/>
      <c r="F901" s="43"/>
    </row>
    <row r="902">
      <c r="A902" s="43"/>
      <c r="B902" s="43"/>
      <c r="C902" s="43"/>
      <c r="D902" s="43"/>
      <c r="E902" s="43"/>
      <c r="F902" s="43"/>
    </row>
    <row r="903">
      <c r="A903" s="43"/>
      <c r="B903" s="43"/>
      <c r="C903" s="43"/>
      <c r="D903" s="43"/>
      <c r="E903" s="43"/>
      <c r="F903" s="43"/>
    </row>
    <row r="904">
      <c r="A904" s="43"/>
      <c r="B904" s="43"/>
      <c r="C904" s="43"/>
      <c r="D904" s="43"/>
      <c r="E904" s="43"/>
      <c r="F904" s="43"/>
    </row>
    <row r="905">
      <c r="A905" s="43"/>
      <c r="B905" s="43"/>
      <c r="C905" s="43"/>
      <c r="D905" s="43"/>
      <c r="E905" s="43"/>
      <c r="F905" s="43"/>
    </row>
    <row r="906">
      <c r="A906" s="43"/>
      <c r="B906" s="43"/>
      <c r="C906" s="43"/>
      <c r="D906" s="43"/>
      <c r="E906" s="43"/>
      <c r="F906" s="43"/>
    </row>
    <row r="907">
      <c r="A907" s="43"/>
      <c r="B907" s="43"/>
      <c r="C907" s="43"/>
      <c r="D907" s="43"/>
      <c r="E907" s="43"/>
      <c r="F907" s="43"/>
    </row>
    <row r="908">
      <c r="A908" s="43"/>
      <c r="B908" s="43"/>
      <c r="C908" s="43"/>
      <c r="D908" s="43"/>
      <c r="E908" s="43"/>
      <c r="F908" s="43"/>
    </row>
    <row r="909">
      <c r="A909" s="43"/>
      <c r="B909" s="43"/>
      <c r="C909" s="43"/>
      <c r="D909" s="43"/>
      <c r="E909" s="43"/>
      <c r="F909" s="43"/>
    </row>
    <row r="910">
      <c r="A910" s="43"/>
      <c r="B910" s="43"/>
      <c r="C910" s="43"/>
      <c r="D910" s="43"/>
      <c r="E910" s="43"/>
      <c r="F910" s="43"/>
    </row>
    <row r="911">
      <c r="A911" s="43"/>
      <c r="B911" s="43"/>
      <c r="C911" s="43"/>
      <c r="D911" s="43"/>
      <c r="E911" s="43"/>
      <c r="F911" s="43"/>
    </row>
    <row r="912">
      <c r="A912" s="43"/>
      <c r="B912" s="43"/>
      <c r="C912" s="43"/>
      <c r="D912" s="43"/>
      <c r="E912" s="43"/>
      <c r="F912" s="43"/>
    </row>
    <row r="913">
      <c r="A913" s="43"/>
      <c r="B913" s="43"/>
      <c r="C913" s="43"/>
      <c r="D913" s="43"/>
      <c r="E913" s="43"/>
      <c r="F913" s="43"/>
    </row>
    <row r="914">
      <c r="A914" s="43"/>
      <c r="B914" s="43"/>
      <c r="C914" s="43"/>
      <c r="D914" s="43"/>
      <c r="E914" s="43"/>
      <c r="F914" s="43"/>
    </row>
    <row r="915">
      <c r="A915" s="43"/>
      <c r="B915" s="43"/>
      <c r="C915" s="43"/>
      <c r="D915" s="43"/>
      <c r="E915" s="43"/>
      <c r="F915" s="43"/>
    </row>
    <row r="916">
      <c r="A916" s="43"/>
      <c r="B916" s="43"/>
      <c r="C916" s="43"/>
      <c r="D916" s="43"/>
      <c r="E916" s="43"/>
      <c r="F916" s="43"/>
    </row>
    <row r="917">
      <c r="A917" s="43"/>
      <c r="B917" s="43"/>
      <c r="C917" s="43"/>
      <c r="D917" s="43"/>
      <c r="E917" s="43"/>
      <c r="F917" s="43"/>
    </row>
    <row r="918">
      <c r="A918" s="43"/>
      <c r="B918" s="43"/>
      <c r="C918" s="43"/>
      <c r="D918" s="43"/>
      <c r="E918" s="43"/>
      <c r="F918" s="43"/>
    </row>
    <row r="919">
      <c r="A919" s="43"/>
      <c r="B919" s="43"/>
      <c r="C919" s="43"/>
      <c r="D919" s="43"/>
      <c r="E919" s="43"/>
      <c r="F919" s="43"/>
    </row>
    <row r="920">
      <c r="A920" s="43"/>
      <c r="B920" s="43"/>
      <c r="C920" s="43"/>
      <c r="D920" s="43"/>
      <c r="E920" s="43"/>
      <c r="F920" s="43"/>
    </row>
    <row r="921">
      <c r="A921" s="43"/>
      <c r="B921" s="43"/>
      <c r="C921" s="43"/>
      <c r="D921" s="43"/>
      <c r="E921" s="43"/>
      <c r="F921" s="43"/>
    </row>
    <row r="922">
      <c r="A922" s="43"/>
      <c r="B922" s="43"/>
      <c r="C922" s="43"/>
      <c r="D922" s="43"/>
      <c r="E922" s="43"/>
      <c r="F922" s="43"/>
    </row>
    <row r="923">
      <c r="A923" s="43"/>
      <c r="B923" s="43"/>
      <c r="C923" s="43"/>
      <c r="D923" s="43"/>
      <c r="E923" s="43"/>
      <c r="F923" s="43"/>
    </row>
    <row r="924">
      <c r="A924" s="43"/>
      <c r="B924" s="43"/>
      <c r="C924" s="43"/>
      <c r="D924" s="43"/>
      <c r="E924" s="43"/>
      <c r="F924" s="43"/>
    </row>
    <row r="925">
      <c r="A925" s="43"/>
      <c r="B925" s="43"/>
      <c r="C925" s="43"/>
      <c r="D925" s="43"/>
      <c r="E925" s="43"/>
      <c r="F925" s="43"/>
    </row>
    <row r="926">
      <c r="A926" s="43"/>
      <c r="B926" s="43"/>
      <c r="C926" s="43"/>
      <c r="D926" s="43"/>
      <c r="E926" s="43"/>
      <c r="F926" s="43"/>
    </row>
    <row r="927">
      <c r="A927" s="43"/>
      <c r="B927" s="43"/>
      <c r="C927" s="43"/>
      <c r="D927" s="43"/>
      <c r="E927" s="43"/>
      <c r="F927" s="43"/>
    </row>
    <row r="928">
      <c r="A928" s="43"/>
      <c r="B928" s="43"/>
      <c r="C928" s="43"/>
      <c r="D928" s="43"/>
      <c r="E928" s="43"/>
      <c r="F928" s="43"/>
    </row>
    <row r="929">
      <c r="A929" s="43"/>
      <c r="B929" s="43"/>
      <c r="C929" s="43"/>
      <c r="D929" s="43"/>
      <c r="E929" s="43"/>
      <c r="F929" s="43"/>
    </row>
    <row r="930">
      <c r="A930" s="43"/>
      <c r="B930" s="43"/>
      <c r="C930" s="43"/>
      <c r="D930" s="43"/>
      <c r="E930" s="43"/>
      <c r="F930" s="43"/>
    </row>
    <row r="931">
      <c r="A931" s="43"/>
      <c r="B931" s="43"/>
      <c r="C931" s="43"/>
      <c r="D931" s="43"/>
      <c r="E931" s="43"/>
      <c r="F931" s="43"/>
    </row>
    <row r="932">
      <c r="A932" s="43"/>
      <c r="B932" s="43"/>
      <c r="C932" s="43"/>
      <c r="D932" s="43"/>
      <c r="E932" s="43"/>
      <c r="F932" s="43"/>
    </row>
    <row r="933">
      <c r="A933" s="43"/>
      <c r="B933" s="43"/>
      <c r="C933" s="43"/>
      <c r="D933" s="43"/>
      <c r="E933" s="43"/>
      <c r="F933" s="43"/>
    </row>
    <row r="934">
      <c r="A934" s="43"/>
      <c r="B934" s="43"/>
      <c r="C934" s="43"/>
      <c r="D934" s="43"/>
      <c r="E934" s="43"/>
      <c r="F934" s="43"/>
    </row>
    <row r="935">
      <c r="A935" s="43"/>
      <c r="B935" s="43"/>
      <c r="C935" s="43"/>
      <c r="D935" s="43"/>
      <c r="E935" s="43"/>
      <c r="F935" s="43"/>
    </row>
    <row r="936">
      <c r="A936" s="43"/>
      <c r="B936" s="43"/>
      <c r="C936" s="43"/>
      <c r="D936" s="43"/>
      <c r="E936" s="43"/>
      <c r="F936" s="43"/>
    </row>
    <row r="937">
      <c r="A937" s="43"/>
      <c r="B937" s="43"/>
      <c r="C937" s="43"/>
      <c r="D937" s="43"/>
      <c r="E937" s="43"/>
      <c r="F937" s="43"/>
    </row>
    <row r="938">
      <c r="A938" s="43"/>
      <c r="B938" s="43"/>
      <c r="C938" s="43"/>
      <c r="D938" s="43"/>
      <c r="E938" s="43"/>
      <c r="F938" s="43"/>
    </row>
    <row r="939">
      <c r="A939" s="43"/>
      <c r="B939" s="43"/>
      <c r="C939" s="43"/>
      <c r="D939" s="43"/>
      <c r="E939" s="43"/>
      <c r="F939" s="43"/>
    </row>
    <row r="940">
      <c r="A940" s="43"/>
      <c r="B940" s="43"/>
      <c r="C940" s="43"/>
      <c r="D940" s="43"/>
      <c r="E940" s="43"/>
      <c r="F940" s="43"/>
    </row>
    <row r="941">
      <c r="A941" s="43"/>
      <c r="B941" s="43"/>
      <c r="C941" s="43"/>
      <c r="D941" s="43"/>
      <c r="E941" s="43"/>
      <c r="F941" s="43"/>
    </row>
    <row r="942">
      <c r="A942" s="43"/>
      <c r="B942" s="43"/>
      <c r="C942" s="43"/>
      <c r="D942" s="43"/>
      <c r="E942" s="43"/>
      <c r="F942" s="43"/>
    </row>
    <row r="943">
      <c r="A943" s="43"/>
      <c r="B943" s="43"/>
      <c r="C943" s="43"/>
      <c r="D943" s="43"/>
      <c r="E943" s="43"/>
      <c r="F943" s="43"/>
    </row>
    <row r="944">
      <c r="A944" s="43"/>
      <c r="B944" s="43"/>
      <c r="C944" s="43"/>
      <c r="D944" s="43"/>
      <c r="E944" s="43"/>
      <c r="F944" s="43"/>
    </row>
    <row r="945">
      <c r="A945" s="43"/>
      <c r="B945" s="43"/>
      <c r="C945" s="43"/>
      <c r="D945" s="43"/>
      <c r="E945" s="43"/>
      <c r="F945" s="43"/>
    </row>
    <row r="946">
      <c r="A946" s="43"/>
      <c r="B946" s="43"/>
      <c r="C946" s="43"/>
      <c r="D946" s="43"/>
      <c r="E946" s="43"/>
      <c r="F946" s="43"/>
    </row>
    <row r="947">
      <c r="A947" s="43"/>
      <c r="B947" s="43"/>
      <c r="C947" s="43"/>
      <c r="D947" s="43"/>
      <c r="E947" s="43"/>
      <c r="F947" s="43"/>
    </row>
    <row r="948">
      <c r="A948" s="43"/>
      <c r="B948" s="43"/>
      <c r="C948" s="43"/>
      <c r="D948" s="43"/>
      <c r="E948" s="43"/>
      <c r="F948" s="43"/>
    </row>
    <row r="949">
      <c r="A949" s="43"/>
      <c r="B949" s="43"/>
      <c r="C949" s="43"/>
      <c r="D949" s="43"/>
      <c r="E949" s="43"/>
      <c r="F949" s="43"/>
    </row>
    <row r="950">
      <c r="A950" s="43"/>
      <c r="B950" s="43"/>
      <c r="C950" s="43"/>
      <c r="D950" s="43"/>
      <c r="E950" s="43"/>
      <c r="F950" s="43"/>
    </row>
    <row r="951">
      <c r="A951" s="43"/>
      <c r="B951" s="43"/>
      <c r="C951" s="43"/>
      <c r="D951" s="43"/>
      <c r="E951" s="43"/>
      <c r="F951" s="43"/>
    </row>
    <row r="952">
      <c r="A952" s="43"/>
      <c r="B952" s="43"/>
      <c r="C952" s="43"/>
      <c r="D952" s="43"/>
      <c r="E952" s="43"/>
      <c r="F952" s="43"/>
    </row>
    <row r="953">
      <c r="A953" s="43"/>
      <c r="B953" s="43"/>
      <c r="C953" s="43"/>
      <c r="D953" s="43"/>
      <c r="E953" s="43"/>
      <c r="F953" s="43"/>
    </row>
    <row r="954">
      <c r="A954" s="43"/>
      <c r="B954" s="43"/>
      <c r="C954" s="43"/>
      <c r="D954" s="43"/>
      <c r="E954" s="43"/>
      <c r="F954" s="43"/>
    </row>
    <row r="955">
      <c r="A955" s="43"/>
      <c r="B955" s="43"/>
      <c r="C955" s="43"/>
      <c r="D955" s="43"/>
      <c r="E955" s="43"/>
      <c r="F955" s="43"/>
    </row>
    <row r="956">
      <c r="A956" s="43"/>
      <c r="B956" s="43"/>
      <c r="C956" s="43"/>
      <c r="D956" s="43"/>
      <c r="E956" s="43"/>
      <c r="F956" s="43"/>
    </row>
    <row r="957">
      <c r="A957" s="43"/>
      <c r="B957" s="43"/>
      <c r="C957" s="43"/>
      <c r="D957" s="43"/>
      <c r="E957" s="43"/>
      <c r="F957" s="43"/>
    </row>
    <row r="958">
      <c r="A958" s="43"/>
      <c r="B958" s="43"/>
      <c r="C958" s="43"/>
      <c r="D958" s="43"/>
      <c r="E958" s="43"/>
      <c r="F958" s="43"/>
    </row>
    <row r="959">
      <c r="A959" s="43"/>
      <c r="B959" s="43"/>
      <c r="C959" s="43"/>
      <c r="D959" s="43"/>
      <c r="E959" s="43"/>
      <c r="F959" s="43"/>
    </row>
    <row r="960">
      <c r="A960" s="43"/>
      <c r="B960" s="43"/>
      <c r="C960" s="43"/>
      <c r="D960" s="43"/>
      <c r="E960" s="43"/>
      <c r="F960" s="43"/>
    </row>
    <row r="961">
      <c r="A961" s="43"/>
      <c r="B961" s="43"/>
      <c r="C961" s="43"/>
      <c r="D961" s="43"/>
      <c r="E961" s="43"/>
      <c r="F961" s="43"/>
    </row>
    <row r="962">
      <c r="A962" s="43"/>
      <c r="B962" s="43"/>
      <c r="C962" s="43"/>
      <c r="D962" s="43"/>
      <c r="E962" s="43"/>
      <c r="F962" s="43"/>
    </row>
    <row r="963">
      <c r="A963" s="43"/>
      <c r="B963" s="43"/>
      <c r="C963" s="43"/>
      <c r="D963" s="43"/>
      <c r="E963" s="43"/>
      <c r="F963" s="43"/>
    </row>
    <row r="964">
      <c r="A964" s="43"/>
      <c r="B964" s="43"/>
      <c r="C964" s="43"/>
      <c r="D964" s="43"/>
      <c r="E964" s="43"/>
      <c r="F964" s="43"/>
    </row>
    <row r="965">
      <c r="A965" s="43"/>
      <c r="B965" s="43"/>
      <c r="C965" s="43"/>
      <c r="D965" s="43"/>
      <c r="E965" s="43"/>
      <c r="F965" s="43"/>
    </row>
    <row r="966">
      <c r="A966" s="43"/>
      <c r="B966" s="43"/>
      <c r="C966" s="43"/>
      <c r="D966" s="43"/>
      <c r="E966" s="43"/>
      <c r="F966" s="43"/>
    </row>
    <row r="967">
      <c r="A967" s="43"/>
      <c r="B967" s="43"/>
      <c r="C967" s="43"/>
      <c r="D967" s="43"/>
      <c r="E967" s="43"/>
      <c r="F967" s="43"/>
    </row>
    <row r="968">
      <c r="A968" s="43"/>
      <c r="B968" s="43"/>
      <c r="C968" s="43"/>
      <c r="D968" s="43"/>
      <c r="E968" s="43"/>
      <c r="F968" s="43"/>
    </row>
    <row r="969">
      <c r="A969" s="43"/>
      <c r="B969" s="43"/>
      <c r="C969" s="43"/>
      <c r="D969" s="43"/>
      <c r="E969" s="43"/>
      <c r="F969" s="43"/>
    </row>
    <row r="970">
      <c r="A970" s="43"/>
      <c r="B970" s="43"/>
      <c r="C970" s="43"/>
      <c r="D970" s="43"/>
      <c r="E970" s="43"/>
      <c r="F970" s="43"/>
    </row>
    <row r="971">
      <c r="A971" s="43"/>
      <c r="B971" s="43"/>
      <c r="C971" s="43"/>
      <c r="D971" s="43"/>
      <c r="E971" s="43"/>
      <c r="F971" s="43"/>
    </row>
    <row r="972">
      <c r="A972" s="43"/>
      <c r="B972" s="43"/>
      <c r="C972" s="43"/>
      <c r="D972" s="43"/>
      <c r="E972" s="43"/>
      <c r="F972" s="43"/>
    </row>
    <row r="973">
      <c r="A973" s="43"/>
      <c r="B973" s="43"/>
      <c r="C973" s="43"/>
      <c r="D973" s="43"/>
      <c r="E973" s="43"/>
      <c r="F973" s="43"/>
    </row>
    <row r="974">
      <c r="A974" s="43"/>
      <c r="B974" s="43"/>
      <c r="C974" s="43"/>
      <c r="D974" s="43"/>
      <c r="E974" s="43"/>
      <c r="F974" s="43"/>
    </row>
    <row r="975">
      <c r="A975" s="43"/>
      <c r="B975" s="43"/>
      <c r="C975" s="43"/>
      <c r="D975" s="43"/>
      <c r="E975" s="43"/>
      <c r="F975" s="43"/>
    </row>
    <row r="976">
      <c r="A976" s="43"/>
      <c r="B976" s="43"/>
      <c r="C976" s="43"/>
      <c r="D976" s="43"/>
      <c r="E976" s="43"/>
      <c r="F976" s="43"/>
    </row>
    <row r="977">
      <c r="A977" s="43"/>
      <c r="B977" s="43"/>
      <c r="C977" s="43"/>
      <c r="D977" s="43"/>
      <c r="E977" s="43"/>
      <c r="F977" s="43"/>
    </row>
    <row r="978">
      <c r="A978" s="43"/>
      <c r="B978" s="43"/>
      <c r="C978" s="43"/>
      <c r="D978" s="43"/>
      <c r="E978" s="43"/>
      <c r="F978" s="43"/>
    </row>
    <row r="979">
      <c r="A979" s="43"/>
      <c r="B979" s="43"/>
      <c r="C979" s="43"/>
      <c r="D979" s="43"/>
      <c r="E979" s="43"/>
      <c r="F979" s="43"/>
    </row>
    <row r="980">
      <c r="A980" s="43"/>
      <c r="B980" s="43"/>
      <c r="C980" s="43"/>
      <c r="D980" s="43"/>
      <c r="E980" s="43"/>
      <c r="F980" s="43"/>
    </row>
    <row r="981">
      <c r="A981" s="43"/>
      <c r="B981" s="43"/>
      <c r="C981" s="43"/>
      <c r="D981" s="43"/>
      <c r="E981" s="43"/>
      <c r="F981" s="43"/>
    </row>
    <row r="982">
      <c r="A982" s="43"/>
      <c r="B982" s="43"/>
      <c r="C982" s="43"/>
      <c r="D982" s="43"/>
      <c r="E982" s="43"/>
      <c r="F982" s="43"/>
    </row>
    <row r="983">
      <c r="A983" s="43"/>
      <c r="B983" s="43"/>
      <c r="C983" s="43"/>
      <c r="D983" s="43"/>
      <c r="E983" s="43"/>
      <c r="F983" s="43"/>
    </row>
    <row r="984">
      <c r="A984" s="43"/>
      <c r="B984" s="43"/>
      <c r="C984" s="43"/>
      <c r="D984" s="43"/>
      <c r="E984" s="43"/>
      <c r="F984" s="43"/>
    </row>
    <row r="985">
      <c r="A985" s="43"/>
      <c r="B985" s="43"/>
      <c r="C985" s="43"/>
      <c r="D985" s="43"/>
      <c r="E985" s="43"/>
      <c r="F985" s="43"/>
    </row>
    <row r="986">
      <c r="A986" s="43"/>
      <c r="B986" s="43"/>
      <c r="C986" s="43"/>
      <c r="D986" s="43"/>
      <c r="E986" s="43"/>
      <c r="F986" s="43"/>
    </row>
    <row r="987">
      <c r="A987" s="43"/>
      <c r="B987" s="43"/>
      <c r="C987" s="43"/>
      <c r="D987" s="43"/>
      <c r="E987" s="43"/>
      <c r="F987" s="43"/>
    </row>
    <row r="988">
      <c r="A988" s="43"/>
      <c r="B988" s="43"/>
      <c r="C988" s="43"/>
      <c r="D988" s="43"/>
      <c r="E988" s="43"/>
      <c r="F988" s="43"/>
    </row>
    <row r="989">
      <c r="A989" s="43"/>
      <c r="B989" s="43"/>
      <c r="C989" s="43"/>
      <c r="D989" s="43"/>
      <c r="E989" s="43"/>
      <c r="F989" s="43"/>
    </row>
    <row r="990">
      <c r="A990" s="43"/>
      <c r="B990" s="43"/>
      <c r="C990" s="43"/>
      <c r="D990" s="43"/>
      <c r="E990" s="43"/>
      <c r="F990" s="43"/>
    </row>
    <row r="991">
      <c r="A991" s="43"/>
      <c r="B991" s="43"/>
      <c r="C991" s="43"/>
      <c r="D991" s="43"/>
      <c r="E991" s="43"/>
      <c r="F991" s="43"/>
    </row>
    <row r="992">
      <c r="A992" s="43"/>
      <c r="B992" s="43"/>
      <c r="C992" s="43"/>
      <c r="D992" s="43"/>
      <c r="E992" s="43"/>
      <c r="F992" s="43"/>
    </row>
    <row r="993">
      <c r="A993" s="43"/>
      <c r="B993" s="43"/>
      <c r="C993" s="43"/>
      <c r="D993" s="43"/>
      <c r="E993" s="43"/>
      <c r="F993" s="43"/>
    </row>
    <row r="994">
      <c r="A994" s="43"/>
      <c r="B994" s="43"/>
      <c r="C994" s="43"/>
      <c r="D994" s="43"/>
      <c r="E994" s="43"/>
      <c r="F994" s="43"/>
    </row>
    <row r="995">
      <c r="A995" s="43"/>
      <c r="B995" s="43"/>
      <c r="C995" s="43"/>
      <c r="D995" s="43"/>
      <c r="E995" s="43"/>
      <c r="F995" s="43"/>
    </row>
    <row r="996">
      <c r="A996" s="43"/>
      <c r="B996" s="43"/>
      <c r="C996" s="43"/>
      <c r="D996" s="43"/>
      <c r="E996" s="43"/>
      <c r="F996" s="43"/>
    </row>
  </sheetData>
  <hyperlinks>
    <hyperlink r:id="rId1" ref="E2"/>
    <hyperlink r:id="rId2" ref="E3"/>
    <hyperlink r:id="rId3" ref="E4"/>
    <hyperlink r:id="rId4" ref="E5"/>
    <hyperlink r:id="rId5" ref="E7"/>
    <hyperlink r:id="rId6" ref="E8"/>
    <hyperlink r:id="rId7" ref="E9"/>
    <hyperlink r:id="rId8" ref="E10"/>
    <hyperlink r:id="rId9" ref="E11"/>
    <hyperlink r:id="rId10" ref="E12"/>
    <hyperlink r:id="rId11" ref="E13"/>
    <hyperlink r:id="rId12" ref="E14"/>
    <hyperlink r:id="rId13" ref="E15"/>
    <hyperlink r:id="rId14" ref="E16"/>
    <hyperlink r:id="rId15" ref="E18"/>
    <hyperlink r:id="rId16" ref="E19"/>
    <hyperlink r:id="rId17" ref="E20"/>
    <hyperlink r:id="rId18" ref="E21"/>
    <hyperlink r:id="rId19" ref="E22"/>
    <hyperlink r:id="rId20" ref="E23"/>
    <hyperlink r:id="rId21" ref="E24"/>
    <hyperlink r:id="rId22" ref="E25"/>
    <hyperlink r:id="rId23" ref="E26"/>
    <hyperlink r:id="rId24" ref="E27"/>
    <hyperlink r:id="rId25" ref="E28"/>
    <hyperlink r:id="rId26" ref="E29"/>
    <hyperlink r:id="rId27" ref="E30"/>
    <hyperlink r:id="rId28" ref="E31"/>
    <hyperlink r:id="rId29" ref="E32"/>
    <hyperlink r:id="rId30" ref="E33"/>
    <hyperlink r:id="rId31" ref="E34"/>
    <hyperlink r:id="rId32" ref="E35"/>
    <hyperlink r:id="rId33" ref="E36"/>
    <hyperlink r:id="rId34" ref="E37"/>
    <hyperlink r:id="rId35" ref="E38"/>
    <hyperlink r:id="rId36" ref="E39"/>
    <hyperlink r:id="rId37" ref="E40"/>
    <hyperlink r:id="rId38" ref="E41"/>
    <hyperlink r:id="rId39" ref="E42"/>
    <hyperlink r:id="rId40" ref="E43"/>
    <hyperlink r:id="rId41" ref="E44"/>
    <hyperlink r:id="rId42" ref="E45"/>
    <hyperlink r:id="rId43" ref="E46"/>
    <hyperlink r:id="rId44" ref="E47"/>
    <hyperlink r:id="rId45" ref="E48"/>
    <hyperlink r:id="rId46" ref="E49"/>
    <hyperlink r:id="rId47" ref="E50"/>
    <hyperlink r:id="rId48" ref="E51"/>
    <hyperlink r:id="rId49" ref="E52"/>
    <hyperlink r:id="rId50" ref="E53"/>
    <hyperlink r:id="rId51" ref="E54"/>
    <hyperlink r:id="rId52" ref="E55"/>
    <hyperlink r:id="rId53" ref="E56"/>
    <hyperlink r:id="rId54" ref="E57"/>
    <hyperlink r:id="rId55" ref="E58"/>
    <hyperlink r:id="rId56" ref="E59"/>
    <hyperlink r:id="rId57" ref="E60"/>
    <hyperlink r:id="rId58" ref="E61"/>
    <hyperlink r:id="rId59" ref="E62"/>
    <hyperlink r:id="rId60" ref="E63"/>
    <hyperlink r:id="rId61" ref="E64"/>
    <hyperlink r:id="rId62" ref="E65"/>
    <hyperlink r:id="rId63" ref="E66"/>
    <hyperlink r:id="rId64" ref="E67"/>
    <hyperlink r:id="rId65" ref="E68"/>
    <hyperlink r:id="rId66" ref="E69"/>
    <hyperlink r:id="rId67" ref="E70"/>
    <hyperlink r:id="rId68" ref="E71"/>
    <hyperlink r:id="rId69" ref="E72"/>
    <hyperlink r:id="rId70" ref="E74"/>
    <hyperlink r:id="rId71" ref="E75"/>
    <hyperlink r:id="rId72" ref="E76"/>
    <hyperlink r:id="rId73" ref="E77"/>
    <hyperlink r:id="rId74" ref="E78"/>
    <hyperlink r:id="rId75" ref="E79"/>
    <hyperlink r:id="rId76" ref="E80"/>
    <hyperlink r:id="rId77" ref="E81"/>
    <hyperlink r:id="rId78" ref="E82"/>
    <hyperlink r:id="rId79" ref="E83"/>
    <hyperlink r:id="rId80" ref="E84"/>
    <hyperlink r:id="rId81" ref="E85"/>
    <hyperlink r:id="rId82" ref="E86"/>
    <hyperlink r:id="rId83" ref="E87"/>
    <hyperlink r:id="rId84" ref="E88"/>
    <hyperlink r:id="rId85" ref="E89"/>
    <hyperlink r:id="rId86" ref="E90"/>
    <hyperlink r:id="rId87" ref="E91"/>
    <hyperlink r:id="rId88" ref="E92"/>
    <hyperlink r:id="rId89" ref="E94"/>
    <hyperlink r:id="rId90" ref="E95"/>
    <hyperlink r:id="rId91" ref="E96"/>
    <hyperlink r:id="rId92" ref="E97"/>
    <hyperlink r:id="rId93" ref="E98"/>
    <hyperlink r:id="rId94" ref="E99"/>
    <hyperlink r:id="rId95" ref="E102"/>
    <hyperlink r:id="rId96" ref="E103"/>
    <hyperlink r:id="rId97" ref="E104"/>
    <hyperlink r:id="rId98" ref="E105"/>
    <hyperlink r:id="rId99" ref="E106"/>
    <hyperlink r:id="rId100" ref="E107"/>
    <hyperlink r:id="rId101" ref="E108"/>
    <hyperlink r:id="rId102" ref="E109"/>
    <hyperlink r:id="rId103" ref="E111"/>
    <hyperlink r:id="rId104" ref="E112"/>
    <hyperlink r:id="rId105" ref="E113"/>
    <hyperlink r:id="rId106" ref="E114"/>
    <hyperlink r:id="rId107" ref="E115"/>
    <hyperlink r:id="rId108" ref="E116"/>
    <hyperlink r:id="rId109" ref="E117"/>
    <hyperlink r:id="rId110" ref="E118"/>
    <hyperlink r:id="rId111" ref="E119"/>
    <hyperlink r:id="rId112" ref="E120"/>
    <hyperlink r:id="rId113" ref="E121"/>
    <hyperlink r:id="rId114" ref="E122"/>
    <hyperlink r:id="rId115" ref="E123"/>
    <hyperlink r:id="rId116" ref="E127"/>
    <hyperlink r:id="rId117" ref="E128"/>
    <hyperlink r:id="rId118" ref="E129"/>
    <hyperlink r:id="rId119" ref="E130"/>
    <hyperlink r:id="rId120" ref="E131"/>
    <hyperlink r:id="rId121" ref="E132"/>
    <hyperlink r:id="rId122" ref="E133"/>
  </hyperlinks>
  <drawing r:id="rId12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5" t="s">
        <v>6</v>
      </c>
      <c r="B1" s="45" t="s">
        <v>7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</row>
    <row r="2">
      <c r="A2" s="47" t="s">
        <v>38</v>
      </c>
      <c r="B2" s="47" t="s">
        <v>39</v>
      </c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</row>
    <row r="3">
      <c r="A3" s="47" t="s">
        <v>40</v>
      </c>
      <c r="B3" s="47" t="s">
        <v>39</v>
      </c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</row>
    <row r="4">
      <c r="A4" s="47" t="s">
        <v>41</v>
      </c>
      <c r="B4" s="47" t="s">
        <v>39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</row>
    <row r="5">
      <c r="A5" s="47" t="s">
        <v>42</v>
      </c>
      <c r="B5" s="47" t="s">
        <v>39</v>
      </c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</row>
    <row r="6">
      <c r="A6" s="47" t="s">
        <v>43</v>
      </c>
      <c r="B6" s="47" t="s">
        <v>39</v>
      </c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</row>
    <row r="7">
      <c r="A7" s="47" t="s">
        <v>44</v>
      </c>
      <c r="B7" s="47" t="s">
        <v>39</v>
      </c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</row>
    <row r="8">
      <c r="A8" s="47" t="s">
        <v>45</v>
      </c>
      <c r="B8" s="47" t="s">
        <v>39</v>
      </c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</row>
    <row r="9">
      <c r="A9" s="47" t="s">
        <v>46</v>
      </c>
      <c r="B9" s="47" t="s">
        <v>39</v>
      </c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</row>
    <row r="10">
      <c r="A10" s="47" t="s">
        <v>47</v>
      </c>
      <c r="B10" s="47" t="s">
        <v>39</v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</row>
    <row r="11">
      <c r="A11" s="47" t="s">
        <v>48</v>
      </c>
      <c r="B11" s="47" t="s">
        <v>39</v>
      </c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</row>
    <row r="12">
      <c r="A12" s="47" t="s">
        <v>49</v>
      </c>
      <c r="B12" s="47" t="s">
        <v>39</v>
      </c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</row>
    <row r="13">
      <c r="A13" s="47" t="s">
        <v>50</v>
      </c>
      <c r="B13" s="47" t="s">
        <v>39</v>
      </c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</row>
    <row r="14">
      <c r="A14" s="47" t="s">
        <v>51</v>
      </c>
      <c r="B14" s="47" t="s">
        <v>39</v>
      </c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</row>
    <row r="15">
      <c r="A15" s="47" t="s">
        <v>52</v>
      </c>
      <c r="B15" s="47" t="s">
        <v>39</v>
      </c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</row>
    <row r="16">
      <c r="A16" s="47" t="s">
        <v>53</v>
      </c>
      <c r="B16" s="47" t="s">
        <v>39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</row>
    <row r="17">
      <c r="A17" s="47" t="s">
        <v>54</v>
      </c>
      <c r="B17" s="47" t="s">
        <v>39</v>
      </c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</row>
    <row r="18">
      <c r="A18" s="47" t="s">
        <v>55</v>
      </c>
      <c r="B18" s="47" t="s">
        <v>39</v>
      </c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</row>
    <row r="19">
      <c r="A19" s="47" t="s">
        <v>56</v>
      </c>
      <c r="B19" s="47" t="s">
        <v>39</v>
      </c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</row>
    <row r="20">
      <c r="A20" s="47" t="s">
        <v>57</v>
      </c>
      <c r="B20" s="47" t="s">
        <v>39</v>
      </c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</row>
    <row r="21">
      <c r="A21" s="47" t="s">
        <v>58</v>
      </c>
      <c r="B21" s="47" t="s">
        <v>39</v>
      </c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</row>
    <row r="22">
      <c r="A22" s="47" t="s">
        <v>59</v>
      </c>
      <c r="B22" s="47" t="s">
        <v>39</v>
      </c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</row>
    <row r="23">
      <c r="A23" s="47" t="s">
        <v>60</v>
      </c>
      <c r="B23" s="47" t="s">
        <v>39</v>
      </c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</row>
    <row r="24">
      <c r="A24" s="47" t="s">
        <v>61</v>
      </c>
      <c r="B24" s="47" t="s">
        <v>39</v>
      </c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</row>
    <row r="25">
      <c r="A25" s="47" t="s">
        <v>62</v>
      </c>
      <c r="B25" s="47" t="s">
        <v>39</v>
      </c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</row>
    <row r="26">
      <c r="A26" s="47" t="s">
        <v>63</v>
      </c>
      <c r="B26" s="47" t="s">
        <v>39</v>
      </c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</row>
    <row r="27">
      <c r="A27" s="47" t="s">
        <v>64</v>
      </c>
      <c r="B27" s="47" t="s">
        <v>39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</row>
    <row r="28">
      <c r="A28" s="47" t="s">
        <v>65</v>
      </c>
      <c r="B28" s="47" t="s">
        <v>39</v>
      </c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</row>
    <row r="29">
      <c r="A29" s="47" t="s">
        <v>66</v>
      </c>
      <c r="B29" s="47" t="s">
        <v>39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</row>
    <row r="30">
      <c r="A30" s="47" t="s">
        <v>67</v>
      </c>
      <c r="B30" s="47" t="s">
        <v>39</v>
      </c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</row>
    <row r="31">
      <c r="A31" s="47" t="s">
        <v>68</v>
      </c>
      <c r="B31" s="47" t="s">
        <v>39</v>
      </c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</row>
    <row r="32">
      <c r="A32" s="47" t="s">
        <v>69</v>
      </c>
      <c r="B32" s="47" t="s">
        <v>39</v>
      </c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</row>
    <row r="33">
      <c r="A33" s="47" t="s">
        <v>70</v>
      </c>
      <c r="B33" s="47" t="s">
        <v>39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</row>
    <row r="34">
      <c r="A34" s="47" t="s">
        <v>71</v>
      </c>
      <c r="B34" s="47" t="s">
        <v>39</v>
      </c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</row>
    <row r="35">
      <c r="A35" s="47" t="s">
        <v>72</v>
      </c>
      <c r="B35" s="47" t="s">
        <v>39</v>
      </c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U35" s="46"/>
      <c r="V35" s="46"/>
      <c r="W35" s="46"/>
    </row>
    <row r="36">
      <c r="A36" s="47" t="s">
        <v>73</v>
      </c>
      <c r="B36" s="47" t="s">
        <v>39</v>
      </c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</row>
    <row r="37">
      <c r="A37" s="47" t="s">
        <v>74</v>
      </c>
      <c r="B37" s="47" t="s">
        <v>39</v>
      </c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</row>
    <row r="38">
      <c r="A38" s="47" t="s">
        <v>75</v>
      </c>
      <c r="B38" s="47" t="s">
        <v>39</v>
      </c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</row>
    <row r="39">
      <c r="A39" s="47" t="s">
        <v>76</v>
      </c>
      <c r="B39" s="47" t="s">
        <v>39</v>
      </c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</row>
    <row r="40">
      <c r="A40" s="47" t="s">
        <v>77</v>
      </c>
      <c r="B40" s="47" t="s">
        <v>39</v>
      </c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</row>
    <row r="41">
      <c r="A41" s="47" t="s">
        <v>78</v>
      </c>
      <c r="B41" s="47" t="s">
        <v>39</v>
      </c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</row>
    <row r="42">
      <c r="A42" s="47" t="s">
        <v>79</v>
      </c>
      <c r="B42" s="47" t="s">
        <v>39</v>
      </c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</row>
    <row r="43">
      <c r="A43" s="47" t="s">
        <v>80</v>
      </c>
      <c r="B43" s="47" t="s">
        <v>39</v>
      </c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</row>
    <row r="44">
      <c r="A44" s="47" t="s">
        <v>81</v>
      </c>
      <c r="B44" s="47" t="s">
        <v>39</v>
      </c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</row>
    <row r="45">
      <c r="A45" s="47" t="s">
        <v>82</v>
      </c>
      <c r="B45" s="47" t="s">
        <v>39</v>
      </c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</row>
    <row r="46">
      <c r="A46" s="47" t="s">
        <v>83</v>
      </c>
      <c r="B46" s="47" t="s">
        <v>39</v>
      </c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</row>
    <row r="47">
      <c r="A47" s="47" t="s">
        <v>84</v>
      </c>
      <c r="B47" s="47" t="s">
        <v>39</v>
      </c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</row>
    <row r="48">
      <c r="A48" s="47" t="s">
        <v>85</v>
      </c>
      <c r="B48" s="47" t="s">
        <v>39</v>
      </c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</row>
    <row r="49">
      <c r="A49" s="48" t="s">
        <v>86</v>
      </c>
      <c r="B49" s="48" t="s">
        <v>39</v>
      </c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</row>
    <row r="50">
      <c r="A50" s="48" t="s">
        <v>87</v>
      </c>
      <c r="B50" s="48" t="s">
        <v>39</v>
      </c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</row>
    <row r="51">
      <c r="A51" s="48" t="s">
        <v>88</v>
      </c>
      <c r="B51" s="48" t="s">
        <v>39</v>
      </c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</row>
    <row r="52">
      <c r="A52" s="48" t="s">
        <v>89</v>
      </c>
      <c r="B52" s="48" t="s">
        <v>39</v>
      </c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</row>
    <row r="53">
      <c r="A53" s="48" t="s">
        <v>90</v>
      </c>
      <c r="B53" s="48" t="s">
        <v>39</v>
      </c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</row>
    <row r="54">
      <c r="A54" s="48" t="s">
        <v>91</v>
      </c>
      <c r="B54" s="48" t="s">
        <v>39</v>
      </c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</row>
    <row r="55">
      <c r="A55" s="48" t="s">
        <v>92</v>
      </c>
      <c r="B55" s="48" t="s">
        <v>39</v>
      </c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</row>
    <row r="56">
      <c r="A56" s="48" t="s">
        <v>93</v>
      </c>
      <c r="B56" s="48" t="s">
        <v>39</v>
      </c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</row>
    <row r="57">
      <c r="A57" s="48" t="s">
        <v>94</v>
      </c>
      <c r="B57" s="48" t="s">
        <v>39</v>
      </c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</row>
    <row r="58">
      <c r="A58" s="48" t="s">
        <v>95</v>
      </c>
      <c r="B58" s="48" t="s">
        <v>39</v>
      </c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</row>
    <row r="59">
      <c r="A59" s="48" t="s">
        <v>96</v>
      </c>
      <c r="B59" s="48" t="s">
        <v>39</v>
      </c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</row>
    <row r="60">
      <c r="A60" s="48" t="s">
        <v>97</v>
      </c>
      <c r="B60" s="48" t="s">
        <v>39</v>
      </c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</row>
    <row r="61">
      <c r="A61" s="48" t="s">
        <v>98</v>
      </c>
      <c r="B61" s="48" t="s">
        <v>39</v>
      </c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</row>
    <row r="62">
      <c r="A62" s="48" t="s">
        <v>99</v>
      </c>
      <c r="B62" s="48" t="s">
        <v>39</v>
      </c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</row>
    <row r="63">
      <c r="A63" s="48" t="s">
        <v>100</v>
      </c>
      <c r="B63" s="48" t="s">
        <v>39</v>
      </c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</row>
    <row r="64">
      <c r="A64" s="48" t="s">
        <v>101</v>
      </c>
      <c r="B64" s="48" t="s">
        <v>39</v>
      </c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</row>
    <row r="65">
      <c r="A65" s="48" t="s">
        <v>102</v>
      </c>
      <c r="B65" s="48" t="s">
        <v>39</v>
      </c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</row>
    <row r="66">
      <c r="A66" s="48" t="s">
        <v>103</v>
      </c>
      <c r="B66" s="48" t="s">
        <v>39</v>
      </c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</row>
    <row r="67">
      <c r="A67" s="48" t="s">
        <v>104</v>
      </c>
      <c r="B67" s="48" t="s">
        <v>39</v>
      </c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</row>
    <row r="68">
      <c r="A68" s="48" t="s">
        <v>105</v>
      </c>
      <c r="B68" s="48" t="s">
        <v>39</v>
      </c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</row>
    <row r="69">
      <c r="A69" s="48" t="s">
        <v>106</v>
      </c>
      <c r="B69" s="48" t="s">
        <v>39</v>
      </c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</row>
    <row r="70">
      <c r="A70" s="48" t="s">
        <v>107</v>
      </c>
      <c r="B70" s="48" t="s">
        <v>39</v>
      </c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</row>
    <row r="71">
      <c r="A71" s="48" t="s">
        <v>108</v>
      </c>
      <c r="B71" s="48" t="s">
        <v>39</v>
      </c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</row>
    <row r="72">
      <c r="A72" s="48" t="s">
        <v>109</v>
      </c>
      <c r="B72" s="48" t="s">
        <v>39</v>
      </c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</row>
    <row r="73">
      <c r="A73" s="48" t="s">
        <v>110</v>
      </c>
      <c r="B73" s="48" t="s">
        <v>39</v>
      </c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</row>
    <row r="74">
      <c r="A74" s="48" t="s">
        <v>111</v>
      </c>
      <c r="B74" s="48" t="s">
        <v>39</v>
      </c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</row>
    <row r="75">
      <c r="A75" s="48" t="s">
        <v>112</v>
      </c>
      <c r="B75" s="48" t="s">
        <v>39</v>
      </c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</row>
    <row r="76">
      <c r="A76" s="48" t="s">
        <v>113</v>
      </c>
      <c r="B76" s="48" t="s">
        <v>39</v>
      </c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</row>
    <row r="77">
      <c r="A77" s="48" t="s">
        <v>114</v>
      </c>
      <c r="B77" s="48" t="s">
        <v>39</v>
      </c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</row>
    <row r="78">
      <c r="A78" s="48" t="s">
        <v>115</v>
      </c>
      <c r="B78" s="48" t="s">
        <v>39</v>
      </c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</row>
    <row r="79">
      <c r="A79" s="48" t="s">
        <v>116</v>
      </c>
      <c r="B79" s="48" t="s">
        <v>39</v>
      </c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</row>
    <row r="80">
      <c r="A80" s="48" t="s">
        <v>117</v>
      </c>
      <c r="B80" s="48" t="s">
        <v>39</v>
      </c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</row>
    <row r="81">
      <c r="A81" s="48" t="s">
        <v>118</v>
      </c>
      <c r="B81" s="48" t="s">
        <v>39</v>
      </c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</row>
    <row r="82">
      <c r="A82" s="48" t="s">
        <v>119</v>
      </c>
      <c r="B82" s="48" t="s">
        <v>39</v>
      </c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</row>
    <row r="83">
      <c r="A83" s="48" t="s">
        <v>120</v>
      </c>
      <c r="B83" s="48" t="s">
        <v>39</v>
      </c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</row>
    <row r="84">
      <c r="A84" s="48" t="s">
        <v>121</v>
      </c>
      <c r="B84" s="48" t="s">
        <v>39</v>
      </c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</row>
    <row r="85">
      <c r="A85" s="48" t="s">
        <v>90</v>
      </c>
      <c r="B85" s="48" t="s">
        <v>39</v>
      </c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</row>
    <row r="86">
      <c r="A86" s="48" t="s">
        <v>122</v>
      </c>
      <c r="B86" s="48" t="s">
        <v>39</v>
      </c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</row>
    <row r="87">
      <c r="A87" s="48" t="s">
        <v>123</v>
      </c>
      <c r="B87" s="48" t="s">
        <v>39</v>
      </c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</row>
    <row r="88">
      <c r="A88" s="48" t="s">
        <v>124</v>
      </c>
      <c r="B88" s="48" t="s">
        <v>39</v>
      </c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</row>
    <row r="89">
      <c r="A89" s="48" t="s">
        <v>125</v>
      </c>
      <c r="B89" s="48" t="s">
        <v>39</v>
      </c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</row>
    <row r="90">
      <c r="A90" s="48" t="s">
        <v>126</v>
      </c>
      <c r="B90" s="48" t="s">
        <v>39</v>
      </c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</row>
    <row r="91">
      <c r="A91" s="48" t="s">
        <v>127</v>
      </c>
      <c r="B91" s="48" t="s">
        <v>39</v>
      </c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</row>
    <row r="92">
      <c r="A92" s="48" t="s">
        <v>128</v>
      </c>
      <c r="B92" s="48" t="s">
        <v>39</v>
      </c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</row>
    <row r="93">
      <c r="A93" s="48" t="s">
        <v>129</v>
      </c>
      <c r="B93" s="48" t="s">
        <v>39</v>
      </c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</row>
    <row r="94">
      <c r="A94" s="48" t="s">
        <v>130</v>
      </c>
      <c r="B94" s="48" t="s">
        <v>39</v>
      </c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</row>
    <row r="95">
      <c r="A95" s="48" t="s">
        <v>131</v>
      </c>
      <c r="B95" s="48" t="s">
        <v>39</v>
      </c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</row>
    <row r="96">
      <c r="A96" s="48" t="s">
        <v>132</v>
      </c>
      <c r="B96" s="48" t="s">
        <v>39</v>
      </c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</row>
    <row r="97">
      <c r="A97" s="48" t="s">
        <v>133</v>
      </c>
      <c r="B97" s="48" t="s">
        <v>39</v>
      </c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</row>
    <row r="98">
      <c r="A98" s="48" t="s">
        <v>134</v>
      </c>
      <c r="B98" s="48" t="s">
        <v>39</v>
      </c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</row>
    <row r="99">
      <c r="A99" s="48" t="s">
        <v>135</v>
      </c>
      <c r="B99" s="48" t="s">
        <v>39</v>
      </c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</row>
    <row r="100">
      <c r="A100" s="48" t="s">
        <v>136</v>
      </c>
      <c r="B100" s="48" t="s">
        <v>39</v>
      </c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</row>
    <row r="101">
      <c r="A101" s="48" t="s">
        <v>137</v>
      </c>
      <c r="B101" s="48" t="s">
        <v>39</v>
      </c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</row>
    <row r="102">
      <c r="A102" s="48" t="s">
        <v>138</v>
      </c>
      <c r="B102" s="48" t="s">
        <v>39</v>
      </c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</row>
    <row r="103">
      <c r="A103" s="48" t="s">
        <v>139</v>
      </c>
      <c r="B103" s="48" t="s">
        <v>39</v>
      </c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</row>
    <row r="104">
      <c r="A104" s="48" t="s">
        <v>140</v>
      </c>
      <c r="B104" s="48" t="s">
        <v>39</v>
      </c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</row>
    <row r="105">
      <c r="A105" s="48" t="s">
        <v>141</v>
      </c>
      <c r="B105" s="48" t="s">
        <v>39</v>
      </c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</row>
    <row r="106">
      <c r="A106" s="48" t="s">
        <v>142</v>
      </c>
      <c r="B106" s="48" t="s">
        <v>39</v>
      </c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</row>
    <row r="107">
      <c r="A107" s="48" t="s">
        <v>143</v>
      </c>
      <c r="B107" s="48" t="s">
        <v>39</v>
      </c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</row>
    <row r="108">
      <c r="A108" s="48" t="s">
        <v>144</v>
      </c>
      <c r="B108" s="48" t="s">
        <v>39</v>
      </c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</row>
    <row r="109">
      <c r="A109" s="48" t="s">
        <v>145</v>
      </c>
      <c r="B109" s="48" t="s">
        <v>39</v>
      </c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</row>
    <row r="110">
      <c r="A110" s="48" t="s">
        <v>146</v>
      </c>
      <c r="B110" s="48" t="s">
        <v>39</v>
      </c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</row>
    <row r="111">
      <c r="A111" s="48" t="s">
        <v>147</v>
      </c>
      <c r="B111" s="48" t="s">
        <v>39</v>
      </c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</row>
    <row r="112">
      <c r="A112" s="48" t="s">
        <v>148</v>
      </c>
      <c r="B112" s="48" t="s">
        <v>39</v>
      </c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</row>
    <row r="113">
      <c r="A113" s="48" t="s">
        <v>149</v>
      </c>
      <c r="B113" s="48" t="s">
        <v>39</v>
      </c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</row>
    <row r="114">
      <c r="A114" s="48" t="s">
        <v>150</v>
      </c>
      <c r="B114" s="48" t="s">
        <v>39</v>
      </c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</row>
    <row r="115">
      <c r="A115" s="48" t="s">
        <v>151</v>
      </c>
      <c r="B115" s="48" t="s">
        <v>39</v>
      </c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</row>
    <row r="116">
      <c r="A116" s="48" t="s">
        <v>152</v>
      </c>
      <c r="B116" s="48" t="s">
        <v>39</v>
      </c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</row>
    <row r="117">
      <c r="A117" s="48" t="s">
        <v>153</v>
      </c>
      <c r="B117" s="48" t="s">
        <v>39</v>
      </c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</row>
    <row r="118">
      <c r="A118" s="48" t="s">
        <v>154</v>
      </c>
      <c r="B118" s="48" t="s">
        <v>39</v>
      </c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</row>
    <row r="119">
      <c r="A119" s="48" t="s">
        <v>155</v>
      </c>
      <c r="B119" s="48" t="s">
        <v>39</v>
      </c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</row>
    <row r="120">
      <c r="A120" s="48" t="s">
        <v>156</v>
      </c>
      <c r="B120" s="48" t="s">
        <v>39</v>
      </c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</row>
    <row r="121">
      <c r="A121" s="48" t="s">
        <v>157</v>
      </c>
      <c r="B121" s="48" t="s">
        <v>39</v>
      </c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</row>
    <row r="122">
      <c r="A122" s="48" t="s">
        <v>158</v>
      </c>
      <c r="B122" s="48" t="s">
        <v>39</v>
      </c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</row>
    <row r="123">
      <c r="A123" s="48" t="s">
        <v>159</v>
      </c>
      <c r="B123" s="48" t="s">
        <v>39</v>
      </c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</row>
    <row r="124">
      <c r="A124" s="48" t="s">
        <v>160</v>
      </c>
      <c r="B124" s="48" t="s">
        <v>39</v>
      </c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</row>
    <row r="125">
      <c r="A125" s="48" t="s">
        <v>161</v>
      </c>
      <c r="B125" s="48" t="s">
        <v>39</v>
      </c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</row>
    <row r="126">
      <c r="A126" s="48" t="s">
        <v>162</v>
      </c>
      <c r="B126" s="48" t="s">
        <v>39</v>
      </c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</row>
    <row r="127">
      <c r="A127" s="48" t="s">
        <v>163</v>
      </c>
      <c r="B127" s="48" t="s">
        <v>39</v>
      </c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</row>
    <row r="128">
      <c r="A128" s="48" t="s">
        <v>164</v>
      </c>
      <c r="B128" s="48" t="s">
        <v>39</v>
      </c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</row>
    <row r="129">
      <c r="A129" s="48" t="s">
        <v>165</v>
      </c>
      <c r="B129" s="48" t="s">
        <v>39</v>
      </c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</row>
    <row r="130">
      <c r="A130" s="48" t="s">
        <v>166</v>
      </c>
      <c r="B130" s="48" t="s">
        <v>39</v>
      </c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</row>
    <row r="131">
      <c r="A131" s="48" t="s">
        <v>167</v>
      </c>
      <c r="B131" s="48" t="s">
        <v>168</v>
      </c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</row>
    <row r="132">
      <c r="A132" s="48" t="s">
        <v>169</v>
      </c>
      <c r="B132" s="48" t="s">
        <v>168</v>
      </c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</row>
    <row r="133">
      <c r="A133" s="48" t="s">
        <v>170</v>
      </c>
      <c r="B133" s="48" t="s">
        <v>168</v>
      </c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</row>
    <row r="134">
      <c r="A134" s="48" t="s">
        <v>171</v>
      </c>
      <c r="B134" s="48" t="s">
        <v>168</v>
      </c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</row>
    <row r="135">
      <c r="A135" s="48" t="s">
        <v>172</v>
      </c>
      <c r="B135" s="48" t="s">
        <v>168</v>
      </c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</row>
    <row r="136">
      <c r="A136" s="48" t="s">
        <v>173</v>
      </c>
      <c r="B136" s="48" t="s">
        <v>168</v>
      </c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</row>
    <row r="137">
      <c r="A137" s="48" t="s">
        <v>174</v>
      </c>
      <c r="B137" s="48" t="s">
        <v>168</v>
      </c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</row>
    <row r="138">
      <c r="A138" s="48" t="s">
        <v>175</v>
      </c>
      <c r="B138" s="48" t="s">
        <v>168</v>
      </c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</row>
    <row r="139">
      <c r="A139" s="48" t="s">
        <v>176</v>
      </c>
      <c r="B139" s="48" t="s">
        <v>168</v>
      </c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</row>
    <row r="140">
      <c r="A140" s="48" t="s">
        <v>177</v>
      </c>
      <c r="B140" s="48" t="s">
        <v>168</v>
      </c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</row>
    <row r="141">
      <c r="A141" s="48" t="s">
        <v>178</v>
      </c>
      <c r="B141" s="48" t="s">
        <v>168</v>
      </c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</row>
    <row r="142">
      <c r="A142" s="48" t="s">
        <v>179</v>
      </c>
      <c r="B142" s="48" t="s">
        <v>168</v>
      </c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</row>
    <row r="143">
      <c r="A143" s="48" t="s">
        <v>180</v>
      </c>
      <c r="B143" s="48" t="s">
        <v>168</v>
      </c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</row>
    <row r="144">
      <c r="A144" s="48" t="s">
        <v>181</v>
      </c>
      <c r="B144" s="48" t="s">
        <v>168</v>
      </c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</row>
    <row r="145">
      <c r="A145" s="48" t="s">
        <v>182</v>
      </c>
      <c r="B145" s="48" t="s">
        <v>168</v>
      </c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</row>
    <row r="146">
      <c r="A146" s="48" t="s">
        <v>183</v>
      </c>
      <c r="B146" s="48" t="s">
        <v>168</v>
      </c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</row>
    <row r="147">
      <c r="A147" s="48" t="s">
        <v>184</v>
      </c>
      <c r="B147" s="48" t="s">
        <v>168</v>
      </c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</row>
    <row r="148">
      <c r="A148" s="48" t="s">
        <v>185</v>
      </c>
      <c r="B148" s="48" t="s">
        <v>168</v>
      </c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</row>
    <row r="149">
      <c r="A149" s="48" t="s">
        <v>186</v>
      </c>
      <c r="B149" s="48" t="s">
        <v>168</v>
      </c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</row>
    <row r="150">
      <c r="A150" s="48" t="s">
        <v>187</v>
      </c>
      <c r="B150" s="48" t="s">
        <v>168</v>
      </c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</row>
    <row r="151">
      <c r="A151" s="48" t="s">
        <v>188</v>
      </c>
      <c r="B151" s="48" t="s">
        <v>168</v>
      </c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</row>
    <row r="152">
      <c r="A152" s="48" t="s">
        <v>189</v>
      </c>
      <c r="B152" s="48" t="s">
        <v>168</v>
      </c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</row>
    <row r="153">
      <c r="A153" s="48" t="s">
        <v>190</v>
      </c>
      <c r="B153" s="48" t="s">
        <v>191</v>
      </c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</row>
    <row r="154">
      <c r="A154" s="48" t="s">
        <v>192</v>
      </c>
      <c r="B154" s="48" t="s">
        <v>191</v>
      </c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</row>
    <row r="155">
      <c r="A155" s="48" t="s">
        <v>191</v>
      </c>
      <c r="B155" s="48" t="s">
        <v>191</v>
      </c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</row>
    <row r="156">
      <c r="A156" s="48" t="s">
        <v>193</v>
      </c>
      <c r="B156" s="48" t="s">
        <v>191</v>
      </c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</row>
    <row r="157">
      <c r="A157" s="48" t="s">
        <v>194</v>
      </c>
      <c r="B157" s="48" t="s">
        <v>191</v>
      </c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</row>
    <row r="158">
      <c r="A158" s="48" t="s">
        <v>195</v>
      </c>
      <c r="B158" s="48" t="s">
        <v>191</v>
      </c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</row>
    <row r="159">
      <c r="A159" s="48" t="s">
        <v>196</v>
      </c>
      <c r="B159" s="48" t="s">
        <v>191</v>
      </c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</row>
    <row r="160">
      <c r="A160" s="48" t="s">
        <v>197</v>
      </c>
      <c r="B160" s="48" t="s">
        <v>191</v>
      </c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</row>
    <row r="161">
      <c r="A161" s="48" t="s">
        <v>198</v>
      </c>
      <c r="B161" s="48" t="s">
        <v>191</v>
      </c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</row>
    <row r="162">
      <c r="A162" s="48" t="s">
        <v>199</v>
      </c>
      <c r="B162" s="48" t="s">
        <v>191</v>
      </c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</row>
    <row r="163">
      <c r="A163" s="48" t="s">
        <v>200</v>
      </c>
      <c r="B163" s="48" t="s">
        <v>191</v>
      </c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</row>
    <row r="164">
      <c r="A164" s="48" t="s">
        <v>201</v>
      </c>
      <c r="B164" s="48" t="s">
        <v>191</v>
      </c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</row>
    <row r="165">
      <c r="A165" s="48" t="s">
        <v>202</v>
      </c>
      <c r="B165" s="48" t="s">
        <v>191</v>
      </c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</row>
    <row r="166">
      <c r="A166" s="48" t="s">
        <v>203</v>
      </c>
      <c r="B166" s="48" t="s">
        <v>191</v>
      </c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</row>
    <row r="167">
      <c r="A167" s="48" t="s">
        <v>204</v>
      </c>
      <c r="B167" s="48" t="s">
        <v>191</v>
      </c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</row>
    <row r="168">
      <c r="A168" s="48" t="s">
        <v>205</v>
      </c>
      <c r="B168" s="48" t="s">
        <v>206</v>
      </c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</row>
    <row r="169">
      <c r="A169" s="48" t="s">
        <v>207</v>
      </c>
      <c r="B169" s="48" t="s">
        <v>206</v>
      </c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</row>
    <row r="170">
      <c r="A170" s="48" t="s">
        <v>208</v>
      </c>
      <c r="B170" s="48" t="s">
        <v>206</v>
      </c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</row>
    <row r="171">
      <c r="A171" s="48" t="s">
        <v>209</v>
      </c>
      <c r="B171" s="48" t="s">
        <v>206</v>
      </c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</row>
    <row r="172">
      <c r="A172" s="48" t="s">
        <v>210</v>
      </c>
      <c r="B172" s="48" t="s">
        <v>206</v>
      </c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</row>
    <row r="173">
      <c r="A173" s="48" t="s">
        <v>211</v>
      </c>
      <c r="B173" s="48" t="s">
        <v>206</v>
      </c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</row>
    <row r="174">
      <c r="A174" s="48" t="s">
        <v>212</v>
      </c>
      <c r="B174" s="48" t="s">
        <v>206</v>
      </c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</row>
    <row r="175">
      <c r="A175" s="48" t="s">
        <v>213</v>
      </c>
      <c r="B175" s="48" t="s">
        <v>206</v>
      </c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</row>
    <row r="176">
      <c r="A176" s="48" t="s">
        <v>214</v>
      </c>
      <c r="B176" s="48" t="s">
        <v>206</v>
      </c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</row>
    <row r="177">
      <c r="A177" s="48" t="s">
        <v>215</v>
      </c>
      <c r="B177" s="48" t="s">
        <v>206</v>
      </c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</row>
    <row r="178">
      <c r="A178" s="48" t="s">
        <v>216</v>
      </c>
      <c r="B178" s="48" t="s">
        <v>206</v>
      </c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</row>
    <row r="179">
      <c r="A179" s="48" t="s">
        <v>217</v>
      </c>
      <c r="B179" s="48" t="s">
        <v>206</v>
      </c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</row>
    <row r="180">
      <c r="A180" s="48" t="s">
        <v>218</v>
      </c>
      <c r="B180" s="48" t="s">
        <v>206</v>
      </c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</row>
    <row r="181">
      <c r="A181" s="48" t="s">
        <v>219</v>
      </c>
      <c r="B181" s="48" t="s">
        <v>206</v>
      </c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</row>
    <row r="182">
      <c r="A182" s="48" t="s">
        <v>220</v>
      </c>
      <c r="B182" s="48" t="s">
        <v>206</v>
      </c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</row>
    <row r="183">
      <c r="A183" s="48" t="s">
        <v>221</v>
      </c>
      <c r="B183" s="48" t="s">
        <v>206</v>
      </c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</row>
    <row r="184">
      <c r="A184" s="48" t="s">
        <v>222</v>
      </c>
      <c r="B184" s="48" t="s">
        <v>206</v>
      </c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</row>
    <row r="185">
      <c r="A185" s="48" t="s">
        <v>223</v>
      </c>
      <c r="B185" s="48" t="s">
        <v>206</v>
      </c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</row>
    <row r="186">
      <c r="A186" s="48" t="s">
        <v>224</v>
      </c>
      <c r="B186" s="48" t="s">
        <v>206</v>
      </c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</row>
    <row r="187">
      <c r="A187" s="48" t="s">
        <v>225</v>
      </c>
      <c r="B187" s="48" t="s">
        <v>206</v>
      </c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</row>
    <row r="188">
      <c r="A188" s="48" t="s">
        <v>226</v>
      </c>
      <c r="B188" s="48" t="s">
        <v>227</v>
      </c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</row>
    <row r="189">
      <c r="A189" s="48" t="s">
        <v>228</v>
      </c>
      <c r="B189" s="48" t="s">
        <v>227</v>
      </c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</row>
    <row r="190">
      <c r="A190" s="48" t="s">
        <v>229</v>
      </c>
      <c r="B190" s="48" t="s">
        <v>227</v>
      </c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</row>
    <row r="191">
      <c r="A191" s="48" t="s">
        <v>230</v>
      </c>
      <c r="B191" s="48" t="s">
        <v>227</v>
      </c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</row>
    <row r="192">
      <c r="A192" s="48" t="s">
        <v>231</v>
      </c>
      <c r="B192" s="48" t="s">
        <v>227</v>
      </c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</row>
    <row r="193">
      <c r="A193" s="48" t="s">
        <v>232</v>
      </c>
      <c r="B193" s="48" t="s">
        <v>227</v>
      </c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</row>
    <row r="194">
      <c r="A194" s="48" t="s">
        <v>233</v>
      </c>
      <c r="B194" s="48" t="s">
        <v>227</v>
      </c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</row>
    <row r="195">
      <c r="A195" s="48" t="s">
        <v>223</v>
      </c>
      <c r="B195" s="48" t="s">
        <v>227</v>
      </c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</row>
    <row r="196">
      <c r="A196" s="48" t="s">
        <v>234</v>
      </c>
      <c r="B196" s="48" t="s">
        <v>227</v>
      </c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</row>
    <row r="197">
      <c r="A197" s="48" t="s">
        <v>235</v>
      </c>
      <c r="B197" s="48" t="s">
        <v>236</v>
      </c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</row>
    <row r="198">
      <c r="A198" s="48" t="s">
        <v>237</v>
      </c>
      <c r="B198" s="48" t="s">
        <v>236</v>
      </c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</row>
    <row r="199">
      <c r="A199" s="48" t="s">
        <v>238</v>
      </c>
      <c r="B199" s="48" t="s">
        <v>236</v>
      </c>
      <c r="C199" s="46"/>
      <c r="D199" s="46"/>
      <c r="E199" s="46"/>
      <c r="F199" s="46"/>
      <c r="G199" s="46"/>
      <c r="H199" s="46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</row>
    <row r="200">
      <c r="A200" s="48" t="s">
        <v>239</v>
      </c>
      <c r="B200" s="48" t="s">
        <v>236</v>
      </c>
      <c r="C200" s="46"/>
      <c r="D200" s="46"/>
      <c r="E200" s="46"/>
      <c r="F200" s="46"/>
      <c r="G200" s="46"/>
      <c r="H200" s="46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</row>
    <row r="201">
      <c r="A201" s="48" t="s">
        <v>240</v>
      </c>
      <c r="B201" s="48" t="s">
        <v>236</v>
      </c>
      <c r="C201" s="46"/>
      <c r="D201" s="46"/>
      <c r="E201" s="46"/>
      <c r="F201" s="46"/>
      <c r="G201" s="46"/>
      <c r="H201" s="46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</row>
    <row r="202">
      <c r="A202" s="48" t="s">
        <v>241</v>
      </c>
      <c r="B202" s="48" t="s">
        <v>236</v>
      </c>
      <c r="C202" s="46"/>
      <c r="D202" s="46"/>
      <c r="E202" s="46"/>
      <c r="F202" s="46"/>
      <c r="G202" s="46"/>
      <c r="H202" s="46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</row>
    <row r="203">
      <c r="A203" s="48" t="s">
        <v>242</v>
      </c>
      <c r="B203" s="48" t="s">
        <v>236</v>
      </c>
      <c r="C203" s="46"/>
      <c r="D203" s="46"/>
      <c r="E203" s="46"/>
      <c r="F203" s="46"/>
      <c r="G203" s="46"/>
      <c r="H203" s="46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</row>
    <row r="204">
      <c r="A204" s="48" t="s">
        <v>243</v>
      </c>
      <c r="B204" s="48" t="s">
        <v>236</v>
      </c>
      <c r="C204" s="46"/>
      <c r="D204" s="46"/>
      <c r="E204" s="46"/>
      <c r="F204" s="46"/>
      <c r="G204" s="46"/>
      <c r="H204" s="46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</row>
    <row r="205">
      <c r="A205" s="48" t="s">
        <v>244</v>
      </c>
      <c r="B205" s="48" t="s">
        <v>236</v>
      </c>
      <c r="C205" s="46"/>
      <c r="D205" s="46"/>
      <c r="E205" s="46"/>
      <c r="F205" s="46"/>
      <c r="G205" s="46"/>
      <c r="H205" s="46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</row>
    <row r="206">
      <c r="A206" s="48" t="s">
        <v>245</v>
      </c>
      <c r="B206" s="48" t="s">
        <v>236</v>
      </c>
      <c r="C206" s="46"/>
      <c r="D206" s="46"/>
      <c r="E206" s="46"/>
      <c r="F206" s="46"/>
      <c r="G206" s="46"/>
      <c r="H206" s="46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</row>
    <row r="207">
      <c r="A207" s="48" t="s">
        <v>246</v>
      </c>
      <c r="B207" s="48" t="s">
        <v>236</v>
      </c>
      <c r="C207" s="46"/>
      <c r="D207" s="46"/>
      <c r="E207" s="46"/>
      <c r="F207" s="46"/>
      <c r="G207" s="46"/>
      <c r="H207" s="46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</row>
    <row r="208">
      <c r="A208" s="48" t="s">
        <v>247</v>
      </c>
      <c r="B208" s="48" t="s">
        <v>236</v>
      </c>
      <c r="C208" s="46"/>
      <c r="D208" s="46"/>
      <c r="E208" s="46"/>
      <c r="F208" s="46"/>
      <c r="G208" s="46"/>
      <c r="H208" s="46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</row>
    <row r="209">
      <c r="A209" s="48" t="s">
        <v>248</v>
      </c>
      <c r="B209" s="48" t="s">
        <v>236</v>
      </c>
      <c r="C209" s="46"/>
      <c r="D209" s="46"/>
      <c r="E209" s="46"/>
      <c r="F209" s="46"/>
      <c r="G209" s="46"/>
      <c r="H209" s="46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</row>
    <row r="210">
      <c r="A210" s="48" t="s">
        <v>249</v>
      </c>
      <c r="B210" s="48" t="s">
        <v>236</v>
      </c>
      <c r="C210" s="46"/>
      <c r="D210" s="46"/>
      <c r="E210" s="46"/>
      <c r="F210" s="46"/>
      <c r="G210" s="46"/>
      <c r="H210" s="46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</row>
    <row r="211">
      <c r="A211" s="48" t="s">
        <v>250</v>
      </c>
      <c r="B211" s="48" t="s">
        <v>236</v>
      </c>
      <c r="C211" s="46"/>
      <c r="D211" s="46"/>
      <c r="E211" s="46"/>
      <c r="F211" s="46"/>
      <c r="G211" s="46"/>
      <c r="H211" s="46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</row>
    <row r="212">
      <c r="A212" s="48" t="s">
        <v>251</v>
      </c>
      <c r="B212" s="48" t="s">
        <v>236</v>
      </c>
      <c r="C212" s="46"/>
      <c r="D212" s="46"/>
      <c r="E212" s="46"/>
      <c r="F212" s="46"/>
      <c r="G212" s="46"/>
      <c r="H212" s="46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</row>
    <row r="213">
      <c r="A213" s="48" t="s">
        <v>252</v>
      </c>
      <c r="B213" s="48" t="s">
        <v>236</v>
      </c>
      <c r="C213" s="46"/>
      <c r="D213" s="46"/>
      <c r="E213" s="46"/>
      <c r="F213" s="46"/>
      <c r="G213" s="46"/>
      <c r="H213" s="46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</row>
    <row r="214">
      <c r="A214" s="48" t="s">
        <v>253</v>
      </c>
      <c r="B214" s="48" t="s">
        <v>236</v>
      </c>
      <c r="C214" s="46"/>
      <c r="D214" s="46"/>
      <c r="E214" s="46"/>
      <c r="F214" s="46"/>
      <c r="G214" s="46"/>
      <c r="H214" s="46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</row>
    <row r="215">
      <c r="A215" s="48" t="s">
        <v>254</v>
      </c>
      <c r="B215" s="48" t="s">
        <v>236</v>
      </c>
      <c r="C215" s="46"/>
      <c r="D215" s="46"/>
      <c r="E215" s="46"/>
      <c r="F215" s="46"/>
      <c r="G215" s="46"/>
      <c r="H215" s="46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</row>
    <row r="216">
      <c r="A216" s="48" t="s">
        <v>255</v>
      </c>
      <c r="B216" s="48" t="s">
        <v>82</v>
      </c>
      <c r="C216" s="46"/>
      <c r="D216" s="46"/>
      <c r="E216" s="46"/>
      <c r="F216" s="46"/>
      <c r="G216" s="46"/>
      <c r="H216" s="46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</row>
    <row r="217">
      <c r="A217" s="48" t="s">
        <v>256</v>
      </c>
      <c r="B217" s="48" t="s">
        <v>82</v>
      </c>
      <c r="C217" s="46"/>
      <c r="D217" s="46"/>
      <c r="E217" s="46"/>
      <c r="F217" s="46"/>
      <c r="G217" s="46"/>
      <c r="H217" s="46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</row>
    <row r="218">
      <c r="A218" s="48" t="s">
        <v>257</v>
      </c>
      <c r="B218" s="48" t="s">
        <v>82</v>
      </c>
      <c r="C218" s="46"/>
      <c r="D218" s="46"/>
      <c r="E218" s="46"/>
      <c r="F218" s="46"/>
      <c r="G218" s="46"/>
      <c r="H218" s="46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</row>
    <row r="219">
      <c r="A219" s="48" t="s">
        <v>258</v>
      </c>
      <c r="B219" s="48" t="s">
        <v>82</v>
      </c>
      <c r="C219" s="46"/>
      <c r="D219" s="46"/>
      <c r="E219" s="46"/>
      <c r="F219" s="46"/>
      <c r="G219" s="46"/>
      <c r="H219" s="46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</row>
    <row r="220">
      <c r="A220" s="48" t="s">
        <v>259</v>
      </c>
      <c r="B220" s="48" t="s">
        <v>82</v>
      </c>
      <c r="C220" s="46"/>
      <c r="D220" s="46"/>
      <c r="E220" s="46"/>
      <c r="F220" s="46"/>
      <c r="G220" s="46"/>
      <c r="H220" s="46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</row>
    <row r="221">
      <c r="A221" s="48" t="s">
        <v>260</v>
      </c>
      <c r="B221" s="48" t="s">
        <v>82</v>
      </c>
      <c r="C221" s="46"/>
      <c r="D221" s="46"/>
      <c r="E221" s="46"/>
      <c r="F221" s="46"/>
      <c r="G221" s="46"/>
      <c r="H221" s="46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</row>
    <row r="222">
      <c r="A222" s="48" t="s">
        <v>261</v>
      </c>
      <c r="B222" s="48" t="s">
        <v>82</v>
      </c>
      <c r="C222" s="46"/>
      <c r="D222" s="46"/>
      <c r="E222" s="46"/>
      <c r="F222" s="46"/>
      <c r="G222" s="46"/>
      <c r="H222" s="46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</row>
    <row r="223">
      <c r="A223" s="48" t="s">
        <v>262</v>
      </c>
      <c r="B223" s="48" t="s">
        <v>82</v>
      </c>
      <c r="C223" s="46"/>
      <c r="D223" s="46"/>
      <c r="E223" s="46"/>
      <c r="F223" s="46"/>
      <c r="G223" s="46"/>
      <c r="H223" s="46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</row>
    <row r="224">
      <c r="A224" s="48" t="s">
        <v>263</v>
      </c>
      <c r="B224" s="48" t="s">
        <v>82</v>
      </c>
      <c r="C224" s="46"/>
      <c r="D224" s="46"/>
      <c r="E224" s="46"/>
      <c r="F224" s="46"/>
      <c r="G224" s="46"/>
      <c r="H224" s="46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</row>
    <row r="225">
      <c r="A225" s="48" t="s">
        <v>264</v>
      </c>
      <c r="B225" s="48" t="s">
        <v>82</v>
      </c>
      <c r="C225" s="46"/>
      <c r="D225" s="46"/>
      <c r="E225" s="46"/>
      <c r="F225" s="46"/>
      <c r="G225" s="46"/>
      <c r="H225" s="46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</row>
    <row r="226">
      <c r="A226" s="48" t="s">
        <v>265</v>
      </c>
      <c r="B226" s="48" t="s">
        <v>82</v>
      </c>
      <c r="C226" s="46"/>
      <c r="D226" s="46"/>
      <c r="E226" s="46"/>
      <c r="F226" s="46"/>
      <c r="G226" s="46"/>
      <c r="H226" s="46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</row>
    <row r="227">
      <c r="A227" s="48" t="s">
        <v>266</v>
      </c>
      <c r="B227" s="48" t="s">
        <v>82</v>
      </c>
      <c r="C227" s="46"/>
      <c r="D227" s="46"/>
      <c r="E227" s="46"/>
      <c r="F227" s="46"/>
      <c r="G227" s="46"/>
      <c r="H227" s="46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</row>
    <row r="228">
      <c r="A228" s="48" t="s">
        <v>267</v>
      </c>
      <c r="B228" s="48" t="s">
        <v>82</v>
      </c>
      <c r="C228" s="46"/>
      <c r="D228" s="46"/>
      <c r="E228" s="46"/>
      <c r="F228" s="46"/>
      <c r="G228" s="46"/>
      <c r="H228" s="46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</row>
    <row r="229">
      <c r="A229" s="48" t="s">
        <v>243</v>
      </c>
      <c r="B229" s="48" t="s">
        <v>82</v>
      </c>
      <c r="C229" s="46"/>
      <c r="D229" s="46"/>
      <c r="E229" s="46"/>
      <c r="F229" s="46"/>
      <c r="G229" s="46"/>
      <c r="H229" s="46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</row>
    <row r="230">
      <c r="A230" s="48" t="s">
        <v>268</v>
      </c>
      <c r="B230" s="48" t="s">
        <v>82</v>
      </c>
      <c r="C230" s="46"/>
      <c r="D230" s="46"/>
      <c r="E230" s="46"/>
      <c r="F230" s="46"/>
      <c r="G230" s="46"/>
      <c r="H230" s="46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</row>
    <row r="231">
      <c r="A231" s="48" t="s">
        <v>269</v>
      </c>
      <c r="B231" s="48" t="s">
        <v>82</v>
      </c>
      <c r="C231" s="46"/>
      <c r="D231" s="46"/>
      <c r="E231" s="46"/>
      <c r="F231" s="46"/>
      <c r="G231" s="46"/>
      <c r="H231" s="46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</row>
    <row r="232">
      <c r="A232" s="48" t="s">
        <v>270</v>
      </c>
      <c r="B232" s="48" t="s">
        <v>82</v>
      </c>
      <c r="C232" s="46"/>
      <c r="D232" s="46"/>
      <c r="E232" s="46"/>
      <c r="F232" s="46"/>
      <c r="G232" s="46"/>
      <c r="H232" s="46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</row>
    <row r="233">
      <c r="A233" s="48" t="s">
        <v>271</v>
      </c>
      <c r="B233" s="48" t="s">
        <v>82</v>
      </c>
      <c r="C233" s="46"/>
      <c r="D233" s="46"/>
      <c r="E233" s="46"/>
      <c r="F233" s="46"/>
      <c r="G233" s="46"/>
      <c r="H233" s="46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</row>
    <row r="234">
      <c r="A234" s="48" t="s">
        <v>272</v>
      </c>
      <c r="B234" s="48" t="s">
        <v>82</v>
      </c>
      <c r="C234" s="46"/>
      <c r="D234" s="46"/>
      <c r="E234" s="46"/>
      <c r="F234" s="46"/>
      <c r="G234" s="46"/>
      <c r="H234" s="46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</row>
    <row r="235">
      <c r="A235" s="48" t="s">
        <v>273</v>
      </c>
      <c r="B235" s="48" t="s">
        <v>82</v>
      </c>
      <c r="C235" s="46"/>
      <c r="D235" s="46"/>
      <c r="E235" s="46"/>
      <c r="F235" s="46"/>
      <c r="G235" s="46"/>
      <c r="H235" s="46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</row>
    <row r="236">
      <c r="A236" s="48" t="s">
        <v>274</v>
      </c>
      <c r="B236" s="48" t="s">
        <v>82</v>
      </c>
      <c r="C236" s="46"/>
      <c r="D236" s="46"/>
      <c r="E236" s="46"/>
      <c r="F236" s="46"/>
      <c r="G236" s="46"/>
      <c r="H236" s="46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</row>
    <row r="237">
      <c r="A237" s="48" t="s">
        <v>275</v>
      </c>
      <c r="B237" s="48" t="s">
        <v>82</v>
      </c>
      <c r="C237" s="46"/>
      <c r="D237" s="46"/>
      <c r="E237" s="46"/>
      <c r="F237" s="46"/>
      <c r="G237" s="46"/>
      <c r="H237" s="46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</row>
    <row r="238">
      <c r="A238" s="48" t="s">
        <v>276</v>
      </c>
      <c r="B238" s="48" t="s">
        <v>82</v>
      </c>
      <c r="C238" s="46"/>
      <c r="D238" s="46"/>
      <c r="E238" s="46"/>
      <c r="F238" s="46"/>
      <c r="G238" s="46"/>
      <c r="H238" s="46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</row>
    <row r="239">
      <c r="A239" s="48" t="s">
        <v>277</v>
      </c>
      <c r="B239" s="48" t="s">
        <v>82</v>
      </c>
      <c r="C239" s="46"/>
      <c r="D239" s="46"/>
      <c r="E239" s="46"/>
      <c r="F239" s="46"/>
      <c r="G239" s="46"/>
      <c r="H239" s="46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</row>
    <row r="240">
      <c r="A240" s="48" t="s">
        <v>203</v>
      </c>
      <c r="B240" s="48" t="s">
        <v>82</v>
      </c>
      <c r="C240" s="46"/>
      <c r="D240" s="46"/>
      <c r="E240" s="46"/>
      <c r="F240" s="46"/>
      <c r="G240" s="46"/>
      <c r="H240" s="46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</row>
    <row r="241">
      <c r="A241" s="48" t="s">
        <v>278</v>
      </c>
      <c r="B241" s="48" t="s">
        <v>82</v>
      </c>
      <c r="C241" s="46"/>
      <c r="D241" s="46"/>
      <c r="E241" s="46"/>
      <c r="F241" s="46"/>
      <c r="G241" s="46"/>
      <c r="H241" s="46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</row>
    <row r="242">
      <c r="A242" s="48" t="s">
        <v>279</v>
      </c>
      <c r="B242" s="48" t="s">
        <v>82</v>
      </c>
      <c r="C242" s="46"/>
      <c r="D242" s="46"/>
      <c r="E242" s="46"/>
      <c r="F242" s="46"/>
      <c r="G242" s="46"/>
      <c r="H242" s="46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</row>
    <row r="243">
      <c r="A243" s="48" t="s">
        <v>280</v>
      </c>
      <c r="B243" s="48" t="s">
        <v>82</v>
      </c>
      <c r="C243" s="46"/>
      <c r="D243" s="46"/>
      <c r="E243" s="46"/>
      <c r="F243" s="46"/>
      <c r="G243" s="46"/>
      <c r="H243" s="46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</row>
    <row r="244">
      <c r="A244" s="48" t="s">
        <v>281</v>
      </c>
      <c r="B244" s="48" t="s">
        <v>82</v>
      </c>
      <c r="C244" s="46"/>
      <c r="D244" s="46"/>
      <c r="E244" s="46"/>
      <c r="F244" s="46"/>
      <c r="G244" s="46"/>
      <c r="H244" s="46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</row>
    <row r="245">
      <c r="A245" s="48" t="s">
        <v>282</v>
      </c>
      <c r="B245" s="48" t="s">
        <v>82</v>
      </c>
      <c r="C245" s="46"/>
      <c r="D245" s="46"/>
      <c r="E245" s="46"/>
      <c r="F245" s="46"/>
      <c r="G245" s="46"/>
      <c r="H245" s="46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</row>
    <row r="246">
      <c r="A246" s="48" t="s">
        <v>283</v>
      </c>
      <c r="B246" s="48" t="s">
        <v>82</v>
      </c>
      <c r="C246" s="46"/>
      <c r="D246" s="46"/>
      <c r="E246" s="46"/>
      <c r="F246" s="46"/>
      <c r="G246" s="46"/>
      <c r="H246" s="46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</row>
    <row r="247">
      <c r="A247" s="48" t="s">
        <v>284</v>
      </c>
      <c r="B247" s="48" t="s">
        <v>284</v>
      </c>
      <c r="C247" s="46"/>
      <c r="D247" s="46"/>
      <c r="E247" s="46"/>
      <c r="F247" s="46"/>
      <c r="G247" s="46"/>
      <c r="H247" s="46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</row>
    <row r="248">
      <c r="A248" s="48" t="s">
        <v>285</v>
      </c>
      <c r="B248" s="48" t="s">
        <v>284</v>
      </c>
      <c r="C248" s="46"/>
      <c r="D248" s="46"/>
      <c r="E248" s="46"/>
      <c r="F248" s="46"/>
      <c r="G248" s="46"/>
      <c r="H248" s="46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</row>
    <row r="249">
      <c r="A249" s="48" t="s">
        <v>286</v>
      </c>
      <c r="B249" s="48" t="s">
        <v>284</v>
      </c>
      <c r="C249" s="46"/>
      <c r="D249" s="46"/>
      <c r="E249" s="46"/>
      <c r="F249" s="46"/>
      <c r="G249" s="46"/>
      <c r="H249" s="46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</row>
    <row r="250">
      <c r="A250" s="48" t="s">
        <v>287</v>
      </c>
      <c r="B250" s="48" t="s">
        <v>284</v>
      </c>
      <c r="C250" s="46"/>
      <c r="D250" s="46"/>
      <c r="E250" s="46"/>
      <c r="F250" s="46"/>
      <c r="G250" s="46"/>
      <c r="H250" s="46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</row>
    <row r="251">
      <c r="A251" s="48" t="s">
        <v>288</v>
      </c>
      <c r="B251" s="48" t="s">
        <v>284</v>
      </c>
      <c r="C251" s="46"/>
      <c r="D251" s="46"/>
      <c r="E251" s="46"/>
      <c r="F251" s="46"/>
      <c r="G251" s="46"/>
      <c r="H251" s="46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</row>
    <row r="252">
      <c r="A252" s="48" t="s">
        <v>289</v>
      </c>
      <c r="B252" s="48" t="s">
        <v>284</v>
      </c>
      <c r="C252" s="46"/>
      <c r="D252" s="46"/>
      <c r="E252" s="46"/>
      <c r="F252" s="46"/>
      <c r="G252" s="46"/>
      <c r="H252" s="46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</row>
    <row r="253">
      <c r="A253" s="48" t="s">
        <v>290</v>
      </c>
      <c r="B253" s="48" t="s">
        <v>284</v>
      </c>
      <c r="C253" s="46"/>
      <c r="D253" s="46"/>
      <c r="E253" s="46"/>
      <c r="F253" s="46"/>
      <c r="G253" s="46"/>
      <c r="H253" s="46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</row>
    <row r="254">
      <c r="A254" s="48" t="s">
        <v>291</v>
      </c>
      <c r="B254" s="48" t="s">
        <v>284</v>
      </c>
      <c r="C254" s="46"/>
      <c r="D254" s="46"/>
      <c r="E254" s="46"/>
      <c r="F254" s="46"/>
      <c r="G254" s="46"/>
      <c r="H254" s="46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</row>
    <row r="255">
      <c r="A255" s="48" t="s">
        <v>292</v>
      </c>
      <c r="B255" s="48" t="s">
        <v>284</v>
      </c>
      <c r="C255" s="46"/>
      <c r="D255" s="46"/>
      <c r="E255" s="46"/>
      <c r="F255" s="46"/>
      <c r="G255" s="46"/>
      <c r="H255" s="46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</row>
    <row r="256">
      <c r="A256" s="48" t="s">
        <v>293</v>
      </c>
      <c r="B256" s="48" t="s">
        <v>284</v>
      </c>
      <c r="C256" s="46"/>
      <c r="D256" s="46"/>
      <c r="E256" s="46"/>
      <c r="F256" s="46"/>
      <c r="G256" s="46"/>
      <c r="H256" s="46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</row>
    <row r="257">
      <c r="A257" s="48" t="s">
        <v>294</v>
      </c>
      <c r="B257" s="48" t="s">
        <v>295</v>
      </c>
      <c r="C257" s="46"/>
      <c r="D257" s="46"/>
      <c r="E257" s="46"/>
      <c r="F257" s="46"/>
      <c r="G257" s="46"/>
      <c r="H257" s="46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</row>
    <row r="258">
      <c r="A258" s="48" t="s">
        <v>296</v>
      </c>
      <c r="B258" s="48" t="s">
        <v>295</v>
      </c>
      <c r="C258" s="46"/>
      <c r="D258" s="46"/>
      <c r="E258" s="46"/>
      <c r="F258" s="46"/>
      <c r="G258" s="46"/>
      <c r="H258" s="46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</row>
    <row r="259">
      <c r="A259" s="48" t="s">
        <v>297</v>
      </c>
      <c r="B259" s="48" t="s">
        <v>295</v>
      </c>
      <c r="C259" s="46"/>
      <c r="D259" s="46"/>
      <c r="E259" s="46"/>
      <c r="F259" s="46"/>
      <c r="G259" s="46"/>
      <c r="H259" s="46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</row>
    <row r="260">
      <c r="A260" s="48" t="s">
        <v>298</v>
      </c>
      <c r="B260" s="48" t="s">
        <v>295</v>
      </c>
      <c r="C260" s="46"/>
      <c r="D260" s="46"/>
      <c r="E260" s="46"/>
      <c r="F260" s="46"/>
      <c r="G260" s="46"/>
      <c r="H260" s="46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</row>
    <row r="261">
      <c r="A261" s="48" t="s">
        <v>299</v>
      </c>
      <c r="B261" s="48" t="s">
        <v>295</v>
      </c>
      <c r="C261" s="46"/>
      <c r="D261" s="46"/>
      <c r="E261" s="46"/>
      <c r="F261" s="46"/>
      <c r="G261" s="46"/>
      <c r="H261" s="46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</row>
    <row r="262">
      <c r="A262" s="48" t="s">
        <v>300</v>
      </c>
      <c r="B262" s="48" t="s">
        <v>295</v>
      </c>
      <c r="C262" s="46"/>
      <c r="D262" s="46"/>
      <c r="E262" s="46"/>
      <c r="F262" s="46"/>
      <c r="G262" s="46"/>
      <c r="H262" s="46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</row>
    <row r="263">
      <c r="A263" s="48" t="s">
        <v>301</v>
      </c>
      <c r="B263" s="48" t="s">
        <v>295</v>
      </c>
      <c r="C263" s="46"/>
      <c r="D263" s="46"/>
      <c r="E263" s="46"/>
      <c r="F263" s="46"/>
      <c r="G263" s="46"/>
      <c r="H263" s="46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</row>
    <row r="264">
      <c r="A264" s="48" t="s">
        <v>302</v>
      </c>
      <c r="B264" s="48" t="s">
        <v>295</v>
      </c>
      <c r="C264" s="46"/>
      <c r="D264" s="46"/>
      <c r="E264" s="46"/>
      <c r="F264" s="46"/>
      <c r="G264" s="46"/>
      <c r="H264" s="46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</row>
    <row r="265">
      <c r="A265" s="48" t="s">
        <v>303</v>
      </c>
      <c r="B265" s="48" t="s">
        <v>295</v>
      </c>
      <c r="C265" s="46"/>
      <c r="D265" s="46"/>
      <c r="E265" s="46"/>
      <c r="F265" s="46"/>
      <c r="G265" s="46"/>
      <c r="H265" s="46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</row>
    <row r="266">
      <c r="A266" s="48" t="s">
        <v>304</v>
      </c>
      <c r="B266" s="48" t="s">
        <v>295</v>
      </c>
      <c r="C266" s="46"/>
      <c r="D266" s="46"/>
      <c r="E266" s="46"/>
      <c r="F266" s="46"/>
      <c r="G266" s="46"/>
      <c r="H266" s="46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</row>
    <row r="267">
      <c r="A267" s="48" t="s">
        <v>113</v>
      </c>
      <c r="B267" s="48" t="s">
        <v>295</v>
      </c>
      <c r="C267" s="46"/>
      <c r="D267" s="46"/>
      <c r="E267" s="46"/>
      <c r="F267" s="46"/>
      <c r="G267" s="46"/>
      <c r="H267" s="46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</row>
    <row r="268">
      <c r="A268" s="48" t="s">
        <v>305</v>
      </c>
      <c r="B268" s="48" t="s">
        <v>306</v>
      </c>
      <c r="C268" s="46"/>
      <c r="D268" s="46"/>
      <c r="E268" s="46"/>
      <c r="F268" s="46"/>
      <c r="G268" s="46"/>
      <c r="H268" s="46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</row>
    <row r="269">
      <c r="A269" s="48" t="s">
        <v>307</v>
      </c>
      <c r="B269" s="48" t="s">
        <v>306</v>
      </c>
      <c r="C269" s="46"/>
      <c r="D269" s="46"/>
      <c r="E269" s="46"/>
      <c r="F269" s="46"/>
      <c r="G269" s="46"/>
      <c r="H269" s="46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</row>
    <row r="270">
      <c r="A270" s="48" t="s">
        <v>308</v>
      </c>
      <c r="B270" s="48" t="s">
        <v>306</v>
      </c>
      <c r="C270" s="46"/>
      <c r="D270" s="46"/>
      <c r="E270" s="46"/>
      <c r="F270" s="46"/>
      <c r="G270" s="46"/>
      <c r="H270" s="46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</row>
    <row r="271">
      <c r="A271" s="48" t="s">
        <v>309</v>
      </c>
      <c r="B271" s="48" t="s">
        <v>306</v>
      </c>
      <c r="C271" s="46"/>
      <c r="D271" s="46"/>
      <c r="E271" s="46"/>
      <c r="F271" s="46"/>
      <c r="G271" s="46"/>
      <c r="H271" s="46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</row>
    <row r="272">
      <c r="A272" s="48" t="s">
        <v>310</v>
      </c>
      <c r="B272" s="48" t="s">
        <v>306</v>
      </c>
      <c r="C272" s="46"/>
      <c r="D272" s="46"/>
      <c r="E272" s="46"/>
      <c r="F272" s="46"/>
      <c r="G272" s="46"/>
      <c r="H272" s="46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</row>
    <row r="273">
      <c r="A273" s="48" t="s">
        <v>311</v>
      </c>
      <c r="B273" s="48" t="s">
        <v>306</v>
      </c>
      <c r="C273" s="46"/>
      <c r="D273" s="46"/>
      <c r="E273" s="46"/>
      <c r="F273" s="46"/>
      <c r="G273" s="46"/>
      <c r="H273" s="46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</row>
    <row r="274">
      <c r="A274" s="48" t="s">
        <v>312</v>
      </c>
      <c r="B274" s="48" t="s">
        <v>306</v>
      </c>
      <c r="C274" s="46"/>
      <c r="D274" s="46"/>
      <c r="E274" s="46"/>
      <c r="F274" s="46"/>
      <c r="G274" s="46"/>
      <c r="H274" s="46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</row>
    <row r="275">
      <c r="A275" s="48" t="s">
        <v>313</v>
      </c>
      <c r="B275" s="48" t="s">
        <v>306</v>
      </c>
      <c r="C275" s="46"/>
      <c r="D275" s="46"/>
      <c r="E275" s="46"/>
      <c r="F275" s="46"/>
      <c r="G275" s="46"/>
      <c r="H275" s="46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</row>
    <row r="276">
      <c r="A276" s="48" t="s">
        <v>314</v>
      </c>
      <c r="B276" s="48" t="s">
        <v>306</v>
      </c>
      <c r="C276" s="46"/>
      <c r="D276" s="46"/>
      <c r="E276" s="46"/>
      <c r="F276" s="46"/>
      <c r="G276" s="46"/>
      <c r="H276" s="46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</row>
    <row r="277">
      <c r="A277" s="48" t="s">
        <v>315</v>
      </c>
      <c r="B277" s="48" t="s">
        <v>306</v>
      </c>
      <c r="C277" s="46"/>
      <c r="D277" s="46"/>
      <c r="E277" s="46"/>
      <c r="F277" s="46"/>
      <c r="G277" s="46"/>
      <c r="H277" s="46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</row>
    <row r="278">
      <c r="A278" s="48" t="s">
        <v>316</v>
      </c>
      <c r="B278" s="48" t="s">
        <v>306</v>
      </c>
      <c r="C278" s="46"/>
      <c r="D278" s="46"/>
      <c r="E278" s="46"/>
      <c r="F278" s="46"/>
      <c r="G278" s="46"/>
      <c r="H278" s="46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</row>
    <row r="279">
      <c r="A279" s="48" t="s">
        <v>317</v>
      </c>
      <c r="B279" s="48" t="s">
        <v>306</v>
      </c>
      <c r="C279" s="46"/>
      <c r="D279" s="46"/>
      <c r="E279" s="46"/>
      <c r="F279" s="46"/>
      <c r="G279" s="46"/>
      <c r="H279" s="46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</row>
    <row r="280">
      <c r="A280" s="48" t="s">
        <v>318</v>
      </c>
      <c r="B280" s="48" t="s">
        <v>306</v>
      </c>
      <c r="C280" s="46"/>
      <c r="D280" s="46"/>
      <c r="E280" s="46"/>
      <c r="F280" s="46"/>
      <c r="G280" s="46"/>
      <c r="H280" s="46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</row>
    <row r="281">
      <c r="A281" s="48" t="s">
        <v>319</v>
      </c>
      <c r="B281" s="48" t="s">
        <v>306</v>
      </c>
      <c r="C281" s="46"/>
      <c r="D281" s="46"/>
      <c r="E281" s="46"/>
      <c r="F281" s="46"/>
      <c r="G281" s="46"/>
      <c r="H281" s="46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</row>
    <row r="282">
      <c r="A282" s="48" t="s">
        <v>320</v>
      </c>
      <c r="B282" s="48" t="s">
        <v>306</v>
      </c>
      <c r="C282" s="46"/>
      <c r="D282" s="46"/>
      <c r="E282" s="46"/>
      <c r="F282" s="46"/>
      <c r="G282" s="46"/>
      <c r="H282" s="46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</row>
    <row r="283">
      <c r="A283" s="48" t="s">
        <v>321</v>
      </c>
      <c r="B283" s="48" t="s">
        <v>322</v>
      </c>
      <c r="C283" s="46"/>
      <c r="D283" s="46"/>
      <c r="E283" s="46"/>
      <c r="F283" s="46"/>
      <c r="G283" s="46"/>
      <c r="H283" s="46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</row>
    <row r="284">
      <c r="A284" s="48" t="s">
        <v>323</v>
      </c>
      <c r="B284" s="48" t="s">
        <v>322</v>
      </c>
      <c r="C284" s="46"/>
      <c r="D284" s="46"/>
      <c r="E284" s="46"/>
      <c r="F284" s="46"/>
      <c r="G284" s="46"/>
      <c r="H284" s="46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</row>
    <row r="285">
      <c r="A285" s="48" t="s">
        <v>324</v>
      </c>
      <c r="B285" s="48" t="s">
        <v>322</v>
      </c>
      <c r="C285" s="46"/>
      <c r="D285" s="46"/>
      <c r="E285" s="46"/>
      <c r="F285" s="46"/>
      <c r="G285" s="46"/>
      <c r="H285" s="46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</row>
    <row r="286">
      <c r="A286" s="48" t="s">
        <v>325</v>
      </c>
      <c r="B286" s="48" t="s">
        <v>322</v>
      </c>
      <c r="C286" s="46"/>
      <c r="D286" s="46"/>
      <c r="E286" s="46"/>
      <c r="F286" s="46"/>
      <c r="G286" s="46"/>
      <c r="H286" s="46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</row>
    <row r="287">
      <c r="A287" s="48" t="s">
        <v>326</v>
      </c>
      <c r="B287" s="48" t="s">
        <v>322</v>
      </c>
      <c r="C287" s="46"/>
      <c r="D287" s="46"/>
      <c r="E287" s="46"/>
      <c r="F287" s="46"/>
      <c r="G287" s="46"/>
      <c r="H287" s="46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</row>
    <row r="288">
      <c r="A288" s="48" t="s">
        <v>327</v>
      </c>
      <c r="B288" s="48" t="s">
        <v>322</v>
      </c>
      <c r="C288" s="46"/>
      <c r="D288" s="46"/>
      <c r="E288" s="46"/>
      <c r="F288" s="46"/>
      <c r="G288" s="46"/>
      <c r="H288" s="46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</row>
    <row r="289">
      <c r="A289" s="48" t="s">
        <v>328</v>
      </c>
      <c r="B289" s="48" t="s">
        <v>322</v>
      </c>
      <c r="C289" s="46"/>
      <c r="D289" s="46"/>
      <c r="E289" s="46"/>
      <c r="F289" s="46"/>
      <c r="G289" s="46"/>
      <c r="H289" s="46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</row>
    <row r="290">
      <c r="A290" s="48" t="s">
        <v>329</v>
      </c>
      <c r="B290" s="48" t="s">
        <v>322</v>
      </c>
      <c r="C290" s="46"/>
      <c r="D290" s="46"/>
      <c r="E290" s="46"/>
      <c r="F290" s="46"/>
      <c r="G290" s="46"/>
      <c r="H290" s="46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</row>
    <row r="291">
      <c r="A291" s="48" t="s">
        <v>330</v>
      </c>
      <c r="B291" s="48" t="s">
        <v>322</v>
      </c>
      <c r="C291" s="46"/>
      <c r="D291" s="46"/>
      <c r="E291" s="46"/>
      <c r="F291" s="46"/>
      <c r="G291" s="46"/>
      <c r="H291" s="46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</row>
    <row r="292">
      <c r="A292" s="48" t="s">
        <v>331</v>
      </c>
      <c r="B292" s="48" t="s">
        <v>322</v>
      </c>
      <c r="C292" s="46"/>
      <c r="D292" s="46"/>
      <c r="E292" s="46"/>
      <c r="F292" s="46"/>
      <c r="G292" s="46"/>
      <c r="H292" s="46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</row>
    <row r="293">
      <c r="A293" s="48" t="s">
        <v>332</v>
      </c>
      <c r="B293" s="48" t="s">
        <v>322</v>
      </c>
      <c r="C293" s="46"/>
      <c r="D293" s="46"/>
      <c r="E293" s="46"/>
      <c r="F293" s="46"/>
      <c r="G293" s="46"/>
      <c r="H293" s="46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</row>
    <row r="294">
      <c r="A294" s="48" t="s">
        <v>333</v>
      </c>
      <c r="B294" s="48" t="s">
        <v>322</v>
      </c>
      <c r="C294" s="46"/>
      <c r="D294" s="46"/>
      <c r="E294" s="46"/>
      <c r="F294" s="46"/>
      <c r="G294" s="46"/>
      <c r="H294" s="46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</row>
    <row r="295">
      <c r="A295" s="48" t="s">
        <v>334</v>
      </c>
      <c r="B295" s="48" t="s">
        <v>322</v>
      </c>
      <c r="C295" s="46"/>
      <c r="D295" s="46"/>
      <c r="E295" s="46"/>
      <c r="F295" s="46"/>
      <c r="G295" s="46"/>
      <c r="H295" s="46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</row>
    <row r="296">
      <c r="A296" s="48" t="s">
        <v>335</v>
      </c>
      <c r="B296" s="48" t="s">
        <v>322</v>
      </c>
      <c r="C296" s="46"/>
      <c r="D296" s="46"/>
      <c r="E296" s="46"/>
      <c r="F296" s="46"/>
      <c r="G296" s="46"/>
      <c r="H296" s="46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</row>
    <row r="297">
      <c r="A297" s="48" t="s">
        <v>336</v>
      </c>
      <c r="B297" s="48" t="s">
        <v>322</v>
      </c>
      <c r="C297" s="46"/>
      <c r="D297" s="46"/>
      <c r="E297" s="46"/>
      <c r="F297" s="46"/>
      <c r="G297" s="46"/>
      <c r="H297" s="46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</row>
    <row r="298">
      <c r="A298" s="48" t="s">
        <v>223</v>
      </c>
      <c r="B298" s="48" t="s">
        <v>322</v>
      </c>
      <c r="C298" s="46"/>
      <c r="D298" s="46"/>
      <c r="E298" s="46"/>
      <c r="F298" s="46"/>
      <c r="G298" s="46"/>
      <c r="H298" s="46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</row>
    <row r="299">
      <c r="A299" s="48" t="s">
        <v>102</v>
      </c>
      <c r="B299" s="48" t="s">
        <v>322</v>
      </c>
      <c r="C299" s="46"/>
      <c r="D299" s="46"/>
      <c r="E299" s="46"/>
      <c r="F299" s="46"/>
      <c r="G299" s="46"/>
      <c r="H299" s="46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</row>
    <row r="300">
      <c r="A300" s="48" t="s">
        <v>337</v>
      </c>
      <c r="B300" s="48" t="s">
        <v>322</v>
      </c>
      <c r="C300" s="46"/>
      <c r="D300" s="46"/>
      <c r="E300" s="46"/>
      <c r="F300" s="46"/>
      <c r="G300" s="46"/>
      <c r="H300" s="46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</row>
    <row r="301">
      <c r="A301" s="48" t="s">
        <v>338</v>
      </c>
      <c r="B301" s="48" t="s">
        <v>322</v>
      </c>
      <c r="C301" s="46"/>
      <c r="D301" s="46"/>
      <c r="E301" s="46"/>
      <c r="F301" s="46"/>
      <c r="G301" s="46"/>
      <c r="H301" s="46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</row>
    <row r="302">
      <c r="A302" s="48" t="s">
        <v>339</v>
      </c>
      <c r="B302" s="48" t="s">
        <v>322</v>
      </c>
      <c r="C302" s="46"/>
      <c r="D302" s="46"/>
      <c r="E302" s="46"/>
      <c r="F302" s="46"/>
      <c r="G302" s="46"/>
      <c r="H302" s="46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</row>
    <row r="303">
      <c r="A303" s="48" t="s">
        <v>340</v>
      </c>
      <c r="B303" s="48" t="s">
        <v>322</v>
      </c>
      <c r="C303" s="46"/>
      <c r="D303" s="46"/>
      <c r="E303" s="46"/>
      <c r="F303" s="46"/>
      <c r="G303" s="46"/>
      <c r="H303" s="46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</row>
    <row r="304">
      <c r="A304" s="48" t="s">
        <v>341</v>
      </c>
      <c r="B304" s="48" t="s">
        <v>322</v>
      </c>
      <c r="C304" s="46"/>
      <c r="D304" s="46"/>
      <c r="E304" s="46"/>
      <c r="F304" s="46"/>
      <c r="G304" s="46"/>
      <c r="H304" s="46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</row>
    <row r="305">
      <c r="A305" s="48" t="s">
        <v>342</v>
      </c>
      <c r="B305" s="48" t="s">
        <v>343</v>
      </c>
      <c r="C305" s="46"/>
      <c r="D305" s="46"/>
      <c r="E305" s="46"/>
      <c r="F305" s="46"/>
      <c r="G305" s="46"/>
      <c r="H305" s="46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</row>
    <row r="306">
      <c r="A306" s="48" t="s">
        <v>344</v>
      </c>
      <c r="B306" s="48" t="s">
        <v>343</v>
      </c>
      <c r="C306" s="46"/>
      <c r="D306" s="46"/>
      <c r="E306" s="46"/>
      <c r="F306" s="46"/>
      <c r="G306" s="46"/>
      <c r="H306" s="46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</row>
    <row r="307">
      <c r="A307" s="48" t="s">
        <v>345</v>
      </c>
      <c r="B307" s="48" t="s">
        <v>343</v>
      </c>
      <c r="C307" s="46"/>
      <c r="D307" s="46"/>
      <c r="E307" s="46"/>
      <c r="F307" s="46"/>
      <c r="G307" s="46"/>
      <c r="H307" s="46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</row>
    <row r="308">
      <c r="A308" s="48" t="s">
        <v>346</v>
      </c>
      <c r="B308" s="48" t="s">
        <v>343</v>
      </c>
      <c r="C308" s="46"/>
      <c r="D308" s="46"/>
      <c r="E308" s="46"/>
      <c r="F308" s="46"/>
      <c r="G308" s="46"/>
      <c r="H308" s="46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</row>
    <row r="309">
      <c r="A309" s="48" t="s">
        <v>347</v>
      </c>
      <c r="B309" s="48" t="s">
        <v>343</v>
      </c>
      <c r="C309" s="46"/>
      <c r="D309" s="46"/>
      <c r="E309" s="46"/>
      <c r="F309" s="46"/>
      <c r="G309" s="46"/>
      <c r="H309" s="46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</row>
    <row r="310">
      <c r="A310" s="48" t="s">
        <v>348</v>
      </c>
      <c r="B310" s="48" t="s">
        <v>343</v>
      </c>
      <c r="C310" s="46"/>
      <c r="D310" s="46"/>
      <c r="E310" s="46"/>
      <c r="F310" s="46"/>
      <c r="G310" s="46"/>
      <c r="H310" s="46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</row>
    <row r="311">
      <c r="A311" s="48" t="s">
        <v>349</v>
      </c>
      <c r="B311" s="48" t="s">
        <v>343</v>
      </c>
      <c r="C311" s="46"/>
      <c r="D311" s="46"/>
      <c r="E311" s="46"/>
      <c r="F311" s="46"/>
      <c r="G311" s="46"/>
      <c r="H311" s="46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</row>
    <row r="312">
      <c r="A312" s="48" t="s">
        <v>350</v>
      </c>
      <c r="B312" s="48" t="s">
        <v>343</v>
      </c>
      <c r="C312" s="46"/>
      <c r="D312" s="46"/>
      <c r="E312" s="46"/>
      <c r="F312" s="46"/>
      <c r="G312" s="46"/>
      <c r="H312" s="46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</row>
    <row r="313">
      <c r="A313" s="48" t="s">
        <v>351</v>
      </c>
      <c r="B313" s="48" t="s">
        <v>343</v>
      </c>
      <c r="C313" s="46"/>
      <c r="D313" s="46"/>
      <c r="E313" s="46"/>
      <c r="F313" s="46"/>
      <c r="G313" s="46"/>
      <c r="H313" s="46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</row>
    <row r="314">
      <c r="A314" s="48" t="s">
        <v>352</v>
      </c>
      <c r="B314" s="48" t="s">
        <v>343</v>
      </c>
      <c r="C314" s="46"/>
      <c r="D314" s="46"/>
      <c r="E314" s="46"/>
      <c r="F314" s="46"/>
      <c r="G314" s="46"/>
      <c r="H314" s="46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</row>
    <row r="315">
      <c r="A315" s="48" t="s">
        <v>353</v>
      </c>
      <c r="B315" s="48" t="s">
        <v>343</v>
      </c>
      <c r="C315" s="46"/>
      <c r="D315" s="46"/>
      <c r="E315" s="46"/>
      <c r="F315" s="46"/>
      <c r="G315" s="46"/>
      <c r="H315" s="46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</row>
    <row r="316">
      <c r="A316" s="48" t="s">
        <v>354</v>
      </c>
      <c r="B316" s="48" t="s">
        <v>343</v>
      </c>
      <c r="C316" s="46"/>
      <c r="D316" s="46"/>
      <c r="E316" s="46"/>
      <c r="F316" s="46"/>
      <c r="G316" s="46"/>
      <c r="H316" s="46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</row>
    <row r="317">
      <c r="A317" s="48" t="s">
        <v>355</v>
      </c>
      <c r="B317" s="48" t="s">
        <v>343</v>
      </c>
      <c r="C317" s="46"/>
      <c r="D317" s="46"/>
      <c r="E317" s="46"/>
      <c r="F317" s="46"/>
      <c r="G317" s="46"/>
      <c r="H317" s="46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</row>
    <row r="318">
      <c r="A318" s="48" t="s">
        <v>356</v>
      </c>
      <c r="B318" s="48" t="s">
        <v>343</v>
      </c>
      <c r="C318" s="46"/>
      <c r="D318" s="46"/>
      <c r="E318" s="46"/>
      <c r="F318" s="46"/>
      <c r="G318" s="46"/>
      <c r="H318" s="46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</row>
    <row r="319">
      <c r="A319" s="48" t="s">
        <v>357</v>
      </c>
      <c r="B319" s="48" t="s">
        <v>343</v>
      </c>
      <c r="C319" s="46"/>
      <c r="D319" s="46"/>
      <c r="E319" s="46"/>
      <c r="F319" s="46"/>
      <c r="G319" s="46"/>
      <c r="H319" s="46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</row>
    <row r="320">
      <c r="A320" s="48" t="s">
        <v>358</v>
      </c>
      <c r="B320" s="48" t="s">
        <v>343</v>
      </c>
      <c r="C320" s="46"/>
      <c r="D320" s="46"/>
      <c r="E320" s="46"/>
      <c r="F320" s="46"/>
      <c r="G320" s="46"/>
      <c r="H320" s="46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</row>
    <row r="321">
      <c r="A321" s="48" t="s">
        <v>359</v>
      </c>
      <c r="B321" s="48" t="s">
        <v>360</v>
      </c>
      <c r="C321" s="46"/>
      <c r="D321" s="46"/>
      <c r="E321" s="46"/>
      <c r="F321" s="46"/>
      <c r="G321" s="46"/>
      <c r="H321" s="46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</row>
    <row r="322">
      <c r="A322" s="48" t="s">
        <v>361</v>
      </c>
      <c r="B322" s="48" t="s">
        <v>360</v>
      </c>
      <c r="C322" s="46"/>
      <c r="D322" s="46"/>
      <c r="E322" s="46"/>
      <c r="F322" s="46"/>
      <c r="G322" s="46"/>
      <c r="H322" s="46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</row>
    <row r="323">
      <c r="A323" s="48" t="s">
        <v>362</v>
      </c>
      <c r="B323" s="48" t="s">
        <v>360</v>
      </c>
      <c r="C323" s="46"/>
      <c r="D323" s="46"/>
      <c r="E323" s="46"/>
      <c r="F323" s="46"/>
      <c r="G323" s="46"/>
      <c r="H323" s="46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</row>
    <row r="324">
      <c r="A324" s="48" t="s">
        <v>363</v>
      </c>
      <c r="B324" s="48" t="s">
        <v>360</v>
      </c>
      <c r="C324" s="46"/>
      <c r="D324" s="46"/>
      <c r="E324" s="46"/>
      <c r="F324" s="46"/>
      <c r="G324" s="46"/>
      <c r="H324" s="46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</row>
    <row r="325">
      <c r="A325" s="48" t="s">
        <v>364</v>
      </c>
      <c r="B325" s="48" t="s">
        <v>360</v>
      </c>
      <c r="C325" s="46"/>
      <c r="D325" s="46"/>
      <c r="E325" s="46"/>
      <c r="F325" s="46"/>
      <c r="G325" s="46"/>
      <c r="H325" s="46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</row>
    <row r="326">
      <c r="A326" s="48" t="s">
        <v>365</v>
      </c>
      <c r="B326" s="48" t="s">
        <v>366</v>
      </c>
      <c r="C326" s="46"/>
      <c r="D326" s="46"/>
      <c r="E326" s="46"/>
      <c r="F326" s="46"/>
      <c r="G326" s="46"/>
      <c r="H326" s="46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</row>
    <row r="327">
      <c r="A327" s="48" t="s">
        <v>367</v>
      </c>
      <c r="B327" s="48" t="s">
        <v>366</v>
      </c>
      <c r="C327" s="46"/>
      <c r="D327" s="46"/>
      <c r="E327" s="46"/>
      <c r="F327" s="46"/>
      <c r="G327" s="46"/>
      <c r="H327" s="46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</row>
    <row r="328">
      <c r="A328" s="48" t="s">
        <v>368</v>
      </c>
      <c r="B328" s="48" t="s">
        <v>366</v>
      </c>
      <c r="C328" s="46"/>
      <c r="D328" s="46"/>
      <c r="E328" s="46"/>
      <c r="F328" s="46"/>
      <c r="G328" s="46"/>
      <c r="H328" s="46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</row>
    <row r="329">
      <c r="A329" s="48" t="s">
        <v>369</v>
      </c>
      <c r="B329" s="48" t="s">
        <v>366</v>
      </c>
      <c r="C329" s="46"/>
      <c r="D329" s="46"/>
      <c r="E329" s="46"/>
      <c r="F329" s="46"/>
      <c r="G329" s="46"/>
      <c r="H329" s="46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</row>
    <row r="330">
      <c r="A330" s="48" t="s">
        <v>370</v>
      </c>
      <c r="B330" s="48" t="s">
        <v>366</v>
      </c>
      <c r="C330" s="46"/>
      <c r="D330" s="46"/>
      <c r="E330" s="46"/>
      <c r="F330" s="46"/>
      <c r="G330" s="46"/>
      <c r="H330" s="46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</row>
    <row r="331">
      <c r="A331" s="48" t="s">
        <v>371</v>
      </c>
      <c r="B331" s="48" t="s">
        <v>366</v>
      </c>
      <c r="C331" s="46"/>
      <c r="D331" s="46"/>
      <c r="E331" s="46"/>
      <c r="F331" s="46"/>
      <c r="G331" s="46"/>
      <c r="H331" s="46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</row>
    <row r="332">
      <c r="A332" s="48" t="s">
        <v>372</v>
      </c>
      <c r="B332" s="48" t="s">
        <v>366</v>
      </c>
      <c r="C332" s="46"/>
      <c r="D332" s="46"/>
      <c r="E332" s="46"/>
      <c r="F332" s="46"/>
      <c r="G332" s="46"/>
      <c r="H332" s="46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</row>
    <row r="333">
      <c r="A333" s="48" t="s">
        <v>373</v>
      </c>
      <c r="B333" s="48" t="s">
        <v>366</v>
      </c>
      <c r="C333" s="46"/>
      <c r="D333" s="46"/>
      <c r="E333" s="46"/>
      <c r="F333" s="46"/>
      <c r="G333" s="46"/>
      <c r="H333" s="46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</row>
    <row r="334">
      <c r="A334" s="48" t="s">
        <v>374</v>
      </c>
      <c r="B334" s="48" t="s">
        <v>366</v>
      </c>
      <c r="C334" s="46"/>
      <c r="D334" s="46"/>
      <c r="E334" s="46"/>
      <c r="F334" s="46"/>
      <c r="G334" s="46"/>
      <c r="H334" s="46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</row>
    <row r="335">
      <c r="A335" s="48" t="s">
        <v>375</v>
      </c>
      <c r="B335" s="48" t="s">
        <v>366</v>
      </c>
      <c r="C335" s="46"/>
      <c r="D335" s="46"/>
      <c r="E335" s="46"/>
      <c r="F335" s="46"/>
      <c r="G335" s="46"/>
      <c r="H335" s="46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</row>
    <row r="336">
      <c r="A336" s="48" t="s">
        <v>376</v>
      </c>
      <c r="B336" s="48" t="s">
        <v>366</v>
      </c>
      <c r="C336" s="46"/>
      <c r="D336" s="46"/>
      <c r="E336" s="46"/>
      <c r="F336" s="46"/>
      <c r="G336" s="46"/>
      <c r="H336" s="46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</row>
    <row r="337">
      <c r="A337" s="48" t="s">
        <v>377</v>
      </c>
      <c r="B337" s="48" t="s">
        <v>366</v>
      </c>
      <c r="C337" s="46"/>
      <c r="D337" s="46"/>
      <c r="E337" s="46"/>
      <c r="F337" s="46"/>
      <c r="G337" s="46"/>
      <c r="H337" s="46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</row>
    <row r="338">
      <c r="A338" s="48" t="s">
        <v>378</v>
      </c>
      <c r="B338" s="48" t="s">
        <v>366</v>
      </c>
      <c r="C338" s="46"/>
      <c r="D338" s="46"/>
      <c r="E338" s="46"/>
      <c r="F338" s="46"/>
      <c r="G338" s="46"/>
      <c r="H338" s="46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</row>
    <row r="339">
      <c r="A339" s="48" t="s">
        <v>379</v>
      </c>
      <c r="B339" s="48" t="s">
        <v>380</v>
      </c>
      <c r="C339" s="46"/>
      <c r="D339" s="46"/>
      <c r="E339" s="46"/>
      <c r="F339" s="46"/>
      <c r="G339" s="46"/>
      <c r="H339" s="46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</row>
    <row r="340">
      <c r="A340" s="48" t="s">
        <v>381</v>
      </c>
      <c r="B340" s="48" t="s">
        <v>380</v>
      </c>
      <c r="C340" s="46"/>
      <c r="D340" s="46"/>
      <c r="E340" s="46"/>
      <c r="F340" s="46"/>
      <c r="G340" s="46"/>
      <c r="H340" s="46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</row>
    <row r="341">
      <c r="A341" s="48" t="s">
        <v>382</v>
      </c>
      <c r="B341" s="48" t="s">
        <v>380</v>
      </c>
      <c r="C341" s="46"/>
      <c r="D341" s="46"/>
      <c r="E341" s="46"/>
      <c r="F341" s="46"/>
      <c r="G341" s="46"/>
      <c r="H341" s="46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</row>
    <row r="342">
      <c r="A342" s="48" t="s">
        <v>383</v>
      </c>
      <c r="B342" s="48" t="s">
        <v>380</v>
      </c>
      <c r="C342" s="46"/>
      <c r="D342" s="46"/>
      <c r="E342" s="46"/>
      <c r="F342" s="46"/>
      <c r="G342" s="46"/>
      <c r="H342" s="46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</row>
    <row r="343">
      <c r="A343" s="48" t="s">
        <v>384</v>
      </c>
      <c r="B343" s="48" t="s">
        <v>380</v>
      </c>
      <c r="C343" s="46"/>
      <c r="D343" s="46"/>
      <c r="E343" s="46"/>
      <c r="F343" s="46"/>
      <c r="G343" s="46"/>
      <c r="H343" s="46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</row>
    <row r="344">
      <c r="A344" s="48" t="s">
        <v>385</v>
      </c>
      <c r="B344" s="48" t="s">
        <v>380</v>
      </c>
      <c r="C344" s="46"/>
      <c r="D344" s="46"/>
      <c r="E344" s="46"/>
      <c r="F344" s="46"/>
      <c r="G344" s="46"/>
      <c r="H344" s="46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</row>
    <row r="345">
      <c r="A345" s="48" t="s">
        <v>386</v>
      </c>
      <c r="B345" s="48" t="s">
        <v>387</v>
      </c>
      <c r="C345" s="46"/>
      <c r="D345" s="46"/>
      <c r="E345" s="46"/>
      <c r="F345" s="46"/>
      <c r="G345" s="46"/>
      <c r="H345" s="46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</row>
    <row r="346">
      <c r="A346" s="48" t="s">
        <v>388</v>
      </c>
      <c r="B346" s="48" t="s">
        <v>387</v>
      </c>
      <c r="C346" s="46"/>
      <c r="D346" s="46"/>
      <c r="E346" s="46"/>
      <c r="F346" s="46"/>
      <c r="G346" s="46"/>
      <c r="H346" s="46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</row>
    <row r="347">
      <c r="A347" s="48" t="s">
        <v>389</v>
      </c>
      <c r="B347" s="48" t="s">
        <v>387</v>
      </c>
      <c r="C347" s="46"/>
      <c r="D347" s="46"/>
      <c r="E347" s="46"/>
      <c r="F347" s="46"/>
      <c r="G347" s="46"/>
      <c r="H347" s="46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</row>
    <row r="348">
      <c r="A348" s="48" t="s">
        <v>240</v>
      </c>
      <c r="B348" s="48" t="s">
        <v>387</v>
      </c>
      <c r="C348" s="46"/>
      <c r="D348" s="46"/>
      <c r="E348" s="46"/>
      <c r="F348" s="46"/>
      <c r="G348" s="46"/>
      <c r="H348" s="46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</row>
    <row r="349">
      <c r="A349" s="48" t="s">
        <v>390</v>
      </c>
      <c r="B349" s="48" t="s">
        <v>273</v>
      </c>
      <c r="C349" s="46"/>
      <c r="D349" s="46"/>
      <c r="E349" s="46"/>
      <c r="F349" s="46"/>
      <c r="G349" s="46"/>
      <c r="H349" s="46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</row>
    <row r="350">
      <c r="A350" s="48" t="s">
        <v>391</v>
      </c>
      <c r="B350" s="48" t="s">
        <v>273</v>
      </c>
      <c r="C350" s="46"/>
      <c r="D350" s="46"/>
      <c r="E350" s="46"/>
      <c r="F350" s="46"/>
      <c r="G350" s="46"/>
      <c r="H350" s="46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</row>
    <row r="351">
      <c r="A351" s="48" t="s">
        <v>392</v>
      </c>
      <c r="B351" s="48" t="s">
        <v>273</v>
      </c>
      <c r="C351" s="46"/>
      <c r="D351" s="46"/>
      <c r="E351" s="46"/>
      <c r="F351" s="46"/>
      <c r="G351" s="46"/>
      <c r="H351" s="46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</row>
    <row r="352">
      <c r="A352" s="48" t="s">
        <v>393</v>
      </c>
      <c r="B352" s="48" t="s">
        <v>273</v>
      </c>
      <c r="C352" s="46"/>
      <c r="D352" s="46"/>
      <c r="E352" s="46"/>
      <c r="F352" s="46"/>
      <c r="G352" s="46"/>
      <c r="H352" s="46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</row>
    <row r="353">
      <c r="A353" s="48" t="s">
        <v>394</v>
      </c>
      <c r="B353" s="48" t="s">
        <v>273</v>
      </c>
      <c r="C353" s="46"/>
      <c r="D353" s="46"/>
      <c r="E353" s="46"/>
      <c r="F353" s="46"/>
      <c r="G353" s="46"/>
      <c r="H353" s="46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</row>
    <row r="354">
      <c r="A354" s="48" t="s">
        <v>395</v>
      </c>
      <c r="B354" s="48" t="s">
        <v>273</v>
      </c>
      <c r="C354" s="46"/>
      <c r="D354" s="46"/>
      <c r="E354" s="46"/>
      <c r="F354" s="46"/>
      <c r="G354" s="46"/>
      <c r="H354" s="46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</row>
    <row r="355">
      <c r="A355" s="48" t="s">
        <v>396</v>
      </c>
      <c r="B355" s="48" t="s">
        <v>273</v>
      </c>
      <c r="C355" s="46"/>
      <c r="D355" s="46"/>
      <c r="E355" s="46"/>
      <c r="F355" s="46"/>
      <c r="G355" s="46"/>
      <c r="H355" s="46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</row>
    <row r="356">
      <c r="A356" s="48" t="s">
        <v>397</v>
      </c>
      <c r="B356" s="48" t="s">
        <v>273</v>
      </c>
      <c r="C356" s="46"/>
      <c r="D356" s="46"/>
      <c r="E356" s="46"/>
      <c r="F356" s="46"/>
      <c r="G356" s="46"/>
      <c r="H356" s="46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</row>
    <row r="357">
      <c r="A357" s="48" t="s">
        <v>398</v>
      </c>
      <c r="B357" s="48" t="s">
        <v>399</v>
      </c>
      <c r="C357" s="46"/>
      <c r="D357" s="46"/>
      <c r="E357" s="46"/>
      <c r="F357" s="46"/>
      <c r="G357" s="46"/>
      <c r="H357" s="46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</row>
    <row r="358">
      <c r="A358" s="48" t="s">
        <v>151</v>
      </c>
      <c r="B358" s="48" t="s">
        <v>399</v>
      </c>
      <c r="C358" s="46"/>
      <c r="D358" s="46"/>
      <c r="E358" s="46"/>
      <c r="F358" s="46"/>
      <c r="G358" s="46"/>
      <c r="H358" s="46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</row>
    <row r="359">
      <c r="A359" s="48" t="s">
        <v>400</v>
      </c>
      <c r="B359" s="48" t="s">
        <v>399</v>
      </c>
      <c r="C359" s="46"/>
      <c r="D359" s="46"/>
      <c r="E359" s="46"/>
      <c r="F359" s="46"/>
      <c r="G359" s="46"/>
      <c r="H359" s="46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</row>
    <row r="360">
      <c r="A360" s="48" t="s">
        <v>401</v>
      </c>
      <c r="B360" s="48" t="s">
        <v>399</v>
      </c>
      <c r="C360" s="46"/>
      <c r="D360" s="46"/>
      <c r="E360" s="46"/>
      <c r="F360" s="46"/>
      <c r="G360" s="46"/>
      <c r="H360" s="46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</row>
    <row r="361">
      <c r="A361" s="48" t="s">
        <v>402</v>
      </c>
      <c r="B361" s="48" t="s">
        <v>399</v>
      </c>
      <c r="C361" s="46"/>
      <c r="D361" s="46"/>
      <c r="E361" s="46"/>
      <c r="F361" s="46"/>
      <c r="G361" s="46"/>
      <c r="H361" s="46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</row>
    <row r="362">
      <c r="A362" s="48" t="s">
        <v>403</v>
      </c>
      <c r="B362" s="48" t="s">
        <v>399</v>
      </c>
      <c r="C362" s="46"/>
      <c r="D362" s="46"/>
      <c r="E362" s="46"/>
      <c r="F362" s="46"/>
      <c r="G362" s="46"/>
      <c r="H362" s="46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</row>
    <row r="363">
      <c r="A363" s="48" t="s">
        <v>372</v>
      </c>
      <c r="B363" s="48" t="s">
        <v>399</v>
      </c>
      <c r="C363" s="46"/>
      <c r="D363" s="46"/>
      <c r="E363" s="46"/>
      <c r="F363" s="46"/>
      <c r="G363" s="46"/>
      <c r="H363" s="46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</row>
    <row r="364">
      <c r="A364" s="48" t="s">
        <v>404</v>
      </c>
      <c r="B364" s="48" t="s">
        <v>399</v>
      </c>
      <c r="C364" s="46"/>
      <c r="D364" s="46"/>
      <c r="E364" s="46"/>
      <c r="F364" s="46"/>
      <c r="G364" s="46"/>
      <c r="H364" s="46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</row>
    <row r="365">
      <c r="A365" s="48" t="s">
        <v>405</v>
      </c>
      <c r="B365" s="48" t="s">
        <v>406</v>
      </c>
      <c r="C365" s="46"/>
      <c r="D365" s="46"/>
      <c r="E365" s="46"/>
      <c r="F365" s="46"/>
      <c r="G365" s="46"/>
      <c r="H365" s="46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</row>
    <row r="366">
      <c r="A366" s="48" t="s">
        <v>407</v>
      </c>
      <c r="B366" s="48" t="s">
        <v>406</v>
      </c>
      <c r="C366" s="46"/>
      <c r="D366" s="46"/>
      <c r="E366" s="46"/>
      <c r="F366" s="46"/>
      <c r="G366" s="46"/>
      <c r="H366" s="46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</row>
    <row r="367">
      <c r="A367" s="48" t="s">
        <v>408</v>
      </c>
      <c r="B367" s="48" t="s">
        <v>406</v>
      </c>
      <c r="C367" s="46"/>
      <c r="D367" s="46"/>
      <c r="E367" s="46"/>
      <c r="F367" s="46"/>
      <c r="G367" s="46"/>
      <c r="H367" s="46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</row>
    <row r="368">
      <c r="A368" s="48" t="s">
        <v>188</v>
      </c>
      <c r="B368" s="48" t="s">
        <v>406</v>
      </c>
      <c r="C368" s="46"/>
      <c r="D368" s="46"/>
      <c r="E368" s="46"/>
      <c r="F368" s="46"/>
      <c r="G368" s="46"/>
      <c r="H368" s="46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</row>
    <row r="369">
      <c r="A369" s="48" t="s">
        <v>409</v>
      </c>
      <c r="B369" s="48" t="s">
        <v>406</v>
      </c>
      <c r="C369" s="46"/>
      <c r="D369" s="46"/>
      <c r="E369" s="46"/>
      <c r="F369" s="46"/>
      <c r="G369" s="46"/>
      <c r="H369" s="46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</row>
    <row r="370">
      <c r="A370" s="48" t="s">
        <v>410</v>
      </c>
      <c r="B370" s="48" t="s">
        <v>406</v>
      </c>
      <c r="C370" s="46"/>
      <c r="D370" s="46"/>
      <c r="E370" s="46"/>
      <c r="F370" s="46"/>
      <c r="G370" s="46"/>
      <c r="H370" s="46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</row>
    <row r="371">
      <c r="A371" s="48" t="s">
        <v>411</v>
      </c>
      <c r="B371" s="48" t="s">
        <v>406</v>
      </c>
      <c r="C371" s="46"/>
      <c r="D371" s="46"/>
      <c r="E371" s="46"/>
      <c r="F371" s="46"/>
      <c r="G371" s="46"/>
      <c r="H371" s="46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</row>
    <row r="372">
      <c r="A372" s="48" t="s">
        <v>412</v>
      </c>
      <c r="B372" s="48" t="s">
        <v>406</v>
      </c>
      <c r="C372" s="46"/>
      <c r="D372" s="46"/>
      <c r="E372" s="46"/>
      <c r="F372" s="46"/>
      <c r="G372" s="46"/>
      <c r="H372" s="46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</row>
    <row r="373">
      <c r="A373" s="48" t="s">
        <v>413</v>
      </c>
      <c r="B373" s="48" t="s">
        <v>414</v>
      </c>
      <c r="C373" s="46"/>
      <c r="D373" s="46"/>
      <c r="E373" s="46"/>
      <c r="F373" s="46"/>
      <c r="G373" s="46"/>
      <c r="H373" s="46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</row>
    <row r="374">
      <c r="A374" s="48" t="s">
        <v>415</v>
      </c>
      <c r="B374" s="48" t="s">
        <v>414</v>
      </c>
      <c r="C374" s="46"/>
      <c r="D374" s="46"/>
      <c r="E374" s="46"/>
      <c r="F374" s="46"/>
      <c r="G374" s="46"/>
      <c r="H374" s="46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</row>
    <row r="375">
      <c r="A375" s="48" t="s">
        <v>416</v>
      </c>
      <c r="B375" s="48" t="s">
        <v>414</v>
      </c>
      <c r="C375" s="46"/>
      <c r="D375" s="46"/>
      <c r="E375" s="46"/>
      <c r="F375" s="46"/>
      <c r="G375" s="46"/>
      <c r="H375" s="46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</row>
    <row r="376">
      <c r="A376" s="48" t="s">
        <v>417</v>
      </c>
      <c r="B376" s="48" t="s">
        <v>414</v>
      </c>
      <c r="C376" s="46"/>
      <c r="D376" s="46"/>
      <c r="E376" s="46"/>
      <c r="F376" s="46"/>
      <c r="G376" s="46"/>
      <c r="H376" s="46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</row>
    <row r="377">
      <c r="A377" s="48" t="s">
        <v>418</v>
      </c>
      <c r="B377" s="48" t="s">
        <v>414</v>
      </c>
      <c r="C377" s="46"/>
      <c r="D377" s="46"/>
      <c r="E377" s="46"/>
      <c r="F377" s="46"/>
      <c r="G377" s="46"/>
      <c r="H377" s="46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</row>
    <row r="378">
      <c r="A378" s="48" t="s">
        <v>419</v>
      </c>
      <c r="B378" s="48" t="s">
        <v>414</v>
      </c>
      <c r="C378" s="46"/>
      <c r="D378" s="46"/>
      <c r="E378" s="46"/>
      <c r="F378" s="46"/>
      <c r="G378" s="46"/>
      <c r="H378" s="46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</row>
    <row r="379">
      <c r="A379" s="48" t="s">
        <v>420</v>
      </c>
      <c r="B379" s="48" t="s">
        <v>414</v>
      </c>
      <c r="C379" s="46"/>
      <c r="D379" s="46"/>
      <c r="E379" s="46"/>
      <c r="F379" s="46"/>
      <c r="G379" s="46"/>
      <c r="H379" s="46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</row>
    <row r="380">
      <c r="A380" s="48" t="s">
        <v>421</v>
      </c>
      <c r="B380" s="48" t="s">
        <v>414</v>
      </c>
      <c r="C380" s="46"/>
      <c r="D380" s="46"/>
      <c r="E380" s="46"/>
      <c r="F380" s="46"/>
      <c r="G380" s="46"/>
      <c r="H380" s="46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</row>
    <row r="381">
      <c r="A381" s="48" t="s">
        <v>422</v>
      </c>
      <c r="B381" s="48" t="s">
        <v>414</v>
      </c>
      <c r="C381" s="46"/>
      <c r="D381" s="46"/>
      <c r="E381" s="46"/>
      <c r="F381" s="46"/>
      <c r="G381" s="46"/>
      <c r="H381" s="46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</row>
    <row r="382">
      <c r="A382" s="48" t="s">
        <v>423</v>
      </c>
      <c r="B382" s="48" t="s">
        <v>414</v>
      </c>
      <c r="C382" s="46"/>
      <c r="D382" s="46"/>
      <c r="E382" s="46"/>
      <c r="F382" s="46"/>
      <c r="G382" s="46"/>
      <c r="H382" s="46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</row>
    <row r="383">
      <c r="A383" s="48" t="s">
        <v>424</v>
      </c>
      <c r="B383" s="48" t="s">
        <v>414</v>
      </c>
      <c r="C383" s="46"/>
      <c r="D383" s="46"/>
      <c r="E383" s="46"/>
      <c r="F383" s="46"/>
      <c r="G383" s="46"/>
      <c r="H383" s="46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</row>
    <row r="384">
      <c r="A384" s="48" t="s">
        <v>425</v>
      </c>
      <c r="B384" s="48" t="s">
        <v>414</v>
      </c>
      <c r="C384" s="46"/>
      <c r="D384" s="46"/>
      <c r="E384" s="46"/>
      <c r="F384" s="46"/>
      <c r="G384" s="46"/>
      <c r="H384" s="46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</row>
    <row r="385">
      <c r="A385" s="48" t="s">
        <v>426</v>
      </c>
      <c r="B385" s="48" t="s">
        <v>414</v>
      </c>
      <c r="C385" s="46"/>
      <c r="D385" s="46"/>
      <c r="E385" s="46"/>
      <c r="F385" s="46"/>
      <c r="G385" s="46"/>
      <c r="H385" s="46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</row>
    <row r="386">
      <c r="A386" s="48" t="s">
        <v>427</v>
      </c>
      <c r="B386" s="48" t="s">
        <v>414</v>
      </c>
      <c r="C386" s="46"/>
      <c r="D386" s="46"/>
      <c r="E386" s="46"/>
      <c r="F386" s="46"/>
      <c r="G386" s="46"/>
      <c r="H386" s="46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</row>
    <row r="387">
      <c r="A387" s="48" t="s">
        <v>428</v>
      </c>
      <c r="B387" s="48" t="s">
        <v>414</v>
      </c>
      <c r="C387" s="46"/>
      <c r="D387" s="46"/>
      <c r="E387" s="46"/>
      <c r="F387" s="46"/>
      <c r="G387" s="46"/>
      <c r="H387" s="46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</row>
    <row r="388">
      <c r="A388" s="48" t="s">
        <v>429</v>
      </c>
      <c r="B388" s="48" t="s">
        <v>414</v>
      </c>
      <c r="C388" s="46"/>
      <c r="D388" s="46"/>
      <c r="E388" s="46"/>
      <c r="F388" s="46"/>
      <c r="G388" s="46"/>
      <c r="H388" s="46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</row>
    <row r="389">
      <c r="A389" s="48" t="s">
        <v>430</v>
      </c>
      <c r="B389" s="48" t="s">
        <v>414</v>
      </c>
      <c r="C389" s="46"/>
      <c r="D389" s="46"/>
      <c r="E389" s="46"/>
      <c r="F389" s="46"/>
      <c r="G389" s="46"/>
      <c r="H389" s="46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</row>
    <row r="390">
      <c r="A390" s="48" t="s">
        <v>151</v>
      </c>
      <c r="B390" s="48" t="s">
        <v>414</v>
      </c>
      <c r="C390" s="46"/>
      <c r="D390" s="46"/>
      <c r="E390" s="46"/>
      <c r="F390" s="46"/>
      <c r="G390" s="46"/>
      <c r="H390" s="46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</row>
    <row r="391">
      <c r="A391" s="48" t="s">
        <v>431</v>
      </c>
      <c r="B391" s="48" t="s">
        <v>414</v>
      </c>
      <c r="C391" s="46"/>
      <c r="D391" s="46"/>
      <c r="E391" s="46"/>
      <c r="F391" s="46"/>
      <c r="G391" s="46"/>
      <c r="H391" s="46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</row>
    <row r="392">
      <c r="A392" s="48" t="s">
        <v>432</v>
      </c>
      <c r="B392" s="48" t="s">
        <v>414</v>
      </c>
      <c r="C392" s="46"/>
      <c r="D392" s="46"/>
      <c r="E392" s="46"/>
      <c r="F392" s="46"/>
      <c r="G392" s="46"/>
      <c r="H392" s="46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</row>
    <row r="393">
      <c r="A393" s="48" t="s">
        <v>433</v>
      </c>
      <c r="B393" s="48" t="s">
        <v>414</v>
      </c>
      <c r="C393" s="46"/>
      <c r="D393" s="46"/>
      <c r="E393" s="46"/>
      <c r="F393" s="46"/>
      <c r="G393" s="46"/>
      <c r="H393" s="46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</row>
    <row r="394">
      <c r="A394" s="48" t="s">
        <v>434</v>
      </c>
      <c r="B394" s="48" t="s">
        <v>414</v>
      </c>
      <c r="C394" s="46"/>
      <c r="D394" s="46"/>
      <c r="E394" s="46"/>
      <c r="F394" s="46"/>
      <c r="G394" s="46"/>
      <c r="H394" s="46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</row>
    <row r="395">
      <c r="A395" s="48" t="s">
        <v>435</v>
      </c>
      <c r="B395" s="48" t="s">
        <v>414</v>
      </c>
      <c r="C395" s="46"/>
      <c r="D395" s="46"/>
      <c r="E395" s="46"/>
      <c r="F395" s="46"/>
      <c r="G395" s="46"/>
      <c r="H395" s="46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</row>
    <row r="396">
      <c r="A396" s="48" t="s">
        <v>436</v>
      </c>
      <c r="B396" s="48" t="s">
        <v>437</v>
      </c>
      <c r="C396" s="46"/>
      <c r="D396" s="46"/>
      <c r="E396" s="46"/>
      <c r="F396" s="46"/>
      <c r="G396" s="46"/>
      <c r="H396" s="46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</row>
    <row r="397">
      <c r="A397" s="48" t="s">
        <v>438</v>
      </c>
      <c r="B397" s="48" t="s">
        <v>437</v>
      </c>
      <c r="C397" s="46"/>
      <c r="D397" s="46"/>
      <c r="E397" s="46"/>
      <c r="F397" s="46"/>
      <c r="G397" s="46"/>
      <c r="H397" s="46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</row>
    <row r="398">
      <c r="A398" s="48" t="s">
        <v>439</v>
      </c>
      <c r="B398" s="48" t="s">
        <v>437</v>
      </c>
      <c r="C398" s="46"/>
      <c r="D398" s="46"/>
      <c r="E398" s="46"/>
      <c r="F398" s="46"/>
      <c r="G398" s="46"/>
      <c r="H398" s="46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</row>
    <row r="399">
      <c r="A399" s="48" t="s">
        <v>440</v>
      </c>
      <c r="B399" s="48" t="s">
        <v>437</v>
      </c>
      <c r="C399" s="46"/>
      <c r="D399" s="46"/>
      <c r="E399" s="46"/>
      <c r="F399" s="46"/>
      <c r="G399" s="46"/>
      <c r="H399" s="46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</row>
    <row r="400">
      <c r="A400" s="48" t="s">
        <v>441</v>
      </c>
      <c r="B400" s="48" t="s">
        <v>437</v>
      </c>
      <c r="C400" s="46"/>
      <c r="D400" s="46"/>
      <c r="E400" s="46"/>
      <c r="F400" s="46"/>
      <c r="G400" s="46"/>
      <c r="H400" s="46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</row>
    <row r="401">
      <c r="A401" s="48" t="s">
        <v>442</v>
      </c>
      <c r="B401" s="48" t="s">
        <v>437</v>
      </c>
      <c r="C401" s="46"/>
      <c r="D401" s="46"/>
      <c r="E401" s="46"/>
      <c r="F401" s="46"/>
      <c r="G401" s="46"/>
      <c r="H401" s="46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</row>
    <row r="402">
      <c r="A402" s="48" t="s">
        <v>443</v>
      </c>
      <c r="B402" s="48" t="s">
        <v>437</v>
      </c>
      <c r="C402" s="46"/>
      <c r="D402" s="46"/>
      <c r="E402" s="46"/>
      <c r="F402" s="46"/>
      <c r="G402" s="46"/>
      <c r="H402" s="46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</row>
    <row r="403">
      <c r="A403" s="48" t="s">
        <v>444</v>
      </c>
      <c r="B403" s="48" t="s">
        <v>437</v>
      </c>
      <c r="C403" s="46"/>
      <c r="D403" s="46"/>
      <c r="E403" s="46"/>
      <c r="F403" s="46"/>
      <c r="G403" s="46"/>
      <c r="H403" s="46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</row>
    <row r="404">
      <c r="A404" s="48" t="s">
        <v>445</v>
      </c>
      <c r="B404" s="48" t="s">
        <v>437</v>
      </c>
      <c r="C404" s="46"/>
      <c r="D404" s="46"/>
      <c r="E404" s="46"/>
      <c r="F404" s="46"/>
      <c r="G404" s="46"/>
      <c r="H404" s="46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</row>
    <row r="405">
      <c r="A405" s="48" t="s">
        <v>446</v>
      </c>
      <c r="B405" s="48" t="s">
        <v>437</v>
      </c>
      <c r="C405" s="46"/>
      <c r="D405" s="46"/>
      <c r="E405" s="46"/>
      <c r="F405" s="46"/>
      <c r="G405" s="46"/>
      <c r="H405" s="46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</row>
    <row r="406">
      <c r="A406" s="48" t="s">
        <v>151</v>
      </c>
      <c r="B406" s="48" t="s">
        <v>437</v>
      </c>
      <c r="C406" s="46"/>
      <c r="D406" s="46"/>
      <c r="E406" s="46"/>
      <c r="F406" s="46"/>
      <c r="G406" s="46"/>
      <c r="H406" s="46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</row>
    <row r="407">
      <c r="A407" s="48" t="s">
        <v>447</v>
      </c>
      <c r="B407" s="48" t="s">
        <v>437</v>
      </c>
      <c r="C407" s="46"/>
      <c r="D407" s="46"/>
      <c r="E407" s="46"/>
      <c r="F407" s="46"/>
      <c r="G407" s="46"/>
      <c r="H407" s="46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</row>
    <row r="408">
      <c r="A408" s="48" t="s">
        <v>448</v>
      </c>
      <c r="B408" s="48" t="s">
        <v>437</v>
      </c>
      <c r="C408" s="46"/>
      <c r="D408" s="46"/>
      <c r="E408" s="46"/>
      <c r="F408" s="46"/>
      <c r="G408" s="46"/>
      <c r="H408" s="46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</row>
    <row r="409">
      <c r="A409" s="48" t="s">
        <v>449</v>
      </c>
      <c r="B409" s="48" t="s">
        <v>437</v>
      </c>
      <c r="C409" s="46"/>
      <c r="D409" s="46"/>
      <c r="E409" s="46"/>
      <c r="F409" s="46"/>
      <c r="G409" s="46"/>
      <c r="H409" s="46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</row>
    <row r="410">
      <c r="A410" s="48" t="s">
        <v>450</v>
      </c>
      <c r="B410" s="48" t="s">
        <v>437</v>
      </c>
      <c r="C410" s="46"/>
      <c r="D410" s="46"/>
      <c r="E410" s="46"/>
      <c r="F410" s="46"/>
      <c r="G410" s="46"/>
      <c r="H410" s="46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</row>
    <row r="411">
      <c r="A411" s="48" t="s">
        <v>451</v>
      </c>
      <c r="B411" s="48" t="s">
        <v>437</v>
      </c>
      <c r="C411" s="46"/>
      <c r="D411" s="46"/>
      <c r="E411" s="46"/>
      <c r="F411" s="46"/>
      <c r="G411" s="46"/>
      <c r="H411" s="46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</row>
    <row r="412">
      <c r="A412" s="48" t="s">
        <v>452</v>
      </c>
      <c r="B412" s="48" t="s">
        <v>437</v>
      </c>
      <c r="C412" s="46"/>
      <c r="D412" s="46"/>
      <c r="E412" s="46"/>
      <c r="F412" s="46"/>
      <c r="G412" s="46"/>
      <c r="H412" s="46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</row>
    <row r="413">
      <c r="A413" s="48" t="s">
        <v>453</v>
      </c>
      <c r="B413" s="48" t="s">
        <v>437</v>
      </c>
      <c r="C413" s="46"/>
      <c r="D413" s="46"/>
      <c r="E413" s="46"/>
      <c r="F413" s="46"/>
      <c r="G413" s="46"/>
      <c r="H413" s="46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</row>
    <row r="414">
      <c r="A414" s="48" t="s">
        <v>454</v>
      </c>
      <c r="B414" s="48" t="s">
        <v>437</v>
      </c>
      <c r="C414" s="46"/>
      <c r="D414" s="46"/>
      <c r="E414" s="46"/>
      <c r="F414" s="46"/>
      <c r="G414" s="46"/>
      <c r="H414" s="46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</row>
    <row r="415">
      <c r="A415" s="48" t="s">
        <v>455</v>
      </c>
      <c r="B415" s="48" t="s">
        <v>456</v>
      </c>
      <c r="C415" s="46"/>
      <c r="D415" s="46"/>
      <c r="E415" s="46"/>
      <c r="F415" s="46"/>
      <c r="G415" s="46"/>
      <c r="H415" s="46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</row>
    <row r="416">
      <c r="A416" s="48" t="s">
        <v>457</v>
      </c>
      <c r="B416" s="48" t="s">
        <v>456</v>
      </c>
      <c r="C416" s="46"/>
      <c r="D416" s="46"/>
      <c r="E416" s="46"/>
      <c r="F416" s="46"/>
      <c r="G416" s="46"/>
      <c r="H416" s="46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</row>
    <row r="417">
      <c r="A417" s="48" t="s">
        <v>458</v>
      </c>
      <c r="B417" s="48" t="s">
        <v>456</v>
      </c>
      <c r="C417" s="46"/>
      <c r="D417" s="46"/>
      <c r="E417" s="46"/>
      <c r="F417" s="46"/>
      <c r="G417" s="46"/>
      <c r="H417" s="46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</row>
    <row r="418">
      <c r="A418" s="48" t="s">
        <v>459</v>
      </c>
      <c r="B418" s="48" t="s">
        <v>456</v>
      </c>
      <c r="C418" s="46"/>
      <c r="D418" s="46"/>
      <c r="E418" s="46"/>
      <c r="F418" s="46"/>
      <c r="G418" s="46"/>
      <c r="H418" s="46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</row>
    <row r="419">
      <c r="A419" s="48" t="s">
        <v>460</v>
      </c>
      <c r="B419" s="48" t="s">
        <v>456</v>
      </c>
      <c r="C419" s="46"/>
      <c r="D419" s="46"/>
      <c r="E419" s="46"/>
      <c r="F419" s="46"/>
      <c r="G419" s="46"/>
      <c r="H419" s="46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</row>
    <row r="420">
      <c r="A420" s="48" t="s">
        <v>461</v>
      </c>
      <c r="B420" s="48" t="s">
        <v>456</v>
      </c>
      <c r="C420" s="46"/>
      <c r="D420" s="46"/>
      <c r="E420" s="46"/>
      <c r="F420" s="46"/>
      <c r="G420" s="46"/>
      <c r="H420" s="46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</row>
    <row r="421">
      <c r="A421" s="48" t="s">
        <v>146</v>
      </c>
      <c r="B421" s="48" t="s">
        <v>456</v>
      </c>
      <c r="C421" s="46"/>
      <c r="D421" s="46"/>
      <c r="E421" s="46"/>
      <c r="F421" s="46"/>
      <c r="G421" s="46"/>
      <c r="H421" s="46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</row>
    <row r="422">
      <c r="A422" s="48" t="s">
        <v>462</v>
      </c>
      <c r="B422" s="48" t="s">
        <v>456</v>
      </c>
      <c r="C422" s="46"/>
      <c r="D422" s="46"/>
      <c r="E422" s="46"/>
      <c r="F422" s="46"/>
      <c r="G422" s="46"/>
      <c r="H422" s="46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</row>
    <row r="423">
      <c r="A423" s="48" t="s">
        <v>463</v>
      </c>
      <c r="B423" s="48" t="s">
        <v>456</v>
      </c>
      <c r="C423" s="46"/>
      <c r="D423" s="46"/>
      <c r="E423" s="46"/>
      <c r="F423" s="46"/>
      <c r="G423" s="46"/>
      <c r="H423" s="46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</row>
    <row r="424">
      <c r="A424" s="48" t="s">
        <v>464</v>
      </c>
      <c r="B424" s="48" t="s">
        <v>456</v>
      </c>
      <c r="C424" s="46"/>
      <c r="D424" s="46"/>
      <c r="E424" s="46"/>
      <c r="F424" s="46"/>
      <c r="G424" s="46"/>
      <c r="H424" s="46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</row>
    <row r="425">
      <c r="A425" s="48" t="s">
        <v>465</v>
      </c>
      <c r="B425" s="48" t="s">
        <v>456</v>
      </c>
      <c r="C425" s="46"/>
      <c r="D425" s="46"/>
      <c r="E425" s="46"/>
      <c r="F425" s="46"/>
      <c r="G425" s="46"/>
      <c r="H425" s="46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</row>
    <row r="426">
      <c r="A426" s="48" t="s">
        <v>87</v>
      </c>
      <c r="B426" s="48" t="s">
        <v>456</v>
      </c>
      <c r="C426" s="46"/>
      <c r="D426" s="46"/>
      <c r="E426" s="46"/>
      <c r="F426" s="46"/>
      <c r="G426" s="46"/>
      <c r="H426" s="46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</row>
    <row r="427">
      <c r="A427" s="48" t="s">
        <v>466</v>
      </c>
      <c r="B427" s="48" t="s">
        <v>467</v>
      </c>
      <c r="C427" s="46"/>
      <c r="D427" s="46"/>
      <c r="E427" s="46"/>
      <c r="F427" s="46"/>
      <c r="G427" s="46"/>
      <c r="H427" s="46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</row>
    <row r="428">
      <c r="A428" s="48" t="s">
        <v>468</v>
      </c>
      <c r="B428" s="48" t="s">
        <v>467</v>
      </c>
      <c r="C428" s="46"/>
      <c r="D428" s="46"/>
      <c r="E428" s="46"/>
      <c r="F428" s="46"/>
      <c r="G428" s="46"/>
      <c r="H428" s="46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</row>
    <row r="429">
      <c r="A429" s="48" t="s">
        <v>469</v>
      </c>
      <c r="B429" s="48" t="s">
        <v>467</v>
      </c>
      <c r="C429" s="46"/>
      <c r="D429" s="46"/>
      <c r="E429" s="46"/>
      <c r="F429" s="46"/>
      <c r="G429" s="46"/>
      <c r="H429" s="46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</row>
    <row r="430">
      <c r="A430" s="48" t="s">
        <v>470</v>
      </c>
      <c r="B430" s="48" t="s">
        <v>467</v>
      </c>
      <c r="C430" s="46"/>
      <c r="D430" s="46"/>
      <c r="E430" s="46"/>
      <c r="F430" s="46"/>
      <c r="G430" s="46"/>
      <c r="H430" s="46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</row>
    <row r="431">
      <c r="A431" s="48" t="s">
        <v>471</v>
      </c>
      <c r="B431" s="48" t="s">
        <v>467</v>
      </c>
      <c r="C431" s="46"/>
      <c r="D431" s="46"/>
      <c r="E431" s="46"/>
      <c r="F431" s="46"/>
      <c r="G431" s="46"/>
      <c r="H431" s="46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</row>
    <row r="432">
      <c r="A432" s="48" t="s">
        <v>472</v>
      </c>
      <c r="B432" s="48" t="s">
        <v>467</v>
      </c>
      <c r="C432" s="46"/>
      <c r="D432" s="46"/>
      <c r="E432" s="46"/>
      <c r="F432" s="46"/>
      <c r="G432" s="46"/>
      <c r="H432" s="46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</row>
    <row r="433">
      <c r="A433" s="48" t="s">
        <v>473</v>
      </c>
      <c r="B433" s="48" t="s">
        <v>467</v>
      </c>
      <c r="C433" s="46"/>
      <c r="D433" s="46"/>
      <c r="E433" s="46"/>
      <c r="F433" s="46"/>
      <c r="G433" s="46"/>
      <c r="H433" s="46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</row>
    <row r="434">
      <c r="A434" s="48" t="s">
        <v>474</v>
      </c>
      <c r="B434" s="48" t="s">
        <v>467</v>
      </c>
      <c r="C434" s="46"/>
      <c r="D434" s="46"/>
      <c r="E434" s="46"/>
      <c r="F434" s="46"/>
      <c r="G434" s="46"/>
      <c r="H434" s="46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</row>
    <row r="435">
      <c r="A435" s="48" t="s">
        <v>475</v>
      </c>
      <c r="B435" s="48" t="s">
        <v>467</v>
      </c>
      <c r="C435" s="46"/>
      <c r="D435" s="46"/>
      <c r="E435" s="46"/>
      <c r="F435" s="46"/>
      <c r="G435" s="46"/>
      <c r="H435" s="46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</row>
    <row r="436">
      <c r="A436" s="48" t="s">
        <v>402</v>
      </c>
      <c r="B436" s="48" t="s">
        <v>467</v>
      </c>
      <c r="C436" s="46"/>
      <c r="D436" s="46"/>
      <c r="E436" s="46"/>
      <c r="F436" s="46"/>
      <c r="G436" s="46"/>
      <c r="H436" s="46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</row>
    <row r="437">
      <c r="A437" s="48" t="s">
        <v>476</v>
      </c>
      <c r="B437" s="48" t="s">
        <v>467</v>
      </c>
      <c r="C437" s="46"/>
      <c r="D437" s="46"/>
      <c r="E437" s="46"/>
      <c r="F437" s="46"/>
      <c r="G437" s="46"/>
      <c r="H437" s="46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</row>
    <row r="438">
      <c r="A438" s="48" t="s">
        <v>477</v>
      </c>
      <c r="B438" s="48" t="s">
        <v>467</v>
      </c>
      <c r="C438" s="46"/>
      <c r="D438" s="46"/>
      <c r="E438" s="46"/>
      <c r="F438" s="46"/>
      <c r="G438" s="46"/>
      <c r="H438" s="46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</row>
    <row r="439">
      <c r="A439" s="48" t="s">
        <v>478</v>
      </c>
      <c r="B439" s="48" t="s">
        <v>467</v>
      </c>
      <c r="C439" s="46"/>
      <c r="D439" s="46"/>
      <c r="E439" s="46"/>
      <c r="F439" s="46"/>
      <c r="G439" s="46"/>
      <c r="H439" s="46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</row>
    <row r="440">
      <c r="A440" s="48" t="s">
        <v>479</v>
      </c>
      <c r="B440" s="48" t="s">
        <v>467</v>
      </c>
      <c r="C440" s="46"/>
      <c r="D440" s="46"/>
      <c r="E440" s="46"/>
      <c r="F440" s="46"/>
      <c r="G440" s="46"/>
      <c r="H440" s="46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</row>
    <row r="441">
      <c r="A441" s="48" t="s">
        <v>480</v>
      </c>
      <c r="B441" s="48" t="s">
        <v>481</v>
      </c>
      <c r="C441" s="46"/>
      <c r="D441" s="46"/>
      <c r="E441" s="46"/>
      <c r="F441" s="46"/>
      <c r="G441" s="46"/>
      <c r="H441" s="46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</row>
    <row r="442">
      <c r="A442" s="48" t="s">
        <v>482</v>
      </c>
      <c r="B442" s="48" t="s">
        <v>481</v>
      </c>
      <c r="C442" s="46"/>
      <c r="D442" s="46"/>
      <c r="E442" s="46"/>
      <c r="F442" s="46"/>
      <c r="G442" s="46"/>
      <c r="H442" s="46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</row>
    <row r="443">
      <c r="A443" s="48" t="s">
        <v>483</v>
      </c>
      <c r="B443" s="48" t="s">
        <v>481</v>
      </c>
      <c r="C443" s="46"/>
      <c r="D443" s="46"/>
      <c r="E443" s="46"/>
      <c r="F443" s="46"/>
      <c r="G443" s="46"/>
      <c r="H443" s="46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</row>
    <row r="444">
      <c r="A444" s="48" t="s">
        <v>240</v>
      </c>
      <c r="B444" s="48" t="s">
        <v>481</v>
      </c>
      <c r="C444" s="46"/>
      <c r="D444" s="46"/>
      <c r="E444" s="46"/>
      <c r="F444" s="46"/>
      <c r="G444" s="46"/>
      <c r="H444" s="46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</row>
    <row r="445">
      <c r="A445" s="48" t="s">
        <v>484</v>
      </c>
      <c r="B445" s="48" t="s">
        <v>481</v>
      </c>
      <c r="C445" s="46"/>
      <c r="D445" s="46"/>
      <c r="E445" s="46"/>
      <c r="F445" s="46"/>
      <c r="G445" s="46"/>
      <c r="H445" s="46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</row>
    <row r="446">
      <c r="A446" s="48" t="s">
        <v>485</v>
      </c>
      <c r="B446" s="48" t="s">
        <v>481</v>
      </c>
      <c r="C446" s="46"/>
      <c r="D446" s="46"/>
      <c r="E446" s="46"/>
      <c r="F446" s="46"/>
      <c r="G446" s="46"/>
      <c r="H446" s="46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</row>
    <row r="447">
      <c r="A447" s="48" t="s">
        <v>317</v>
      </c>
      <c r="B447" s="48" t="s">
        <v>481</v>
      </c>
      <c r="C447" s="46"/>
      <c r="D447" s="46"/>
      <c r="E447" s="46"/>
      <c r="F447" s="46"/>
      <c r="G447" s="46"/>
      <c r="H447" s="46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</row>
    <row r="448">
      <c r="A448" s="48" t="s">
        <v>486</v>
      </c>
      <c r="B448" s="48" t="s">
        <v>481</v>
      </c>
      <c r="C448" s="46"/>
      <c r="D448" s="46"/>
      <c r="E448" s="46"/>
      <c r="F448" s="46"/>
      <c r="G448" s="46"/>
      <c r="H448" s="46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</row>
    <row r="449">
      <c r="A449" s="48" t="s">
        <v>487</v>
      </c>
      <c r="B449" s="48" t="s">
        <v>481</v>
      </c>
      <c r="C449" s="46"/>
      <c r="D449" s="46"/>
      <c r="E449" s="46"/>
      <c r="F449" s="46"/>
      <c r="G449" s="46"/>
      <c r="H449" s="46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</row>
    <row r="450">
      <c r="A450" s="48" t="s">
        <v>488</v>
      </c>
      <c r="B450" s="48" t="s">
        <v>481</v>
      </c>
      <c r="C450" s="46"/>
      <c r="D450" s="46"/>
      <c r="E450" s="46"/>
      <c r="F450" s="46"/>
      <c r="G450" s="46"/>
      <c r="H450" s="46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</row>
    <row r="451">
      <c r="A451" s="48" t="s">
        <v>148</v>
      </c>
      <c r="B451" s="48" t="s">
        <v>481</v>
      </c>
      <c r="C451" s="46"/>
      <c r="D451" s="46"/>
      <c r="E451" s="46"/>
      <c r="F451" s="46"/>
      <c r="G451" s="46"/>
      <c r="H451" s="46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</row>
    <row r="452">
      <c r="A452" s="48" t="s">
        <v>489</v>
      </c>
      <c r="B452" s="48" t="s">
        <v>481</v>
      </c>
      <c r="C452" s="46"/>
      <c r="D452" s="46"/>
      <c r="E452" s="46"/>
      <c r="F452" s="46"/>
      <c r="G452" s="46"/>
      <c r="H452" s="46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</row>
    <row r="453">
      <c r="A453" s="48" t="s">
        <v>490</v>
      </c>
      <c r="B453" s="48" t="s">
        <v>481</v>
      </c>
      <c r="C453" s="46"/>
      <c r="D453" s="46"/>
      <c r="E453" s="46"/>
      <c r="F453" s="46"/>
      <c r="G453" s="46"/>
      <c r="H453" s="46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</row>
    <row r="454">
      <c r="A454" s="48" t="s">
        <v>402</v>
      </c>
      <c r="B454" s="48" t="s">
        <v>481</v>
      </c>
      <c r="C454" s="46"/>
      <c r="D454" s="46"/>
      <c r="E454" s="46"/>
      <c r="F454" s="46"/>
      <c r="G454" s="46"/>
      <c r="H454" s="46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</row>
    <row r="455">
      <c r="A455" s="48" t="s">
        <v>491</v>
      </c>
      <c r="B455" s="48" t="s">
        <v>481</v>
      </c>
      <c r="C455" s="46"/>
      <c r="D455" s="46"/>
      <c r="E455" s="46"/>
      <c r="F455" s="46"/>
      <c r="G455" s="46"/>
      <c r="H455" s="46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</row>
    <row r="456">
      <c r="A456" s="48" t="s">
        <v>492</v>
      </c>
      <c r="B456" s="48" t="s">
        <v>493</v>
      </c>
      <c r="C456" s="46"/>
      <c r="D456" s="46"/>
      <c r="E456" s="46"/>
      <c r="F456" s="46"/>
      <c r="G456" s="46"/>
      <c r="H456" s="46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</row>
    <row r="457">
      <c r="A457" s="48" t="s">
        <v>494</v>
      </c>
      <c r="B457" s="48" t="s">
        <v>493</v>
      </c>
      <c r="C457" s="46"/>
      <c r="D457" s="46"/>
      <c r="E457" s="46"/>
      <c r="F457" s="46"/>
      <c r="G457" s="46"/>
      <c r="H457" s="46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</row>
    <row r="458">
      <c r="A458" s="48" t="s">
        <v>495</v>
      </c>
      <c r="B458" s="48" t="s">
        <v>493</v>
      </c>
      <c r="C458" s="46"/>
      <c r="D458" s="46"/>
      <c r="E458" s="46"/>
      <c r="F458" s="46"/>
      <c r="G458" s="46"/>
      <c r="H458" s="46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</row>
    <row r="459">
      <c r="A459" s="48" t="s">
        <v>496</v>
      </c>
      <c r="B459" s="48" t="s">
        <v>493</v>
      </c>
      <c r="C459" s="46"/>
      <c r="D459" s="46"/>
      <c r="E459" s="46"/>
      <c r="F459" s="46"/>
      <c r="G459" s="46"/>
      <c r="H459" s="46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</row>
    <row r="460">
      <c r="A460" s="48" t="s">
        <v>497</v>
      </c>
      <c r="B460" s="48" t="s">
        <v>493</v>
      </c>
      <c r="C460" s="46"/>
      <c r="D460" s="46"/>
      <c r="E460" s="46"/>
      <c r="F460" s="46"/>
      <c r="G460" s="46"/>
      <c r="H460" s="46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</row>
    <row r="461">
      <c r="A461" s="48" t="s">
        <v>498</v>
      </c>
      <c r="B461" s="48" t="s">
        <v>493</v>
      </c>
      <c r="C461" s="46"/>
      <c r="D461" s="46"/>
      <c r="E461" s="46"/>
      <c r="F461" s="46"/>
      <c r="G461" s="46"/>
      <c r="H461" s="46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</row>
    <row r="462">
      <c r="A462" s="48" t="s">
        <v>499</v>
      </c>
      <c r="B462" s="48" t="s">
        <v>500</v>
      </c>
      <c r="C462" s="46"/>
      <c r="D462" s="46"/>
      <c r="E462" s="46"/>
      <c r="F462" s="46"/>
      <c r="G462" s="46"/>
      <c r="H462" s="46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</row>
    <row r="463">
      <c r="A463" s="48" t="s">
        <v>501</v>
      </c>
      <c r="B463" s="48" t="s">
        <v>500</v>
      </c>
      <c r="C463" s="46"/>
      <c r="D463" s="46"/>
      <c r="E463" s="46"/>
      <c r="F463" s="46"/>
      <c r="G463" s="46"/>
      <c r="H463" s="46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</row>
    <row r="464">
      <c r="A464" s="48" t="s">
        <v>502</v>
      </c>
      <c r="B464" s="48" t="s">
        <v>500</v>
      </c>
      <c r="C464" s="46"/>
      <c r="D464" s="46"/>
      <c r="E464" s="46"/>
      <c r="F464" s="46"/>
      <c r="G464" s="46"/>
      <c r="H464" s="46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</row>
    <row r="465">
      <c r="A465" s="48" t="s">
        <v>503</v>
      </c>
      <c r="B465" s="48" t="s">
        <v>500</v>
      </c>
      <c r="C465" s="46"/>
      <c r="D465" s="46"/>
      <c r="E465" s="46"/>
      <c r="F465" s="46"/>
      <c r="G465" s="46"/>
      <c r="H465" s="46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</row>
    <row r="466">
      <c r="A466" s="48" t="s">
        <v>504</v>
      </c>
      <c r="B466" s="48" t="s">
        <v>500</v>
      </c>
      <c r="C466" s="46"/>
      <c r="D466" s="46"/>
      <c r="E466" s="46"/>
      <c r="F466" s="46"/>
      <c r="G466" s="46"/>
      <c r="H466" s="46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</row>
    <row r="467">
      <c r="A467" s="48" t="s">
        <v>505</v>
      </c>
      <c r="B467" s="48" t="s">
        <v>500</v>
      </c>
      <c r="C467" s="46"/>
      <c r="D467" s="46"/>
      <c r="E467" s="46"/>
      <c r="F467" s="46"/>
      <c r="G467" s="46"/>
      <c r="H467" s="46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</row>
    <row r="468">
      <c r="A468" s="48" t="s">
        <v>506</v>
      </c>
      <c r="B468" s="48" t="s">
        <v>500</v>
      </c>
      <c r="C468" s="46"/>
      <c r="D468" s="46"/>
      <c r="E468" s="46"/>
      <c r="F468" s="46"/>
      <c r="G468" s="46"/>
      <c r="H468" s="46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</row>
    <row r="469">
      <c r="A469" s="48" t="s">
        <v>507</v>
      </c>
      <c r="B469" s="48" t="s">
        <v>500</v>
      </c>
      <c r="C469" s="46"/>
      <c r="D469" s="46"/>
      <c r="E469" s="46"/>
      <c r="F469" s="46"/>
      <c r="G469" s="46"/>
      <c r="H469" s="46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</row>
    <row r="470">
      <c r="A470" s="48" t="s">
        <v>508</v>
      </c>
      <c r="B470" s="48" t="s">
        <v>500</v>
      </c>
      <c r="C470" s="46"/>
      <c r="D470" s="46"/>
      <c r="E470" s="46"/>
      <c r="F470" s="46"/>
      <c r="G470" s="46"/>
      <c r="H470" s="46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</row>
    <row r="471">
      <c r="A471" s="48" t="s">
        <v>509</v>
      </c>
      <c r="B471" s="48" t="s">
        <v>500</v>
      </c>
      <c r="C471" s="46"/>
      <c r="D471" s="46"/>
      <c r="E471" s="46"/>
      <c r="F471" s="46"/>
      <c r="G471" s="46"/>
      <c r="H471" s="46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</row>
    <row r="472">
      <c r="A472" s="48" t="s">
        <v>510</v>
      </c>
      <c r="B472" s="48" t="s">
        <v>2</v>
      </c>
      <c r="C472" s="46"/>
      <c r="D472" s="46"/>
      <c r="E472" s="46"/>
      <c r="F472" s="46"/>
      <c r="G472" s="46"/>
      <c r="H472" s="46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</row>
    <row r="473">
      <c r="A473" s="48" t="s">
        <v>511</v>
      </c>
      <c r="B473" s="48" t="s">
        <v>2</v>
      </c>
      <c r="C473" s="46"/>
      <c r="D473" s="46"/>
      <c r="E473" s="46"/>
      <c r="F473" s="46"/>
      <c r="G473" s="46"/>
      <c r="H473" s="46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</row>
    <row r="474">
      <c r="A474" s="48" t="s">
        <v>512</v>
      </c>
      <c r="B474" s="48" t="s">
        <v>2</v>
      </c>
      <c r="C474" s="46"/>
      <c r="D474" s="46"/>
      <c r="E474" s="46"/>
      <c r="F474" s="46"/>
      <c r="G474" s="46"/>
      <c r="H474" s="46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</row>
    <row r="475">
      <c r="A475" s="48" t="s">
        <v>513</v>
      </c>
      <c r="B475" s="48" t="s">
        <v>2</v>
      </c>
      <c r="C475" s="46"/>
      <c r="D475" s="46"/>
      <c r="E475" s="46"/>
      <c r="F475" s="46"/>
      <c r="G475" s="46"/>
      <c r="H475" s="46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</row>
    <row r="476">
      <c r="A476" s="48" t="s">
        <v>514</v>
      </c>
      <c r="B476" s="48" t="s">
        <v>2</v>
      </c>
      <c r="C476" s="46"/>
      <c r="D476" s="46"/>
      <c r="E476" s="46"/>
      <c r="F476" s="46"/>
      <c r="G476" s="46"/>
      <c r="H476" s="46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</row>
    <row r="477">
      <c r="A477" s="48" t="s">
        <v>515</v>
      </c>
      <c r="B477" s="48" t="s">
        <v>2</v>
      </c>
      <c r="C477" s="46"/>
      <c r="D477" s="46"/>
      <c r="E477" s="46"/>
      <c r="F477" s="46"/>
      <c r="G477" s="46"/>
      <c r="H477" s="46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</row>
    <row r="478">
      <c r="A478" s="48" t="s">
        <v>516</v>
      </c>
      <c r="B478" s="48" t="s">
        <v>2</v>
      </c>
      <c r="C478" s="46"/>
      <c r="D478" s="46"/>
      <c r="E478" s="46"/>
      <c r="F478" s="46"/>
      <c r="G478" s="46"/>
      <c r="H478" s="46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</row>
    <row r="479">
      <c r="A479" s="48" t="s">
        <v>517</v>
      </c>
      <c r="B479" s="48" t="s">
        <v>2</v>
      </c>
      <c r="C479" s="46"/>
      <c r="D479" s="46"/>
      <c r="E479" s="46"/>
      <c r="F479" s="46"/>
      <c r="G479" s="46"/>
      <c r="H479" s="46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</row>
    <row r="480">
      <c r="A480" s="48" t="s">
        <v>518</v>
      </c>
      <c r="B480" s="48" t="s">
        <v>2</v>
      </c>
      <c r="C480" s="46"/>
      <c r="D480" s="46"/>
      <c r="E480" s="46"/>
      <c r="F480" s="46"/>
      <c r="G480" s="46"/>
      <c r="H480" s="46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</row>
    <row r="481">
      <c r="A481" s="48" t="s">
        <v>519</v>
      </c>
      <c r="B481" s="48" t="s">
        <v>520</v>
      </c>
      <c r="C481" s="46"/>
      <c r="D481" s="46"/>
      <c r="E481" s="46"/>
      <c r="F481" s="46"/>
      <c r="G481" s="46"/>
      <c r="H481" s="46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</row>
    <row r="482">
      <c r="A482" s="48" t="s">
        <v>521</v>
      </c>
      <c r="B482" s="48" t="s">
        <v>520</v>
      </c>
      <c r="C482" s="46"/>
      <c r="D482" s="46"/>
      <c r="E482" s="46"/>
      <c r="F482" s="46"/>
      <c r="G482" s="46"/>
      <c r="H482" s="46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</row>
    <row r="483">
      <c r="A483" s="48" t="s">
        <v>522</v>
      </c>
      <c r="B483" s="48" t="s">
        <v>520</v>
      </c>
      <c r="C483" s="46"/>
      <c r="D483" s="46"/>
      <c r="E483" s="46"/>
      <c r="F483" s="46"/>
      <c r="G483" s="46"/>
      <c r="H483" s="46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</row>
    <row r="484">
      <c r="A484" s="48" t="s">
        <v>523</v>
      </c>
      <c r="B484" s="48" t="s">
        <v>520</v>
      </c>
      <c r="C484" s="46"/>
      <c r="D484" s="46"/>
      <c r="E484" s="46"/>
      <c r="F484" s="46"/>
      <c r="G484" s="46"/>
      <c r="H484" s="46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</row>
    <row r="485">
      <c r="A485" s="48" t="s">
        <v>524</v>
      </c>
      <c r="B485" s="48" t="s">
        <v>520</v>
      </c>
      <c r="C485" s="46"/>
      <c r="D485" s="46"/>
      <c r="E485" s="46"/>
      <c r="F485" s="46"/>
      <c r="G485" s="46"/>
      <c r="H485" s="46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</row>
    <row r="486">
      <c r="A486" s="48" t="s">
        <v>525</v>
      </c>
      <c r="B486" s="48" t="s">
        <v>520</v>
      </c>
      <c r="C486" s="46"/>
      <c r="D486" s="46"/>
      <c r="E486" s="46"/>
      <c r="F486" s="46"/>
      <c r="G486" s="46"/>
      <c r="H486" s="46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</row>
    <row r="487">
      <c r="A487" s="48" t="s">
        <v>102</v>
      </c>
      <c r="B487" s="48" t="s">
        <v>520</v>
      </c>
      <c r="C487" s="46"/>
      <c r="D487" s="46"/>
      <c r="E487" s="46"/>
      <c r="F487" s="46"/>
      <c r="G487" s="46"/>
      <c r="H487" s="46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</row>
    <row r="488">
      <c r="A488" s="48" t="s">
        <v>517</v>
      </c>
      <c r="B488" s="48" t="s">
        <v>520</v>
      </c>
      <c r="C488" s="46"/>
      <c r="D488" s="46"/>
      <c r="E488" s="46"/>
      <c r="F488" s="46"/>
      <c r="G488" s="46"/>
      <c r="H488" s="46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</row>
    <row r="489">
      <c r="A489" s="48" t="s">
        <v>526</v>
      </c>
      <c r="B489" s="48" t="s">
        <v>520</v>
      </c>
      <c r="C489" s="46"/>
      <c r="D489" s="46"/>
      <c r="E489" s="46"/>
      <c r="F489" s="46"/>
      <c r="G489" s="46"/>
      <c r="H489" s="46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</row>
    <row r="490">
      <c r="A490" s="48" t="s">
        <v>527</v>
      </c>
      <c r="B490" s="48" t="s">
        <v>520</v>
      </c>
      <c r="C490" s="46"/>
      <c r="D490" s="46"/>
      <c r="E490" s="46"/>
      <c r="F490" s="46"/>
      <c r="G490" s="46"/>
      <c r="H490" s="46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</row>
    <row r="491">
      <c r="A491" s="48" t="s">
        <v>221</v>
      </c>
      <c r="B491" s="48" t="s">
        <v>520</v>
      </c>
      <c r="C491" s="46"/>
      <c r="D491" s="46"/>
      <c r="E491" s="46"/>
      <c r="F491" s="46"/>
      <c r="G491" s="46"/>
      <c r="H491" s="46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</row>
    <row r="492">
      <c r="A492" s="48" t="s">
        <v>528</v>
      </c>
      <c r="B492" s="48" t="s">
        <v>520</v>
      </c>
      <c r="C492" s="46"/>
      <c r="D492" s="46"/>
      <c r="E492" s="46"/>
      <c r="F492" s="46"/>
      <c r="G492" s="46"/>
      <c r="H492" s="46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</row>
    <row r="493">
      <c r="A493" s="48" t="s">
        <v>529</v>
      </c>
      <c r="B493" s="48" t="s">
        <v>530</v>
      </c>
      <c r="C493" s="46"/>
      <c r="D493" s="46"/>
      <c r="E493" s="46"/>
      <c r="F493" s="46"/>
      <c r="G493" s="46"/>
      <c r="H493" s="46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</row>
    <row r="494">
      <c r="A494" s="48" t="s">
        <v>531</v>
      </c>
      <c r="B494" s="48" t="s">
        <v>530</v>
      </c>
      <c r="C494" s="46"/>
      <c r="D494" s="46"/>
      <c r="E494" s="46"/>
      <c r="F494" s="46"/>
      <c r="G494" s="46"/>
      <c r="H494" s="46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</row>
    <row r="495">
      <c r="A495" s="48" t="s">
        <v>532</v>
      </c>
      <c r="B495" s="48" t="s">
        <v>530</v>
      </c>
      <c r="C495" s="46"/>
      <c r="D495" s="46"/>
      <c r="E495" s="46"/>
      <c r="F495" s="46"/>
      <c r="G495" s="46"/>
      <c r="H495" s="46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</row>
    <row r="496">
      <c r="A496" s="48" t="s">
        <v>533</v>
      </c>
      <c r="B496" s="48" t="s">
        <v>530</v>
      </c>
      <c r="C496" s="46"/>
      <c r="D496" s="46"/>
      <c r="E496" s="46"/>
      <c r="F496" s="46"/>
      <c r="G496" s="46"/>
      <c r="H496" s="46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</row>
    <row r="497">
      <c r="A497" s="48" t="s">
        <v>248</v>
      </c>
      <c r="B497" s="48" t="s">
        <v>530</v>
      </c>
      <c r="C497" s="46"/>
      <c r="D497" s="46"/>
      <c r="E497" s="46"/>
      <c r="F497" s="46"/>
      <c r="G497" s="46"/>
      <c r="H497" s="46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</row>
    <row r="498">
      <c r="A498" s="48" t="s">
        <v>534</v>
      </c>
      <c r="B498" s="48" t="s">
        <v>530</v>
      </c>
      <c r="C498" s="46"/>
      <c r="D498" s="46"/>
      <c r="E498" s="46"/>
      <c r="F498" s="46"/>
      <c r="G498" s="46"/>
      <c r="H498" s="46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</row>
    <row r="499">
      <c r="A499" s="48" t="s">
        <v>535</v>
      </c>
      <c r="B499" s="48" t="s">
        <v>530</v>
      </c>
      <c r="C499" s="46"/>
      <c r="D499" s="46"/>
      <c r="E499" s="46"/>
      <c r="F499" s="46"/>
      <c r="G499" s="46"/>
      <c r="H499" s="46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</row>
    <row r="500">
      <c r="A500" s="48" t="s">
        <v>536</v>
      </c>
      <c r="B500" s="48" t="s">
        <v>530</v>
      </c>
      <c r="C500" s="46"/>
      <c r="D500" s="46"/>
      <c r="E500" s="46"/>
      <c r="F500" s="46"/>
      <c r="G500" s="46"/>
      <c r="H500" s="46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</row>
    <row r="501">
      <c r="A501" s="48" t="s">
        <v>537</v>
      </c>
      <c r="B501" s="48" t="s">
        <v>530</v>
      </c>
      <c r="C501" s="46"/>
      <c r="D501" s="46"/>
      <c r="E501" s="46"/>
      <c r="F501" s="46"/>
      <c r="G501" s="46"/>
      <c r="H501" s="46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</row>
    <row r="502">
      <c r="A502" s="48" t="s">
        <v>538</v>
      </c>
      <c r="B502" s="48" t="s">
        <v>530</v>
      </c>
      <c r="C502" s="46"/>
      <c r="D502" s="46"/>
      <c r="E502" s="46"/>
      <c r="F502" s="46"/>
      <c r="G502" s="46"/>
      <c r="H502" s="46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</row>
    <row r="503">
      <c r="A503" s="48" t="s">
        <v>539</v>
      </c>
      <c r="B503" s="48" t="s">
        <v>530</v>
      </c>
      <c r="C503" s="46"/>
      <c r="D503" s="46"/>
      <c r="E503" s="46"/>
      <c r="F503" s="46"/>
      <c r="G503" s="46"/>
      <c r="H503" s="46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</row>
    <row r="504">
      <c r="A504" s="48" t="s">
        <v>540</v>
      </c>
      <c r="B504" s="48" t="s">
        <v>530</v>
      </c>
      <c r="C504" s="46"/>
      <c r="D504" s="46"/>
      <c r="E504" s="46"/>
      <c r="F504" s="46"/>
      <c r="G504" s="46"/>
      <c r="H504" s="46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</row>
    <row r="505">
      <c r="A505" s="48" t="s">
        <v>541</v>
      </c>
      <c r="B505" s="48" t="s">
        <v>530</v>
      </c>
      <c r="C505" s="46"/>
      <c r="D505" s="46"/>
      <c r="E505" s="46"/>
      <c r="F505" s="46"/>
      <c r="G505" s="46"/>
      <c r="H505" s="46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</row>
    <row r="506">
      <c r="A506" s="48" t="s">
        <v>542</v>
      </c>
      <c r="B506" s="48" t="s">
        <v>530</v>
      </c>
      <c r="C506" s="46"/>
      <c r="D506" s="46"/>
      <c r="E506" s="46"/>
      <c r="F506" s="46"/>
      <c r="G506" s="46"/>
      <c r="H506" s="46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</row>
    <row r="507">
      <c r="A507" s="48" t="s">
        <v>543</v>
      </c>
      <c r="B507" s="48" t="s">
        <v>530</v>
      </c>
      <c r="C507" s="46"/>
      <c r="D507" s="46"/>
      <c r="E507" s="46"/>
      <c r="F507" s="46"/>
      <c r="G507" s="46"/>
      <c r="H507" s="46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</row>
    <row r="508">
      <c r="A508" s="48" t="s">
        <v>544</v>
      </c>
      <c r="B508" s="48" t="s">
        <v>545</v>
      </c>
      <c r="C508" s="46"/>
      <c r="D508" s="46"/>
      <c r="E508" s="46"/>
      <c r="F508" s="46"/>
      <c r="G508" s="46"/>
      <c r="H508" s="46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</row>
    <row r="509">
      <c r="A509" s="48" t="s">
        <v>546</v>
      </c>
      <c r="B509" s="48" t="s">
        <v>545</v>
      </c>
      <c r="C509" s="46"/>
      <c r="D509" s="46"/>
      <c r="E509" s="46"/>
      <c r="F509" s="46"/>
      <c r="G509" s="46"/>
      <c r="H509" s="46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</row>
    <row r="510">
      <c r="A510" s="48" t="s">
        <v>547</v>
      </c>
      <c r="B510" s="48" t="s">
        <v>545</v>
      </c>
      <c r="C510" s="46"/>
      <c r="D510" s="46"/>
      <c r="E510" s="46"/>
      <c r="F510" s="46"/>
      <c r="G510" s="46"/>
      <c r="H510" s="46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</row>
    <row r="511">
      <c r="A511" s="48" t="s">
        <v>548</v>
      </c>
      <c r="B511" s="48" t="s">
        <v>545</v>
      </c>
      <c r="C511" s="46"/>
      <c r="D511" s="46"/>
      <c r="E511" s="46"/>
      <c r="F511" s="46"/>
      <c r="G511" s="46"/>
      <c r="H511" s="46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</row>
    <row r="512">
      <c r="A512" s="48" t="s">
        <v>549</v>
      </c>
      <c r="B512" s="48" t="s">
        <v>545</v>
      </c>
      <c r="C512" s="46"/>
      <c r="D512" s="46"/>
      <c r="E512" s="46"/>
      <c r="F512" s="46"/>
      <c r="G512" s="46"/>
      <c r="H512" s="46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</row>
    <row r="513">
      <c r="A513" s="48" t="s">
        <v>550</v>
      </c>
      <c r="B513" s="48" t="s">
        <v>545</v>
      </c>
      <c r="C513" s="46"/>
      <c r="D513" s="46"/>
      <c r="E513" s="46"/>
      <c r="F513" s="46"/>
      <c r="G513" s="46"/>
      <c r="H513" s="46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</row>
    <row r="514">
      <c r="A514" s="48" t="s">
        <v>551</v>
      </c>
      <c r="B514" s="48" t="s">
        <v>545</v>
      </c>
      <c r="C514" s="46"/>
      <c r="D514" s="46"/>
      <c r="E514" s="46"/>
      <c r="F514" s="46"/>
      <c r="G514" s="46"/>
      <c r="H514" s="46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</row>
    <row r="515">
      <c r="A515" s="48" t="s">
        <v>552</v>
      </c>
      <c r="B515" s="48" t="s">
        <v>545</v>
      </c>
      <c r="C515" s="46"/>
      <c r="D515" s="46"/>
      <c r="E515" s="46"/>
      <c r="F515" s="46"/>
      <c r="G515" s="46"/>
      <c r="H515" s="46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</row>
    <row r="516">
      <c r="A516" s="48" t="s">
        <v>402</v>
      </c>
      <c r="B516" s="48" t="s">
        <v>545</v>
      </c>
      <c r="C516" s="46"/>
      <c r="D516" s="46"/>
      <c r="E516" s="46"/>
      <c r="F516" s="46"/>
      <c r="G516" s="46"/>
      <c r="H516" s="46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</row>
    <row r="517">
      <c r="A517" s="48" t="s">
        <v>74</v>
      </c>
      <c r="B517" s="48" t="s">
        <v>545</v>
      </c>
      <c r="C517" s="46"/>
      <c r="D517" s="46"/>
      <c r="E517" s="46"/>
      <c r="F517" s="46"/>
      <c r="G517" s="46"/>
      <c r="H517" s="46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</row>
    <row r="518">
      <c r="A518" s="48" t="s">
        <v>553</v>
      </c>
      <c r="B518" s="48" t="s">
        <v>545</v>
      </c>
      <c r="C518" s="46"/>
      <c r="D518" s="46"/>
      <c r="E518" s="46"/>
      <c r="F518" s="46"/>
      <c r="G518" s="46"/>
      <c r="H518" s="46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</row>
    <row r="519">
      <c r="A519" s="48" t="s">
        <v>522</v>
      </c>
      <c r="B519" s="48" t="s">
        <v>545</v>
      </c>
      <c r="C519" s="46"/>
      <c r="D519" s="46"/>
      <c r="E519" s="46"/>
      <c r="F519" s="46"/>
      <c r="G519" s="46"/>
      <c r="H519" s="46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</row>
    <row r="520">
      <c r="A520" s="48" t="s">
        <v>554</v>
      </c>
      <c r="B520" s="48" t="s">
        <v>545</v>
      </c>
      <c r="C520" s="46"/>
      <c r="D520" s="46"/>
      <c r="E520" s="46"/>
      <c r="F520" s="46"/>
      <c r="G520" s="46"/>
      <c r="H520" s="46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</row>
    <row r="521">
      <c r="A521" s="48" t="s">
        <v>555</v>
      </c>
      <c r="B521" s="48" t="s">
        <v>545</v>
      </c>
      <c r="C521" s="46"/>
      <c r="D521" s="46"/>
      <c r="E521" s="46"/>
      <c r="F521" s="46"/>
      <c r="G521" s="46"/>
      <c r="H521" s="46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</row>
    <row r="522">
      <c r="A522" s="48" t="s">
        <v>556</v>
      </c>
      <c r="B522" s="48" t="s">
        <v>545</v>
      </c>
      <c r="C522" s="46"/>
      <c r="D522" s="46"/>
      <c r="E522" s="46"/>
      <c r="F522" s="46"/>
      <c r="G522" s="46"/>
      <c r="H522" s="46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</row>
    <row r="523">
      <c r="A523" s="48" t="s">
        <v>557</v>
      </c>
      <c r="B523" s="48" t="s">
        <v>545</v>
      </c>
      <c r="C523" s="46"/>
      <c r="D523" s="46"/>
      <c r="E523" s="46"/>
      <c r="F523" s="46"/>
      <c r="G523" s="46"/>
      <c r="H523" s="46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</row>
    <row r="524">
      <c r="A524" s="48" t="s">
        <v>558</v>
      </c>
      <c r="B524" s="48" t="s">
        <v>545</v>
      </c>
      <c r="C524" s="46"/>
      <c r="D524" s="46"/>
      <c r="E524" s="46"/>
      <c r="F524" s="46"/>
      <c r="G524" s="46"/>
      <c r="H524" s="46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</row>
    <row r="525">
      <c r="A525" s="48" t="s">
        <v>559</v>
      </c>
      <c r="B525" s="48" t="s">
        <v>545</v>
      </c>
      <c r="C525" s="46"/>
      <c r="D525" s="46"/>
      <c r="E525" s="46"/>
      <c r="F525" s="46"/>
      <c r="G525" s="46"/>
      <c r="H525" s="46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</row>
    <row r="526">
      <c r="A526" s="48" t="s">
        <v>560</v>
      </c>
      <c r="B526" s="48" t="s">
        <v>545</v>
      </c>
      <c r="C526" s="46"/>
      <c r="D526" s="46"/>
      <c r="E526" s="46"/>
      <c r="F526" s="46"/>
      <c r="G526" s="46"/>
      <c r="H526" s="46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</row>
    <row r="527">
      <c r="A527" s="48" t="s">
        <v>561</v>
      </c>
      <c r="B527" s="48" t="s">
        <v>545</v>
      </c>
      <c r="C527" s="46"/>
      <c r="D527" s="46"/>
      <c r="E527" s="46"/>
      <c r="F527" s="46"/>
      <c r="G527" s="46"/>
      <c r="H527" s="46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</row>
    <row r="528">
      <c r="A528" s="48" t="s">
        <v>562</v>
      </c>
      <c r="B528" s="48" t="s">
        <v>563</v>
      </c>
      <c r="C528" s="46"/>
      <c r="D528" s="46"/>
      <c r="E528" s="46"/>
      <c r="F528" s="46"/>
      <c r="G528" s="46"/>
      <c r="H528" s="46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</row>
    <row r="529">
      <c r="A529" s="48" t="s">
        <v>404</v>
      </c>
      <c r="B529" s="48" t="s">
        <v>563</v>
      </c>
      <c r="C529" s="46"/>
      <c r="D529" s="46"/>
      <c r="E529" s="46"/>
      <c r="F529" s="46"/>
      <c r="G529" s="46"/>
      <c r="H529" s="46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</row>
    <row r="530">
      <c r="A530" s="48" t="s">
        <v>564</v>
      </c>
      <c r="B530" s="48" t="s">
        <v>563</v>
      </c>
      <c r="C530" s="46"/>
      <c r="D530" s="46"/>
      <c r="E530" s="46"/>
      <c r="F530" s="46"/>
      <c r="G530" s="46"/>
      <c r="H530" s="46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</row>
    <row r="531">
      <c r="A531" s="48" t="s">
        <v>565</v>
      </c>
      <c r="B531" s="48" t="s">
        <v>563</v>
      </c>
      <c r="C531" s="46"/>
      <c r="D531" s="46"/>
      <c r="E531" s="46"/>
      <c r="F531" s="46"/>
      <c r="G531" s="46"/>
      <c r="H531" s="46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</row>
    <row r="532">
      <c r="A532" s="48" t="s">
        <v>566</v>
      </c>
      <c r="B532" s="48" t="s">
        <v>563</v>
      </c>
      <c r="C532" s="46"/>
      <c r="D532" s="46"/>
      <c r="E532" s="46"/>
      <c r="F532" s="46"/>
      <c r="G532" s="46"/>
      <c r="H532" s="46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</row>
    <row r="533">
      <c r="A533" s="48" t="s">
        <v>567</v>
      </c>
      <c r="B533" s="48" t="s">
        <v>563</v>
      </c>
      <c r="C533" s="46"/>
      <c r="D533" s="46"/>
      <c r="E533" s="46"/>
      <c r="F533" s="46"/>
      <c r="G533" s="46"/>
      <c r="H533" s="46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</row>
    <row r="534">
      <c r="A534" s="48" t="s">
        <v>568</v>
      </c>
      <c r="B534" s="48" t="s">
        <v>563</v>
      </c>
      <c r="C534" s="46"/>
      <c r="D534" s="46"/>
      <c r="E534" s="46"/>
      <c r="F534" s="46"/>
      <c r="G534" s="46"/>
      <c r="H534" s="46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</row>
    <row r="535">
      <c r="A535" s="48" t="s">
        <v>569</v>
      </c>
      <c r="B535" s="48" t="s">
        <v>563</v>
      </c>
      <c r="C535" s="46"/>
      <c r="D535" s="46"/>
      <c r="E535" s="46"/>
      <c r="F535" s="46"/>
      <c r="G535" s="46"/>
      <c r="H535" s="46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</row>
    <row r="536">
      <c r="A536" s="48" t="s">
        <v>570</v>
      </c>
      <c r="B536" s="48" t="s">
        <v>563</v>
      </c>
      <c r="C536" s="46"/>
      <c r="D536" s="46"/>
      <c r="E536" s="46"/>
      <c r="F536" s="46"/>
      <c r="G536" s="46"/>
      <c r="H536" s="46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</row>
    <row r="537">
      <c r="A537" s="48" t="s">
        <v>188</v>
      </c>
      <c r="B537" s="48" t="s">
        <v>563</v>
      </c>
      <c r="C537" s="46"/>
      <c r="D537" s="46"/>
      <c r="E537" s="46"/>
      <c r="F537" s="46"/>
      <c r="G537" s="46"/>
      <c r="H537" s="46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</row>
    <row r="538">
      <c r="A538" s="48" t="s">
        <v>571</v>
      </c>
      <c r="B538" s="48" t="s">
        <v>563</v>
      </c>
      <c r="C538" s="46"/>
      <c r="D538" s="46"/>
      <c r="E538" s="46"/>
      <c r="F538" s="46"/>
      <c r="G538" s="46"/>
      <c r="H538" s="46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</row>
    <row r="539">
      <c r="A539" s="48" t="s">
        <v>572</v>
      </c>
      <c r="B539" s="48" t="s">
        <v>563</v>
      </c>
      <c r="C539" s="46"/>
      <c r="D539" s="46"/>
      <c r="E539" s="46"/>
      <c r="F539" s="46"/>
      <c r="G539" s="46"/>
      <c r="H539" s="46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</row>
    <row r="540">
      <c r="A540" s="48" t="s">
        <v>492</v>
      </c>
      <c r="B540" s="48" t="s">
        <v>563</v>
      </c>
      <c r="C540" s="46"/>
      <c r="D540" s="46"/>
      <c r="E540" s="46"/>
      <c r="F540" s="46"/>
      <c r="G540" s="46"/>
      <c r="H540" s="46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</row>
    <row r="541">
      <c r="A541" s="48" t="s">
        <v>573</v>
      </c>
      <c r="B541" s="48" t="s">
        <v>563</v>
      </c>
      <c r="C541" s="46"/>
      <c r="D541" s="46"/>
      <c r="E541" s="46"/>
      <c r="F541" s="46"/>
      <c r="G541" s="46"/>
      <c r="H541" s="46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</row>
    <row r="542">
      <c r="A542" s="48" t="s">
        <v>574</v>
      </c>
      <c r="B542" s="48" t="s">
        <v>575</v>
      </c>
      <c r="C542" s="46"/>
      <c r="D542" s="46"/>
      <c r="E542" s="46"/>
      <c r="F542" s="46"/>
      <c r="G542" s="46"/>
      <c r="H542" s="46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</row>
    <row r="543">
      <c r="A543" s="48" t="s">
        <v>576</v>
      </c>
      <c r="B543" s="48" t="s">
        <v>575</v>
      </c>
      <c r="C543" s="46"/>
      <c r="D543" s="46"/>
      <c r="E543" s="46"/>
      <c r="F543" s="46"/>
      <c r="G543" s="46"/>
      <c r="H543" s="46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</row>
    <row r="544">
      <c r="A544" s="48" t="s">
        <v>577</v>
      </c>
      <c r="B544" s="48" t="s">
        <v>575</v>
      </c>
      <c r="C544" s="46"/>
      <c r="D544" s="46"/>
      <c r="E544" s="46"/>
      <c r="F544" s="46"/>
      <c r="G544" s="46"/>
      <c r="H544" s="46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</row>
    <row r="545">
      <c r="A545" s="48" t="s">
        <v>223</v>
      </c>
      <c r="B545" s="48" t="s">
        <v>575</v>
      </c>
      <c r="C545" s="46"/>
      <c r="D545" s="46"/>
      <c r="E545" s="46"/>
      <c r="F545" s="46"/>
      <c r="G545" s="46"/>
      <c r="H545" s="46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</row>
    <row r="546">
      <c r="A546" s="48" t="s">
        <v>578</v>
      </c>
      <c r="B546" s="48" t="s">
        <v>575</v>
      </c>
      <c r="C546" s="46"/>
      <c r="D546" s="46"/>
      <c r="E546" s="46"/>
      <c r="F546" s="46"/>
      <c r="G546" s="46"/>
      <c r="H546" s="46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</row>
    <row r="547">
      <c r="A547" s="48" t="s">
        <v>579</v>
      </c>
      <c r="B547" s="48" t="s">
        <v>575</v>
      </c>
      <c r="C547" s="46"/>
      <c r="D547" s="46"/>
      <c r="E547" s="46"/>
      <c r="F547" s="46"/>
      <c r="G547" s="46"/>
      <c r="H547" s="46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</row>
    <row r="548">
      <c r="A548" s="48" t="s">
        <v>580</v>
      </c>
      <c r="B548" s="48" t="s">
        <v>575</v>
      </c>
      <c r="C548" s="46"/>
      <c r="D548" s="46"/>
      <c r="E548" s="46"/>
      <c r="F548" s="46"/>
      <c r="G548" s="46"/>
      <c r="H548" s="46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</row>
    <row r="549">
      <c r="A549" s="48" t="s">
        <v>581</v>
      </c>
      <c r="B549" s="48" t="s">
        <v>575</v>
      </c>
      <c r="C549" s="46"/>
      <c r="D549" s="46"/>
      <c r="E549" s="46"/>
      <c r="F549" s="46"/>
      <c r="G549" s="46"/>
      <c r="H549" s="46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</row>
    <row r="550">
      <c r="A550" s="48" t="s">
        <v>582</v>
      </c>
      <c r="B550" s="48" t="s">
        <v>575</v>
      </c>
      <c r="C550" s="46"/>
      <c r="D550" s="46"/>
      <c r="E550" s="46"/>
      <c r="F550" s="46"/>
      <c r="G550" s="46"/>
      <c r="H550" s="46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</row>
    <row r="551">
      <c r="A551" s="48" t="s">
        <v>583</v>
      </c>
      <c r="B551" s="48" t="s">
        <v>575</v>
      </c>
      <c r="C551" s="46"/>
      <c r="D551" s="46"/>
      <c r="E551" s="46"/>
      <c r="F551" s="46"/>
      <c r="G551" s="46"/>
      <c r="H551" s="46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</row>
    <row r="552">
      <c r="A552" s="48" t="s">
        <v>584</v>
      </c>
      <c r="B552" s="48" t="s">
        <v>585</v>
      </c>
      <c r="C552" s="46"/>
      <c r="D552" s="46"/>
      <c r="E552" s="46"/>
      <c r="F552" s="46"/>
      <c r="G552" s="46"/>
      <c r="H552" s="46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</row>
    <row r="553">
      <c r="A553" s="48" t="s">
        <v>586</v>
      </c>
      <c r="B553" s="48" t="s">
        <v>585</v>
      </c>
      <c r="C553" s="46"/>
      <c r="D553" s="46"/>
      <c r="E553" s="46"/>
      <c r="F553" s="46"/>
      <c r="G553" s="46"/>
      <c r="H553" s="46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</row>
    <row r="554">
      <c r="A554" s="48" t="s">
        <v>587</v>
      </c>
      <c r="B554" s="48" t="s">
        <v>585</v>
      </c>
      <c r="C554" s="46"/>
      <c r="D554" s="46"/>
      <c r="E554" s="46"/>
      <c r="F554" s="46"/>
      <c r="G554" s="46"/>
      <c r="H554" s="46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</row>
    <row r="555">
      <c r="A555" s="48" t="s">
        <v>588</v>
      </c>
      <c r="B555" s="48" t="s">
        <v>585</v>
      </c>
      <c r="C555" s="46"/>
      <c r="D555" s="46"/>
      <c r="E555" s="46"/>
      <c r="F555" s="46"/>
      <c r="G555" s="46"/>
      <c r="H555" s="46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</row>
    <row r="556">
      <c r="A556" s="48" t="s">
        <v>589</v>
      </c>
      <c r="B556" s="48" t="s">
        <v>585</v>
      </c>
      <c r="C556" s="46"/>
      <c r="D556" s="46"/>
      <c r="E556" s="46"/>
      <c r="F556" s="46"/>
      <c r="G556" s="46"/>
      <c r="H556" s="46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</row>
    <row r="557">
      <c r="A557" s="48" t="s">
        <v>590</v>
      </c>
      <c r="B557" s="48" t="s">
        <v>585</v>
      </c>
      <c r="C557" s="46"/>
      <c r="D557" s="46"/>
      <c r="E557" s="46"/>
      <c r="F557" s="46"/>
      <c r="G557" s="46"/>
      <c r="H557" s="46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</row>
    <row r="558">
      <c r="A558" s="48" t="s">
        <v>591</v>
      </c>
      <c r="B558" s="48" t="s">
        <v>585</v>
      </c>
      <c r="C558" s="46"/>
      <c r="D558" s="46"/>
      <c r="E558" s="46"/>
      <c r="F558" s="46"/>
      <c r="G558" s="46"/>
      <c r="H558" s="46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</row>
    <row r="559">
      <c r="A559" s="48" t="s">
        <v>592</v>
      </c>
      <c r="B559" s="48" t="s">
        <v>585</v>
      </c>
      <c r="C559" s="46"/>
      <c r="D559" s="46"/>
      <c r="E559" s="46"/>
      <c r="F559" s="46"/>
      <c r="G559" s="46"/>
      <c r="H559" s="46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</row>
    <row r="560">
      <c r="A560" s="48" t="s">
        <v>516</v>
      </c>
      <c r="B560" s="48" t="s">
        <v>585</v>
      </c>
      <c r="C560" s="46"/>
      <c r="D560" s="46"/>
      <c r="E560" s="46"/>
      <c r="F560" s="46"/>
      <c r="G560" s="46"/>
      <c r="H560" s="46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</row>
    <row r="561">
      <c r="A561" s="48" t="s">
        <v>593</v>
      </c>
      <c r="B561" s="48" t="s">
        <v>585</v>
      </c>
      <c r="C561" s="46"/>
      <c r="D561" s="46"/>
      <c r="E561" s="46"/>
      <c r="F561" s="46"/>
      <c r="G561" s="46"/>
      <c r="H561" s="46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</row>
    <row r="562">
      <c r="A562" s="48" t="s">
        <v>594</v>
      </c>
      <c r="B562" s="48" t="s">
        <v>595</v>
      </c>
      <c r="C562" s="46"/>
      <c r="D562" s="46"/>
      <c r="E562" s="46"/>
      <c r="F562" s="46"/>
      <c r="G562" s="46"/>
      <c r="H562" s="46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</row>
    <row r="563">
      <c r="A563" s="48" t="s">
        <v>596</v>
      </c>
      <c r="B563" s="48" t="s">
        <v>595</v>
      </c>
      <c r="C563" s="46"/>
      <c r="D563" s="46"/>
      <c r="E563" s="46"/>
      <c r="F563" s="46"/>
      <c r="G563" s="46"/>
      <c r="H563" s="46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</row>
    <row r="564">
      <c r="A564" s="48" t="s">
        <v>597</v>
      </c>
      <c r="B564" s="48" t="s">
        <v>595</v>
      </c>
      <c r="C564" s="46"/>
      <c r="D564" s="46"/>
      <c r="E564" s="46"/>
      <c r="F564" s="46"/>
      <c r="G564" s="46"/>
      <c r="H564" s="46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</row>
    <row r="565">
      <c r="A565" s="48" t="s">
        <v>598</v>
      </c>
      <c r="B565" s="48" t="s">
        <v>595</v>
      </c>
      <c r="C565" s="46"/>
      <c r="D565" s="46"/>
      <c r="E565" s="46"/>
      <c r="F565" s="46"/>
      <c r="G565" s="46"/>
      <c r="H565" s="46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</row>
    <row r="566">
      <c r="A566" s="48" t="s">
        <v>599</v>
      </c>
      <c r="B566" s="48" t="s">
        <v>595</v>
      </c>
      <c r="C566" s="46"/>
      <c r="D566" s="46"/>
      <c r="E566" s="46"/>
      <c r="F566" s="46"/>
      <c r="G566" s="46"/>
      <c r="H566" s="46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</row>
    <row r="567">
      <c r="A567" s="48" t="s">
        <v>600</v>
      </c>
      <c r="B567" s="48" t="s">
        <v>595</v>
      </c>
      <c r="C567" s="46"/>
      <c r="D567" s="46"/>
      <c r="E567" s="46"/>
      <c r="F567" s="46"/>
      <c r="G567" s="46"/>
      <c r="H567" s="46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</row>
    <row r="568">
      <c r="A568" s="48" t="s">
        <v>601</v>
      </c>
      <c r="B568" s="48" t="s">
        <v>595</v>
      </c>
      <c r="C568" s="46"/>
      <c r="D568" s="46"/>
      <c r="E568" s="46"/>
      <c r="F568" s="46"/>
      <c r="G568" s="46"/>
      <c r="H568" s="46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</row>
    <row r="569">
      <c r="A569" s="48" t="s">
        <v>602</v>
      </c>
      <c r="B569" s="48" t="s">
        <v>595</v>
      </c>
      <c r="C569" s="46"/>
      <c r="D569" s="46"/>
      <c r="E569" s="46"/>
      <c r="F569" s="46"/>
      <c r="G569" s="46"/>
      <c r="H569" s="46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</row>
    <row r="570">
      <c r="A570" s="48" t="s">
        <v>603</v>
      </c>
      <c r="B570" s="48" t="s">
        <v>595</v>
      </c>
      <c r="C570" s="46"/>
      <c r="D570" s="46"/>
      <c r="E570" s="46"/>
      <c r="F570" s="46"/>
      <c r="G570" s="46"/>
      <c r="H570" s="46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</row>
    <row r="571">
      <c r="A571" s="48" t="s">
        <v>604</v>
      </c>
      <c r="B571" s="48" t="s">
        <v>605</v>
      </c>
      <c r="C571" s="46"/>
      <c r="D571" s="46"/>
      <c r="E571" s="46"/>
      <c r="F571" s="46"/>
      <c r="G571" s="46"/>
      <c r="H571" s="46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</row>
    <row r="572">
      <c r="A572" s="48" t="s">
        <v>606</v>
      </c>
      <c r="B572" s="48" t="s">
        <v>605</v>
      </c>
      <c r="C572" s="46"/>
      <c r="D572" s="46"/>
      <c r="E572" s="46"/>
      <c r="F572" s="46"/>
      <c r="G572" s="46"/>
      <c r="H572" s="46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</row>
    <row r="573">
      <c r="A573" s="48" t="s">
        <v>607</v>
      </c>
      <c r="B573" s="48" t="s">
        <v>605</v>
      </c>
      <c r="C573" s="46"/>
      <c r="D573" s="46"/>
      <c r="E573" s="46"/>
      <c r="F573" s="46"/>
      <c r="G573" s="46"/>
      <c r="H573" s="46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</row>
    <row r="574">
      <c r="A574" s="48" t="s">
        <v>608</v>
      </c>
      <c r="B574" s="48" t="s">
        <v>605</v>
      </c>
      <c r="C574" s="46"/>
      <c r="D574" s="46"/>
      <c r="E574" s="46"/>
      <c r="F574" s="46"/>
      <c r="G574" s="46"/>
      <c r="H574" s="46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</row>
    <row r="575">
      <c r="A575" s="48" t="s">
        <v>609</v>
      </c>
      <c r="B575" s="48" t="s">
        <v>605</v>
      </c>
      <c r="C575" s="46"/>
      <c r="D575" s="46"/>
      <c r="E575" s="46"/>
      <c r="F575" s="46"/>
      <c r="G575" s="46"/>
      <c r="H575" s="46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</row>
    <row r="576">
      <c r="A576" s="48" t="s">
        <v>610</v>
      </c>
      <c r="B576" s="48" t="s">
        <v>605</v>
      </c>
      <c r="C576" s="46"/>
      <c r="D576" s="46"/>
      <c r="E576" s="46"/>
      <c r="F576" s="46"/>
      <c r="G576" s="46"/>
      <c r="H576" s="46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</row>
    <row r="577">
      <c r="A577" s="48" t="s">
        <v>611</v>
      </c>
      <c r="B577" s="48" t="s">
        <v>612</v>
      </c>
      <c r="C577" s="46"/>
      <c r="D577" s="46"/>
      <c r="E577" s="46"/>
      <c r="F577" s="46"/>
      <c r="G577" s="46"/>
      <c r="H577" s="46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</row>
    <row r="578">
      <c r="A578" s="48" t="s">
        <v>613</v>
      </c>
      <c r="B578" s="48" t="s">
        <v>612</v>
      </c>
      <c r="C578" s="46"/>
      <c r="D578" s="46"/>
      <c r="E578" s="46"/>
      <c r="F578" s="46"/>
      <c r="G578" s="46"/>
      <c r="H578" s="46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</row>
    <row r="579">
      <c r="A579" s="48" t="s">
        <v>614</v>
      </c>
      <c r="B579" s="48" t="s">
        <v>612</v>
      </c>
      <c r="C579" s="46"/>
      <c r="D579" s="46"/>
      <c r="E579" s="46"/>
      <c r="F579" s="46"/>
      <c r="G579" s="46"/>
      <c r="H579" s="46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</row>
    <row r="580">
      <c r="A580" s="48" t="s">
        <v>615</v>
      </c>
      <c r="B580" s="48" t="s">
        <v>612</v>
      </c>
      <c r="C580" s="46"/>
      <c r="D580" s="46"/>
      <c r="E580" s="46"/>
      <c r="F580" s="46"/>
      <c r="G580" s="46"/>
      <c r="H580" s="46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</row>
    <row r="581">
      <c r="A581" s="48" t="s">
        <v>616</v>
      </c>
      <c r="B581" s="48" t="s">
        <v>612</v>
      </c>
      <c r="C581" s="46"/>
      <c r="D581" s="46"/>
      <c r="E581" s="46"/>
      <c r="F581" s="46"/>
      <c r="G581" s="46"/>
      <c r="H581" s="46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</row>
    <row r="582">
      <c r="A582" s="48" t="s">
        <v>617</v>
      </c>
      <c r="B582" s="48" t="s">
        <v>612</v>
      </c>
      <c r="C582" s="46"/>
      <c r="D582" s="46"/>
      <c r="E582" s="46"/>
      <c r="F582" s="46"/>
      <c r="G582" s="46"/>
      <c r="H582" s="46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</row>
    <row r="583">
      <c r="A583" s="48" t="s">
        <v>618</v>
      </c>
      <c r="B583" s="48" t="s">
        <v>612</v>
      </c>
      <c r="C583" s="46"/>
      <c r="D583" s="46"/>
      <c r="E583" s="46"/>
      <c r="F583" s="46"/>
      <c r="G583" s="46"/>
      <c r="H583" s="46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</row>
    <row r="584">
      <c r="A584" s="48" t="s">
        <v>619</v>
      </c>
      <c r="B584" s="48" t="s">
        <v>612</v>
      </c>
      <c r="C584" s="46"/>
      <c r="D584" s="46"/>
      <c r="E584" s="46"/>
      <c r="F584" s="46"/>
      <c r="G584" s="46"/>
      <c r="H584" s="46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</row>
    <row r="585">
      <c r="A585" s="48" t="s">
        <v>620</v>
      </c>
      <c r="B585" s="48" t="s">
        <v>612</v>
      </c>
      <c r="C585" s="46"/>
      <c r="D585" s="46"/>
      <c r="E585" s="46"/>
      <c r="F585" s="46"/>
      <c r="G585" s="46"/>
      <c r="H585" s="46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</row>
    <row r="586">
      <c r="A586" s="48" t="s">
        <v>621</v>
      </c>
      <c r="B586" s="48" t="s">
        <v>612</v>
      </c>
      <c r="C586" s="46"/>
      <c r="D586" s="46"/>
      <c r="E586" s="46"/>
      <c r="F586" s="46"/>
      <c r="G586" s="46"/>
      <c r="H586" s="46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</row>
    <row r="587">
      <c r="A587" s="48" t="s">
        <v>622</v>
      </c>
      <c r="B587" s="48" t="s">
        <v>612</v>
      </c>
      <c r="C587" s="46"/>
      <c r="D587" s="46"/>
      <c r="E587" s="46"/>
      <c r="F587" s="46"/>
      <c r="G587" s="46"/>
      <c r="H587" s="46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</row>
    <row r="588">
      <c r="A588" s="48" t="s">
        <v>623</v>
      </c>
      <c r="B588" s="48" t="s">
        <v>612</v>
      </c>
      <c r="C588" s="46"/>
      <c r="D588" s="46"/>
      <c r="E588" s="46"/>
      <c r="F588" s="46"/>
      <c r="G588" s="46"/>
      <c r="H588" s="46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</row>
    <row r="589">
      <c r="A589" s="48" t="s">
        <v>624</v>
      </c>
      <c r="B589" s="48" t="s">
        <v>612</v>
      </c>
      <c r="C589" s="46"/>
      <c r="D589" s="46"/>
      <c r="E589" s="46"/>
      <c r="F589" s="46"/>
      <c r="G589" s="46"/>
      <c r="H589" s="46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</row>
    <row r="590">
      <c r="A590" s="48" t="s">
        <v>625</v>
      </c>
      <c r="B590" s="48" t="s">
        <v>612</v>
      </c>
      <c r="C590" s="46"/>
      <c r="D590" s="46"/>
      <c r="E590" s="46"/>
      <c r="F590" s="46"/>
      <c r="G590" s="46"/>
      <c r="H590" s="46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</row>
    <row r="591">
      <c r="A591" s="48" t="s">
        <v>626</v>
      </c>
      <c r="B591" s="48" t="s">
        <v>612</v>
      </c>
      <c r="C591" s="46"/>
      <c r="D591" s="46"/>
      <c r="E591" s="46"/>
      <c r="F591" s="46"/>
      <c r="G591" s="46"/>
      <c r="H591" s="46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</row>
    <row r="592">
      <c r="A592" s="48" t="s">
        <v>627</v>
      </c>
      <c r="B592" s="48" t="s">
        <v>628</v>
      </c>
      <c r="C592" s="46"/>
      <c r="D592" s="46"/>
      <c r="E592" s="46"/>
      <c r="F592" s="46"/>
      <c r="G592" s="46"/>
      <c r="H592" s="46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</row>
    <row r="593">
      <c r="A593" s="48" t="s">
        <v>629</v>
      </c>
      <c r="B593" s="48" t="s">
        <v>628</v>
      </c>
      <c r="C593" s="46"/>
      <c r="D593" s="46"/>
      <c r="E593" s="46"/>
      <c r="F593" s="46"/>
      <c r="G593" s="46"/>
      <c r="H593" s="46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</row>
    <row r="594">
      <c r="A594" s="48" t="s">
        <v>630</v>
      </c>
      <c r="B594" s="48" t="s">
        <v>628</v>
      </c>
      <c r="C594" s="46"/>
      <c r="D594" s="46"/>
      <c r="E594" s="46"/>
      <c r="F594" s="46"/>
      <c r="G594" s="46"/>
      <c r="H594" s="46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</row>
    <row r="595">
      <c r="A595" s="48" t="s">
        <v>631</v>
      </c>
      <c r="B595" s="48" t="s">
        <v>628</v>
      </c>
      <c r="C595" s="46"/>
      <c r="D595" s="46"/>
      <c r="E595" s="46"/>
      <c r="F595" s="46"/>
      <c r="G595" s="46"/>
      <c r="H595" s="46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</row>
    <row r="596">
      <c r="A596" s="48" t="s">
        <v>632</v>
      </c>
      <c r="B596" s="48" t="s">
        <v>628</v>
      </c>
      <c r="C596" s="46"/>
      <c r="D596" s="46"/>
      <c r="E596" s="46"/>
      <c r="F596" s="46"/>
      <c r="G596" s="46"/>
      <c r="H596" s="46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</row>
    <row r="597">
      <c r="A597" s="48" t="s">
        <v>633</v>
      </c>
      <c r="B597" s="48" t="s">
        <v>628</v>
      </c>
      <c r="C597" s="46"/>
      <c r="D597" s="46"/>
      <c r="E597" s="46"/>
      <c r="F597" s="46"/>
      <c r="G597" s="46"/>
      <c r="H597" s="46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</row>
    <row r="598">
      <c r="A598" s="48" t="s">
        <v>634</v>
      </c>
      <c r="B598" s="48" t="s">
        <v>628</v>
      </c>
      <c r="C598" s="46"/>
      <c r="D598" s="46"/>
      <c r="E598" s="46"/>
      <c r="F598" s="46"/>
      <c r="G598" s="46"/>
      <c r="H598" s="46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</row>
    <row r="599">
      <c r="A599" s="48" t="s">
        <v>635</v>
      </c>
      <c r="B599" s="48" t="s">
        <v>628</v>
      </c>
      <c r="C599" s="46"/>
      <c r="D599" s="46"/>
      <c r="E599" s="46"/>
      <c r="F599" s="46"/>
      <c r="G599" s="46"/>
      <c r="H599" s="46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</row>
    <row r="600">
      <c r="A600" s="48" t="s">
        <v>636</v>
      </c>
      <c r="B600" s="48" t="s">
        <v>628</v>
      </c>
      <c r="C600" s="46"/>
      <c r="D600" s="46"/>
      <c r="E600" s="46"/>
      <c r="F600" s="46"/>
      <c r="G600" s="46"/>
      <c r="H600" s="46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</row>
    <row r="601">
      <c r="A601" s="48" t="s">
        <v>637</v>
      </c>
      <c r="B601" s="48" t="s">
        <v>638</v>
      </c>
      <c r="C601" s="46"/>
      <c r="D601" s="46"/>
      <c r="E601" s="46"/>
      <c r="F601" s="46"/>
      <c r="G601" s="46"/>
      <c r="H601" s="46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</row>
    <row r="602">
      <c r="A602" s="48" t="s">
        <v>639</v>
      </c>
      <c r="B602" s="48" t="s">
        <v>638</v>
      </c>
      <c r="C602" s="46"/>
      <c r="D602" s="46"/>
      <c r="E602" s="46"/>
      <c r="F602" s="46"/>
      <c r="G602" s="46"/>
      <c r="H602" s="46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</row>
    <row r="603">
      <c r="A603" s="48" t="s">
        <v>640</v>
      </c>
      <c r="B603" s="48" t="s">
        <v>638</v>
      </c>
      <c r="C603" s="46"/>
      <c r="D603" s="46"/>
      <c r="E603" s="46"/>
      <c r="F603" s="46"/>
      <c r="G603" s="46"/>
      <c r="H603" s="46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</row>
    <row r="604">
      <c r="A604" s="48" t="s">
        <v>641</v>
      </c>
      <c r="B604" s="48" t="s">
        <v>638</v>
      </c>
      <c r="C604" s="46"/>
      <c r="D604" s="46"/>
      <c r="E604" s="46"/>
      <c r="F604" s="46"/>
      <c r="G604" s="46"/>
      <c r="H604" s="46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</row>
    <row r="605">
      <c r="A605" s="48" t="s">
        <v>642</v>
      </c>
      <c r="B605" s="48" t="s">
        <v>638</v>
      </c>
      <c r="C605" s="46"/>
      <c r="D605" s="46"/>
      <c r="E605" s="46"/>
      <c r="F605" s="46"/>
      <c r="G605" s="46"/>
      <c r="H605" s="46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</row>
    <row r="606">
      <c r="A606" s="48" t="s">
        <v>643</v>
      </c>
      <c r="B606" s="48" t="s">
        <v>638</v>
      </c>
      <c r="C606" s="46"/>
      <c r="D606" s="46"/>
      <c r="E606" s="46"/>
      <c r="F606" s="46"/>
      <c r="G606" s="46"/>
      <c r="H606" s="46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</row>
    <row r="607">
      <c r="A607" s="48" t="s">
        <v>490</v>
      </c>
      <c r="B607" s="48" t="s">
        <v>638</v>
      </c>
      <c r="C607" s="46"/>
      <c r="D607" s="46"/>
      <c r="E607" s="46"/>
      <c r="F607" s="46"/>
      <c r="G607" s="46"/>
      <c r="H607" s="46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</row>
    <row r="608">
      <c r="A608" s="48" t="s">
        <v>644</v>
      </c>
      <c r="B608" s="48" t="s">
        <v>638</v>
      </c>
      <c r="C608" s="46"/>
      <c r="D608" s="46"/>
      <c r="E608" s="46"/>
      <c r="F608" s="46"/>
      <c r="G608" s="46"/>
      <c r="H608" s="46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</row>
    <row r="609">
      <c r="A609" s="48" t="s">
        <v>645</v>
      </c>
      <c r="B609" s="48" t="s">
        <v>638</v>
      </c>
      <c r="C609" s="46"/>
      <c r="D609" s="46"/>
      <c r="E609" s="46"/>
      <c r="F609" s="46"/>
      <c r="G609" s="46"/>
      <c r="H609" s="46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</row>
    <row r="610">
      <c r="A610" s="48" t="s">
        <v>646</v>
      </c>
      <c r="B610" s="48" t="s">
        <v>647</v>
      </c>
      <c r="C610" s="46"/>
      <c r="D610" s="46"/>
      <c r="E610" s="46"/>
      <c r="F610" s="46"/>
      <c r="G610" s="46"/>
      <c r="H610" s="46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</row>
    <row r="611">
      <c r="A611" s="48" t="s">
        <v>648</v>
      </c>
      <c r="B611" s="48" t="s">
        <v>647</v>
      </c>
      <c r="C611" s="46"/>
      <c r="D611" s="46"/>
      <c r="E611" s="46"/>
      <c r="F611" s="46"/>
      <c r="G611" s="46"/>
      <c r="H611" s="46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</row>
    <row r="612">
      <c r="A612" s="48" t="s">
        <v>649</v>
      </c>
      <c r="B612" s="48" t="s">
        <v>647</v>
      </c>
      <c r="C612" s="46"/>
      <c r="D612" s="46"/>
      <c r="E612" s="46"/>
      <c r="F612" s="46"/>
      <c r="G612" s="46"/>
      <c r="H612" s="46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</row>
    <row r="613">
      <c r="A613" s="48" t="s">
        <v>650</v>
      </c>
      <c r="B613" s="48" t="s">
        <v>647</v>
      </c>
      <c r="C613" s="46"/>
      <c r="D613" s="46"/>
      <c r="E613" s="46"/>
      <c r="F613" s="46"/>
      <c r="G613" s="46"/>
      <c r="H613" s="46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</row>
    <row r="614">
      <c r="A614" s="48" t="s">
        <v>651</v>
      </c>
      <c r="B614" s="48" t="s">
        <v>647</v>
      </c>
      <c r="C614" s="46"/>
      <c r="D614" s="46"/>
      <c r="E614" s="46"/>
      <c r="F614" s="46"/>
      <c r="G614" s="46"/>
      <c r="H614" s="46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</row>
    <row r="615">
      <c r="A615" s="48" t="s">
        <v>652</v>
      </c>
      <c r="B615" s="48" t="s">
        <v>647</v>
      </c>
      <c r="C615" s="46"/>
      <c r="D615" s="46"/>
      <c r="E615" s="46"/>
      <c r="F615" s="46"/>
      <c r="G615" s="46"/>
      <c r="H615" s="46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</row>
    <row r="616">
      <c r="A616" s="48" t="s">
        <v>653</v>
      </c>
      <c r="B616" s="48" t="s">
        <v>647</v>
      </c>
      <c r="C616" s="46"/>
      <c r="D616" s="46"/>
      <c r="E616" s="46"/>
      <c r="F616" s="46"/>
      <c r="G616" s="46"/>
      <c r="H616" s="46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</row>
    <row r="617">
      <c r="A617" s="48" t="s">
        <v>654</v>
      </c>
      <c r="B617" s="48" t="s">
        <v>647</v>
      </c>
      <c r="C617" s="46"/>
      <c r="D617" s="46"/>
      <c r="E617" s="46"/>
      <c r="F617" s="46"/>
      <c r="G617" s="46"/>
      <c r="H617" s="46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</row>
    <row r="618">
      <c r="A618" s="48" t="s">
        <v>655</v>
      </c>
      <c r="B618" s="48" t="s">
        <v>647</v>
      </c>
      <c r="C618" s="46"/>
      <c r="D618" s="46"/>
      <c r="E618" s="46"/>
      <c r="F618" s="46"/>
      <c r="G618" s="46"/>
      <c r="H618" s="46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</row>
    <row r="619">
      <c r="A619" s="48" t="s">
        <v>656</v>
      </c>
      <c r="B619" s="48" t="s">
        <v>647</v>
      </c>
      <c r="C619" s="46"/>
      <c r="D619" s="46"/>
      <c r="E619" s="46"/>
      <c r="F619" s="46"/>
      <c r="G619" s="46"/>
      <c r="H619" s="46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</row>
    <row r="620">
      <c r="A620" s="48" t="s">
        <v>657</v>
      </c>
      <c r="B620" s="48" t="s">
        <v>647</v>
      </c>
      <c r="C620" s="46"/>
      <c r="D620" s="46"/>
      <c r="E620" s="46"/>
      <c r="F620" s="46"/>
      <c r="G620" s="46"/>
      <c r="H620" s="46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</row>
    <row r="621">
      <c r="A621" s="48" t="s">
        <v>658</v>
      </c>
      <c r="B621" s="48" t="s">
        <v>647</v>
      </c>
      <c r="C621" s="46"/>
      <c r="D621" s="46"/>
      <c r="E621" s="46"/>
      <c r="F621" s="46"/>
      <c r="G621" s="46"/>
      <c r="H621" s="46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</row>
    <row r="622">
      <c r="A622" s="48" t="s">
        <v>659</v>
      </c>
      <c r="B622" s="48" t="s">
        <v>647</v>
      </c>
      <c r="C622" s="46"/>
      <c r="D622" s="46"/>
      <c r="E622" s="46"/>
      <c r="F622" s="46"/>
      <c r="G622" s="46"/>
      <c r="H622" s="46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</row>
    <row r="623">
      <c r="A623" s="48" t="s">
        <v>660</v>
      </c>
      <c r="B623" s="48" t="s">
        <v>647</v>
      </c>
      <c r="C623" s="46"/>
      <c r="D623" s="46"/>
      <c r="E623" s="46"/>
      <c r="F623" s="46"/>
      <c r="G623" s="46"/>
      <c r="H623" s="46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</row>
    <row r="624">
      <c r="A624" s="48" t="s">
        <v>661</v>
      </c>
      <c r="B624" s="48" t="s">
        <v>647</v>
      </c>
      <c r="C624" s="46"/>
      <c r="D624" s="46"/>
      <c r="E624" s="46"/>
      <c r="F624" s="46"/>
      <c r="G624" s="46"/>
      <c r="H624" s="46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</row>
    <row r="625">
      <c r="A625" s="48" t="s">
        <v>662</v>
      </c>
      <c r="B625" s="48" t="s">
        <v>647</v>
      </c>
      <c r="C625" s="46"/>
      <c r="D625" s="46"/>
      <c r="E625" s="46"/>
      <c r="F625" s="46"/>
      <c r="G625" s="46"/>
      <c r="H625" s="46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</row>
    <row r="626">
      <c r="A626" s="48" t="s">
        <v>663</v>
      </c>
      <c r="B626" s="48" t="s">
        <v>647</v>
      </c>
      <c r="C626" s="46"/>
      <c r="D626" s="46"/>
      <c r="E626" s="46"/>
      <c r="F626" s="46"/>
      <c r="G626" s="46"/>
      <c r="H626" s="46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</row>
    <row r="627">
      <c r="A627" s="48" t="s">
        <v>664</v>
      </c>
      <c r="B627" s="48" t="s">
        <v>665</v>
      </c>
      <c r="C627" s="46"/>
      <c r="D627" s="46"/>
      <c r="E627" s="46"/>
      <c r="F627" s="46"/>
      <c r="G627" s="46"/>
      <c r="H627" s="46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</row>
    <row r="628">
      <c r="A628" s="48" t="s">
        <v>666</v>
      </c>
      <c r="B628" s="48" t="s">
        <v>665</v>
      </c>
      <c r="C628" s="46"/>
      <c r="D628" s="46"/>
      <c r="E628" s="46"/>
      <c r="F628" s="46"/>
      <c r="G628" s="46"/>
      <c r="H628" s="46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</row>
    <row r="629">
      <c r="A629" s="48" t="s">
        <v>667</v>
      </c>
      <c r="B629" s="48" t="s">
        <v>665</v>
      </c>
      <c r="C629" s="46"/>
      <c r="D629" s="46"/>
      <c r="E629" s="46"/>
      <c r="F629" s="46"/>
      <c r="G629" s="46"/>
      <c r="H629" s="46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</row>
    <row r="630">
      <c r="A630" s="48" t="s">
        <v>668</v>
      </c>
      <c r="B630" s="48" t="s">
        <v>665</v>
      </c>
      <c r="C630" s="46"/>
      <c r="D630" s="46"/>
      <c r="E630" s="46"/>
      <c r="F630" s="46"/>
      <c r="G630" s="46"/>
      <c r="H630" s="46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</row>
    <row r="631">
      <c r="A631" s="48" t="s">
        <v>669</v>
      </c>
      <c r="B631" s="48" t="s">
        <v>665</v>
      </c>
      <c r="C631" s="46"/>
      <c r="D631" s="46"/>
      <c r="E631" s="46"/>
      <c r="F631" s="46"/>
      <c r="G631" s="46"/>
      <c r="H631" s="46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</row>
    <row r="632">
      <c r="A632" s="48" t="s">
        <v>670</v>
      </c>
      <c r="B632" s="48" t="s">
        <v>665</v>
      </c>
      <c r="C632" s="46"/>
      <c r="D632" s="46"/>
      <c r="E632" s="46"/>
      <c r="F632" s="46"/>
      <c r="G632" s="46"/>
      <c r="H632" s="46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</row>
    <row r="633">
      <c r="A633" s="48" t="s">
        <v>671</v>
      </c>
      <c r="B633" s="48" t="s">
        <v>665</v>
      </c>
      <c r="C633" s="46"/>
      <c r="D633" s="46"/>
      <c r="E633" s="46"/>
      <c r="F633" s="46"/>
      <c r="G633" s="46"/>
      <c r="H633" s="46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</row>
    <row r="634">
      <c r="A634" s="48" t="s">
        <v>672</v>
      </c>
      <c r="B634" s="48" t="s">
        <v>665</v>
      </c>
      <c r="C634" s="46"/>
      <c r="D634" s="46"/>
      <c r="E634" s="46"/>
      <c r="F634" s="46"/>
      <c r="G634" s="46"/>
      <c r="H634" s="46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</row>
    <row r="635">
      <c r="A635" s="48" t="s">
        <v>673</v>
      </c>
      <c r="B635" s="48" t="s">
        <v>665</v>
      </c>
      <c r="C635" s="46"/>
      <c r="D635" s="46"/>
      <c r="E635" s="46"/>
      <c r="F635" s="46"/>
      <c r="G635" s="46"/>
      <c r="H635" s="46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</row>
    <row r="636">
      <c r="A636" s="48" t="s">
        <v>674</v>
      </c>
      <c r="B636" s="48" t="s">
        <v>665</v>
      </c>
      <c r="C636" s="46"/>
      <c r="D636" s="46"/>
      <c r="E636" s="46"/>
      <c r="F636" s="46"/>
      <c r="G636" s="46"/>
      <c r="H636" s="46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</row>
    <row r="637">
      <c r="A637" s="48" t="s">
        <v>675</v>
      </c>
      <c r="B637" s="48" t="s">
        <v>665</v>
      </c>
      <c r="C637" s="46"/>
      <c r="D637" s="46"/>
      <c r="E637" s="46"/>
      <c r="F637" s="46"/>
      <c r="G637" s="46"/>
      <c r="H637" s="46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</row>
    <row r="638">
      <c r="A638" s="48" t="s">
        <v>676</v>
      </c>
      <c r="B638" s="48" t="s">
        <v>665</v>
      </c>
      <c r="C638" s="46"/>
      <c r="D638" s="46"/>
      <c r="E638" s="46"/>
      <c r="F638" s="46"/>
      <c r="G638" s="46"/>
      <c r="H638" s="46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</row>
    <row r="639">
      <c r="A639" s="48" t="s">
        <v>677</v>
      </c>
      <c r="B639" s="48" t="s">
        <v>665</v>
      </c>
      <c r="C639" s="46"/>
      <c r="D639" s="46"/>
      <c r="E639" s="46"/>
      <c r="F639" s="46"/>
      <c r="G639" s="46"/>
      <c r="H639" s="46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</row>
    <row r="640">
      <c r="A640" s="48" t="s">
        <v>678</v>
      </c>
      <c r="B640" s="48" t="s">
        <v>665</v>
      </c>
      <c r="C640" s="46"/>
      <c r="D640" s="46"/>
      <c r="E640" s="46"/>
      <c r="F640" s="46"/>
      <c r="G640" s="46"/>
      <c r="H640" s="46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</row>
    <row r="641">
      <c r="A641" s="48" t="s">
        <v>679</v>
      </c>
      <c r="B641" s="48" t="s">
        <v>665</v>
      </c>
      <c r="C641" s="46"/>
      <c r="D641" s="46"/>
      <c r="E641" s="46"/>
      <c r="F641" s="46"/>
      <c r="G641" s="46"/>
      <c r="H641" s="46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</row>
    <row r="642">
      <c r="A642" s="48" t="s">
        <v>680</v>
      </c>
      <c r="B642" s="48" t="s">
        <v>665</v>
      </c>
      <c r="C642" s="46"/>
      <c r="D642" s="46"/>
      <c r="E642" s="46"/>
      <c r="F642" s="46"/>
      <c r="G642" s="46"/>
      <c r="H642" s="46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</row>
    <row r="643">
      <c r="A643" s="48" t="s">
        <v>681</v>
      </c>
      <c r="B643" s="48" t="s">
        <v>665</v>
      </c>
      <c r="C643" s="46"/>
      <c r="D643" s="46"/>
      <c r="E643" s="46"/>
      <c r="F643" s="46"/>
      <c r="G643" s="46"/>
      <c r="H643" s="46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</row>
    <row r="644">
      <c r="A644" s="48" t="s">
        <v>682</v>
      </c>
      <c r="B644" s="48" t="s">
        <v>665</v>
      </c>
      <c r="C644" s="46"/>
      <c r="D644" s="46"/>
      <c r="E644" s="46"/>
      <c r="F644" s="46"/>
      <c r="G644" s="46"/>
      <c r="H644" s="46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</row>
    <row r="645">
      <c r="A645" s="48" t="s">
        <v>683</v>
      </c>
      <c r="B645" s="48" t="s">
        <v>665</v>
      </c>
      <c r="C645" s="46"/>
      <c r="D645" s="46"/>
      <c r="E645" s="46"/>
      <c r="F645" s="46"/>
      <c r="G645" s="46"/>
      <c r="H645" s="46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</row>
    <row r="646">
      <c r="A646" s="48" t="s">
        <v>684</v>
      </c>
      <c r="B646" s="48" t="s">
        <v>665</v>
      </c>
      <c r="C646" s="46"/>
      <c r="D646" s="46"/>
      <c r="E646" s="46"/>
      <c r="F646" s="46"/>
      <c r="G646" s="46"/>
      <c r="H646" s="46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</row>
    <row r="647">
      <c r="A647" s="48" t="s">
        <v>685</v>
      </c>
      <c r="B647" s="48" t="s">
        <v>665</v>
      </c>
      <c r="C647" s="46"/>
      <c r="D647" s="46"/>
      <c r="E647" s="46"/>
      <c r="F647" s="46"/>
      <c r="G647" s="46"/>
      <c r="H647" s="46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</row>
    <row r="648">
      <c r="A648" s="48" t="s">
        <v>211</v>
      </c>
      <c r="B648" s="48" t="s">
        <v>665</v>
      </c>
      <c r="C648" s="46"/>
      <c r="D648" s="46"/>
      <c r="E648" s="46"/>
      <c r="F648" s="46"/>
      <c r="G648" s="46"/>
      <c r="H648" s="46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</row>
    <row r="649">
      <c r="A649" s="48" t="s">
        <v>686</v>
      </c>
      <c r="B649" s="48" t="s">
        <v>665</v>
      </c>
      <c r="C649" s="46"/>
      <c r="D649" s="46"/>
      <c r="E649" s="46"/>
      <c r="F649" s="46"/>
      <c r="G649" s="46"/>
      <c r="H649" s="46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</row>
    <row r="650">
      <c r="A650" s="48" t="s">
        <v>687</v>
      </c>
      <c r="B650" s="48" t="s">
        <v>665</v>
      </c>
      <c r="C650" s="46"/>
      <c r="D650" s="46"/>
      <c r="E650" s="46"/>
      <c r="F650" s="46"/>
      <c r="G650" s="46"/>
      <c r="H650" s="46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</row>
    <row r="651">
      <c r="A651" s="48" t="s">
        <v>688</v>
      </c>
      <c r="B651" s="48" t="s">
        <v>665</v>
      </c>
      <c r="C651" s="46"/>
      <c r="D651" s="46"/>
      <c r="E651" s="46"/>
      <c r="F651" s="46"/>
      <c r="G651" s="46"/>
      <c r="H651" s="46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</row>
    <row r="652">
      <c r="A652" s="48" t="s">
        <v>689</v>
      </c>
      <c r="B652" s="48" t="s">
        <v>665</v>
      </c>
      <c r="C652" s="46"/>
      <c r="D652" s="46"/>
      <c r="E652" s="46"/>
      <c r="F652" s="46"/>
      <c r="G652" s="46"/>
      <c r="H652" s="46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</row>
    <row r="653">
      <c r="A653" s="48" t="s">
        <v>690</v>
      </c>
      <c r="B653" s="48" t="s">
        <v>665</v>
      </c>
      <c r="C653" s="46"/>
      <c r="D653" s="46"/>
      <c r="E653" s="46"/>
      <c r="F653" s="46"/>
      <c r="G653" s="46"/>
      <c r="H653" s="46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</row>
    <row r="654">
      <c r="A654" s="48" t="s">
        <v>691</v>
      </c>
      <c r="B654" s="48" t="s">
        <v>665</v>
      </c>
      <c r="C654" s="46"/>
      <c r="D654" s="46"/>
      <c r="E654" s="46"/>
      <c r="F654" s="46"/>
      <c r="G654" s="46"/>
      <c r="H654" s="46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</row>
    <row r="655">
      <c r="A655" s="48" t="s">
        <v>692</v>
      </c>
      <c r="B655" s="48" t="s">
        <v>665</v>
      </c>
      <c r="C655" s="46"/>
      <c r="D655" s="46"/>
      <c r="E655" s="46"/>
      <c r="F655" s="46"/>
      <c r="G655" s="46"/>
      <c r="H655" s="46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</row>
    <row r="656">
      <c r="A656" s="48" t="s">
        <v>693</v>
      </c>
      <c r="B656" s="48" t="s">
        <v>694</v>
      </c>
      <c r="C656" s="46"/>
      <c r="D656" s="46"/>
      <c r="E656" s="46"/>
      <c r="F656" s="46"/>
      <c r="G656" s="46"/>
      <c r="H656" s="46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</row>
    <row r="657">
      <c r="A657" s="48" t="s">
        <v>695</v>
      </c>
      <c r="B657" s="48" t="s">
        <v>694</v>
      </c>
      <c r="C657" s="46"/>
      <c r="D657" s="46"/>
      <c r="E657" s="46"/>
      <c r="F657" s="46"/>
      <c r="G657" s="46"/>
      <c r="H657" s="46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</row>
    <row r="658">
      <c r="A658" s="48" t="s">
        <v>696</v>
      </c>
      <c r="B658" s="48" t="s">
        <v>694</v>
      </c>
      <c r="C658" s="46"/>
      <c r="D658" s="46"/>
      <c r="E658" s="46"/>
      <c r="F658" s="46"/>
      <c r="G658" s="46"/>
      <c r="H658" s="46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</row>
    <row r="659">
      <c r="A659" s="48" t="s">
        <v>697</v>
      </c>
      <c r="B659" s="48" t="s">
        <v>694</v>
      </c>
      <c r="C659" s="46"/>
      <c r="D659" s="46"/>
      <c r="E659" s="46"/>
      <c r="F659" s="46"/>
      <c r="G659" s="46"/>
      <c r="H659" s="46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</row>
    <row r="660">
      <c r="A660" s="48" t="s">
        <v>698</v>
      </c>
      <c r="B660" s="48" t="s">
        <v>694</v>
      </c>
      <c r="C660" s="46"/>
      <c r="D660" s="46"/>
      <c r="E660" s="46"/>
      <c r="F660" s="46"/>
      <c r="G660" s="46"/>
      <c r="H660" s="46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</row>
    <row r="661">
      <c r="A661" s="48" t="s">
        <v>699</v>
      </c>
      <c r="B661" s="48" t="s">
        <v>694</v>
      </c>
      <c r="C661" s="46"/>
      <c r="D661" s="46"/>
      <c r="E661" s="46"/>
      <c r="F661" s="46"/>
      <c r="G661" s="46"/>
      <c r="H661" s="46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</row>
    <row r="662">
      <c r="A662" s="48" t="s">
        <v>700</v>
      </c>
      <c r="B662" s="48" t="s">
        <v>694</v>
      </c>
      <c r="C662" s="46"/>
      <c r="D662" s="46"/>
      <c r="E662" s="46"/>
      <c r="F662" s="46"/>
      <c r="G662" s="46"/>
      <c r="H662" s="46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</row>
    <row r="663">
      <c r="A663" s="48" t="s">
        <v>701</v>
      </c>
      <c r="B663" s="48" t="s">
        <v>694</v>
      </c>
      <c r="C663" s="46"/>
      <c r="D663" s="46"/>
      <c r="E663" s="46"/>
      <c r="F663" s="46"/>
      <c r="G663" s="46"/>
      <c r="H663" s="46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</row>
    <row r="664">
      <c r="A664" s="48" t="s">
        <v>702</v>
      </c>
      <c r="B664" s="48" t="s">
        <v>694</v>
      </c>
      <c r="C664" s="46"/>
      <c r="D664" s="46"/>
      <c r="E664" s="46"/>
      <c r="F664" s="46"/>
      <c r="G664" s="46"/>
      <c r="H664" s="46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</row>
    <row r="665">
      <c r="A665" s="48" t="s">
        <v>703</v>
      </c>
      <c r="B665" s="48" t="s">
        <v>694</v>
      </c>
      <c r="C665" s="46"/>
      <c r="D665" s="46"/>
      <c r="E665" s="46"/>
      <c r="F665" s="46"/>
      <c r="G665" s="46"/>
      <c r="H665" s="46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</row>
    <row r="666">
      <c r="A666" s="48" t="s">
        <v>704</v>
      </c>
      <c r="B666" s="48" t="s">
        <v>705</v>
      </c>
      <c r="C666" s="46"/>
      <c r="D666" s="46"/>
      <c r="E666" s="46"/>
      <c r="F666" s="46"/>
      <c r="G666" s="46"/>
      <c r="H666" s="46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</row>
    <row r="667">
      <c r="A667" s="48" t="s">
        <v>706</v>
      </c>
      <c r="B667" s="48" t="s">
        <v>705</v>
      </c>
      <c r="C667" s="46"/>
      <c r="D667" s="46"/>
      <c r="E667" s="46"/>
      <c r="F667" s="46"/>
      <c r="G667" s="46"/>
      <c r="H667" s="46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</row>
    <row r="668">
      <c r="A668" s="48" t="s">
        <v>707</v>
      </c>
      <c r="B668" s="48" t="s">
        <v>705</v>
      </c>
      <c r="C668" s="46"/>
      <c r="D668" s="46"/>
      <c r="E668" s="46"/>
      <c r="F668" s="46"/>
      <c r="G668" s="46"/>
      <c r="H668" s="46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</row>
    <row r="669">
      <c r="A669" s="48" t="s">
        <v>708</v>
      </c>
      <c r="B669" s="48" t="s">
        <v>705</v>
      </c>
      <c r="C669" s="46"/>
      <c r="D669" s="46"/>
      <c r="E669" s="46"/>
      <c r="F669" s="46"/>
      <c r="G669" s="46"/>
      <c r="H669" s="46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</row>
    <row r="670">
      <c r="A670" s="48" t="s">
        <v>709</v>
      </c>
      <c r="B670" s="48" t="s">
        <v>705</v>
      </c>
      <c r="C670" s="46"/>
      <c r="D670" s="46"/>
      <c r="E670" s="46"/>
      <c r="F670" s="46"/>
      <c r="G670" s="46"/>
      <c r="H670" s="46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</row>
    <row r="671">
      <c r="A671" s="48" t="s">
        <v>710</v>
      </c>
      <c r="B671" s="48" t="s">
        <v>705</v>
      </c>
      <c r="C671" s="46"/>
      <c r="D671" s="46"/>
      <c r="E671" s="46"/>
      <c r="F671" s="46"/>
      <c r="G671" s="46"/>
      <c r="H671" s="46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</row>
    <row r="672">
      <c r="A672" s="48" t="s">
        <v>711</v>
      </c>
      <c r="B672" s="48" t="s">
        <v>705</v>
      </c>
      <c r="C672" s="46"/>
      <c r="D672" s="46"/>
      <c r="E672" s="46"/>
      <c r="F672" s="46"/>
      <c r="G672" s="46"/>
      <c r="H672" s="46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</row>
    <row r="673">
      <c r="A673" s="48" t="s">
        <v>712</v>
      </c>
      <c r="B673" s="48" t="s">
        <v>705</v>
      </c>
      <c r="C673" s="46"/>
      <c r="D673" s="46"/>
      <c r="E673" s="46"/>
      <c r="F673" s="46"/>
      <c r="G673" s="46"/>
      <c r="H673" s="46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</row>
    <row r="674">
      <c r="A674" s="48" t="s">
        <v>223</v>
      </c>
      <c r="B674" s="48" t="s">
        <v>713</v>
      </c>
      <c r="C674" s="46"/>
      <c r="D674" s="46"/>
      <c r="E674" s="46"/>
      <c r="F674" s="46"/>
      <c r="G674" s="46"/>
      <c r="H674" s="46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</row>
    <row r="675">
      <c r="A675" s="48" t="s">
        <v>714</v>
      </c>
      <c r="B675" s="48" t="s">
        <v>713</v>
      </c>
      <c r="C675" s="46"/>
      <c r="D675" s="46"/>
      <c r="E675" s="46"/>
      <c r="F675" s="46"/>
      <c r="G675" s="46"/>
      <c r="H675" s="46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</row>
    <row r="676">
      <c r="A676" s="48" t="s">
        <v>715</v>
      </c>
      <c r="B676" s="48" t="s">
        <v>713</v>
      </c>
      <c r="C676" s="46"/>
      <c r="D676" s="46"/>
      <c r="E676" s="46"/>
      <c r="F676" s="46"/>
      <c r="G676" s="46"/>
      <c r="H676" s="46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</row>
    <row r="677">
      <c r="A677" s="48" t="s">
        <v>716</v>
      </c>
      <c r="B677" s="48" t="s">
        <v>713</v>
      </c>
      <c r="C677" s="46"/>
      <c r="D677" s="46"/>
      <c r="E677" s="46"/>
      <c r="F677" s="46"/>
      <c r="G677" s="46"/>
      <c r="H677" s="46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</row>
    <row r="678">
      <c r="A678" s="48" t="s">
        <v>717</v>
      </c>
      <c r="B678" s="48" t="s">
        <v>713</v>
      </c>
      <c r="C678" s="46"/>
      <c r="D678" s="46"/>
      <c r="E678" s="46"/>
      <c r="F678" s="46"/>
      <c r="G678" s="46"/>
      <c r="H678" s="46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</row>
    <row r="679">
      <c r="A679" s="48" t="s">
        <v>718</v>
      </c>
      <c r="B679" s="48" t="s">
        <v>713</v>
      </c>
      <c r="C679" s="46"/>
      <c r="D679" s="46"/>
      <c r="E679" s="46"/>
      <c r="F679" s="46"/>
      <c r="G679" s="46"/>
      <c r="H679" s="46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</row>
    <row r="680">
      <c r="A680" s="48" t="s">
        <v>719</v>
      </c>
      <c r="B680" s="48" t="s">
        <v>713</v>
      </c>
      <c r="C680" s="46"/>
      <c r="D680" s="46"/>
      <c r="E680" s="46"/>
      <c r="F680" s="46"/>
      <c r="G680" s="46"/>
      <c r="H680" s="46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</row>
    <row r="681">
      <c r="A681" s="48" t="s">
        <v>720</v>
      </c>
      <c r="B681" s="48" t="s">
        <v>713</v>
      </c>
      <c r="C681" s="46"/>
      <c r="D681" s="46"/>
      <c r="E681" s="46"/>
      <c r="F681" s="46"/>
      <c r="G681" s="46"/>
      <c r="H681" s="46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</row>
    <row r="682">
      <c r="A682" s="48" t="s">
        <v>249</v>
      </c>
      <c r="B682" s="48" t="s">
        <v>713</v>
      </c>
      <c r="C682" s="46"/>
      <c r="D682" s="46"/>
      <c r="E682" s="46"/>
      <c r="F682" s="46"/>
      <c r="G682" s="46"/>
      <c r="H682" s="46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</row>
    <row r="683">
      <c r="A683" s="48" t="s">
        <v>426</v>
      </c>
      <c r="B683" s="48" t="s">
        <v>713</v>
      </c>
      <c r="C683" s="46"/>
      <c r="D683" s="46"/>
      <c r="E683" s="46"/>
      <c r="F683" s="46"/>
      <c r="G683" s="46"/>
      <c r="H683" s="46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</row>
    <row r="684">
      <c r="A684" s="48" t="s">
        <v>721</v>
      </c>
      <c r="B684" s="48" t="s">
        <v>713</v>
      </c>
      <c r="C684" s="46"/>
      <c r="D684" s="46"/>
      <c r="E684" s="46"/>
      <c r="F684" s="46"/>
      <c r="G684" s="46"/>
      <c r="H684" s="46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</row>
    <row r="685">
      <c r="A685" s="48" t="s">
        <v>722</v>
      </c>
      <c r="B685" s="48" t="s">
        <v>713</v>
      </c>
      <c r="C685" s="46"/>
      <c r="D685" s="46"/>
      <c r="E685" s="46"/>
      <c r="F685" s="46"/>
      <c r="G685" s="46"/>
      <c r="H685" s="46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</row>
    <row r="686">
      <c r="A686" s="48" t="s">
        <v>723</v>
      </c>
      <c r="B686" s="48" t="s">
        <v>713</v>
      </c>
      <c r="C686" s="46"/>
      <c r="D686" s="46"/>
      <c r="E686" s="46"/>
      <c r="F686" s="46"/>
      <c r="G686" s="46"/>
      <c r="H686" s="46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</row>
    <row r="687">
      <c r="A687" s="48" t="s">
        <v>724</v>
      </c>
      <c r="B687" s="48" t="s">
        <v>713</v>
      </c>
      <c r="C687" s="46"/>
      <c r="D687" s="46"/>
      <c r="E687" s="46"/>
      <c r="F687" s="46"/>
      <c r="G687" s="46"/>
      <c r="H687" s="46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</row>
    <row r="688">
      <c r="A688" s="48" t="s">
        <v>725</v>
      </c>
      <c r="B688" s="48" t="s">
        <v>713</v>
      </c>
      <c r="C688" s="46"/>
      <c r="D688" s="46"/>
      <c r="E688" s="46"/>
      <c r="F688" s="46"/>
      <c r="G688" s="46"/>
      <c r="H688" s="46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</row>
    <row r="689">
      <c r="A689" s="48" t="s">
        <v>726</v>
      </c>
      <c r="B689" s="48" t="s">
        <v>713</v>
      </c>
      <c r="C689" s="46"/>
      <c r="D689" s="46"/>
      <c r="E689" s="46"/>
      <c r="F689" s="46"/>
      <c r="G689" s="46"/>
      <c r="H689" s="46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</row>
    <row r="690">
      <c r="A690" s="48" t="s">
        <v>727</v>
      </c>
      <c r="B690" s="48" t="s">
        <v>713</v>
      </c>
      <c r="C690" s="46"/>
      <c r="D690" s="46"/>
      <c r="E690" s="46"/>
      <c r="F690" s="46"/>
      <c r="G690" s="46"/>
      <c r="H690" s="46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</row>
    <row r="691">
      <c r="A691" s="48" t="s">
        <v>728</v>
      </c>
      <c r="B691" s="48" t="s">
        <v>713</v>
      </c>
      <c r="C691" s="46"/>
      <c r="D691" s="46"/>
      <c r="E691" s="46"/>
      <c r="F691" s="46"/>
      <c r="G691" s="46"/>
      <c r="H691" s="46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</row>
    <row r="692">
      <c r="A692" s="48" t="s">
        <v>729</v>
      </c>
      <c r="B692" s="48" t="s">
        <v>713</v>
      </c>
      <c r="C692" s="46"/>
      <c r="D692" s="46"/>
      <c r="E692" s="46"/>
      <c r="F692" s="46"/>
      <c r="G692" s="46"/>
      <c r="H692" s="46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</row>
    <row r="693">
      <c r="A693" s="48" t="s">
        <v>730</v>
      </c>
      <c r="B693" s="48" t="s">
        <v>713</v>
      </c>
      <c r="C693" s="46"/>
      <c r="D693" s="46"/>
      <c r="E693" s="46"/>
      <c r="F693" s="46"/>
      <c r="G693" s="46"/>
      <c r="H693" s="46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</row>
    <row r="694">
      <c r="A694" s="48" t="s">
        <v>731</v>
      </c>
      <c r="B694" s="48" t="s">
        <v>713</v>
      </c>
      <c r="C694" s="46"/>
      <c r="D694" s="46"/>
      <c r="E694" s="46"/>
      <c r="F694" s="46"/>
      <c r="G694" s="46"/>
      <c r="H694" s="46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</row>
    <row r="695">
      <c r="A695" s="48" t="s">
        <v>732</v>
      </c>
      <c r="B695" s="48" t="s">
        <v>713</v>
      </c>
      <c r="C695" s="46"/>
      <c r="D695" s="46"/>
      <c r="E695" s="46"/>
      <c r="F695" s="46"/>
      <c r="G695" s="46"/>
      <c r="H695" s="46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</row>
    <row r="696">
      <c r="A696" s="48" t="s">
        <v>733</v>
      </c>
      <c r="B696" s="48" t="s">
        <v>713</v>
      </c>
      <c r="C696" s="46"/>
      <c r="D696" s="46"/>
      <c r="E696" s="46"/>
      <c r="F696" s="46"/>
      <c r="G696" s="46"/>
      <c r="H696" s="46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</row>
    <row r="697">
      <c r="A697" s="48" t="s">
        <v>734</v>
      </c>
      <c r="B697" s="48" t="s">
        <v>735</v>
      </c>
      <c r="C697" s="46"/>
      <c r="D697" s="46"/>
      <c r="E697" s="46"/>
      <c r="F697" s="46"/>
      <c r="G697" s="46"/>
      <c r="H697" s="46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</row>
    <row r="698">
      <c r="A698" s="48" t="s">
        <v>736</v>
      </c>
      <c r="B698" s="48" t="s">
        <v>735</v>
      </c>
      <c r="C698" s="46"/>
      <c r="D698" s="46"/>
      <c r="E698" s="46"/>
      <c r="F698" s="46"/>
      <c r="G698" s="46"/>
      <c r="H698" s="46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</row>
    <row r="699">
      <c r="A699" s="48" t="s">
        <v>737</v>
      </c>
      <c r="B699" s="48" t="s">
        <v>735</v>
      </c>
      <c r="C699" s="46"/>
      <c r="D699" s="46"/>
      <c r="E699" s="46"/>
      <c r="F699" s="46"/>
      <c r="G699" s="46"/>
      <c r="H699" s="46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</row>
    <row r="700">
      <c r="A700" s="48" t="s">
        <v>738</v>
      </c>
      <c r="B700" s="48" t="s">
        <v>739</v>
      </c>
      <c r="C700" s="46"/>
      <c r="D700" s="46"/>
      <c r="E700" s="46"/>
      <c r="F700" s="46"/>
      <c r="G700" s="46"/>
      <c r="H700" s="46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</row>
    <row r="701">
      <c r="A701" s="48" t="s">
        <v>740</v>
      </c>
      <c r="B701" s="48" t="s">
        <v>739</v>
      </c>
      <c r="C701" s="46"/>
      <c r="D701" s="46"/>
      <c r="E701" s="46"/>
      <c r="F701" s="46"/>
      <c r="G701" s="46"/>
      <c r="H701" s="46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</row>
    <row r="702">
      <c r="A702" s="48" t="s">
        <v>741</v>
      </c>
      <c r="B702" s="48" t="s">
        <v>739</v>
      </c>
      <c r="C702" s="46"/>
      <c r="D702" s="46"/>
      <c r="E702" s="46"/>
      <c r="F702" s="46"/>
      <c r="G702" s="46"/>
      <c r="H702" s="46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</row>
    <row r="703">
      <c r="A703" s="48" t="s">
        <v>742</v>
      </c>
      <c r="B703" s="48" t="s">
        <v>739</v>
      </c>
      <c r="C703" s="46"/>
      <c r="D703" s="46"/>
      <c r="E703" s="46"/>
      <c r="F703" s="46"/>
      <c r="G703" s="46"/>
      <c r="H703" s="46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</row>
    <row r="704">
      <c r="A704" s="48" t="s">
        <v>743</v>
      </c>
      <c r="B704" s="48" t="s">
        <v>739</v>
      </c>
      <c r="C704" s="46"/>
      <c r="D704" s="46"/>
      <c r="E704" s="46"/>
      <c r="F704" s="46"/>
      <c r="G704" s="46"/>
      <c r="H704" s="46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</row>
    <row r="705">
      <c r="A705" s="48" t="s">
        <v>744</v>
      </c>
      <c r="B705" s="48" t="s">
        <v>739</v>
      </c>
      <c r="C705" s="46"/>
      <c r="D705" s="46"/>
      <c r="E705" s="46"/>
      <c r="F705" s="46"/>
      <c r="G705" s="46"/>
      <c r="H705" s="46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</row>
    <row r="706">
      <c r="A706" s="48" t="s">
        <v>745</v>
      </c>
      <c r="B706" s="48" t="s">
        <v>739</v>
      </c>
      <c r="C706" s="46"/>
      <c r="D706" s="46"/>
      <c r="E706" s="46"/>
      <c r="F706" s="46"/>
      <c r="G706" s="46"/>
      <c r="H706" s="46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</row>
    <row r="707">
      <c r="A707" s="48" t="s">
        <v>746</v>
      </c>
      <c r="B707" s="48" t="s">
        <v>739</v>
      </c>
      <c r="C707" s="46"/>
      <c r="D707" s="46"/>
      <c r="E707" s="46"/>
      <c r="F707" s="46"/>
      <c r="G707" s="46"/>
      <c r="H707" s="46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</row>
    <row r="708">
      <c r="A708" s="48" t="s">
        <v>660</v>
      </c>
      <c r="B708" s="48" t="s">
        <v>739</v>
      </c>
      <c r="C708" s="46"/>
      <c r="D708" s="46"/>
      <c r="E708" s="46"/>
      <c r="F708" s="46"/>
      <c r="G708" s="46"/>
      <c r="H708" s="46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</row>
    <row r="709">
      <c r="A709" s="48" t="s">
        <v>747</v>
      </c>
      <c r="B709" s="48" t="s">
        <v>739</v>
      </c>
      <c r="C709" s="46"/>
      <c r="D709" s="46"/>
      <c r="E709" s="46"/>
      <c r="F709" s="46"/>
      <c r="G709" s="46"/>
      <c r="H709" s="46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</row>
    <row r="710">
      <c r="A710" s="48" t="s">
        <v>223</v>
      </c>
      <c r="B710" s="48" t="s">
        <v>739</v>
      </c>
      <c r="C710" s="46"/>
      <c r="D710" s="46"/>
      <c r="E710" s="46"/>
      <c r="F710" s="46"/>
      <c r="G710" s="46"/>
      <c r="H710" s="46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</row>
    <row r="711">
      <c r="A711" s="48" t="s">
        <v>748</v>
      </c>
      <c r="B711" s="48" t="s">
        <v>739</v>
      </c>
      <c r="C711" s="46"/>
      <c r="D711" s="46"/>
      <c r="E711" s="46"/>
      <c r="F711" s="46"/>
      <c r="G711" s="46"/>
      <c r="H711" s="46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</row>
    <row r="712">
      <c r="A712" s="48" t="s">
        <v>749</v>
      </c>
      <c r="B712" s="48" t="s">
        <v>739</v>
      </c>
      <c r="C712" s="46"/>
      <c r="D712" s="46"/>
      <c r="E712" s="46"/>
      <c r="F712" s="46"/>
      <c r="G712" s="46"/>
      <c r="H712" s="46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</row>
    <row r="713">
      <c r="A713" s="48" t="s">
        <v>750</v>
      </c>
      <c r="B713" s="48" t="s">
        <v>739</v>
      </c>
      <c r="C713" s="46"/>
      <c r="D713" s="46"/>
      <c r="E713" s="46"/>
      <c r="F713" s="46"/>
      <c r="G713" s="46"/>
      <c r="H713" s="46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</row>
    <row r="714">
      <c r="A714" s="48" t="s">
        <v>751</v>
      </c>
      <c r="B714" s="48" t="s">
        <v>752</v>
      </c>
      <c r="C714" s="46"/>
      <c r="D714" s="46"/>
      <c r="E714" s="46"/>
      <c r="F714" s="46"/>
      <c r="G714" s="46"/>
      <c r="H714" s="46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</row>
    <row r="715">
      <c r="A715" s="48" t="s">
        <v>753</v>
      </c>
      <c r="B715" s="48" t="s">
        <v>752</v>
      </c>
      <c r="C715" s="46"/>
      <c r="D715" s="46"/>
      <c r="E715" s="46"/>
      <c r="F715" s="46"/>
      <c r="G715" s="46"/>
      <c r="H715" s="46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</row>
    <row r="716">
      <c r="A716" s="48" t="s">
        <v>754</v>
      </c>
      <c r="B716" s="48" t="s">
        <v>752</v>
      </c>
      <c r="C716" s="46"/>
      <c r="D716" s="46"/>
      <c r="E716" s="46"/>
      <c r="F716" s="46"/>
      <c r="G716" s="46"/>
      <c r="H716" s="46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</row>
    <row r="717">
      <c r="A717" s="48" t="s">
        <v>755</v>
      </c>
      <c r="B717" s="48" t="s">
        <v>752</v>
      </c>
      <c r="C717" s="46"/>
      <c r="D717" s="46"/>
      <c r="E717" s="46"/>
      <c r="F717" s="46"/>
      <c r="G717" s="46"/>
      <c r="H717" s="46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</row>
    <row r="718">
      <c r="A718" s="48" t="s">
        <v>756</v>
      </c>
      <c r="B718" s="48" t="s">
        <v>752</v>
      </c>
      <c r="C718" s="46"/>
      <c r="D718" s="46"/>
      <c r="E718" s="46"/>
      <c r="F718" s="46"/>
      <c r="G718" s="46"/>
      <c r="H718" s="46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</row>
    <row r="719">
      <c r="A719" s="48" t="s">
        <v>757</v>
      </c>
      <c r="B719" s="48" t="s">
        <v>752</v>
      </c>
      <c r="C719" s="46"/>
      <c r="D719" s="46"/>
      <c r="E719" s="46"/>
      <c r="F719" s="46"/>
      <c r="G719" s="46"/>
      <c r="H719" s="46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</row>
    <row r="720">
      <c r="A720" s="48" t="s">
        <v>758</v>
      </c>
      <c r="B720" s="48" t="s">
        <v>752</v>
      </c>
      <c r="C720" s="46"/>
      <c r="D720" s="46"/>
      <c r="E720" s="46"/>
      <c r="F720" s="46"/>
      <c r="G720" s="46"/>
      <c r="H720" s="46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</row>
    <row r="721">
      <c r="A721" s="48" t="s">
        <v>759</v>
      </c>
      <c r="B721" s="48" t="s">
        <v>752</v>
      </c>
      <c r="C721" s="46"/>
      <c r="D721" s="46"/>
      <c r="E721" s="46"/>
      <c r="F721" s="46"/>
      <c r="G721" s="46"/>
      <c r="H721" s="46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</row>
    <row r="722">
      <c r="A722" s="48" t="s">
        <v>760</v>
      </c>
      <c r="B722" s="48" t="s">
        <v>752</v>
      </c>
      <c r="C722" s="46"/>
      <c r="D722" s="46"/>
      <c r="E722" s="46"/>
      <c r="F722" s="46"/>
      <c r="G722" s="46"/>
      <c r="H722" s="46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</row>
    <row r="723">
      <c r="A723" s="48" t="s">
        <v>761</v>
      </c>
      <c r="B723" s="48" t="s">
        <v>752</v>
      </c>
      <c r="C723" s="46"/>
      <c r="D723" s="46"/>
      <c r="E723" s="46"/>
      <c r="F723" s="46"/>
      <c r="G723" s="46"/>
      <c r="H723" s="46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</row>
    <row r="724">
      <c r="A724" s="48" t="s">
        <v>762</v>
      </c>
      <c r="B724" s="48" t="s">
        <v>752</v>
      </c>
      <c r="C724" s="46"/>
      <c r="D724" s="46"/>
      <c r="E724" s="46"/>
      <c r="F724" s="46"/>
      <c r="G724" s="46"/>
      <c r="H724" s="46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</row>
    <row r="725">
      <c r="A725" s="48" t="s">
        <v>763</v>
      </c>
      <c r="B725" s="48" t="s">
        <v>752</v>
      </c>
      <c r="C725" s="46"/>
      <c r="D725" s="46"/>
      <c r="E725" s="46"/>
      <c r="F725" s="46"/>
      <c r="G725" s="46"/>
      <c r="H725" s="46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</row>
    <row r="726">
      <c r="A726" s="48" t="s">
        <v>764</v>
      </c>
      <c r="B726" s="48" t="s">
        <v>752</v>
      </c>
      <c r="C726" s="46"/>
      <c r="D726" s="46"/>
      <c r="E726" s="46"/>
      <c r="F726" s="46"/>
      <c r="G726" s="46"/>
      <c r="H726" s="46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</row>
    <row r="727">
      <c r="A727" s="48" t="s">
        <v>765</v>
      </c>
      <c r="B727" s="48" t="s">
        <v>752</v>
      </c>
      <c r="C727" s="46"/>
      <c r="D727" s="46"/>
      <c r="E727" s="46"/>
      <c r="F727" s="46"/>
      <c r="G727" s="46"/>
      <c r="H727" s="46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</row>
    <row r="728">
      <c r="A728" s="48" t="s">
        <v>766</v>
      </c>
      <c r="B728" s="48" t="s">
        <v>752</v>
      </c>
      <c r="C728" s="46"/>
      <c r="D728" s="46"/>
      <c r="E728" s="46"/>
      <c r="F728" s="46"/>
      <c r="G728" s="46"/>
      <c r="H728" s="46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</row>
    <row r="729">
      <c r="A729" s="48" t="s">
        <v>767</v>
      </c>
      <c r="B729" s="48" t="s">
        <v>752</v>
      </c>
      <c r="C729" s="46"/>
      <c r="D729" s="46"/>
      <c r="E729" s="46"/>
      <c r="F729" s="46"/>
      <c r="G729" s="46"/>
      <c r="H729" s="46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</row>
    <row r="730">
      <c r="A730" s="48" t="s">
        <v>768</v>
      </c>
      <c r="B730" s="48" t="s">
        <v>752</v>
      </c>
      <c r="C730" s="46"/>
      <c r="D730" s="46"/>
      <c r="E730" s="46"/>
      <c r="F730" s="46"/>
      <c r="G730" s="46"/>
      <c r="H730" s="46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</row>
    <row r="731">
      <c r="A731" s="48" t="s">
        <v>769</v>
      </c>
      <c r="B731" s="48" t="s">
        <v>752</v>
      </c>
      <c r="C731" s="46"/>
      <c r="D731" s="46"/>
      <c r="E731" s="46"/>
      <c r="F731" s="46"/>
      <c r="G731" s="46"/>
      <c r="H731" s="46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</row>
    <row r="732">
      <c r="A732" s="48" t="s">
        <v>770</v>
      </c>
      <c r="B732" s="48" t="s">
        <v>752</v>
      </c>
      <c r="C732" s="46"/>
      <c r="D732" s="46"/>
      <c r="E732" s="46"/>
      <c r="F732" s="46"/>
      <c r="G732" s="46"/>
      <c r="H732" s="46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</row>
    <row r="733">
      <c r="A733" s="48" t="s">
        <v>771</v>
      </c>
      <c r="B733" s="48" t="s">
        <v>752</v>
      </c>
      <c r="C733" s="46"/>
      <c r="D733" s="46"/>
      <c r="E733" s="46"/>
      <c r="F733" s="46"/>
      <c r="G733" s="46"/>
      <c r="H733" s="46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</row>
    <row r="734">
      <c r="A734" s="48" t="s">
        <v>772</v>
      </c>
      <c r="B734" s="48" t="s">
        <v>773</v>
      </c>
      <c r="C734" s="46"/>
      <c r="D734" s="46"/>
      <c r="E734" s="46"/>
      <c r="F734" s="46"/>
      <c r="G734" s="46"/>
      <c r="H734" s="46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</row>
    <row r="735">
      <c r="A735" s="48" t="s">
        <v>774</v>
      </c>
      <c r="B735" s="48" t="s">
        <v>773</v>
      </c>
      <c r="C735" s="46"/>
      <c r="D735" s="46"/>
      <c r="E735" s="46"/>
      <c r="F735" s="46"/>
      <c r="G735" s="46"/>
      <c r="H735" s="46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</row>
    <row r="736">
      <c r="A736" s="48" t="s">
        <v>775</v>
      </c>
      <c r="B736" s="48" t="s">
        <v>773</v>
      </c>
      <c r="C736" s="46"/>
      <c r="D736" s="46"/>
      <c r="E736" s="46"/>
      <c r="F736" s="46"/>
      <c r="G736" s="46"/>
      <c r="H736" s="46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</row>
    <row r="737">
      <c r="A737" s="48" t="s">
        <v>776</v>
      </c>
      <c r="B737" s="48" t="s">
        <v>773</v>
      </c>
      <c r="C737" s="46"/>
      <c r="D737" s="46"/>
      <c r="E737" s="46"/>
      <c r="F737" s="46"/>
      <c r="G737" s="46"/>
      <c r="H737" s="46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</row>
    <row r="738">
      <c r="A738" s="48" t="s">
        <v>777</v>
      </c>
      <c r="B738" s="48" t="s">
        <v>773</v>
      </c>
      <c r="C738" s="46"/>
      <c r="D738" s="46"/>
      <c r="E738" s="46"/>
      <c r="F738" s="46"/>
      <c r="G738" s="46"/>
      <c r="H738" s="46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</row>
    <row r="739">
      <c r="A739" s="48" t="s">
        <v>778</v>
      </c>
      <c r="B739" s="48" t="s">
        <v>773</v>
      </c>
      <c r="C739" s="46"/>
      <c r="D739" s="46"/>
      <c r="E739" s="46"/>
      <c r="F739" s="46"/>
      <c r="G739" s="46"/>
      <c r="H739" s="46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</row>
    <row r="740">
      <c r="A740" s="48" t="s">
        <v>779</v>
      </c>
      <c r="B740" s="48" t="s">
        <v>773</v>
      </c>
      <c r="C740" s="46"/>
      <c r="D740" s="46"/>
      <c r="E740" s="46"/>
      <c r="F740" s="46"/>
      <c r="G740" s="46"/>
      <c r="H740" s="46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</row>
    <row r="741">
      <c r="A741" s="48" t="s">
        <v>780</v>
      </c>
      <c r="B741" s="48" t="s">
        <v>773</v>
      </c>
      <c r="C741" s="46"/>
      <c r="D741" s="46"/>
      <c r="E741" s="46"/>
      <c r="F741" s="46"/>
      <c r="G741" s="46"/>
      <c r="H741" s="46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</row>
    <row r="742">
      <c r="A742" s="48" t="s">
        <v>781</v>
      </c>
      <c r="B742" s="48" t="s">
        <v>773</v>
      </c>
      <c r="C742" s="46"/>
      <c r="D742" s="46"/>
      <c r="E742" s="46"/>
      <c r="F742" s="46"/>
      <c r="G742" s="46"/>
      <c r="H742" s="46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</row>
    <row r="743">
      <c r="A743" s="48" t="s">
        <v>782</v>
      </c>
      <c r="B743" s="48" t="s">
        <v>773</v>
      </c>
      <c r="C743" s="46"/>
      <c r="D743" s="46"/>
      <c r="E743" s="46"/>
      <c r="F743" s="46"/>
      <c r="G743" s="46"/>
      <c r="H743" s="46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</row>
    <row r="744">
      <c r="A744" s="48" t="s">
        <v>783</v>
      </c>
      <c r="B744" s="48" t="s">
        <v>773</v>
      </c>
      <c r="C744" s="46"/>
      <c r="D744" s="46"/>
      <c r="E744" s="46"/>
      <c r="F744" s="46"/>
      <c r="G744" s="46"/>
      <c r="H744" s="46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</row>
    <row r="745">
      <c r="A745" s="46"/>
      <c r="B745" s="46"/>
      <c r="C745" s="46"/>
      <c r="D745" s="46"/>
      <c r="E745" s="46"/>
      <c r="F745" s="46"/>
      <c r="G745" s="46"/>
      <c r="H745" s="46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</row>
    <row r="746">
      <c r="A746" s="46"/>
      <c r="B746" s="46"/>
      <c r="C746" s="46"/>
      <c r="D746" s="46"/>
      <c r="E746" s="46"/>
      <c r="F746" s="46"/>
      <c r="G746" s="46"/>
      <c r="H746" s="46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</row>
    <row r="747">
      <c r="A747" s="46"/>
      <c r="B747" s="46"/>
      <c r="C747" s="46"/>
      <c r="D747" s="46"/>
      <c r="E747" s="46"/>
      <c r="F747" s="46"/>
      <c r="G747" s="46"/>
      <c r="H747" s="46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</row>
    <row r="748">
      <c r="A748" s="46"/>
      <c r="B748" s="46"/>
      <c r="C748" s="46"/>
      <c r="D748" s="46"/>
      <c r="E748" s="46"/>
      <c r="F748" s="46"/>
      <c r="G748" s="46"/>
      <c r="H748" s="46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</row>
    <row r="749">
      <c r="A749" s="46"/>
      <c r="B749" s="46"/>
      <c r="C749" s="46"/>
      <c r="D749" s="46"/>
      <c r="E749" s="46"/>
      <c r="F749" s="46"/>
      <c r="G749" s="46"/>
      <c r="H749" s="46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</row>
    <row r="750">
      <c r="A750" s="46"/>
      <c r="B750" s="46"/>
      <c r="C750" s="46"/>
      <c r="D750" s="46"/>
      <c r="E750" s="46"/>
      <c r="F750" s="46"/>
      <c r="G750" s="46"/>
      <c r="H750" s="46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</row>
    <row r="751">
      <c r="A751" s="46"/>
      <c r="B751" s="46"/>
      <c r="C751" s="46"/>
      <c r="D751" s="46"/>
      <c r="E751" s="46"/>
      <c r="F751" s="46"/>
      <c r="G751" s="46"/>
      <c r="H751" s="46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</row>
    <row r="752">
      <c r="A752" s="46"/>
      <c r="B752" s="46"/>
      <c r="C752" s="46"/>
      <c r="D752" s="46"/>
      <c r="E752" s="46"/>
      <c r="F752" s="46"/>
      <c r="G752" s="46"/>
      <c r="H752" s="46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</row>
    <row r="753">
      <c r="A753" s="46"/>
      <c r="B753" s="46"/>
      <c r="C753" s="46"/>
      <c r="D753" s="46"/>
      <c r="E753" s="46"/>
      <c r="F753" s="46"/>
      <c r="G753" s="46"/>
      <c r="H753" s="46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</row>
    <row r="754">
      <c r="A754" s="46"/>
      <c r="B754" s="46"/>
      <c r="C754" s="46"/>
      <c r="D754" s="46"/>
      <c r="E754" s="46"/>
      <c r="F754" s="46"/>
      <c r="G754" s="46"/>
      <c r="H754" s="46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</row>
    <row r="755">
      <c r="A755" s="46"/>
      <c r="B755" s="46"/>
      <c r="C755" s="46"/>
      <c r="D755" s="46"/>
      <c r="E755" s="46"/>
      <c r="F755" s="46"/>
      <c r="G755" s="46"/>
      <c r="H755" s="46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</row>
    <row r="756">
      <c r="A756" s="46"/>
      <c r="B756" s="46"/>
      <c r="C756" s="46"/>
      <c r="D756" s="46"/>
      <c r="E756" s="46"/>
      <c r="F756" s="46"/>
      <c r="G756" s="46"/>
      <c r="H756" s="46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</row>
    <row r="757">
      <c r="A757" s="46"/>
      <c r="B757" s="46"/>
      <c r="C757" s="46"/>
      <c r="D757" s="46"/>
      <c r="E757" s="46"/>
      <c r="F757" s="46"/>
      <c r="G757" s="46"/>
      <c r="H757" s="46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</row>
    <row r="758">
      <c r="A758" s="46"/>
      <c r="B758" s="46"/>
      <c r="C758" s="46"/>
      <c r="D758" s="46"/>
      <c r="E758" s="46"/>
      <c r="F758" s="46"/>
      <c r="G758" s="46"/>
      <c r="H758" s="46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</row>
    <row r="759">
      <c r="A759" s="46"/>
      <c r="B759" s="46"/>
      <c r="C759" s="46"/>
      <c r="D759" s="46"/>
      <c r="E759" s="46"/>
      <c r="F759" s="46"/>
      <c r="G759" s="46"/>
      <c r="H759" s="46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</row>
    <row r="760">
      <c r="A760" s="46"/>
      <c r="B760" s="46"/>
      <c r="C760" s="46"/>
      <c r="D760" s="46"/>
      <c r="E760" s="46"/>
      <c r="F760" s="46"/>
      <c r="G760" s="46"/>
      <c r="H760" s="46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</row>
    <row r="761">
      <c r="A761" s="46"/>
      <c r="B761" s="46"/>
      <c r="C761" s="46"/>
      <c r="D761" s="46"/>
      <c r="E761" s="46"/>
      <c r="F761" s="46"/>
      <c r="G761" s="46"/>
      <c r="H761" s="46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</row>
    <row r="762">
      <c r="A762" s="46"/>
      <c r="B762" s="46"/>
      <c r="C762" s="46"/>
      <c r="D762" s="46"/>
      <c r="E762" s="46"/>
      <c r="F762" s="46"/>
      <c r="G762" s="46"/>
      <c r="H762" s="46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</row>
    <row r="763">
      <c r="A763" s="46"/>
      <c r="B763" s="46"/>
      <c r="C763" s="46"/>
      <c r="D763" s="46"/>
      <c r="E763" s="46"/>
      <c r="F763" s="46"/>
      <c r="G763" s="46"/>
      <c r="H763" s="46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</row>
    <row r="764">
      <c r="A764" s="46"/>
      <c r="B764" s="46"/>
      <c r="C764" s="46"/>
      <c r="D764" s="46"/>
      <c r="E764" s="46"/>
      <c r="F764" s="46"/>
      <c r="G764" s="46"/>
      <c r="H764" s="46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</row>
    <row r="765">
      <c r="A765" s="46"/>
      <c r="B765" s="46"/>
      <c r="C765" s="46"/>
      <c r="D765" s="46"/>
      <c r="E765" s="46"/>
      <c r="F765" s="46"/>
      <c r="G765" s="46"/>
      <c r="H765" s="46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</row>
    <row r="766">
      <c r="A766" s="46"/>
      <c r="B766" s="46"/>
      <c r="C766" s="46"/>
      <c r="D766" s="46"/>
      <c r="E766" s="46"/>
      <c r="F766" s="46"/>
      <c r="G766" s="46"/>
      <c r="H766" s="46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</row>
    <row r="767">
      <c r="A767" s="46"/>
      <c r="B767" s="46"/>
      <c r="C767" s="46"/>
      <c r="D767" s="46"/>
      <c r="E767" s="46"/>
      <c r="F767" s="46"/>
      <c r="G767" s="46"/>
      <c r="H767" s="46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</row>
    <row r="768">
      <c r="A768" s="46"/>
      <c r="B768" s="46"/>
      <c r="C768" s="46"/>
      <c r="D768" s="46"/>
      <c r="E768" s="46"/>
      <c r="F768" s="46"/>
      <c r="G768" s="46"/>
      <c r="H768" s="46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</row>
    <row r="769">
      <c r="A769" s="46"/>
      <c r="B769" s="46"/>
      <c r="C769" s="46"/>
      <c r="D769" s="46"/>
      <c r="E769" s="46"/>
      <c r="F769" s="46"/>
      <c r="G769" s="46"/>
      <c r="H769" s="46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</row>
    <row r="770">
      <c r="A770" s="46"/>
      <c r="B770" s="46"/>
      <c r="C770" s="46"/>
      <c r="D770" s="46"/>
      <c r="E770" s="46"/>
      <c r="F770" s="46"/>
      <c r="G770" s="46"/>
      <c r="H770" s="46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</row>
    <row r="771">
      <c r="A771" s="46"/>
      <c r="B771" s="46"/>
      <c r="C771" s="46"/>
      <c r="D771" s="46"/>
      <c r="E771" s="46"/>
      <c r="F771" s="46"/>
      <c r="G771" s="46"/>
      <c r="H771" s="46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</row>
    <row r="772">
      <c r="A772" s="46"/>
      <c r="B772" s="46"/>
      <c r="C772" s="46"/>
      <c r="D772" s="46"/>
      <c r="E772" s="46"/>
      <c r="F772" s="46"/>
      <c r="G772" s="46"/>
      <c r="H772" s="46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</row>
    <row r="773">
      <c r="A773" s="46"/>
      <c r="B773" s="46"/>
      <c r="C773" s="46"/>
      <c r="D773" s="46"/>
      <c r="E773" s="46"/>
      <c r="F773" s="46"/>
      <c r="G773" s="46"/>
      <c r="H773" s="46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</row>
    <row r="774">
      <c r="A774" s="46"/>
      <c r="B774" s="46"/>
      <c r="C774" s="46"/>
      <c r="D774" s="46"/>
      <c r="E774" s="46"/>
      <c r="F774" s="46"/>
      <c r="G774" s="46"/>
      <c r="H774" s="46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</row>
    <row r="775">
      <c r="A775" s="46"/>
      <c r="B775" s="46"/>
      <c r="C775" s="46"/>
      <c r="D775" s="46"/>
      <c r="E775" s="46"/>
      <c r="F775" s="46"/>
      <c r="G775" s="46"/>
      <c r="H775" s="46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</row>
    <row r="776">
      <c r="A776" s="46"/>
      <c r="B776" s="46"/>
      <c r="C776" s="46"/>
      <c r="D776" s="46"/>
      <c r="E776" s="46"/>
      <c r="F776" s="46"/>
      <c r="G776" s="46"/>
      <c r="H776" s="46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</row>
    <row r="777">
      <c r="A777" s="46"/>
      <c r="B777" s="46"/>
      <c r="C777" s="46"/>
      <c r="D777" s="46"/>
      <c r="E777" s="46"/>
      <c r="F777" s="46"/>
      <c r="G777" s="46"/>
      <c r="H777" s="46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</row>
    <row r="778">
      <c r="A778" s="46"/>
      <c r="B778" s="46"/>
      <c r="C778" s="46"/>
      <c r="D778" s="46"/>
      <c r="E778" s="46"/>
      <c r="F778" s="46"/>
      <c r="G778" s="46"/>
      <c r="H778" s="46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</row>
    <row r="779">
      <c r="A779" s="46"/>
      <c r="B779" s="46"/>
      <c r="C779" s="46"/>
      <c r="D779" s="46"/>
      <c r="E779" s="46"/>
      <c r="F779" s="46"/>
      <c r="G779" s="46"/>
      <c r="H779" s="46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</row>
    <row r="780">
      <c r="A780" s="46"/>
      <c r="B780" s="46"/>
      <c r="C780" s="46"/>
      <c r="D780" s="46"/>
      <c r="E780" s="46"/>
      <c r="F780" s="46"/>
      <c r="G780" s="46"/>
      <c r="H780" s="46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</row>
    <row r="781">
      <c r="A781" s="46"/>
      <c r="B781" s="46"/>
      <c r="C781" s="46"/>
      <c r="D781" s="46"/>
      <c r="E781" s="46"/>
      <c r="F781" s="46"/>
      <c r="G781" s="46"/>
      <c r="H781" s="46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</row>
    <row r="782">
      <c r="A782" s="46"/>
      <c r="B782" s="46"/>
      <c r="C782" s="46"/>
      <c r="D782" s="46"/>
      <c r="E782" s="46"/>
      <c r="F782" s="46"/>
      <c r="G782" s="46"/>
      <c r="H782" s="46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</row>
    <row r="783">
      <c r="A783" s="46"/>
      <c r="B783" s="46"/>
      <c r="C783" s="46"/>
      <c r="D783" s="46"/>
      <c r="E783" s="46"/>
      <c r="F783" s="46"/>
      <c r="G783" s="46"/>
      <c r="H783" s="46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</row>
    <row r="784">
      <c r="A784" s="46"/>
      <c r="B784" s="46"/>
      <c r="C784" s="46"/>
      <c r="D784" s="46"/>
      <c r="E784" s="46"/>
      <c r="F784" s="46"/>
      <c r="G784" s="46"/>
      <c r="H784" s="46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</row>
    <row r="785">
      <c r="A785" s="46"/>
      <c r="B785" s="46"/>
      <c r="C785" s="46"/>
      <c r="D785" s="46"/>
      <c r="E785" s="46"/>
      <c r="F785" s="46"/>
      <c r="G785" s="46"/>
      <c r="H785" s="46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</row>
    <row r="786">
      <c r="A786" s="46"/>
      <c r="B786" s="46"/>
      <c r="C786" s="46"/>
      <c r="D786" s="46"/>
      <c r="E786" s="46"/>
      <c r="F786" s="46"/>
      <c r="G786" s="46"/>
      <c r="H786" s="46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</row>
    <row r="787">
      <c r="A787" s="46"/>
      <c r="B787" s="46"/>
      <c r="C787" s="46"/>
      <c r="D787" s="46"/>
      <c r="E787" s="46"/>
      <c r="F787" s="46"/>
      <c r="G787" s="46"/>
      <c r="H787" s="46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</row>
    <row r="788">
      <c r="A788" s="46"/>
      <c r="B788" s="46"/>
      <c r="C788" s="46"/>
      <c r="D788" s="46"/>
      <c r="E788" s="46"/>
      <c r="F788" s="46"/>
      <c r="G788" s="46"/>
      <c r="H788" s="46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</row>
    <row r="789">
      <c r="A789" s="46"/>
      <c r="B789" s="46"/>
      <c r="C789" s="46"/>
      <c r="D789" s="46"/>
      <c r="E789" s="46"/>
      <c r="F789" s="46"/>
      <c r="G789" s="46"/>
      <c r="H789" s="46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</row>
    <row r="790">
      <c r="A790" s="46"/>
      <c r="B790" s="46"/>
      <c r="C790" s="46"/>
      <c r="D790" s="46"/>
      <c r="E790" s="46"/>
      <c r="F790" s="46"/>
      <c r="G790" s="46"/>
      <c r="H790" s="46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</row>
    <row r="791">
      <c r="A791" s="46"/>
      <c r="B791" s="46"/>
      <c r="C791" s="46"/>
      <c r="D791" s="46"/>
      <c r="E791" s="46"/>
      <c r="F791" s="46"/>
      <c r="G791" s="46"/>
      <c r="H791" s="46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</row>
    <row r="792">
      <c r="A792" s="46"/>
      <c r="B792" s="46"/>
      <c r="C792" s="46"/>
      <c r="D792" s="46"/>
      <c r="E792" s="46"/>
      <c r="F792" s="46"/>
      <c r="G792" s="46"/>
      <c r="H792" s="46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</row>
    <row r="793">
      <c r="A793" s="46"/>
      <c r="B793" s="46"/>
      <c r="C793" s="46"/>
      <c r="D793" s="46"/>
      <c r="E793" s="46"/>
      <c r="F793" s="46"/>
      <c r="G793" s="46"/>
      <c r="H793" s="46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</row>
    <row r="794">
      <c r="A794" s="46"/>
      <c r="B794" s="46"/>
      <c r="C794" s="46"/>
      <c r="D794" s="46"/>
      <c r="E794" s="46"/>
      <c r="F794" s="46"/>
      <c r="G794" s="46"/>
      <c r="H794" s="46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</row>
    <row r="795">
      <c r="A795" s="46"/>
      <c r="B795" s="46"/>
      <c r="C795" s="46"/>
      <c r="D795" s="46"/>
      <c r="E795" s="46"/>
      <c r="F795" s="46"/>
      <c r="G795" s="46"/>
      <c r="H795" s="46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</row>
    <row r="796">
      <c r="A796" s="46"/>
      <c r="B796" s="46"/>
      <c r="C796" s="46"/>
      <c r="D796" s="46"/>
      <c r="E796" s="46"/>
      <c r="F796" s="46"/>
      <c r="G796" s="46"/>
      <c r="H796" s="46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</row>
    <row r="797">
      <c r="A797" s="46"/>
      <c r="B797" s="46"/>
      <c r="C797" s="46"/>
      <c r="D797" s="46"/>
      <c r="E797" s="46"/>
      <c r="F797" s="46"/>
      <c r="G797" s="46"/>
      <c r="H797" s="46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</row>
    <row r="798">
      <c r="A798" s="46"/>
      <c r="B798" s="46"/>
      <c r="C798" s="46"/>
      <c r="D798" s="46"/>
      <c r="E798" s="46"/>
      <c r="F798" s="46"/>
      <c r="G798" s="46"/>
      <c r="H798" s="46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</row>
    <row r="799">
      <c r="A799" s="46"/>
      <c r="B799" s="46"/>
      <c r="C799" s="46"/>
      <c r="D799" s="46"/>
      <c r="E799" s="46"/>
      <c r="F799" s="46"/>
      <c r="G799" s="46"/>
      <c r="H799" s="46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</row>
    <row r="800">
      <c r="A800" s="46"/>
      <c r="B800" s="46"/>
      <c r="C800" s="46"/>
      <c r="D800" s="46"/>
      <c r="E800" s="46"/>
      <c r="F800" s="46"/>
      <c r="G800" s="46"/>
      <c r="H800" s="46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</row>
    <row r="801">
      <c r="A801" s="46"/>
      <c r="B801" s="46"/>
      <c r="C801" s="46"/>
      <c r="D801" s="46"/>
      <c r="E801" s="46"/>
      <c r="F801" s="46"/>
      <c r="G801" s="46"/>
      <c r="H801" s="46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</row>
    <row r="802">
      <c r="A802" s="46"/>
      <c r="B802" s="46"/>
      <c r="C802" s="46"/>
      <c r="D802" s="46"/>
      <c r="E802" s="46"/>
      <c r="F802" s="46"/>
      <c r="G802" s="46"/>
      <c r="H802" s="46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</row>
    <row r="803">
      <c r="A803" s="46"/>
      <c r="B803" s="46"/>
      <c r="C803" s="46"/>
      <c r="D803" s="46"/>
      <c r="E803" s="46"/>
      <c r="F803" s="46"/>
      <c r="G803" s="46"/>
      <c r="H803" s="46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</row>
    <row r="804">
      <c r="A804" s="46"/>
      <c r="B804" s="46"/>
      <c r="C804" s="46"/>
      <c r="D804" s="46"/>
      <c r="E804" s="46"/>
      <c r="F804" s="46"/>
      <c r="G804" s="46"/>
      <c r="H804" s="46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</row>
    <row r="805">
      <c r="A805" s="46"/>
      <c r="B805" s="46"/>
      <c r="C805" s="46"/>
      <c r="D805" s="46"/>
      <c r="E805" s="46"/>
      <c r="F805" s="46"/>
      <c r="G805" s="46"/>
      <c r="H805" s="46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</row>
    <row r="806">
      <c r="A806" s="46"/>
      <c r="B806" s="46"/>
      <c r="C806" s="46"/>
      <c r="D806" s="46"/>
      <c r="E806" s="46"/>
      <c r="F806" s="46"/>
      <c r="G806" s="46"/>
      <c r="H806" s="46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</row>
    <row r="807">
      <c r="A807" s="46"/>
      <c r="B807" s="46"/>
      <c r="C807" s="46"/>
      <c r="D807" s="46"/>
      <c r="E807" s="46"/>
      <c r="F807" s="46"/>
      <c r="G807" s="46"/>
      <c r="H807" s="46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</row>
    <row r="808">
      <c r="A808" s="46"/>
      <c r="B808" s="46"/>
      <c r="C808" s="46"/>
      <c r="D808" s="46"/>
      <c r="E808" s="46"/>
      <c r="F808" s="46"/>
      <c r="G808" s="46"/>
      <c r="H808" s="46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</row>
    <row r="809">
      <c r="A809" s="46"/>
      <c r="B809" s="46"/>
      <c r="C809" s="46"/>
      <c r="D809" s="46"/>
      <c r="E809" s="46"/>
      <c r="F809" s="46"/>
      <c r="G809" s="46"/>
      <c r="H809" s="46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</row>
    <row r="810">
      <c r="A810" s="46"/>
      <c r="B810" s="46"/>
      <c r="C810" s="46"/>
      <c r="D810" s="46"/>
      <c r="E810" s="46"/>
      <c r="F810" s="46"/>
      <c r="G810" s="46"/>
      <c r="H810" s="46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</row>
    <row r="811">
      <c r="A811" s="46"/>
      <c r="B811" s="46"/>
      <c r="C811" s="46"/>
      <c r="D811" s="46"/>
      <c r="E811" s="46"/>
      <c r="F811" s="46"/>
      <c r="G811" s="46"/>
      <c r="H811" s="46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</row>
    <row r="812">
      <c r="A812" s="46"/>
      <c r="B812" s="46"/>
      <c r="C812" s="46"/>
      <c r="D812" s="46"/>
      <c r="E812" s="46"/>
      <c r="F812" s="46"/>
      <c r="G812" s="46"/>
      <c r="H812" s="46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</row>
    <row r="813">
      <c r="A813" s="46"/>
      <c r="B813" s="46"/>
      <c r="C813" s="46"/>
      <c r="D813" s="46"/>
      <c r="E813" s="46"/>
      <c r="F813" s="46"/>
      <c r="G813" s="46"/>
      <c r="H813" s="46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</row>
    <row r="814">
      <c r="A814" s="46"/>
      <c r="B814" s="46"/>
      <c r="C814" s="46"/>
      <c r="D814" s="46"/>
      <c r="E814" s="46"/>
      <c r="F814" s="46"/>
      <c r="G814" s="46"/>
      <c r="H814" s="46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</row>
    <row r="815">
      <c r="A815" s="46"/>
      <c r="B815" s="46"/>
      <c r="C815" s="46"/>
      <c r="D815" s="46"/>
      <c r="E815" s="46"/>
      <c r="F815" s="46"/>
      <c r="G815" s="46"/>
      <c r="H815" s="46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</row>
    <row r="816">
      <c r="A816" s="46"/>
      <c r="B816" s="46"/>
      <c r="C816" s="46"/>
      <c r="D816" s="46"/>
      <c r="E816" s="46"/>
      <c r="F816" s="46"/>
      <c r="G816" s="46"/>
      <c r="H816" s="46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</row>
    <row r="817">
      <c r="A817" s="46"/>
      <c r="B817" s="46"/>
      <c r="C817" s="46"/>
      <c r="D817" s="46"/>
      <c r="E817" s="46"/>
      <c r="F817" s="46"/>
      <c r="G817" s="46"/>
      <c r="H817" s="46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</row>
    <row r="818">
      <c r="A818" s="46"/>
      <c r="B818" s="46"/>
      <c r="C818" s="46"/>
      <c r="D818" s="46"/>
      <c r="E818" s="46"/>
      <c r="F818" s="46"/>
      <c r="G818" s="46"/>
      <c r="H818" s="46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</row>
    <row r="819">
      <c r="A819" s="46"/>
      <c r="B819" s="46"/>
      <c r="C819" s="46"/>
      <c r="D819" s="46"/>
      <c r="E819" s="46"/>
      <c r="F819" s="46"/>
      <c r="G819" s="46"/>
      <c r="H819" s="46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</row>
    <row r="820">
      <c r="A820" s="46"/>
      <c r="B820" s="46"/>
      <c r="C820" s="46"/>
      <c r="D820" s="46"/>
      <c r="E820" s="46"/>
      <c r="F820" s="46"/>
      <c r="G820" s="46"/>
      <c r="H820" s="46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</row>
    <row r="821">
      <c r="A821" s="46"/>
      <c r="B821" s="46"/>
      <c r="C821" s="46"/>
      <c r="D821" s="46"/>
      <c r="E821" s="46"/>
      <c r="F821" s="46"/>
      <c r="G821" s="46"/>
      <c r="H821" s="46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</row>
    <row r="822">
      <c r="A822" s="46"/>
      <c r="B822" s="46"/>
      <c r="C822" s="46"/>
      <c r="D822" s="46"/>
      <c r="E822" s="46"/>
      <c r="F822" s="46"/>
      <c r="G822" s="46"/>
      <c r="H822" s="46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</row>
    <row r="823">
      <c r="A823" s="46"/>
      <c r="B823" s="46"/>
      <c r="C823" s="46"/>
      <c r="D823" s="46"/>
      <c r="E823" s="46"/>
      <c r="F823" s="46"/>
      <c r="G823" s="46"/>
      <c r="H823" s="46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</row>
    <row r="824">
      <c r="A824" s="46"/>
      <c r="B824" s="46"/>
      <c r="C824" s="46"/>
      <c r="D824" s="46"/>
      <c r="E824" s="46"/>
      <c r="F824" s="46"/>
      <c r="G824" s="46"/>
      <c r="H824" s="46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</row>
    <row r="825">
      <c r="A825" s="46"/>
      <c r="B825" s="46"/>
      <c r="C825" s="46"/>
      <c r="D825" s="46"/>
      <c r="E825" s="46"/>
      <c r="F825" s="46"/>
      <c r="G825" s="46"/>
      <c r="H825" s="46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</row>
    <row r="826">
      <c r="A826" s="46"/>
      <c r="B826" s="46"/>
      <c r="C826" s="46"/>
      <c r="D826" s="46"/>
      <c r="E826" s="46"/>
      <c r="F826" s="46"/>
      <c r="G826" s="46"/>
      <c r="H826" s="46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</row>
    <row r="827">
      <c r="A827" s="46"/>
      <c r="B827" s="46"/>
      <c r="C827" s="46"/>
      <c r="D827" s="46"/>
      <c r="E827" s="46"/>
      <c r="F827" s="46"/>
      <c r="G827" s="46"/>
      <c r="H827" s="46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</row>
    <row r="828">
      <c r="A828" s="46"/>
      <c r="B828" s="46"/>
      <c r="C828" s="46"/>
      <c r="D828" s="46"/>
      <c r="E828" s="46"/>
      <c r="F828" s="46"/>
      <c r="G828" s="46"/>
      <c r="H828" s="46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</row>
    <row r="829">
      <c r="A829" s="46"/>
      <c r="B829" s="46"/>
      <c r="C829" s="46"/>
      <c r="D829" s="46"/>
      <c r="E829" s="46"/>
      <c r="F829" s="46"/>
      <c r="G829" s="46"/>
      <c r="H829" s="46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</row>
    <row r="830">
      <c r="A830" s="46"/>
      <c r="B830" s="46"/>
      <c r="C830" s="46"/>
      <c r="D830" s="46"/>
      <c r="E830" s="46"/>
      <c r="F830" s="46"/>
      <c r="G830" s="46"/>
      <c r="H830" s="46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</row>
    <row r="831">
      <c r="A831" s="46"/>
      <c r="B831" s="46"/>
      <c r="C831" s="46"/>
      <c r="D831" s="46"/>
      <c r="E831" s="46"/>
      <c r="F831" s="46"/>
      <c r="G831" s="46"/>
      <c r="H831" s="46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</row>
    <row r="832">
      <c r="A832" s="46"/>
      <c r="B832" s="46"/>
      <c r="C832" s="46"/>
      <c r="D832" s="46"/>
      <c r="E832" s="46"/>
      <c r="F832" s="46"/>
      <c r="G832" s="46"/>
      <c r="H832" s="46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</row>
    <row r="833">
      <c r="A833" s="46"/>
      <c r="B833" s="46"/>
      <c r="C833" s="46"/>
      <c r="D833" s="46"/>
      <c r="E833" s="46"/>
      <c r="F833" s="46"/>
      <c r="G833" s="46"/>
      <c r="H833" s="46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</row>
    <row r="834">
      <c r="A834" s="46"/>
      <c r="B834" s="46"/>
      <c r="C834" s="46"/>
      <c r="D834" s="46"/>
      <c r="E834" s="46"/>
      <c r="F834" s="46"/>
      <c r="G834" s="46"/>
      <c r="H834" s="46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</row>
    <row r="835">
      <c r="A835" s="46"/>
      <c r="B835" s="46"/>
      <c r="C835" s="46"/>
      <c r="D835" s="46"/>
      <c r="E835" s="46"/>
      <c r="F835" s="46"/>
      <c r="G835" s="46"/>
      <c r="H835" s="46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</row>
    <row r="836">
      <c r="A836" s="46"/>
      <c r="B836" s="46"/>
      <c r="C836" s="46"/>
      <c r="D836" s="46"/>
      <c r="E836" s="46"/>
      <c r="F836" s="46"/>
      <c r="G836" s="46"/>
      <c r="H836" s="46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</row>
    <row r="837">
      <c r="A837" s="46"/>
      <c r="B837" s="46"/>
      <c r="C837" s="46"/>
      <c r="D837" s="46"/>
      <c r="E837" s="46"/>
      <c r="F837" s="46"/>
      <c r="G837" s="46"/>
      <c r="H837" s="46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</row>
    <row r="838">
      <c r="A838" s="46"/>
      <c r="B838" s="46"/>
      <c r="C838" s="46"/>
      <c r="D838" s="46"/>
      <c r="E838" s="46"/>
      <c r="F838" s="46"/>
      <c r="G838" s="46"/>
      <c r="H838" s="46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</row>
    <row r="839">
      <c r="A839" s="46"/>
      <c r="B839" s="46"/>
      <c r="C839" s="46"/>
      <c r="D839" s="46"/>
      <c r="E839" s="46"/>
      <c r="F839" s="46"/>
      <c r="G839" s="46"/>
      <c r="H839" s="46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</row>
    <row r="840">
      <c r="A840" s="46"/>
      <c r="B840" s="46"/>
      <c r="C840" s="46"/>
      <c r="D840" s="46"/>
      <c r="E840" s="46"/>
      <c r="F840" s="46"/>
      <c r="G840" s="46"/>
      <c r="H840" s="46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</row>
    <row r="841">
      <c r="A841" s="46"/>
      <c r="B841" s="46"/>
      <c r="C841" s="46"/>
      <c r="D841" s="46"/>
      <c r="E841" s="46"/>
      <c r="F841" s="46"/>
      <c r="G841" s="46"/>
      <c r="H841" s="46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</row>
    <row r="842">
      <c r="A842" s="46"/>
      <c r="B842" s="46"/>
      <c r="C842" s="46"/>
      <c r="D842" s="46"/>
      <c r="E842" s="46"/>
      <c r="F842" s="46"/>
      <c r="G842" s="46"/>
      <c r="H842" s="46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</row>
    <row r="843">
      <c r="A843" s="46"/>
      <c r="B843" s="46"/>
      <c r="C843" s="46"/>
      <c r="D843" s="46"/>
      <c r="E843" s="46"/>
      <c r="F843" s="46"/>
      <c r="G843" s="46"/>
      <c r="H843" s="46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</row>
    <row r="844">
      <c r="A844" s="46"/>
      <c r="B844" s="46"/>
      <c r="C844" s="46"/>
      <c r="D844" s="46"/>
      <c r="E844" s="46"/>
      <c r="F844" s="46"/>
      <c r="G844" s="46"/>
      <c r="H844" s="46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</row>
    <row r="845">
      <c r="A845" s="46"/>
      <c r="B845" s="46"/>
      <c r="C845" s="46"/>
      <c r="D845" s="46"/>
      <c r="E845" s="46"/>
      <c r="F845" s="46"/>
      <c r="G845" s="46"/>
      <c r="H845" s="46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</row>
    <row r="846">
      <c r="A846" s="46"/>
      <c r="B846" s="46"/>
      <c r="C846" s="46"/>
      <c r="D846" s="46"/>
      <c r="E846" s="46"/>
      <c r="F846" s="46"/>
      <c r="G846" s="46"/>
      <c r="H846" s="46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</row>
    <row r="847">
      <c r="A847" s="46"/>
      <c r="B847" s="46"/>
      <c r="C847" s="46"/>
      <c r="D847" s="46"/>
      <c r="E847" s="46"/>
      <c r="F847" s="46"/>
      <c r="G847" s="46"/>
      <c r="H847" s="46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</row>
    <row r="848">
      <c r="A848" s="46"/>
      <c r="B848" s="46"/>
      <c r="C848" s="46"/>
      <c r="D848" s="46"/>
      <c r="E848" s="46"/>
      <c r="F848" s="46"/>
      <c r="G848" s="46"/>
      <c r="H848" s="46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</row>
    <row r="849">
      <c r="A849" s="46"/>
      <c r="B849" s="46"/>
      <c r="C849" s="46"/>
      <c r="D849" s="46"/>
      <c r="E849" s="46"/>
      <c r="F849" s="46"/>
      <c r="G849" s="46"/>
      <c r="H849" s="46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</row>
    <row r="850">
      <c r="A850" s="46"/>
      <c r="B850" s="46"/>
      <c r="C850" s="46"/>
      <c r="D850" s="46"/>
      <c r="E850" s="46"/>
      <c r="F850" s="46"/>
      <c r="G850" s="46"/>
      <c r="H850" s="46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</row>
    <row r="851">
      <c r="A851" s="46"/>
      <c r="B851" s="46"/>
      <c r="C851" s="46"/>
      <c r="D851" s="46"/>
      <c r="E851" s="46"/>
      <c r="F851" s="46"/>
      <c r="G851" s="46"/>
      <c r="H851" s="46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</row>
    <row r="852">
      <c r="A852" s="46"/>
      <c r="B852" s="46"/>
      <c r="C852" s="46"/>
      <c r="D852" s="46"/>
      <c r="E852" s="46"/>
      <c r="F852" s="46"/>
      <c r="G852" s="46"/>
      <c r="H852" s="46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</row>
    <row r="853">
      <c r="A853" s="46"/>
      <c r="B853" s="46"/>
      <c r="C853" s="46"/>
      <c r="D853" s="46"/>
      <c r="E853" s="46"/>
      <c r="F853" s="46"/>
      <c r="G853" s="46"/>
      <c r="H853" s="46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</row>
    <row r="854">
      <c r="A854" s="46"/>
      <c r="B854" s="46"/>
      <c r="C854" s="46"/>
      <c r="D854" s="46"/>
      <c r="E854" s="46"/>
      <c r="F854" s="46"/>
      <c r="G854" s="46"/>
      <c r="H854" s="46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</row>
    <row r="855">
      <c r="A855" s="46"/>
      <c r="B855" s="46"/>
      <c r="C855" s="46"/>
      <c r="D855" s="46"/>
      <c r="E855" s="46"/>
      <c r="F855" s="46"/>
      <c r="G855" s="46"/>
      <c r="H855" s="46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</row>
    <row r="856">
      <c r="A856" s="46"/>
      <c r="B856" s="46"/>
      <c r="C856" s="46"/>
      <c r="D856" s="46"/>
      <c r="E856" s="46"/>
      <c r="F856" s="46"/>
      <c r="G856" s="46"/>
      <c r="H856" s="46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</row>
    <row r="857">
      <c r="A857" s="46"/>
      <c r="B857" s="46"/>
      <c r="C857" s="46"/>
      <c r="D857" s="46"/>
      <c r="E857" s="46"/>
      <c r="F857" s="46"/>
      <c r="G857" s="46"/>
      <c r="H857" s="46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</row>
    <row r="858">
      <c r="A858" s="46"/>
      <c r="B858" s="46"/>
      <c r="C858" s="46"/>
      <c r="D858" s="46"/>
      <c r="E858" s="46"/>
      <c r="F858" s="46"/>
      <c r="G858" s="46"/>
      <c r="H858" s="46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</row>
    <row r="859">
      <c r="A859" s="46"/>
      <c r="B859" s="46"/>
      <c r="C859" s="46"/>
      <c r="D859" s="46"/>
      <c r="E859" s="46"/>
      <c r="F859" s="46"/>
      <c r="G859" s="46"/>
      <c r="H859" s="46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</row>
    <row r="860">
      <c r="A860" s="46"/>
      <c r="B860" s="46"/>
      <c r="C860" s="46"/>
      <c r="D860" s="46"/>
      <c r="E860" s="46"/>
      <c r="F860" s="46"/>
      <c r="G860" s="46"/>
      <c r="H860" s="46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</row>
    <row r="861">
      <c r="A861" s="46"/>
      <c r="B861" s="46"/>
      <c r="C861" s="46"/>
      <c r="D861" s="46"/>
      <c r="E861" s="46"/>
      <c r="F861" s="46"/>
      <c r="G861" s="46"/>
      <c r="H861" s="46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</row>
    <row r="862">
      <c r="A862" s="46"/>
      <c r="B862" s="46"/>
      <c r="C862" s="46"/>
      <c r="D862" s="46"/>
      <c r="E862" s="46"/>
      <c r="F862" s="46"/>
      <c r="G862" s="46"/>
      <c r="H862" s="46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</row>
    <row r="863">
      <c r="A863" s="46"/>
      <c r="B863" s="46"/>
      <c r="C863" s="46"/>
      <c r="D863" s="46"/>
      <c r="E863" s="46"/>
      <c r="F863" s="46"/>
      <c r="G863" s="46"/>
      <c r="H863" s="46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</row>
    <row r="864">
      <c r="A864" s="46"/>
      <c r="B864" s="46"/>
      <c r="C864" s="46"/>
      <c r="D864" s="46"/>
      <c r="E864" s="46"/>
      <c r="F864" s="46"/>
      <c r="G864" s="46"/>
      <c r="H864" s="46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</row>
    <row r="865">
      <c r="A865" s="46"/>
      <c r="B865" s="46"/>
      <c r="C865" s="46"/>
      <c r="D865" s="46"/>
      <c r="E865" s="46"/>
      <c r="F865" s="46"/>
      <c r="G865" s="46"/>
      <c r="H865" s="46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</row>
    <row r="866">
      <c r="A866" s="46"/>
      <c r="B866" s="46"/>
      <c r="C866" s="46"/>
      <c r="D866" s="46"/>
      <c r="E866" s="46"/>
      <c r="F866" s="46"/>
      <c r="G866" s="46"/>
      <c r="H866" s="46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</row>
    <row r="867">
      <c r="A867" s="46"/>
      <c r="B867" s="46"/>
      <c r="C867" s="46"/>
      <c r="D867" s="46"/>
      <c r="E867" s="46"/>
      <c r="F867" s="46"/>
      <c r="G867" s="46"/>
      <c r="H867" s="46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</row>
    <row r="868">
      <c r="A868" s="46"/>
      <c r="B868" s="46"/>
      <c r="C868" s="46"/>
      <c r="D868" s="46"/>
      <c r="E868" s="46"/>
      <c r="F868" s="46"/>
      <c r="G868" s="46"/>
      <c r="H868" s="46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</row>
    <row r="869">
      <c r="A869" s="46"/>
      <c r="B869" s="46"/>
      <c r="C869" s="46"/>
      <c r="D869" s="46"/>
      <c r="E869" s="46"/>
      <c r="F869" s="46"/>
      <c r="G869" s="46"/>
      <c r="H869" s="46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</row>
    <row r="870">
      <c r="A870" s="46"/>
      <c r="B870" s="46"/>
      <c r="C870" s="46"/>
      <c r="D870" s="46"/>
      <c r="E870" s="46"/>
      <c r="F870" s="46"/>
      <c r="G870" s="46"/>
      <c r="H870" s="46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</row>
    <row r="871">
      <c r="A871" s="46"/>
      <c r="B871" s="46"/>
      <c r="C871" s="46"/>
      <c r="D871" s="46"/>
      <c r="E871" s="46"/>
      <c r="F871" s="46"/>
      <c r="G871" s="46"/>
      <c r="H871" s="46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</row>
    <row r="872">
      <c r="A872" s="46"/>
      <c r="B872" s="46"/>
      <c r="C872" s="46"/>
      <c r="D872" s="46"/>
      <c r="E872" s="46"/>
      <c r="F872" s="46"/>
      <c r="G872" s="46"/>
      <c r="H872" s="46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</row>
    <row r="873">
      <c r="A873" s="46"/>
      <c r="B873" s="46"/>
      <c r="C873" s="46"/>
      <c r="D873" s="46"/>
      <c r="E873" s="46"/>
      <c r="F873" s="46"/>
      <c r="G873" s="46"/>
      <c r="H873" s="46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</row>
    <row r="874">
      <c r="A874" s="46"/>
      <c r="B874" s="46"/>
      <c r="C874" s="46"/>
      <c r="D874" s="46"/>
      <c r="E874" s="46"/>
      <c r="F874" s="46"/>
      <c r="G874" s="46"/>
      <c r="H874" s="46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</row>
    <row r="875">
      <c r="A875" s="46"/>
      <c r="B875" s="46"/>
      <c r="C875" s="46"/>
      <c r="D875" s="46"/>
      <c r="E875" s="46"/>
      <c r="F875" s="46"/>
      <c r="G875" s="46"/>
      <c r="H875" s="46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</row>
    <row r="876">
      <c r="A876" s="46"/>
      <c r="B876" s="46"/>
      <c r="C876" s="46"/>
      <c r="D876" s="46"/>
      <c r="E876" s="46"/>
      <c r="F876" s="46"/>
      <c r="G876" s="46"/>
      <c r="H876" s="46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</row>
    <row r="877">
      <c r="A877" s="46"/>
      <c r="B877" s="46"/>
      <c r="C877" s="46"/>
      <c r="D877" s="46"/>
      <c r="E877" s="46"/>
      <c r="F877" s="46"/>
      <c r="G877" s="46"/>
      <c r="H877" s="46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</row>
    <row r="878">
      <c r="A878" s="46"/>
      <c r="B878" s="46"/>
      <c r="C878" s="46"/>
      <c r="D878" s="46"/>
      <c r="E878" s="46"/>
      <c r="F878" s="46"/>
      <c r="G878" s="46"/>
      <c r="H878" s="46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</row>
    <row r="879">
      <c r="A879" s="46"/>
      <c r="B879" s="46"/>
      <c r="C879" s="46"/>
      <c r="D879" s="46"/>
      <c r="E879" s="46"/>
      <c r="F879" s="46"/>
      <c r="G879" s="46"/>
      <c r="H879" s="46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</row>
    <row r="880">
      <c r="A880" s="46"/>
      <c r="B880" s="46"/>
      <c r="C880" s="46"/>
      <c r="D880" s="46"/>
      <c r="E880" s="46"/>
      <c r="F880" s="46"/>
      <c r="G880" s="46"/>
      <c r="H880" s="46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</row>
    <row r="881">
      <c r="A881" s="46"/>
      <c r="B881" s="46"/>
      <c r="C881" s="46"/>
      <c r="D881" s="46"/>
      <c r="E881" s="46"/>
      <c r="F881" s="46"/>
      <c r="G881" s="46"/>
      <c r="H881" s="46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</row>
    <row r="882">
      <c r="A882" s="46"/>
      <c r="B882" s="46"/>
      <c r="C882" s="46"/>
      <c r="D882" s="46"/>
      <c r="E882" s="46"/>
      <c r="F882" s="46"/>
      <c r="G882" s="46"/>
      <c r="H882" s="46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</row>
    <row r="883">
      <c r="A883" s="46"/>
      <c r="B883" s="46"/>
      <c r="C883" s="46"/>
      <c r="D883" s="46"/>
      <c r="E883" s="46"/>
      <c r="F883" s="46"/>
      <c r="G883" s="46"/>
      <c r="H883" s="46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</row>
    <row r="884">
      <c r="A884" s="46"/>
      <c r="B884" s="46"/>
      <c r="C884" s="46"/>
      <c r="D884" s="46"/>
      <c r="E884" s="46"/>
      <c r="F884" s="46"/>
      <c r="G884" s="46"/>
      <c r="H884" s="46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</row>
    <row r="885">
      <c r="A885" s="46"/>
      <c r="B885" s="46"/>
      <c r="C885" s="46"/>
      <c r="D885" s="46"/>
      <c r="E885" s="46"/>
      <c r="F885" s="46"/>
      <c r="G885" s="46"/>
      <c r="H885" s="46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</row>
    <row r="886">
      <c r="A886" s="46"/>
      <c r="B886" s="46"/>
      <c r="C886" s="46"/>
      <c r="D886" s="46"/>
      <c r="E886" s="46"/>
      <c r="F886" s="46"/>
      <c r="G886" s="46"/>
      <c r="H886" s="46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</row>
    <row r="887">
      <c r="A887" s="46"/>
      <c r="B887" s="46"/>
      <c r="C887" s="46"/>
      <c r="D887" s="46"/>
      <c r="E887" s="46"/>
      <c r="F887" s="46"/>
      <c r="G887" s="46"/>
      <c r="H887" s="46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</row>
    <row r="888">
      <c r="A888" s="46"/>
      <c r="B888" s="46"/>
      <c r="C888" s="46"/>
      <c r="D888" s="46"/>
      <c r="E888" s="46"/>
      <c r="F888" s="46"/>
      <c r="G888" s="46"/>
      <c r="H888" s="46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</row>
    <row r="889">
      <c r="A889" s="46"/>
      <c r="B889" s="46"/>
      <c r="C889" s="46"/>
      <c r="D889" s="46"/>
      <c r="E889" s="46"/>
      <c r="F889" s="46"/>
      <c r="G889" s="46"/>
      <c r="H889" s="46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</row>
    <row r="890">
      <c r="A890" s="46"/>
      <c r="B890" s="46"/>
      <c r="C890" s="46"/>
      <c r="D890" s="46"/>
      <c r="E890" s="46"/>
      <c r="F890" s="46"/>
      <c r="G890" s="46"/>
      <c r="H890" s="46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</row>
    <row r="891">
      <c r="A891" s="46"/>
      <c r="B891" s="46"/>
      <c r="C891" s="46"/>
      <c r="D891" s="46"/>
      <c r="E891" s="46"/>
      <c r="F891" s="46"/>
      <c r="G891" s="46"/>
      <c r="H891" s="46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</row>
    <row r="892">
      <c r="A892" s="46"/>
      <c r="B892" s="46"/>
      <c r="C892" s="46"/>
      <c r="D892" s="46"/>
      <c r="E892" s="46"/>
      <c r="F892" s="46"/>
      <c r="G892" s="46"/>
      <c r="H892" s="46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</row>
    <row r="893">
      <c r="A893" s="46"/>
      <c r="B893" s="46"/>
      <c r="C893" s="46"/>
      <c r="D893" s="46"/>
      <c r="E893" s="46"/>
      <c r="F893" s="46"/>
      <c r="G893" s="46"/>
      <c r="H893" s="46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</row>
    <row r="894">
      <c r="A894" s="46"/>
      <c r="B894" s="46"/>
      <c r="C894" s="46"/>
      <c r="D894" s="46"/>
      <c r="E894" s="46"/>
      <c r="F894" s="46"/>
      <c r="G894" s="46"/>
      <c r="H894" s="46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</row>
    <row r="895">
      <c r="A895" s="46"/>
      <c r="B895" s="46"/>
      <c r="C895" s="46"/>
      <c r="D895" s="46"/>
      <c r="E895" s="46"/>
      <c r="F895" s="46"/>
      <c r="G895" s="46"/>
      <c r="H895" s="46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</row>
    <row r="896">
      <c r="A896" s="46"/>
      <c r="B896" s="46"/>
      <c r="C896" s="46"/>
      <c r="D896" s="46"/>
      <c r="E896" s="46"/>
      <c r="F896" s="46"/>
      <c r="G896" s="46"/>
      <c r="H896" s="46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</row>
    <row r="897">
      <c r="A897" s="46"/>
      <c r="B897" s="46"/>
      <c r="C897" s="46"/>
      <c r="D897" s="46"/>
      <c r="E897" s="46"/>
      <c r="F897" s="46"/>
      <c r="G897" s="46"/>
      <c r="H897" s="46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</row>
    <row r="898">
      <c r="A898" s="46"/>
      <c r="B898" s="46"/>
      <c r="C898" s="46"/>
      <c r="D898" s="46"/>
      <c r="E898" s="46"/>
      <c r="F898" s="46"/>
      <c r="G898" s="46"/>
      <c r="H898" s="46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</row>
    <row r="899">
      <c r="A899" s="46"/>
      <c r="B899" s="46"/>
      <c r="C899" s="46"/>
      <c r="D899" s="46"/>
      <c r="E899" s="46"/>
      <c r="F899" s="46"/>
      <c r="G899" s="46"/>
      <c r="H899" s="46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</row>
    <row r="900">
      <c r="A900" s="46"/>
      <c r="B900" s="46"/>
      <c r="C900" s="46"/>
      <c r="D900" s="46"/>
      <c r="E900" s="46"/>
      <c r="F900" s="46"/>
      <c r="G900" s="46"/>
      <c r="H900" s="46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</row>
    <row r="901">
      <c r="A901" s="46"/>
      <c r="B901" s="46"/>
      <c r="C901" s="46"/>
      <c r="D901" s="46"/>
      <c r="E901" s="46"/>
      <c r="F901" s="46"/>
      <c r="G901" s="46"/>
      <c r="H901" s="46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</row>
    <row r="902">
      <c r="A902" s="46"/>
      <c r="B902" s="46"/>
      <c r="C902" s="46"/>
      <c r="D902" s="46"/>
      <c r="E902" s="46"/>
      <c r="F902" s="46"/>
      <c r="G902" s="46"/>
      <c r="H902" s="46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</row>
    <row r="903">
      <c r="A903" s="46"/>
      <c r="B903" s="46"/>
      <c r="C903" s="46"/>
      <c r="D903" s="46"/>
      <c r="E903" s="46"/>
      <c r="F903" s="46"/>
      <c r="G903" s="46"/>
      <c r="H903" s="46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</row>
    <row r="904">
      <c r="A904" s="46"/>
      <c r="B904" s="46"/>
      <c r="C904" s="46"/>
      <c r="D904" s="46"/>
      <c r="E904" s="46"/>
      <c r="F904" s="46"/>
      <c r="G904" s="46"/>
      <c r="H904" s="46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</row>
    <row r="905">
      <c r="A905" s="46"/>
      <c r="B905" s="46"/>
      <c r="C905" s="46"/>
      <c r="D905" s="46"/>
      <c r="E905" s="46"/>
      <c r="F905" s="46"/>
      <c r="G905" s="46"/>
      <c r="H905" s="46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</row>
    <row r="906">
      <c r="A906" s="46"/>
      <c r="B906" s="46"/>
      <c r="C906" s="46"/>
      <c r="D906" s="46"/>
      <c r="E906" s="46"/>
      <c r="F906" s="46"/>
      <c r="G906" s="46"/>
      <c r="H906" s="46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</row>
    <row r="907">
      <c r="A907" s="46"/>
      <c r="B907" s="46"/>
      <c r="C907" s="46"/>
      <c r="D907" s="46"/>
      <c r="E907" s="46"/>
      <c r="F907" s="46"/>
      <c r="G907" s="46"/>
      <c r="H907" s="46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</row>
    <row r="908">
      <c r="A908" s="46"/>
      <c r="B908" s="46"/>
      <c r="C908" s="46"/>
      <c r="D908" s="46"/>
      <c r="E908" s="46"/>
      <c r="F908" s="46"/>
      <c r="G908" s="46"/>
      <c r="H908" s="46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</row>
    <row r="909">
      <c r="A909" s="46"/>
      <c r="B909" s="46"/>
      <c r="C909" s="46"/>
      <c r="D909" s="46"/>
      <c r="E909" s="46"/>
      <c r="F909" s="46"/>
      <c r="G909" s="46"/>
      <c r="H909" s="46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</row>
    <row r="910">
      <c r="A910" s="46"/>
      <c r="B910" s="46"/>
      <c r="C910" s="46"/>
      <c r="D910" s="46"/>
      <c r="E910" s="46"/>
      <c r="F910" s="46"/>
      <c r="G910" s="46"/>
      <c r="H910" s="46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</row>
    <row r="911">
      <c r="A911" s="46"/>
      <c r="B911" s="46"/>
      <c r="C911" s="46"/>
      <c r="D911" s="46"/>
      <c r="E911" s="46"/>
      <c r="F911" s="46"/>
      <c r="G911" s="46"/>
      <c r="H911" s="46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</row>
    <row r="912">
      <c r="A912" s="46"/>
      <c r="B912" s="46"/>
      <c r="C912" s="46"/>
      <c r="D912" s="46"/>
      <c r="E912" s="46"/>
      <c r="F912" s="46"/>
      <c r="G912" s="46"/>
      <c r="H912" s="46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</row>
    <row r="913">
      <c r="A913" s="46"/>
      <c r="B913" s="46"/>
      <c r="C913" s="46"/>
      <c r="D913" s="46"/>
      <c r="E913" s="46"/>
      <c r="F913" s="46"/>
      <c r="G913" s="46"/>
      <c r="H913" s="46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</row>
    <row r="914">
      <c r="A914" s="46"/>
      <c r="B914" s="46"/>
      <c r="C914" s="46"/>
      <c r="D914" s="46"/>
      <c r="E914" s="46"/>
      <c r="F914" s="46"/>
      <c r="G914" s="46"/>
      <c r="H914" s="46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</row>
    <row r="915">
      <c r="A915" s="46"/>
      <c r="B915" s="46"/>
      <c r="C915" s="46"/>
      <c r="D915" s="46"/>
      <c r="E915" s="46"/>
      <c r="F915" s="46"/>
      <c r="G915" s="46"/>
      <c r="H915" s="46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</row>
    <row r="916">
      <c r="A916" s="46"/>
      <c r="B916" s="46"/>
      <c r="C916" s="46"/>
      <c r="D916" s="46"/>
      <c r="E916" s="46"/>
      <c r="F916" s="46"/>
      <c r="G916" s="46"/>
      <c r="H916" s="46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</row>
    <row r="917">
      <c r="A917" s="46"/>
      <c r="B917" s="46"/>
      <c r="C917" s="46"/>
      <c r="D917" s="46"/>
      <c r="E917" s="46"/>
      <c r="F917" s="46"/>
      <c r="G917" s="46"/>
      <c r="H917" s="46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</row>
    <row r="918">
      <c r="A918" s="46"/>
      <c r="B918" s="46"/>
      <c r="C918" s="46"/>
      <c r="D918" s="46"/>
      <c r="E918" s="46"/>
      <c r="F918" s="46"/>
      <c r="G918" s="46"/>
      <c r="H918" s="46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</row>
    <row r="919">
      <c r="A919" s="46"/>
      <c r="B919" s="46"/>
      <c r="C919" s="46"/>
      <c r="D919" s="46"/>
      <c r="E919" s="46"/>
      <c r="F919" s="46"/>
      <c r="G919" s="46"/>
      <c r="H919" s="46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</row>
    <row r="920">
      <c r="A920" s="46"/>
      <c r="B920" s="46"/>
      <c r="C920" s="46"/>
      <c r="D920" s="46"/>
      <c r="E920" s="46"/>
      <c r="F920" s="46"/>
      <c r="G920" s="46"/>
      <c r="H920" s="46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</row>
    <row r="921">
      <c r="A921" s="46"/>
      <c r="B921" s="46"/>
      <c r="C921" s="46"/>
      <c r="D921" s="46"/>
      <c r="E921" s="46"/>
      <c r="F921" s="46"/>
      <c r="G921" s="46"/>
      <c r="H921" s="46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</row>
    <row r="922">
      <c r="A922" s="46"/>
      <c r="B922" s="46"/>
      <c r="C922" s="46"/>
      <c r="D922" s="46"/>
      <c r="E922" s="46"/>
      <c r="F922" s="46"/>
      <c r="G922" s="46"/>
      <c r="H922" s="46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</row>
    <row r="923">
      <c r="A923" s="46"/>
      <c r="B923" s="46"/>
      <c r="C923" s="46"/>
      <c r="D923" s="46"/>
      <c r="E923" s="46"/>
      <c r="F923" s="46"/>
      <c r="G923" s="46"/>
      <c r="H923" s="46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</row>
    <row r="924">
      <c r="A924" s="46"/>
      <c r="B924" s="46"/>
      <c r="C924" s="46"/>
      <c r="D924" s="46"/>
      <c r="E924" s="46"/>
      <c r="F924" s="46"/>
      <c r="G924" s="46"/>
      <c r="H924" s="46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</row>
    <row r="925">
      <c r="A925" s="46"/>
      <c r="B925" s="46"/>
      <c r="C925" s="46"/>
      <c r="D925" s="46"/>
      <c r="E925" s="46"/>
      <c r="F925" s="46"/>
      <c r="G925" s="46"/>
      <c r="H925" s="46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</row>
    <row r="926">
      <c r="A926" s="46"/>
      <c r="B926" s="46"/>
      <c r="C926" s="46"/>
      <c r="D926" s="46"/>
      <c r="E926" s="46"/>
      <c r="F926" s="46"/>
      <c r="G926" s="46"/>
      <c r="H926" s="46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</row>
    <row r="927">
      <c r="A927" s="46"/>
      <c r="B927" s="46"/>
      <c r="C927" s="46"/>
      <c r="D927" s="46"/>
      <c r="E927" s="46"/>
      <c r="F927" s="46"/>
      <c r="G927" s="46"/>
      <c r="H927" s="46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</row>
    <row r="928">
      <c r="A928" s="46"/>
      <c r="B928" s="46"/>
      <c r="C928" s="46"/>
      <c r="D928" s="46"/>
      <c r="E928" s="46"/>
      <c r="F928" s="46"/>
      <c r="G928" s="46"/>
      <c r="H928" s="46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</row>
    <row r="929">
      <c r="A929" s="46"/>
      <c r="B929" s="46"/>
      <c r="C929" s="46"/>
      <c r="D929" s="46"/>
      <c r="E929" s="46"/>
      <c r="F929" s="46"/>
      <c r="G929" s="46"/>
      <c r="H929" s="46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</row>
    <row r="930">
      <c r="A930" s="46"/>
      <c r="B930" s="46"/>
      <c r="C930" s="46"/>
      <c r="D930" s="46"/>
      <c r="E930" s="46"/>
      <c r="F930" s="46"/>
      <c r="G930" s="46"/>
      <c r="H930" s="46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</row>
    <row r="931">
      <c r="A931" s="46"/>
      <c r="B931" s="46"/>
      <c r="C931" s="46"/>
      <c r="D931" s="46"/>
      <c r="E931" s="46"/>
      <c r="F931" s="46"/>
      <c r="G931" s="46"/>
      <c r="H931" s="46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</row>
    <row r="932">
      <c r="A932" s="46"/>
      <c r="B932" s="46"/>
      <c r="C932" s="46"/>
      <c r="D932" s="46"/>
      <c r="E932" s="46"/>
      <c r="F932" s="46"/>
      <c r="G932" s="46"/>
      <c r="H932" s="46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</row>
    <row r="933">
      <c r="A933" s="46"/>
      <c r="B933" s="46"/>
      <c r="C933" s="46"/>
      <c r="D933" s="46"/>
      <c r="E933" s="46"/>
      <c r="F933" s="46"/>
      <c r="G933" s="46"/>
      <c r="H933" s="46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</row>
    <row r="934">
      <c r="A934" s="46"/>
      <c r="B934" s="46"/>
      <c r="C934" s="46"/>
      <c r="D934" s="46"/>
      <c r="E934" s="46"/>
      <c r="F934" s="46"/>
      <c r="G934" s="46"/>
      <c r="H934" s="46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</row>
    <row r="935">
      <c r="A935" s="46"/>
      <c r="B935" s="46"/>
      <c r="C935" s="46"/>
      <c r="D935" s="46"/>
      <c r="E935" s="46"/>
      <c r="F935" s="46"/>
      <c r="G935" s="46"/>
      <c r="H935" s="46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</row>
    <row r="936">
      <c r="A936" s="46"/>
      <c r="B936" s="46"/>
      <c r="C936" s="46"/>
      <c r="D936" s="46"/>
      <c r="E936" s="46"/>
      <c r="F936" s="46"/>
      <c r="G936" s="46"/>
      <c r="H936" s="46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</row>
    <row r="937">
      <c r="A937" s="46"/>
      <c r="B937" s="46"/>
      <c r="C937" s="46"/>
      <c r="D937" s="46"/>
      <c r="E937" s="46"/>
      <c r="F937" s="46"/>
      <c r="G937" s="46"/>
      <c r="H937" s="46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</row>
    <row r="938">
      <c r="A938" s="46"/>
      <c r="B938" s="46"/>
      <c r="C938" s="46"/>
      <c r="D938" s="46"/>
      <c r="E938" s="46"/>
      <c r="F938" s="46"/>
      <c r="G938" s="46"/>
      <c r="H938" s="46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</row>
    <row r="939">
      <c r="A939" s="46"/>
      <c r="B939" s="46"/>
      <c r="C939" s="46"/>
      <c r="D939" s="46"/>
      <c r="E939" s="46"/>
      <c r="F939" s="46"/>
      <c r="G939" s="46"/>
      <c r="H939" s="46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</row>
    <row r="940">
      <c r="A940" s="46"/>
      <c r="B940" s="46"/>
      <c r="C940" s="46"/>
      <c r="D940" s="46"/>
      <c r="E940" s="46"/>
      <c r="F940" s="46"/>
      <c r="G940" s="46"/>
      <c r="H940" s="46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</row>
    <row r="941">
      <c r="A941" s="46"/>
      <c r="B941" s="46"/>
      <c r="C941" s="46"/>
      <c r="D941" s="46"/>
      <c r="E941" s="46"/>
      <c r="F941" s="46"/>
      <c r="G941" s="46"/>
      <c r="H941" s="46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</row>
    <row r="942">
      <c r="A942" s="46"/>
      <c r="B942" s="46"/>
      <c r="C942" s="46"/>
      <c r="D942" s="46"/>
      <c r="E942" s="46"/>
      <c r="F942" s="46"/>
      <c r="G942" s="46"/>
      <c r="H942" s="46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</row>
    <row r="943">
      <c r="A943" s="46"/>
      <c r="B943" s="46"/>
      <c r="C943" s="46"/>
      <c r="D943" s="46"/>
      <c r="E943" s="46"/>
      <c r="F943" s="46"/>
      <c r="G943" s="46"/>
      <c r="H943" s="46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</row>
    <row r="944">
      <c r="A944" s="46"/>
      <c r="B944" s="46"/>
      <c r="C944" s="46"/>
      <c r="D944" s="46"/>
      <c r="E944" s="46"/>
      <c r="F944" s="46"/>
      <c r="G944" s="46"/>
      <c r="H944" s="46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</row>
    <row r="945">
      <c r="A945" s="46"/>
      <c r="B945" s="46"/>
      <c r="C945" s="46"/>
      <c r="D945" s="46"/>
      <c r="E945" s="46"/>
      <c r="F945" s="46"/>
      <c r="G945" s="46"/>
      <c r="H945" s="46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</row>
    <row r="946">
      <c r="A946" s="46"/>
      <c r="B946" s="46"/>
      <c r="C946" s="46"/>
      <c r="D946" s="46"/>
      <c r="E946" s="46"/>
      <c r="F946" s="46"/>
      <c r="G946" s="46"/>
      <c r="H946" s="46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</row>
    <row r="947">
      <c r="A947" s="46"/>
      <c r="B947" s="46"/>
      <c r="C947" s="46"/>
      <c r="D947" s="46"/>
      <c r="E947" s="46"/>
      <c r="F947" s="46"/>
      <c r="G947" s="46"/>
      <c r="H947" s="46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</row>
    <row r="948">
      <c r="A948" s="46"/>
      <c r="B948" s="46"/>
      <c r="C948" s="46"/>
      <c r="D948" s="46"/>
      <c r="E948" s="46"/>
      <c r="F948" s="46"/>
      <c r="G948" s="46"/>
      <c r="H948" s="46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</row>
    <row r="949">
      <c r="A949" s="46"/>
      <c r="B949" s="46"/>
      <c r="C949" s="46"/>
      <c r="D949" s="46"/>
      <c r="E949" s="46"/>
      <c r="F949" s="46"/>
      <c r="G949" s="46"/>
      <c r="H949" s="46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</row>
    <row r="950">
      <c r="A950" s="46"/>
      <c r="B950" s="46"/>
      <c r="C950" s="46"/>
      <c r="D950" s="46"/>
      <c r="E950" s="46"/>
      <c r="F950" s="46"/>
      <c r="G950" s="46"/>
      <c r="H950" s="46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</row>
    <row r="951">
      <c r="A951" s="46"/>
      <c r="B951" s="46"/>
      <c r="C951" s="46"/>
      <c r="D951" s="46"/>
      <c r="E951" s="46"/>
      <c r="F951" s="46"/>
      <c r="G951" s="46"/>
      <c r="H951" s="46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</row>
    <row r="952">
      <c r="A952" s="46"/>
      <c r="B952" s="46"/>
      <c r="C952" s="46"/>
      <c r="D952" s="46"/>
      <c r="E952" s="46"/>
      <c r="F952" s="46"/>
      <c r="G952" s="46"/>
      <c r="H952" s="46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</row>
    <row r="953">
      <c r="A953" s="46"/>
      <c r="B953" s="46"/>
      <c r="C953" s="46"/>
      <c r="D953" s="46"/>
      <c r="E953" s="46"/>
      <c r="F953" s="46"/>
      <c r="G953" s="46"/>
      <c r="H953" s="46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</row>
    <row r="954">
      <c r="A954" s="46"/>
      <c r="B954" s="46"/>
      <c r="C954" s="46"/>
      <c r="D954" s="46"/>
      <c r="E954" s="46"/>
      <c r="F954" s="46"/>
      <c r="G954" s="46"/>
      <c r="H954" s="46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</row>
    <row r="955">
      <c r="A955" s="46"/>
      <c r="B955" s="46"/>
      <c r="C955" s="46"/>
      <c r="D955" s="46"/>
      <c r="E955" s="46"/>
      <c r="F955" s="46"/>
      <c r="G955" s="46"/>
      <c r="H955" s="46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</row>
    <row r="956">
      <c r="A956" s="46"/>
      <c r="B956" s="46"/>
      <c r="C956" s="46"/>
      <c r="D956" s="46"/>
      <c r="E956" s="46"/>
      <c r="F956" s="46"/>
      <c r="G956" s="46"/>
      <c r="H956" s="46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</row>
    <row r="957">
      <c r="A957" s="46"/>
      <c r="B957" s="46"/>
      <c r="C957" s="46"/>
      <c r="D957" s="46"/>
      <c r="E957" s="46"/>
      <c r="F957" s="46"/>
      <c r="G957" s="46"/>
      <c r="H957" s="46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</row>
    <row r="958">
      <c r="A958" s="46"/>
      <c r="B958" s="46"/>
      <c r="C958" s="46"/>
      <c r="D958" s="46"/>
      <c r="E958" s="46"/>
      <c r="F958" s="46"/>
      <c r="G958" s="46"/>
      <c r="H958" s="46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</row>
    <row r="959">
      <c r="A959" s="46"/>
      <c r="B959" s="46"/>
      <c r="C959" s="46"/>
      <c r="D959" s="46"/>
      <c r="E959" s="46"/>
      <c r="F959" s="46"/>
      <c r="G959" s="46"/>
      <c r="H959" s="46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</row>
    <row r="960">
      <c r="A960" s="46"/>
      <c r="B960" s="46"/>
      <c r="C960" s="46"/>
      <c r="D960" s="46"/>
      <c r="E960" s="46"/>
      <c r="F960" s="46"/>
      <c r="G960" s="46"/>
      <c r="H960" s="46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</row>
    <row r="961">
      <c r="A961" s="46"/>
      <c r="B961" s="46"/>
      <c r="C961" s="46"/>
      <c r="D961" s="46"/>
      <c r="E961" s="46"/>
      <c r="F961" s="46"/>
      <c r="G961" s="46"/>
      <c r="H961" s="46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</row>
    <row r="962">
      <c r="A962" s="46"/>
      <c r="B962" s="46"/>
      <c r="C962" s="46"/>
      <c r="D962" s="46"/>
      <c r="E962" s="46"/>
      <c r="F962" s="46"/>
      <c r="G962" s="46"/>
      <c r="H962" s="46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</row>
    <row r="963">
      <c r="A963" s="46"/>
      <c r="B963" s="46"/>
      <c r="C963" s="46"/>
      <c r="D963" s="46"/>
      <c r="E963" s="46"/>
      <c r="F963" s="46"/>
      <c r="G963" s="46"/>
      <c r="H963" s="46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</row>
    <row r="964">
      <c r="A964" s="46"/>
      <c r="B964" s="46"/>
      <c r="C964" s="46"/>
      <c r="D964" s="46"/>
      <c r="E964" s="46"/>
      <c r="F964" s="46"/>
      <c r="G964" s="46"/>
      <c r="H964" s="46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</row>
    <row r="965">
      <c r="A965" s="46"/>
      <c r="B965" s="46"/>
      <c r="C965" s="46"/>
      <c r="D965" s="46"/>
      <c r="E965" s="46"/>
      <c r="F965" s="46"/>
      <c r="G965" s="46"/>
      <c r="H965" s="46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</row>
    <row r="966">
      <c r="A966" s="46"/>
      <c r="B966" s="46"/>
      <c r="C966" s="46"/>
      <c r="D966" s="46"/>
      <c r="E966" s="46"/>
      <c r="F966" s="46"/>
      <c r="G966" s="46"/>
      <c r="H966" s="46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</row>
    <row r="967">
      <c r="A967" s="46"/>
      <c r="B967" s="46"/>
      <c r="C967" s="46"/>
      <c r="D967" s="46"/>
      <c r="E967" s="46"/>
      <c r="F967" s="46"/>
      <c r="G967" s="46"/>
      <c r="H967" s="46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</row>
    <row r="968">
      <c r="A968" s="46"/>
      <c r="B968" s="46"/>
      <c r="C968" s="46"/>
      <c r="D968" s="46"/>
      <c r="E968" s="46"/>
      <c r="F968" s="46"/>
      <c r="G968" s="46"/>
      <c r="H968" s="46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</row>
    <row r="969">
      <c r="A969" s="46"/>
      <c r="B969" s="46"/>
      <c r="C969" s="46"/>
      <c r="D969" s="46"/>
      <c r="E969" s="46"/>
      <c r="F969" s="46"/>
      <c r="G969" s="46"/>
      <c r="H969" s="46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</row>
    <row r="970">
      <c r="A970" s="46"/>
      <c r="B970" s="46"/>
      <c r="C970" s="46"/>
      <c r="D970" s="46"/>
      <c r="E970" s="46"/>
      <c r="F970" s="46"/>
      <c r="G970" s="46"/>
      <c r="H970" s="46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</row>
    <row r="971">
      <c r="A971" s="46"/>
      <c r="B971" s="46"/>
      <c r="C971" s="46"/>
      <c r="D971" s="46"/>
      <c r="E971" s="46"/>
      <c r="F971" s="46"/>
      <c r="G971" s="46"/>
      <c r="H971" s="46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</row>
    <row r="972">
      <c r="A972" s="46"/>
      <c r="B972" s="46"/>
      <c r="C972" s="46"/>
      <c r="D972" s="46"/>
      <c r="E972" s="46"/>
      <c r="F972" s="46"/>
      <c r="G972" s="46"/>
      <c r="H972" s="46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</row>
    <row r="973">
      <c r="A973" s="46"/>
      <c r="B973" s="46"/>
      <c r="C973" s="46"/>
      <c r="D973" s="46"/>
      <c r="E973" s="46"/>
      <c r="F973" s="46"/>
      <c r="G973" s="46"/>
      <c r="H973" s="46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</row>
    <row r="974">
      <c r="A974" s="46"/>
      <c r="B974" s="46"/>
      <c r="C974" s="46"/>
      <c r="D974" s="46"/>
      <c r="E974" s="46"/>
      <c r="F974" s="46"/>
      <c r="G974" s="46"/>
      <c r="H974" s="46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</row>
    <row r="975">
      <c r="A975" s="46"/>
      <c r="B975" s="46"/>
      <c r="C975" s="46"/>
      <c r="D975" s="46"/>
      <c r="E975" s="46"/>
      <c r="F975" s="46"/>
      <c r="G975" s="46"/>
      <c r="H975" s="46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</row>
    <row r="976">
      <c r="A976" s="46"/>
      <c r="B976" s="46"/>
      <c r="C976" s="46"/>
      <c r="D976" s="46"/>
      <c r="E976" s="46"/>
      <c r="F976" s="46"/>
      <c r="G976" s="46"/>
      <c r="H976" s="46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</row>
    <row r="977">
      <c r="A977" s="46"/>
      <c r="B977" s="46"/>
      <c r="C977" s="46"/>
      <c r="D977" s="46"/>
      <c r="E977" s="46"/>
      <c r="F977" s="46"/>
      <c r="G977" s="46"/>
      <c r="H977" s="46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</row>
    <row r="978">
      <c r="A978" s="46"/>
      <c r="B978" s="46"/>
      <c r="C978" s="46"/>
      <c r="D978" s="46"/>
      <c r="E978" s="46"/>
      <c r="F978" s="46"/>
      <c r="G978" s="46"/>
      <c r="H978" s="46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</row>
    <row r="979">
      <c r="A979" s="46"/>
      <c r="B979" s="46"/>
      <c r="C979" s="46"/>
      <c r="D979" s="46"/>
      <c r="E979" s="46"/>
      <c r="F979" s="46"/>
      <c r="G979" s="46"/>
      <c r="H979" s="46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</row>
    <row r="980">
      <c r="A980" s="46"/>
      <c r="B980" s="46"/>
      <c r="C980" s="46"/>
      <c r="D980" s="46"/>
      <c r="E980" s="46"/>
      <c r="F980" s="46"/>
      <c r="G980" s="46"/>
      <c r="H980" s="46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</row>
    <row r="981">
      <c r="A981" s="46"/>
      <c r="B981" s="46"/>
      <c r="C981" s="46"/>
      <c r="D981" s="46"/>
      <c r="E981" s="46"/>
      <c r="F981" s="46"/>
      <c r="G981" s="46"/>
      <c r="H981" s="46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</row>
    <row r="982">
      <c r="A982" s="46"/>
      <c r="B982" s="46"/>
      <c r="C982" s="46"/>
      <c r="D982" s="46"/>
      <c r="E982" s="46"/>
      <c r="F982" s="46"/>
      <c r="G982" s="46"/>
      <c r="H982" s="46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</row>
    <row r="983">
      <c r="A983" s="46"/>
      <c r="B983" s="46"/>
      <c r="C983" s="46"/>
      <c r="D983" s="46"/>
      <c r="E983" s="46"/>
      <c r="F983" s="46"/>
      <c r="G983" s="46"/>
      <c r="H983" s="46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</row>
    <row r="984">
      <c r="A984" s="46"/>
      <c r="B984" s="46"/>
      <c r="C984" s="46"/>
      <c r="D984" s="46"/>
      <c r="E984" s="46"/>
      <c r="F984" s="46"/>
      <c r="G984" s="46"/>
      <c r="H984" s="46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</row>
    <row r="985">
      <c r="A985" s="46"/>
      <c r="B985" s="46"/>
      <c r="C985" s="46"/>
      <c r="D985" s="46"/>
      <c r="E985" s="46"/>
      <c r="F985" s="46"/>
      <c r="G985" s="46"/>
      <c r="H985" s="46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</row>
    <row r="986">
      <c r="A986" s="46"/>
      <c r="B986" s="46"/>
      <c r="C986" s="46"/>
      <c r="D986" s="46"/>
      <c r="E986" s="46"/>
      <c r="F986" s="46"/>
      <c r="G986" s="46"/>
      <c r="H986" s="46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</row>
    <row r="987">
      <c r="A987" s="46"/>
      <c r="B987" s="46"/>
      <c r="C987" s="46"/>
      <c r="D987" s="46"/>
      <c r="E987" s="46"/>
      <c r="F987" s="46"/>
      <c r="G987" s="46"/>
      <c r="H987" s="46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</row>
    <row r="988">
      <c r="A988" s="46"/>
      <c r="B988" s="46"/>
      <c r="C988" s="46"/>
      <c r="D988" s="46"/>
      <c r="E988" s="46"/>
      <c r="F988" s="46"/>
      <c r="G988" s="46"/>
      <c r="H988" s="46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</row>
    <row r="989">
      <c r="A989" s="46"/>
      <c r="B989" s="46"/>
      <c r="C989" s="46"/>
      <c r="D989" s="46"/>
      <c r="E989" s="46"/>
      <c r="F989" s="46"/>
      <c r="G989" s="46"/>
      <c r="H989" s="46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</row>
    <row r="990">
      <c r="A990" s="46"/>
      <c r="B990" s="46"/>
      <c r="C990" s="46"/>
      <c r="D990" s="46"/>
      <c r="E990" s="46"/>
      <c r="F990" s="46"/>
      <c r="G990" s="46"/>
      <c r="H990" s="46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</row>
    <row r="991">
      <c r="A991" s="46"/>
      <c r="B991" s="46"/>
      <c r="C991" s="46"/>
      <c r="D991" s="46"/>
      <c r="E991" s="46"/>
      <c r="F991" s="46"/>
      <c r="G991" s="46"/>
      <c r="H991" s="46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</row>
    <row r="992">
      <c r="A992" s="46"/>
      <c r="B992" s="46"/>
      <c r="C992" s="46"/>
      <c r="D992" s="46"/>
      <c r="E992" s="46"/>
      <c r="F992" s="46"/>
      <c r="G992" s="46"/>
      <c r="H992" s="46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</row>
    <row r="993">
      <c r="A993" s="46"/>
      <c r="B993" s="46"/>
      <c r="C993" s="46"/>
      <c r="D993" s="46"/>
      <c r="E993" s="46"/>
      <c r="F993" s="46"/>
      <c r="G993" s="46"/>
      <c r="H993" s="46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</row>
    <row r="994">
      <c r="A994" s="46"/>
      <c r="B994" s="46"/>
      <c r="C994" s="46"/>
      <c r="D994" s="46"/>
      <c r="E994" s="46"/>
      <c r="F994" s="46"/>
      <c r="G994" s="46"/>
      <c r="H994" s="46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</row>
    <row r="995">
      <c r="A995" s="46"/>
      <c r="B995" s="46"/>
      <c r="C995" s="46"/>
      <c r="D995" s="46"/>
      <c r="E995" s="46"/>
      <c r="F995" s="46"/>
      <c r="G995" s="46"/>
      <c r="H995" s="46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</row>
    <row r="996">
      <c r="A996" s="46"/>
      <c r="B996" s="46"/>
      <c r="C996" s="46"/>
      <c r="D996" s="46"/>
      <c r="E996" s="46"/>
      <c r="F996" s="46"/>
      <c r="G996" s="46"/>
      <c r="H996" s="46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</row>
    <row r="997">
      <c r="A997" s="46"/>
      <c r="B997" s="46"/>
      <c r="C997" s="46"/>
      <c r="D997" s="46"/>
      <c r="E997" s="46"/>
      <c r="F997" s="46"/>
      <c r="G997" s="46"/>
      <c r="H997" s="46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</row>
    <row r="998">
      <c r="A998" s="46"/>
      <c r="B998" s="46"/>
      <c r="C998" s="46"/>
      <c r="D998" s="46"/>
      <c r="E998" s="46"/>
      <c r="F998" s="46"/>
      <c r="G998" s="46"/>
      <c r="H998" s="46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</row>
    <row r="999">
      <c r="A999" s="46"/>
      <c r="B999" s="46"/>
      <c r="C999" s="46"/>
      <c r="D999" s="46"/>
      <c r="E999" s="46"/>
      <c r="F999" s="46"/>
      <c r="G999" s="46"/>
      <c r="H999" s="46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</row>
    <row r="1000">
      <c r="A1000" s="46"/>
      <c r="B1000" s="46"/>
      <c r="C1000" s="46"/>
      <c r="D1000" s="46"/>
      <c r="E1000" s="46"/>
      <c r="F1000" s="46"/>
      <c r="G1000" s="46"/>
      <c r="H1000" s="46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784</v>
      </c>
      <c r="B1" s="42" t="s">
        <v>785</v>
      </c>
      <c r="C1" s="42" t="s">
        <v>786</v>
      </c>
      <c r="D1" s="42" t="s">
        <v>787</v>
      </c>
      <c r="E1" s="42" t="s">
        <v>788</v>
      </c>
      <c r="F1" s="42" t="s">
        <v>789</v>
      </c>
      <c r="G1" s="42" t="s">
        <v>790</v>
      </c>
      <c r="H1" s="42" t="s">
        <v>791</v>
      </c>
      <c r="I1" s="42" t="s">
        <v>792</v>
      </c>
      <c r="J1" s="42" t="s">
        <v>793</v>
      </c>
      <c r="K1" s="42" t="s">
        <v>794</v>
      </c>
      <c r="L1" s="42" t="s">
        <v>795</v>
      </c>
      <c r="M1" s="42" t="s">
        <v>796</v>
      </c>
      <c r="N1" s="42" t="s">
        <v>797</v>
      </c>
      <c r="O1" s="42" t="s">
        <v>798</v>
      </c>
      <c r="P1" s="42" t="s">
        <v>799</v>
      </c>
      <c r="Q1" s="42" t="s">
        <v>800</v>
      </c>
      <c r="R1" s="42" t="s">
        <v>801</v>
      </c>
      <c r="S1" s="42" t="s">
        <v>802</v>
      </c>
      <c r="T1" s="42" t="s">
        <v>803</v>
      </c>
      <c r="U1" s="42" t="s">
        <v>804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788</v>
      </c>
      <c r="B1" s="42" t="s">
        <v>805</v>
      </c>
      <c r="C1" s="42" t="s">
        <v>806</v>
      </c>
      <c r="D1" s="42" t="s">
        <v>789</v>
      </c>
      <c r="E1" s="42" t="s">
        <v>790</v>
      </c>
      <c r="F1" s="42" t="s">
        <v>807</v>
      </c>
      <c r="G1" s="42" t="s">
        <v>808</v>
      </c>
      <c r="H1" s="42" t="s">
        <v>809</v>
      </c>
      <c r="I1" s="42" t="s">
        <v>810</v>
      </c>
      <c r="J1" s="42" t="s">
        <v>811</v>
      </c>
      <c r="K1" s="42" t="s">
        <v>812</v>
      </c>
      <c r="L1" s="42" t="s">
        <v>813</v>
      </c>
      <c r="M1" s="42" t="s">
        <v>804</v>
      </c>
      <c r="N1" s="42" t="s">
        <v>814</v>
      </c>
    </row>
  </sheetData>
  <drawing r:id="rId1"/>
</worksheet>
</file>
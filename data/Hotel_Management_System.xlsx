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ster_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01_Hotel_Info" sheetId="4" state="visible" r:id="rId4"/>
    <sheet xmlns:r="http://schemas.openxmlformats.org/officeDocument/2006/relationships" name="02_Room_Master" sheetId="5" state="visible" r:id="rId5"/>
    <sheet xmlns:r="http://schemas.openxmlformats.org/officeDocument/2006/relationships" name="03_Rooms" sheetId="6" state="visible" r:id="rId6"/>
    <sheet xmlns:r="http://schemas.openxmlformats.org/officeDocument/2006/relationships" name="04_Reservations" sheetId="7" state="visible" r:id="rId7"/>
    <sheet xmlns:r="http://schemas.openxmlformats.org/officeDocument/2006/relationships" name="05_Staff" sheetId="8" state="visible" r:id="rId8"/>
    <sheet xmlns:r="http://schemas.openxmlformats.org/officeDocument/2006/relationships" name="06_Expenses" sheetId="9" state="visible" r:id="rId9"/>
    <sheet xmlns:r="http://schemas.openxmlformats.org/officeDocument/2006/relationships" name="07_Revenue" sheetId="10" state="visible" r:id="rId10"/>
    <sheet xmlns:r="http://schemas.openxmlformats.org/officeDocument/2006/relationships" name="Analysis" sheetId="11" state="visible" r:id="rId11"/>
    <sheet xmlns:r="http://schemas.openxmlformats.org/officeDocument/2006/relationships" name="08_Repor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left" vertical="center"/>
    </xf>
    <xf numFmtId="3" fontId="3" fillId="3" borderId="1" pivotButton="0" quotePrefix="0" xfId="0"/>
    <xf numFmtId="1" fontId="0" fillId="0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4" fontId="3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6" fillId="5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center" vertical="center"/>
    </xf>
    <xf numFmtId="3" fontId="6" fillId="2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92D050"/>
          <bgColor rgb="0092D050"/>
        </patternFill>
      </fill>
    </dxf>
    <dxf>
      <font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5" customHeight="1">
      <c r="A1" s="20" t="inlineStr">
        <is>
          <t>คำแนะนำการใช้งานระบบการจัดการโรงแรม</t>
        </is>
      </c>
    </row>
    <row r="3" ht="20" customHeight="1">
      <c r="A3" s="21" t="inlineStr"/>
    </row>
    <row r="4" ht="20" customHeight="1">
      <c r="A4" s="21" t="inlineStr">
        <is>
          <t>1. Dashboard - แสดงภาพรวมสำคัญ (KPI)</t>
        </is>
      </c>
    </row>
    <row r="5" ht="20" customHeight="1">
      <c r="A5" s="21" t="inlineStr">
        <is>
          <t xml:space="preserve">   • จำนวนห้องว่าง: นับห้องที่มีสถานะ 'ว่าง'</t>
        </is>
      </c>
    </row>
    <row r="6" ht="20" customHeight="1">
      <c r="A6" s="21" t="inlineStr">
        <is>
          <t xml:space="preserve">   • จำนวนห้องไม่ว่าง: นับห้องที่มีสถานะ 'ไม่ว่าง'</t>
        </is>
      </c>
    </row>
    <row r="7" ht="20" customHeight="1">
      <c r="A7" s="21" t="inlineStr">
        <is>
          <t xml:space="preserve">   • อัตราการใช้ห้อง: คำนวณจากห้องไม่ว่าง / ห้องทั้งหมด × 100</t>
        </is>
      </c>
    </row>
    <row r="8" ht="20" customHeight="1">
      <c r="A8" s="21" t="inlineStr">
        <is>
          <t xml:space="preserve">   • รายได้รวม: รวมราคาจากการจองที่สำเร็จ</t>
        </is>
      </c>
    </row>
    <row r="9" ht="20" customHeight="1">
      <c r="A9" s="21" t="inlineStr">
        <is>
          <t xml:space="preserve">   • ค่าใช้จ่ายรวม: รวมค่าใช้จ่ายทั้งหมด</t>
        </is>
      </c>
    </row>
    <row r="10" ht="20" customHeight="1">
      <c r="A10" s="21" t="inlineStr">
        <is>
          <t xml:space="preserve">   • กำไรสุทธิ: รายได้ - ค่าใช้จ่าย</t>
        </is>
      </c>
    </row>
    <row r="11" ht="20" customHeight="1">
      <c r="A11" s="21" t="inlineStr"/>
    </row>
    <row r="12" ht="20" customHeight="1">
      <c r="A12" s="21" t="inlineStr">
        <is>
          <t>2. Master_Data - ข้อมูลอ้างอิง</t>
        </is>
      </c>
    </row>
    <row r="13" ht="20" customHeight="1">
      <c r="A13" s="21" t="inlineStr">
        <is>
          <t xml:space="preserve">   • ประเภทการชำระเงิน: บัตรเครดิต, โอนเงิน, เงินสด, เช็ค</t>
        </is>
      </c>
    </row>
    <row r="14" ht="20" customHeight="1">
      <c r="A14" s="21" t="inlineStr">
        <is>
          <t xml:space="preserve">   • ประเภทค่าใช้จ่าย: ค่าน้ำ, ค่าไฟ, ค่าอาหาร, ค่าซ่อมแซม, ค่าเดินทาง, ค่าโฆษณา</t>
        </is>
      </c>
    </row>
    <row r="15" ht="20" customHeight="1">
      <c r="A15" s="21" t="inlineStr"/>
    </row>
    <row r="16" ht="20" customHeight="1">
      <c r="A16" s="21" t="inlineStr">
        <is>
          <t>3. 02_Room_Master - ประเภทห้องและราคา</t>
        </is>
      </c>
    </row>
    <row r="17" ht="20" customHeight="1">
      <c r="A17" s="21" t="inlineStr">
        <is>
          <t xml:space="preserve">   • กำหนดประเภทห้อง จำนวน และราคาต่อคืน</t>
        </is>
      </c>
    </row>
    <row r="18" ht="20" customHeight="1">
      <c r="A18" s="21" t="inlineStr">
        <is>
          <t xml:space="preserve">   • ใช้เป็นข้อมูลอ้างอิงสำหรับห้องอื่น</t>
        </is>
      </c>
    </row>
    <row r="19" ht="20" customHeight="1">
      <c r="A19" s="21" t="inlineStr"/>
    </row>
    <row r="20" ht="20" customHeight="1">
      <c r="A20" s="21" t="inlineStr">
        <is>
          <t>4. 03_Rooms - ข้อมูลห้องพัก</t>
        </is>
      </c>
    </row>
    <row r="21" ht="20" customHeight="1">
      <c r="A21" s="21" t="inlineStr">
        <is>
          <t xml:space="preserve">   • เพิ่มห้องใหม่: ใส่รหัสห้อง ประเภท และเลือกสถานะ</t>
        </is>
      </c>
    </row>
    <row r="22" ht="20" customHeight="1">
      <c r="A22" s="21" t="inlineStr">
        <is>
          <t xml:space="preserve">   • ราคาจะดึงมาจาก 02_Room_Master โดยอัตโนมัติ</t>
        </is>
      </c>
    </row>
    <row r="23" ht="20" customHeight="1">
      <c r="A23" s="21" t="inlineStr">
        <is>
          <t xml:space="preserve">   • สถานะ: ว่าง, ไม่ว่าง, ซ่อมแซม</t>
        </is>
      </c>
    </row>
    <row r="24" ht="20" customHeight="1">
      <c r="A24" s="21" t="inlineStr"/>
    </row>
    <row r="25" ht="20" customHeight="1">
      <c r="A25" s="21" t="inlineStr">
        <is>
          <t>5. 04_Reservations - การจองห้อง</t>
        </is>
      </c>
    </row>
    <row r="26" ht="20" customHeight="1">
      <c r="A26" s="21" t="inlineStr">
        <is>
          <t xml:space="preserve">   • เพิ่มการจองใหม่: ใส่รหัสจอง ชื่อผู้จอง วันเข้า-ออก ประเภทห้อง</t>
        </is>
      </c>
    </row>
    <row r="27" ht="20" customHeight="1">
      <c r="A27" s="21" t="inlineStr">
        <is>
          <t xml:space="preserve">   • จำนวนคืน ราคา และราคารวมจะคำนวณโดยอัตโนมัติ</t>
        </is>
      </c>
    </row>
    <row r="28" ht="20" customHeight="1">
      <c r="A28" s="21" t="inlineStr">
        <is>
          <t xml:space="preserve">   • เลือกสถานะการจอง และประเภทการชำระเงิน</t>
        </is>
      </c>
    </row>
    <row r="29" ht="20" customHeight="1">
      <c r="A29" s="21" t="inlineStr"/>
    </row>
    <row r="30" ht="20" customHeight="1">
      <c r="A30" s="21" t="inlineStr">
        <is>
          <t>6. 05_Staff - ข้อมูลพนักงาน</t>
        </is>
      </c>
    </row>
    <row r="31" ht="20" customHeight="1">
      <c r="A31" s="21" t="inlineStr">
        <is>
          <t xml:space="preserve">   • บันทึกข้อมูลพนักงาน: รหัส ชื่อ ตำแหน่ง แผนก เงินเดือน วันเริ่มงาน</t>
        </is>
      </c>
    </row>
    <row r="32" ht="20" customHeight="1">
      <c r="A32" s="21" t="inlineStr"/>
    </row>
    <row r="33" ht="20" customHeight="1">
      <c r="A33" s="21" t="inlineStr">
        <is>
          <t>7. 06_Expenses - ค่าใช้จ่าย</t>
        </is>
      </c>
    </row>
    <row r="34" ht="20" customHeight="1">
      <c r="A34" s="21" t="inlineStr">
        <is>
          <t xml:space="preserve">   • บันทึกค่าใช้จ่ายรายวัน: วันที่ ประเภท จำนวนเงิน ผู้รับผิดชอบ หมายเหตุ</t>
        </is>
      </c>
    </row>
    <row r="35" ht="20" customHeight="1">
      <c r="A35" s="21" t="inlineStr">
        <is>
          <t xml:space="preserve">   • เลือกประเภทค่าใช้จ่ายจากรายการที่กำหนด</t>
        </is>
      </c>
    </row>
    <row r="36" ht="20" customHeight="1">
      <c r="A36" s="21" t="inlineStr"/>
    </row>
    <row r="37" ht="20" customHeight="1">
      <c r="A37" s="21" t="inlineStr">
        <is>
          <t>8. 07_Revenue - รายงานรายได้</t>
        </is>
      </c>
    </row>
    <row r="38" ht="20" customHeight="1">
      <c r="A38" s="21" t="inlineStr">
        <is>
          <t xml:space="preserve">   • แสดงรายได้ ค่าใช้จ่าย และกำไรรายวัน</t>
        </is>
      </c>
    </row>
    <row r="39" ht="20" customHeight="1">
      <c r="A39" s="21" t="inlineStr">
        <is>
          <t xml:space="preserve">   • ข้อมูลจะอัปเดตโดยอัตโนมัติจากการจองและค่าใช้จ่าย</t>
        </is>
      </c>
    </row>
    <row r="40" ht="20" customHeight="1">
      <c r="A40" s="21" t="inlineStr"/>
    </row>
    <row r="41" ht="20" customHeight="1">
      <c r="A41" s="21" t="inlineStr">
        <is>
          <t>9. 08_Reports - รายงานสรุป</t>
        </is>
      </c>
    </row>
    <row r="42" ht="20" customHeight="1">
      <c r="A42" s="21" t="inlineStr">
        <is>
          <t xml:space="preserve">   • แสดงสรุปข้อมูลสำคัญ: จำนวนห้อง การจอง พนักงาน รายได้ ค่าใช้จ่าย</t>
        </is>
      </c>
    </row>
    <row r="43" ht="20" customHeight="1">
      <c r="A43" s="21" t="inlineStr"/>
    </row>
    <row r="44" ht="20" customHeight="1">
      <c r="A44" s="21" t="inlineStr">
        <is>
          <t>10. Analysis - วิเคราะห์ข้อมูล</t>
        </is>
      </c>
    </row>
    <row r="45" ht="20" customHeight="1">
      <c r="A45" s="21" t="inlineStr">
        <is>
          <t xml:space="preserve">    • วิเคราะห์ประเภทห้อง: จำนวน ว่าง อัตราการใช้</t>
        </is>
      </c>
    </row>
    <row r="46" ht="20" customHeight="1">
      <c r="A46" s="21" t="inlineStr">
        <is>
          <t xml:space="preserve">    • วิเคราะห์รายได้ตามประเภทการชำระเงิน</t>
        </is>
      </c>
    </row>
    <row r="47" ht="20" customHeight="1">
      <c r="A47" s="21" t="inlineStr">
        <is>
          <t xml:space="preserve">    • วิเคราะห์ค่าใช้จ่ายตามประเภท</t>
        </is>
      </c>
    </row>
    <row r="48" ht="20" customHeight="1">
      <c r="A48" s="21" t="inlineStr"/>
    </row>
    <row r="49" ht="20" customHeight="1">
      <c r="A49" s="21" t="inlineStr">
        <is>
          <t>หมายเหตุ:</t>
        </is>
      </c>
    </row>
    <row r="50" ht="20" customHeight="1">
      <c r="A50" s="21" t="inlineStr">
        <is>
          <t>• ทุกสูตรใช้การอ้างอิงแบบ A1 syntax เท่านั้น</t>
        </is>
      </c>
    </row>
    <row r="51" ht="20" customHeight="1">
      <c r="A51" s="21" t="inlineStr">
        <is>
          <t>• ข้อมูลจะเชื่อมโยงกันอัตโนมัติผ่านสูตร VLOOKUP, SUMIF, COUNTIF เป็นต้น</t>
        </is>
      </c>
    </row>
    <row r="52" ht="20" customHeight="1">
      <c r="A52" s="21" t="inlineStr">
        <is>
          <t>• ตรวจสอบข้อมูลก่อนบันทึก เพื่อให้แน่ใจว่าถูกต้อง</t>
        </is>
      </c>
    </row>
  </sheetData>
  <mergeCells count="1">
    <mergeCell ref="A1"/>
  </mergeCells>
  <printOptions horizontalCentered="0"/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4" max="4"/>
  </cols>
  <sheetData>
    <row r="1">
      <c r="A1" s="4" t="inlineStr">
        <is>
          <t>ประเภทการชำระเงิน</t>
        </is>
      </c>
      <c r="D1" s="4" t="inlineStr">
        <is>
          <t>ประเภทค่าใช้จ่าย</t>
        </is>
      </c>
    </row>
    <row r="3">
      <c r="A3" s="8" t="inlineStr">
        <is>
          <t>บัตรเครดิต</t>
        </is>
      </c>
      <c r="D3" s="8" t="inlineStr">
        <is>
          <t>ค่าน้ำ</t>
        </is>
      </c>
    </row>
    <row r="4">
      <c r="A4" s="8" t="inlineStr">
        <is>
          <t>โอนเงิน</t>
        </is>
      </c>
      <c r="D4" s="8" t="inlineStr">
        <is>
          <t>ค่าไฟ</t>
        </is>
      </c>
    </row>
    <row r="5">
      <c r="A5" s="8" t="inlineStr">
        <is>
          <t>เงินสด</t>
        </is>
      </c>
      <c r="D5" s="8" t="inlineStr">
        <is>
          <t>ค่าอาหาร</t>
        </is>
      </c>
    </row>
    <row r="6">
      <c r="A6" s="8" t="inlineStr">
        <is>
          <t>เช็ค</t>
        </is>
      </c>
      <c r="D6" s="8" t="inlineStr">
        <is>
          <t>ค่าซ่อมแซม</t>
        </is>
      </c>
    </row>
    <row r="7">
      <c r="D7" s="8" t="inlineStr">
        <is>
          <t>ค่าเดินทาง</t>
        </is>
      </c>
    </row>
    <row r="8">
      <c r="D8" s="8" t="inlineStr">
        <is>
          <t>ค่าโฆษณา</t>
        </is>
      </c>
    </row>
  </sheetData>
  <mergeCells count="2">
    <mergeCell ref="D1:E1"/>
    <mergeCell ref="A1:B1"/>
  </mergeCells>
  <printOptions horizontalCentered="0"/>
  <pageMargins left="0.5" right="0.5" top="0.5" bottom="0.5" header="0.5" footer="0.5"/>
  <pageSetup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 ht="25" customHeight="1">
      <c r="A1" s="1" t="inlineStr">
        <is>
          <t>แดชบอร์ด - ภาพรวมการจัดการโรงแรม</t>
        </is>
      </c>
    </row>
    <row r="3">
      <c r="A3" s="2" t="inlineStr">
        <is>
          <t>ตัวชี้วัดสำคัญ (KPI)</t>
        </is>
      </c>
    </row>
    <row r="4">
      <c r="A4" t="inlineStr">
        <is>
          <t>จำนวนห้องว่าง</t>
        </is>
      </c>
      <c r="B4" s="22">
        <f>IFERROR(COUNTIF('03_Rooms'!D:D,"ว่าง"),0)</f>
        <v/>
      </c>
    </row>
    <row r="5">
      <c r="A5" t="inlineStr">
        <is>
          <t>จำนวนห้องไม่ว่าง</t>
        </is>
      </c>
      <c r="B5" s="23">
        <f>IFERROR(COUNTIF('03_Rooms'!D:D,"ไม่ว่าง"),0)</f>
        <v/>
      </c>
    </row>
    <row r="6">
      <c r="A6" t="inlineStr">
        <is>
          <t>อัตราการใช้ห้อง (%)</t>
        </is>
      </c>
      <c r="B6" s="24">
        <f>IFERROR(IF(COUNTA('03_Rooms'!A4:A100)=0,0,(COUNTA('03_Rooms'!A4:A100)-COUNTIF('03_Rooms'!D:D,"ว่าง"))/COUNTA('03_Rooms'!A4:A100)*100),0)</f>
        <v/>
      </c>
    </row>
    <row r="7">
      <c r="A7" t="inlineStr">
        <is>
          <t>รายได้รวมเดือนนี้</t>
        </is>
      </c>
      <c r="B7" s="25">
        <f>IFERROR(SUMIF('04_Reservations'!I:I,"สำเร็จ",'04_Reservations'!H:H),0)</f>
        <v/>
      </c>
    </row>
    <row r="8">
      <c r="A8" t="inlineStr">
        <is>
          <t>ค่าใช้จ่ายรวมเดือนนี้</t>
        </is>
      </c>
      <c r="B8" s="26">
        <f>IFERROR(SUM('06_Expenses'!C:C),0)</f>
        <v/>
      </c>
    </row>
    <row r="9">
      <c r="A9" t="inlineStr">
        <is>
          <t>กำไรสุทธิ</t>
        </is>
      </c>
      <c r="B9" s="15">
        <f>B7-B8</f>
        <v/>
      </c>
    </row>
  </sheetData>
  <mergeCells count="1">
    <mergeCell ref="A1:C1"/>
  </mergeCells>
  <conditionalFormatting sqref="B4">
    <cfRule type="cellIs" priority="1" operator="greaterThan" dxfId="0">
      <formula>5</formula>
    </cfRule>
  </conditionalFormatting>
  <conditionalFormatting sqref="B5">
    <cfRule type="cellIs" priority="2" operator="greaterThan" dxfId="1">
      <formula>10</formula>
    </cfRule>
  </conditionalFormatting>
  <printOptions horizontalCentered="0"/>
  <pageMargins left="0.5" right="0.5" top="0.5" bottom="0.5" header="0.5" footer="0.5"/>
  <pageSetup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4" t="inlineStr">
        <is>
          <t>ข้อมูลพื้นฐานโรงแรม</t>
        </is>
      </c>
    </row>
    <row r="3">
      <c r="A3" s="5" t="inlineStr">
        <is>
          <t>ชื่อโรงแรม</t>
        </is>
      </c>
      <c r="B3" s="27" t="inlineStr">
        <is>
          <t>โรงแรมสมบูรณ์ (Complete Hotel)</t>
        </is>
      </c>
    </row>
    <row r="4">
      <c r="A4" s="5" t="inlineStr">
        <is>
          <t>ที่อยู่</t>
        </is>
      </c>
      <c r="B4" s="27" t="inlineStr">
        <is>
          <t>123 ถนนสุขุมวิท เขตวัฒนา กรุงเทพฯ 10110</t>
        </is>
      </c>
    </row>
    <row r="5">
      <c r="A5" s="5" t="inlineStr">
        <is>
          <t>เบอร์โทรศัพท์</t>
        </is>
      </c>
      <c r="B5" s="27" t="inlineStr">
        <is>
          <t>02-123-4567</t>
        </is>
      </c>
    </row>
    <row r="6">
      <c r="A6" s="5" t="inlineStr">
        <is>
          <t>อีเมล</t>
        </is>
      </c>
      <c r="B6" s="27" t="inlineStr">
        <is>
          <t>info@completehotel.com</t>
        </is>
      </c>
    </row>
    <row r="7">
      <c r="A7" s="5" t="inlineStr">
        <is>
          <t>เว็บไซต์</t>
        </is>
      </c>
      <c r="B7" s="27" t="inlineStr">
        <is>
          <t>www.completehotel.com</t>
        </is>
      </c>
    </row>
    <row r="8">
      <c r="A8" s="5" t="inlineStr">
        <is>
          <t>ผู้จัดการ</t>
        </is>
      </c>
      <c r="B8" s="27" t="inlineStr">
        <is>
          <t>นายสมศักดิ์ สมบูรณ์</t>
        </is>
      </c>
    </row>
    <row r="9">
      <c r="A9" s="5" t="inlineStr">
        <is>
          <t>ชั้นวุฒิ</t>
        </is>
      </c>
      <c r="B9" s="27" t="inlineStr">
        <is>
          <t>ผู้บริหารโรงแรม</t>
        </is>
      </c>
    </row>
  </sheetData>
  <mergeCells count="1">
    <mergeCell ref="A1:B1"/>
  </mergeCells>
  <printOptions horizontalCentered="0"/>
  <pageMargins left="0.5" right="0.5" top="0.5" bottom="0.5" header="0.5" footer="0.5"/>
  <pageSetup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4" t="inlineStr">
        <is>
          <t>ประเภทห้องพัก</t>
        </is>
      </c>
    </row>
    <row r="3">
      <c r="A3" s="7" t="inlineStr">
        <is>
          <t>ประเภทห้อง</t>
        </is>
      </c>
      <c r="B3" s="7" t="inlineStr">
        <is>
          <t>จำนวนห้อง</t>
        </is>
      </c>
      <c r="C3" s="7" t="inlineStr">
        <is>
          <t>ราคาต่อคืน (บาท)</t>
        </is>
      </c>
    </row>
    <row r="4">
      <c r="A4" s="8" t="inlineStr">
        <is>
          <t>1 เตียง</t>
        </is>
      </c>
      <c r="B4" s="8" t="n">
        <v>10</v>
      </c>
      <c r="C4" s="9" t="n">
        <v>1500</v>
      </c>
    </row>
    <row r="5">
      <c r="A5" s="8" t="inlineStr">
        <is>
          <t>2 เตียง</t>
        </is>
      </c>
      <c r="B5" s="8" t="n">
        <v>15</v>
      </c>
      <c r="C5" s="9" t="n">
        <v>2000</v>
      </c>
    </row>
    <row r="6">
      <c r="A6" s="8" t="inlineStr">
        <is>
          <t>3 เตียง</t>
        </is>
      </c>
      <c r="B6" s="8" t="n">
        <v>8</v>
      </c>
      <c r="C6" s="9" t="n">
        <v>2500</v>
      </c>
    </row>
    <row r="7">
      <c r="A7" s="8" t="inlineStr">
        <is>
          <t>4 เตียง</t>
        </is>
      </c>
      <c r="B7" s="8" t="n">
        <v>6</v>
      </c>
      <c r="C7" s="9" t="n">
        <v>3000</v>
      </c>
    </row>
    <row r="8">
      <c r="A8" s="8" t="inlineStr">
        <is>
          <t>5 เตียง</t>
        </is>
      </c>
      <c r="B8" s="8" t="n">
        <v>4</v>
      </c>
      <c r="C8" s="9" t="n">
        <v>3500</v>
      </c>
    </row>
    <row r="9">
      <c r="A9" s="8" t="inlineStr">
        <is>
          <t>6 เตียง</t>
        </is>
      </c>
      <c r="B9" s="8" t="n">
        <v>2</v>
      </c>
      <c r="C9" s="9" t="n">
        <v>4000</v>
      </c>
    </row>
  </sheetData>
  <mergeCells count="1">
    <mergeCell ref="A1:C1"/>
  </mergeCells>
  <printOptions horizontalCentered="0"/>
  <pageMargins left="0.5" right="0.5" top="0.5" bottom="0.5" header="0.5" footer="0.5"/>
  <pageSetup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</cols>
  <sheetData>
    <row r="1">
      <c r="A1" s="4" t="inlineStr">
        <is>
          <t>ข้อมูลห้องพัก</t>
        </is>
      </c>
    </row>
    <row r="3">
      <c r="A3" s="7" t="inlineStr">
        <is>
          <t>รหัสห้อง</t>
        </is>
      </c>
      <c r="B3" s="7" t="inlineStr">
        <is>
          <t>ประเภทห้อง</t>
        </is>
      </c>
      <c r="C3" s="7" t="inlineStr">
        <is>
          <t>ราคาต่อคืน</t>
        </is>
      </c>
      <c r="D3" s="7" t="inlineStr">
        <is>
          <t>สถานะ</t>
        </is>
      </c>
      <c r="E3" s="7" t="inlineStr">
        <is>
          <t>หมายเหตุ</t>
        </is>
      </c>
    </row>
    <row r="4">
      <c r="A4" s="8" t="inlineStr">
        <is>
          <t>101</t>
        </is>
      </c>
      <c r="B4" s="8" t="inlineStr">
        <is>
          <t>1 เตียง</t>
        </is>
      </c>
      <c r="C4" s="9">
        <f>VLOOKUP(B4,'02_Room_Master'!A:C,3,FALSE)</f>
        <v/>
      </c>
      <c r="D4" s="8" t="inlineStr">
        <is>
          <t>ว่าง</t>
        </is>
      </c>
      <c r="E4" s="8" t="inlineStr"/>
    </row>
    <row r="5">
      <c r="A5" s="8" t="inlineStr">
        <is>
          <t>102</t>
        </is>
      </c>
      <c r="B5" s="8" t="inlineStr">
        <is>
          <t>1 เตียง</t>
        </is>
      </c>
      <c r="C5" s="9">
        <f>VLOOKUP(B5,'02_Room_Master'!A:C,3,FALSE)</f>
        <v/>
      </c>
      <c r="D5" s="8" t="inlineStr">
        <is>
          <t>ไม่ว่าง</t>
        </is>
      </c>
      <c r="E5" s="8" t="inlineStr">
        <is>
          <t>จองแล้ว</t>
        </is>
      </c>
    </row>
    <row r="6">
      <c r="A6" s="8" t="inlineStr">
        <is>
          <t>103</t>
        </is>
      </c>
      <c r="B6" s="8" t="inlineStr">
        <is>
          <t>2 เตียง</t>
        </is>
      </c>
      <c r="C6" s="9">
        <f>VLOOKUP(B6,'02_Room_Master'!A:C,3,FALSE)</f>
        <v/>
      </c>
      <c r="D6" s="8" t="inlineStr">
        <is>
          <t>ว่าง</t>
        </is>
      </c>
      <c r="E6" s="8" t="inlineStr"/>
    </row>
    <row r="7">
      <c r="A7" s="8" t="inlineStr">
        <is>
          <t>104</t>
        </is>
      </c>
      <c r="B7" s="8" t="inlineStr">
        <is>
          <t>2 เตียง</t>
        </is>
      </c>
      <c r="C7" s="9">
        <f>VLOOKUP(B7,'02_Room_Master'!A:C,3,FALSE)</f>
        <v/>
      </c>
      <c r="D7" s="8" t="inlineStr">
        <is>
          <t>ไม่ว่าง</t>
        </is>
      </c>
      <c r="E7" s="8" t="inlineStr">
        <is>
          <t>จองแล้ว</t>
        </is>
      </c>
    </row>
    <row r="8">
      <c r="A8" s="8" t="inlineStr">
        <is>
          <t>201</t>
        </is>
      </c>
      <c r="B8" s="8" t="inlineStr">
        <is>
          <t>2 เตียง</t>
        </is>
      </c>
      <c r="C8" s="9">
        <f>VLOOKUP(B8,'02_Room_Master'!A:C,3,FALSE)</f>
        <v/>
      </c>
      <c r="D8" s="8" t="inlineStr">
        <is>
          <t>ซ่อมแซม</t>
        </is>
      </c>
      <c r="E8" s="8" t="inlineStr">
        <is>
          <t>ซ่อมแอร์</t>
        </is>
      </c>
    </row>
    <row r="9">
      <c r="A9" s="8" t="inlineStr">
        <is>
          <t>202</t>
        </is>
      </c>
      <c r="B9" s="8" t="inlineStr">
        <is>
          <t>3 เตียง</t>
        </is>
      </c>
      <c r="C9" s="9">
        <f>VLOOKUP(B9,'02_Room_Master'!A:C,3,FALSE)</f>
        <v/>
      </c>
      <c r="D9" s="8" t="inlineStr">
        <is>
          <t>ว่าง</t>
        </is>
      </c>
      <c r="E9" s="8" t="inlineStr"/>
    </row>
    <row r="10">
      <c r="A10" s="8" t="inlineStr">
        <is>
          <t>203</t>
        </is>
      </c>
      <c r="B10" s="8" t="inlineStr">
        <is>
          <t>3 เตียง</t>
        </is>
      </c>
      <c r="C10" s="9">
        <f>VLOOKUP(B10,'02_Room_Master'!A:C,3,FALSE)</f>
        <v/>
      </c>
      <c r="D10" s="8" t="inlineStr">
        <is>
          <t>ไม่ว่าง</t>
        </is>
      </c>
      <c r="E10" s="8" t="inlineStr">
        <is>
          <t>จองแล้ว</t>
        </is>
      </c>
    </row>
    <row r="11">
      <c r="A11" s="8" t="inlineStr">
        <is>
          <t>301</t>
        </is>
      </c>
      <c r="B11" s="8" t="inlineStr">
        <is>
          <t>1 เตียง</t>
        </is>
      </c>
      <c r="C11" s="9">
        <f>VLOOKUP(B11,'02_Room_Master'!A:C,3,FALSE)</f>
        <v/>
      </c>
      <c r="D11" s="8" t="inlineStr">
        <is>
          <t>ว่าง</t>
        </is>
      </c>
      <c r="E11" s="8" t="inlineStr"/>
    </row>
  </sheetData>
  <mergeCells count="1">
    <mergeCell ref="A1:E1"/>
  </mergeCells>
  <dataValidations count="1">
    <dataValidation sqref="D4:D100" showDropDown="0" showInputMessage="0" showErrorMessage="0" allowBlank="0" errorTitle="ข้อมูลไม่ถูกต้อง" error="โปรดเลือกสถานะจากรายการ: ว่าง, ไม่ว่าง, ซ่อมแซม" type="list">
      <formula1>"ว่าง,ไม่ว่าง,ซ่อมแซม"</formula1>
    </dataValidation>
  </dataValidations>
  <printOptions horizontalCentered="0"/>
  <pageMargins left="0.5" right="0.5" top="0.5" bottom="0.5" header="0.5" footer="0.5"/>
  <pageSetup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  <col width="12" customWidth="1" min="10" max="10"/>
  </cols>
  <sheetData>
    <row r="1">
      <c r="A1" s="4" t="inlineStr">
        <is>
          <t>ข้อมูลการจองห้อง</t>
        </is>
      </c>
    </row>
    <row r="3">
      <c r="A3" s="10" t="inlineStr">
        <is>
          <t>รหัสจอง</t>
        </is>
      </c>
      <c r="B3" s="10" t="inlineStr">
        <is>
          <t>ชื่อผู้จอง</t>
        </is>
      </c>
      <c r="C3" s="10" t="inlineStr">
        <is>
          <t>วันเข้า</t>
        </is>
      </c>
      <c r="D3" s="10" t="inlineStr">
        <is>
          <t>วันออก</t>
        </is>
      </c>
      <c r="E3" s="10" t="inlineStr">
        <is>
          <t>ประเภทห้อง</t>
        </is>
      </c>
      <c r="F3" s="10" t="inlineStr">
        <is>
          <t>จำนวนคืน</t>
        </is>
      </c>
      <c r="G3" s="10" t="inlineStr">
        <is>
          <t>ราคา/คืน</t>
        </is>
      </c>
      <c r="H3" s="10" t="inlineStr">
        <is>
          <t>ราคารวม</t>
        </is>
      </c>
      <c r="I3" s="10" t="inlineStr">
        <is>
          <t>สถานะ</t>
        </is>
      </c>
      <c r="J3" s="10" t="inlineStr">
        <is>
          <t>ประเภทชำระ</t>
        </is>
      </c>
    </row>
    <row r="4">
      <c r="A4" s="8" t="inlineStr">
        <is>
          <t>RES001</t>
        </is>
      </c>
      <c r="B4" s="8" t="inlineStr">
        <is>
          <t>นายสมชาย</t>
        </is>
      </c>
      <c r="C4" s="11" t="inlineStr">
        <is>
          <t>2024-01-15</t>
        </is>
      </c>
      <c r="D4" s="11" t="inlineStr">
        <is>
          <t>2024-01-17</t>
        </is>
      </c>
      <c r="E4" s="8" t="inlineStr">
        <is>
          <t>2 เตียง</t>
        </is>
      </c>
      <c r="F4" s="14">
        <f>D4-C4</f>
        <v/>
      </c>
      <c r="G4" s="9">
        <f>VLOOKUP(E4,'02_Room_Master'!A:C,3,FALSE)</f>
        <v/>
      </c>
      <c r="H4" s="9">
        <f>IF(F4&gt;0,F4*G4,0)</f>
        <v/>
      </c>
      <c r="I4" s="8" t="inlineStr">
        <is>
          <t>สำเร็จ</t>
        </is>
      </c>
      <c r="J4" s="8" t="inlineStr">
        <is>
          <t>บัตรเครดิต</t>
        </is>
      </c>
    </row>
    <row r="5">
      <c r="A5" s="8" t="inlineStr">
        <is>
          <t>RES002</t>
        </is>
      </c>
      <c r="B5" s="8" t="inlineStr">
        <is>
          <t>นางสาวสมหญิง</t>
        </is>
      </c>
      <c r="C5" s="11" t="inlineStr">
        <is>
          <t>2024-01-16</t>
        </is>
      </c>
      <c r="D5" s="11" t="inlineStr">
        <is>
          <t>2024-01-18</t>
        </is>
      </c>
      <c r="E5" s="8" t="inlineStr">
        <is>
          <t>1 เตียง</t>
        </is>
      </c>
      <c r="F5" s="14">
        <f>D5-C5</f>
        <v/>
      </c>
      <c r="G5" s="9">
        <f>VLOOKUP(E5,'02_Room_Master'!A:C,3,FALSE)</f>
        <v/>
      </c>
      <c r="H5" s="9">
        <f>IF(F5&gt;0,F5*G5,0)</f>
        <v/>
      </c>
      <c r="I5" s="8" t="inlineStr">
        <is>
          <t>รอการยืนยัน</t>
        </is>
      </c>
      <c r="J5" s="8" t="inlineStr">
        <is>
          <t>โอนเงิน</t>
        </is>
      </c>
    </row>
    <row r="6">
      <c r="A6" s="8" t="inlineStr">
        <is>
          <t>RES003</t>
        </is>
      </c>
      <c r="B6" s="8" t="inlineStr">
        <is>
          <t>นายสมศรษฐ์</t>
        </is>
      </c>
      <c r="C6" s="11" t="inlineStr">
        <is>
          <t>2024-01-17</t>
        </is>
      </c>
      <c r="D6" s="11" t="inlineStr">
        <is>
          <t>2024-01-20</t>
        </is>
      </c>
      <c r="E6" s="8" t="inlineStr">
        <is>
          <t>3 เตียง</t>
        </is>
      </c>
      <c r="F6" s="14">
        <f>D6-C6</f>
        <v/>
      </c>
      <c r="G6" s="9">
        <f>VLOOKUP(E6,'02_Room_Master'!A:C,3,FALSE)</f>
        <v/>
      </c>
      <c r="H6" s="9">
        <f>IF(F6&gt;0,F6*G6,0)</f>
        <v/>
      </c>
      <c r="I6" s="8" t="inlineStr">
        <is>
          <t>สำเร็จ</t>
        </is>
      </c>
      <c r="J6" s="8" t="inlineStr">
        <is>
          <t>เงินสด</t>
        </is>
      </c>
    </row>
  </sheetData>
  <mergeCells count="1">
    <mergeCell ref="A1:J1"/>
  </mergeCells>
  <dataValidations count="2">
    <dataValidation sqref="I4:I100" showDropDown="0" showInputMessage="0" showErrorMessage="0" allowBlank="0" errorTitle="ข้อมูลไม่ถูกต้อง" error="โปรดเลือกสถานะจากรายการ" type="list">
      <formula1>"สำเร็จ,รอการยืนยัน,ยกเลิก"</formula1>
    </dataValidation>
    <dataValidation sqref="J4:J100" showDropDown="0" showInputMessage="0" showErrorMessage="0" allowBlank="0" errorTitle="ข้อมูลไม่ถูกต้อง" error="โปรดเลือกประเภทการชำระเงิน" type="list">
      <formula1>"บัตรเครดิต,โอนเงิน,เงินสด,เช็ค"</formula1>
    </dataValidation>
  </dataValidations>
  <printOptions horizontalCentered="0"/>
  <pageMargins left="0.5" right="0.5" top="0.5" bottom="0.5" header="0.5" footer="0.5"/>
  <pageSetup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4" t="inlineStr">
        <is>
          <t>ข้อมูลพนักงาน</t>
        </is>
      </c>
    </row>
    <row r="3">
      <c r="A3" s="7" t="inlineStr">
        <is>
          <t>รหัสพนักงาน</t>
        </is>
      </c>
      <c r="B3" s="7" t="inlineStr">
        <is>
          <t>ชื่อพนักงาน</t>
        </is>
      </c>
      <c r="C3" s="7" t="inlineStr">
        <is>
          <t>ตำแหน่ง</t>
        </is>
      </c>
      <c r="D3" s="7" t="inlineStr">
        <is>
          <t>แผนก</t>
        </is>
      </c>
      <c r="E3" s="7" t="inlineStr">
        <is>
          <t>เงินเดือน</t>
        </is>
      </c>
      <c r="F3" s="7" t="inlineStr">
        <is>
          <t>วันเริ่มงาน</t>
        </is>
      </c>
    </row>
    <row r="4">
      <c r="A4" s="8" t="inlineStr">
        <is>
          <t>STF001</t>
        </is>
      </c>
      <c r="B4" s="8" t="inlineStr">
        <is>
          <t>นายสมศักดิ์</t>
        </is>
      </c>
      <c r="C4" s="8" t="inlineStr">
        <is>
          <t>ผู้จัดการ</t>
        </is>
      </c>
      <c r="D4" s="8" t="inlineStr">
        <is>
          <t>บริหาร</t>
        </is>
      </c>
      <c r="E4" s="9" t="n">
        <v>50000</v>
      </c>
      <c r="F4" s="11" t="inlineStr">
        <is>
          <t>2020-01-15</t>
        </is>
      </c>
    </row>
    <row r="5">
      <c r="A5" s="8" t="inlineStr">
        <is>
          <t>STF002</t>
        </is>
      </c>
      <c r="B5" s="8" t="inlineStr">
        <is>
          <t>นางสาวสมหญิง</t>
        </is>
      </c>
      <c r="C5" s="8" t="inlineStr">
        <is>
          <t>พนักงานต้อนรับ</t>
        </is>
      </c>
      <c r="D5" s="8" t="inlineStr">
        <is>
          <t>การขาย</t>
        </is>
      </c>
      <c r="E5" s="9" t="n">
        <v>20000</v>
      </c>
      <c r="F5" s="11" t="inlineStr">
        <is>
          <t>2021-06-01</t>
        </is>
      </c>
    </row>
    <row r="6">
      <c r="A6" s="8" t="inlineStr">
        <is>
          <t>STF003</t>
        </is>
      </c>
      <c r="B6" s="8" t="inlineStr">
        <is>
          <t>นายสมบัติ</t>
        </is>
      </c>
      <c r="C6" s="8" t="inlineStr">
        <is>
          <t>พนักงานทำความสะอาด</t>
        </is>
      </c>
      <c r="D6" s="8" t="inlineStr">
        <is>
          <t>บ้านเรือน</t>
        </is>
      </c>
      <c r="E6" s="9" t="n">
        <v>15000</v>
      </c>
      <c r="F6" s="11" t="inlineStr">
        <is>
          <t>2022-03-10</t>
        </is>
      </c>
    </row>
  </sheetData>
  <mergeCells count="1">
    <mergeCell ref="A1:F1"/>
  </mergeCells>
  <printOptions horizontalCentered="0"/>
  <pageMargins left="0.5" right="0.5" top="0.5" bottom="0.5" header="0.5" footer="0.5"/>
  <pageSetup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30" customWidth="1" min="5" max="5"/>
  </cols>
  <sheetData>
    <row r="1">
      <c r="A1" s="4" t="inlineStr">
        <is>
          <t>ข้อมูลค่าใช้จ่าย</t>
        </is>
      </c>
    </row>
    <row r="3">
      <c r="A3" s="7" t="inlineStr">
        <is>
          <t>วันที่</t>
        </is>
      </c>
      <c r="B3" s="7" t="inlineStr">
        <is>
          <t>ประเภท</t>
        </is>
      </c>
      <c r="C3" s="7" t="inlineStr">
        <is>
          <t>จำนวนเงิน</t>
        </is>
      </c>
      <c r="D3" s="7" t="inlineStr">
        <is>
          <t>ผู้รับผิดชอบ</t>
        </is>
      </c>
      <c r="E3" s="7" t="inlineStr">
        <is>
          <t>หมายเหตุ</t>
        </is>
      </c>
    </row>
    <row r="4">
      <c r="A4" s="11" t="inlineStr">
        <is>
          <t>2024-01-15</t>
        </is>
      </c>
      <c r="B4" s="8" t="inlineStr">
        <is>
          <t>ค่าน้ำ</t>
        </is>
      </c>
      <c r="C4" s="9" t="n">
        <v>5000</v>
      </c>
      <c r="D4" s="8" t="inlineStr">
        <is>
          <t>สมชาย</t>
        </is>
      </c>
      <c r="E4" s="8" t="inlineStr">
        <is>
          <t>ค่าน้ำประปา</t>
        </is>
      </c>
    </row>
    <row r="5">
      <c r="A5" s="11" t="inlineStr">
        <is>
          <t>2024-01-15</t>
        </is>
      </c>
      <c r="B5" s="8" t="inlineStr">
        <is>
          <t>ค่าไฟ</t>
        </is>
      </c>
      <c r="C5" s="9" t="n">
        <v>8000</v>
      </c>
      <c r="D5" s="8" t="inlineStr">
        <is>
          <t>สมชาย</t>
        </is>
      </c>
      <c r="E5" s="8" t="inlineStr">
        <is>
          <t>ค่าไฟฟ้า</t>
        </is>
      </c>
    </row>
    <row r="6">
      <c r="A6" s="11" t="inlineStr">
        <is>
          <t>2024-01-16</t>
        </is>
      </c>
      <c r="B6" s="8" t="inlineStr">
        <is>
          <t>ค่าอาหาร</t>
        </is>
      </c>
      <c r="C6" s="9" t="n">
        <v>3000</v>
      </c>
      <c r="D6" s="8" t="inlineStr">
        <is>
          <t>สมหญิง</t>
        </is>
      </c>
      <c r="E6" s="8" t="inlineStr">
        <is>
          <t>อาหารพนักงาน</t>
        </is>
      </c>
    </row>
    <row r="7">
      <c r="A7" s="11" t="inlineStr">
        <is>
          <t>2024-01-16</t>
        </is>
      </c>
      <c r="B7" s="8" t="inlineStr">
        <is>
          <t>ค่าซ่อมแซม</t>
        </is>
      </c>
      <c r="C7" s="9" t="n">
        <v>2500</v>
      </c>
      <c r="D7" s="8" t="inlineStr">
        <is>
          <t>สมบัติ</t>
        </is>
      </c>
      <c r="E7" s="8" t="inlineStr">
        <is>
          <t>ซ่อมแอร์ห้อง 201</t>
        </is>
      </c>
    </row>
    <row r="8">
      <c r="A8" s="11" t="inlineStr">
        <is>
          <t>2024-01-17</t>
        </is>
      </c>
      <c r="B8" s="8" t="inlineStr">
        <is>
          <t>ค่าไฟ</t>
        </is>
      </c>
      <c r="C8" s="9" t="n">
        <v>7500</v>
      </c>
      <c r="D8" s="8" t="inlineStr">
        <is>
          <t>สมชาย</t>
        </is>
      </c>
      <c r="E8" s="8" t="inlineStr">
        <is>
          <t>ค่าไฟฟ้า</t>
        </is>
      </c>
    </row>
  </sheetData>
  <mergeCells count="1">
    <mergeCell ref="A1:E1"/>
  </mergeCells>
  <dataValidations count="1">
    <dataValidation sqref="B4:B100" showDropDown="0" showInputMessage="0" showErrorMessage="0" allowBlank="0" errorTitle="ข้อมูลไม่ถูกต้อง" error="โปรดเลือกประเภทค่าใช้จ่าย" type="list">
      <formula1>"ค่าน้ำ,ค่าไฟ,ค่าอาหาร,ค่าซ่อมแซม,ค่าเดินทาง,ค่าโฆษณา"</formula1>
    </dataValidation>
  </dataValidations>
  <printOptions horizontalCentered="0"/>
  <pageMargins left="0.5" right="0.5" top="0.5" bottom="0.5" header="0.5" footer="0.5"/>
  <pageSetup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รายงานรายได้</t>
        </is>
      </c>
    </row>
    <row r="3">
      <c r="A3" s="7" t="inlineStr">
        <is>
          <t>วันที่</t>
        </is>
      </c>
      <c r="B3" s="7" t="inlineStr">
        <is>
          <t>รายได้จากห้อง</t>
        </is>
      </c>
      <c r="C3" s="7" t="inlineStr">
        <is>
          <t>ค่าใช้จ่าย</t>
        </is>
      </c>
      <c r="D3" s="7" t="inlineStr">
        <is>
          <t>กำไรสุทธิ</t>
        </is>
      </c>
    </row>
    <row r="4">
      <c r="A4" s="11" t="inlineStr">
        <is>
          <t>2024-01-15</t>
        </is>
      </c>
      <c r="B4" s="9">
        <f>SUMIFS('04_Reservations'!H:H,'04_Reservations'!I:I,"สำเร็จ",'04_Reservations'!C:C,A4)</f>
        <v/>
      </c>
      <c r="C4" s="9">
        <f>SUMIF('06_Expenses'!A:A,A4,'06_Expenses'!C:C)</f>
        <v/>
      </c>
      <c r="D4" s="9">
        <f>B4-C4</f>
        <v/>
      </c>
    </row>
    <row r="5">
      <c r="A5" s="11" t="inlineStr">
        <is>
          <t>2024-01-16</t>
        </is>
      </c>
      <c r="B5" s="9">
        <f>SUMIFS('04_Reservations'!H:H,'04_Reservations'!I:I,"สำเร็จ",'04_Reservations'!C:C,A5)</f>
        <v/>
      </c>
      <c r="C5" s="9">
        <f>SUMIF('06_Expenses'!A:A,A5,'06_Expenses'!C:C)</f>
        <v/>
      </c>
      <c r="D5" s="9">
        <f>B5-C5</f>
        <v/>
      </c>
    </row>
    <row r="6">
      <c r="A6" s="11" t="inlineStr">
        <is>
          <t>2024-01-17</t>
        </is>
      </c>
      <c r="B6" s="9">
        <f>SUMIFS('04_Reservations'!H:H,'04_Reservations'!I:I,"สำเร็จ",'04_Reservations'!C:C,A6)</f>
        <v/>
      </c>
      <c r="C6" s="9">
        <f>SUMIF('06_Expenses'!A:A,A6,'06_Expenses'!C:C)</f>
        <v/>
      </c>
      <c r="D6" s="9">
        <f>B6-C6</f>
        <v/>
      </c>
    </row>
  </sheetData>
  <mergeCells count="1">
    <mergeCell ref="A1:D1"/>
  </mergeCells>
  <printOptions horizontalCentered="0"/>
  <pageMargins left="0.5" right="0.5" top="0.5" bottom="0.5" header="0.5" footer="0.5"/>
  <pageSetup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วิเคราะห์ประเภทห้อง</t>
        </is>
      </c>
    </row>
    <row r="3">
      <c r="A3" s="16" t="inlineStr">
        <is>
          <t>ประเภทห้อง</t>
        </is>
      </c>
      <c r="B3" s="16" t="inlineStr">
        <is>
          <t>จำนวนห้องทั้งหมด</t>
        </is>
      </c>
      <c r="C3" s="16" t="inlineStr">
        <is>
          <t>จำนวนห้องว่าง</t>
        </is>
      </c>
      <c r="D3" s="16" t="inlineStr">
        <is>
          <t>อัตราการใช้ (%)</t>
        </is>
      </c>
    </row>
    <row r="4">
      <c r="A4" s="17" t="inlineStr">
        <is>
          <t>1 เตียง</t>
        </is>
      </c>
      <c r="B4" s="17">
        <f>COUNTIF('03_Rooms'!B:B,"1 เตียง")</f>
        <v/>
      </c>
      <c r="C4" s="17">
        <f>COUNTIFS('03_Rooms'!B:B,"1 เตียง",'03_Rooms'!D:D,"ว่าง")</f>
        <v/>
      </c>
      <c r="D4" s="18">
        <f>IFERROR(IF(B4=0,0,C4/B4*100),0)</f>
        <v/>
      </c>
    </row>
    <row r="5">
      <c r="A5" s="17" t="inlineStr">
        <is>
          <t>2 เตียง</t>
        </is>
      </c>
      <c r="B5" s="17">
        <f>COUNTIF('03_Rooms'!B:B,"2 เตียง")</f>
        <v/>
      </c>
      <c r="C5" s="17">
        <f>COUNTIFS('03_Rooms'!B:B,"2 เตียง",'03_Rooms'!D:D,"ว่าง")</f>
        <v/>
      </c>
      <c r="D5" s="18">
        <f>IFERROR(IF(B5=0,0,C5/B5*100),0)</f>
        <v/>
      </c>
    </row>
    <row r="6">
      <c r="A6" s="17" t="inlineStr">
        <is>
          <t>3 เตียง</t>
        </is>
      </c>
      <c r="B6" s="17">
        <f>COUNTIF('03_Rooms'!B:B,"3 เตียง")</f>
        <v/>
      </c>
      <c r="C6" s="17">
        <f>COUNTIFS('03_Rooms'!B:B,"3 เตียง",'03_Rooms'!D:D,"ว่าง")</f>
        <v/>
      </c>
      <c r="D6" s="18">
        <f>IFERROR(IF(B6=0,0,C6/B6*100),0)</f>
        <v/>
      </c>
    </row>
    <row r="9">
      <c r="A9" s="4" t="inlineStr">
        <is>
          <t>วิเคราะห์รายได้ตามประเภทการชำระเงิน</t>
        </is>
      </c>
      <c r="D9" s="4" t="inlineStr">
        <is>
          <t>วิเคราะห์ค่าใช้จ่ายตามประเภท</t>
        </is>
      </c>
    </row>
    <row r="11">
      <c r="A11" s="9" t="inlineStr">
        <is>
          <t>บัตรเครดิต</t>
        </is>
      </c>
      <c r="B11" s="9">
        <f>SUMIFS('04_Reservations'!H:H,'04_Reservations'!J:J,"บัตรเครดิต",'04_Reservations'!I:I,"สำเร็จ")</f>
        <v/>
      </c>
      <c r="D11" s="9" t="inlineStr">
        <is>
          <t>ค่าน้ำ</t>
        </is>
      </c>
      <c r="E11" s="9">
        <f>SUMIF('06_Expenses'!B:B,"ค่าน้ำ",'06_Expenses'!C:C)</f>
        <v/>
      </c>
    </row>
    <row r="12">
      <c r="A12" s="9" t="inlineStr">
        <is>
          <t>โอนเงิน</t>
        </is>
      </c>
      <c r="B12" s="9">
        <f>SUMIFS('04_Reservations'!H:H,'04_Reservations'!J:J,"โอนเงิน",'04_Reservations'!I:I,"สำเร็จ")</f>
        <v/>
      </c>
      <c r="D12" s="9" t="inlineStr">
        <is>
          <t>ค่าไฟ</t>
        </is>
      </c>
      <c r="E12" s="9">
        <f>SUMIF('06_Expenses'!B:B,"ค่าไฟ",'06_Expenses'!C:C)</f>
        <v/>
      </c>
    </row>
    <row r="13">
      <c r="A13" s="9" t="inlineStr">
        <is>
          <t>เงินสด</t>
        </is>
      </c>
      <c r="B13" s="9">
        <f>SUMIFS('04_Reservations'!H:H,'04_Reservations'!J:J,"เงินสด",'04_Reservations'!I:I,"สำเร็จ")</f>
        <v/>
      </c>
      <c r="D13" s="9" t="inlineStr">
        <is>
          <t>ค่าอาหาร</t>
        </is>
      </c>
      <c r="E13" s="9">
        <f>SUMIF('06_Expenses'!B:B,"ค่าอาหาร",'06_Expenses'!C:C)</f>
        <v/>
      </c>
    </row>
    <row r="14">
      <c r="D14" s="9" t="inlineStr">
        <is>
          <t>ค่าซ่อมแซม</t>
        </is>
      </c>
      <c r="E14" s="9">
        <f>SUMIF('06_Expenses'!B:B,"ค่าซ่อมแซม",'06_Expenses'!C:C)</f>
        <v/>
      </c>
    </row>
  </sheetData>
  <mergeCells count="3">
    <mergeCell ref="A9:B9"/>
    <mergeCell ref="A1:D1"/>
    <mergeCell ref="D9:E9"/>
  </mergeCells>
  <printOptions horizontalCentered="0"/>
  <pageMargins left="0.5" right="0.5" top="0.5" bottom="0.5" header="0.5" footer="0.5"/>
  <pageSetup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รายงานสรุป</t>
        </is>
      </c>
    </row>
    <row r="3">
      <c r="A3" s="2" t="inlineStr">
        <is>
          <t>สรุปข้อมูล</t>
        </is>
      </c>
    </row>
    <row r="4">
      <c r="A4" s="8" t="inlineStr">
        <is>
          <t>จำนวนห้องทั้งหมด</t>
        </is>
      </c>
      <c r="B4" s="19">
        <f>COUNTA('03_Rooms'!A4:A100)</f>
        <v/>
      </c>
    </row>
    <row r="5">
      <c r="A5" s="8" t="inlineStr">
        <is>
          <t>จำนวนห้องว่าง</t>
        </is>
      </c>
      <c r="B5" s="19">
        <f>COUNTIF('03_Rooms'!D:D,"ว่าง")</f>
        <v/>
      </c>
    </row>
    <row r="6">
      <c r="A6" s="8" t="inlineStr">
        <is>
          <t>จำนวนห้องไม่ว่าง</t>
        </is>
      </c>
      <c r="B6" s="19">
        <f>COUNTIF('03_Rooms'!D:D,"ไม่ว่าง")</f>
        <v/>
      </c>
    </row>
    <row r="7">
      <c r="A7" s="8" t="inlineStr">
        <is>
          <t>จำนวนห้องซ่อมแซม</t>
        </is>
      </c>
      <c r="B7" s="19">
        <f>COUNTIF('03_Rooms'!D:D,"ซ่อมแซม")</f>
        <v/>
      </c>
    </row>
    <row r="8">
      <c r="A8" s="8" t="inlineStr">
        <is>
          <t>อัตราการใช้ห้อง (%)</t>
        </is>
      </c>
      <c r="B8" s="19">
        <f>IFERROR(IF(B4=0,0,(B5)/B4*100),0)</f>
        <v/>
      </c>
    </row>
    <row r="9">
      <c r="A9" s="8" t="inlineStr">
        <is>
          <t>จำนวนการจองทั้งหมด</t>
        </is>
      </c>
      <c r="B9" s="19">
        <f>COUNTA('04_Reservations'!A4:A100)</f>
        <v/>
      </c>
    </row>
    <row r="10">
      <c r="A10" s="8" t="inlineStr">
        <is>
          <t>จำนวนการจองสำเร็จ</t>
        </is>
      </c>
      <c r="B10" s="19">
        <f>COUNTIF('04_Reservations'!I:I,"สำเร็จ")</f>
        <v/>
      </c>
    </row>
    <row r="11">
      <c r="A11" s="8" t="inlineStr">
        <is>
          <t>จำนวนการจองรอยืนยัน</t>
        </is>
      </c>
      <c r="B11" s="19">
        <f>COUNTIF('04_Reservations'!I:I,"รอการยืนยัน")</f>
        <v/>
      </c>
    </row>
    <row r="12">
      <c r="A12" s="8" t="inlineStr">
        <is>
          <t>จำนวนพนักงาน</t>
        </is>
      </c>
      <c r="B12" s="19">
        <f>COUNTA('05_Staff'!A4:A100)</f>
        <v/>
      </c>
    </row>
    <row r="13">
      <c r="A13" s="8" t="inlineStr">
        <is>
          <t>รวมเงินเดือนทั้งหมด</t>
        </is>
      </c>
      <c r="B13" s="19">
        <f>SUM('05_Staff'!E4:E100)</f>
        <v/>
      </c>
    </row>
    <row r="14">
      <c r="A14" s="8" t="inlineStr">
        <is>
          <t>เงินเดือนเฉลี่ย</t>
        </is>
      </c>
      <c r="B14" s="19">
        <f>IFERROR(B19/B18,0)</f>
        <v/>
      </c>
    </row>
    <row r="15">
      <c r="A15" s="8" t="inlineStr">
        <is>
          <t>รวมรายได้ทั้งหมด</t>
        </is>
      </c>
      <c r="B15" s="19">
        <f>SUMIF('04_Reservations'!I:I,"สำเร็จ",'04_Reservations'!H:H)</f>
        <v/>
      </c>
    </row>
    <row r="16">
      <c r="A16" s="8" t="inlineStr">
        <is>
          <t>รวมค่าใช้จ่ายทั้งหมด</t>
        </is>
      </c>
      <c r="B16" s="19">
        <f>SUM('06_Expenses'!C:C)</f>
        <v/>
      </c>
    </row>
    <row r="17">
      <c r="A17" s="8" t="inlineStr">
        <is>
          <t>กำไรสุทธิ</t>
        </is>
      </c>
      <c r="B17" s="19">
        <f>B21-B22</f>
        <v/>
      </c>
    </row>
    <row r="18">
      <c r="A18" s="8" t="inlineStr">
        <is>
          <t>อัตรากำไร (%)</t>
        </is>
      </c>
      <c r="B18" s="19">
        <f>IFERROR(IF(B21=0,0,B23/B21*100),0)</f>
        <v/>
      </c>
    </row>
  </sheetData>
  <mergeCells count="1">
    <mergeCell ref="A1:B1"/>
  </mergeCells>
  <printOptions horizontalCentered="0"/>
  <pageMargins left="0.5" right="0.5" top="0.5" bottom="0.5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2026-01-07T06:22:41Z</dcterms:created>
  <dcterms:modified xmlns:dcterms="http://purl.org/dc/terms/" xmlns:xsi="http://www.w3.org/2001/XMLSchema-instance" xsi:type="dcterms:W3CDTF">2026-01-07T06:24:15Z</dcterms:modified>
</cp:coreProperties>
</file>
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5"/>
    <sheet state="visible" name="Master_Data" sheetId="2" r:id="rId6"/>
    <sheet state="visible" name="Dashboard" sheetId="3" r:id="rId7"/>
    <sheet state="visible" name="01_Hotel_Info" sheetId="4" r:id="rId8"/>
    <sheet state="visible" name="02_Room_Master" sheetId="5" r:id="rId9"/>
    <sheet state="visible" name="03_Rooms" sheetId="6" r:id="rId10"/>
    <sheet state="visible" name="04_Reservations" sheetId="7" r:id="rId11"/>
    <sheet state="visible" name="05_Staff" sheetId="8" r:id="rId12"/>
    <sheet state="visible" name="06_Expenses" sheetId="9" r:id="rId13"/>
    <sheet state="visible" name="07_Revenue" sheetId="10" r:id="rId14"/>
    <sheet state="visible" name="Analysis" sheetId="11" r:id="rId15"/>
    <sheet state="visible" name="08_Reports" sheetId="12" r:id="rId16"/>
  </sheets>
  <definedNames/>
  <calcPr/>
</workbook>
</file>

<file path=xl/sharedStrings.xml><?xml version="1.0" encoding="utf-8"?>
<sst xmlns="http://schemas.openxmlformats.org/spreadsheetml/2006/main" count="235" uniqueCount="176">
  <si>
    <t>คำแนะนำการใช้งานระบบการจัดการโรงแรม</t>
  </si>
  <si>
    <t>1. Dashboard - แสดงภาพรวมสำคัญ (KPI)</t>
  </si>
  <si>
    <t xml:space="preserve">   • จำนวนห้องว่าง: นับห้องที่มีสถานะ 'ว่าง'</t>
  </si>
  <si>
    <t xml:space="preserve">   • จำนวนห้องไม่ว่าง: นับห้องที่มีสถานะ 'ไม่ว่าง'</t>
  </si>
  <si>
    <t xml:space="preserve">   • อัตราการใช้ห้อง: คำนวณจากห้องไม่ว่าง / ห้องทั้งหมด × 100</t>
  </si>
  <si>
    <t xml:space="preserve">   • รายได้รวม: รวมราคาจากการจองที่สำเร็จ</t>
  </si>
  <si>
    <t xml:space="preserve">   • ค่าใช้จ่ายรวม: รวมค่าใช้จ่ายทั้งหมด</t>
  </si>
  <si>
    <t xml:space="preserve">   • กำไรสุทธิ: รายได้ - ค่าใช้จ่าย</t>
  </si>
  <si>
    <t>2. Master_Data - ข้อมูลอ้างอิง</t>
  </si>
  <si>
    <t xml:space="preserve">   • ประเภทการชำระเงิน: บัตรเครดิต, โอนเงิน, เงินสด, เช็ค</t>
  </si>
  <si>
    <t xml:space="preserve">   • ประเภทค่าใช้จ่าย: ค่าน้ำ, ค่าไฟ, ค่าอาหาร, ค่าซ่อมแซม, ค่าเดินทาง, ค่าโฆษณา</t>
  </si>
  <si>
    <t>3. 02_Room_Master - ประเภทห้องและราคา</t>
  </si>
  <si>
    <t xml:space="preserve">   • กำหนดประเภทห้อง จำนวน และราคาต่อคืน</t>
  </si>
  <si>
    <t xml:space="preserve">   • ใช้เป็นข้อมูลอ้างอิงสำหรับห้องอื่น</t>
  </si>
  <si>
    <t>4. 03_Rooms - ข้อมูลห้องพัก</t>
  </si>
  <si>
    <t xml:space="preserve">   • เพิ่มห้องใหม่: ใส่รหัสห้อง ประเภท และเลือกสถานะ</t>
  </si>
  <si>
    <t xml:space="preserve">   • ราคาจะดึงมาจาก 02_Room_Master โดยอัตโนมัติ</t>
  </si>
  <si>
    <t xml:space="preserve">   • สถานะ: ว่าง, ไม่ว่าง, ซ่อมแซม</t>
  </si>
  <si>
    <t>5. 04_Reservations - การจองห้อง</t>
  </si>
  <si>
    <t xml:space="preserve">   • เพิ่มการจองใหม่: ใส่รหัสจอง ชื่อผู้จอง วันเข้า-ออก ประเภทห้อง</t>
  </si>
  <si>
    <t xml:space="preserve">   • จำนวนคืน ราคา และราคารวมจะคำนวณโดยอัตโนมัติ</t>
  </si>
  <si>
    <t xml:space="preserve">   • เลือกสถานะการจอง และประเภทการชำระเงิน</t>
  </si>
  <si>
    <t>6. 05_Staff - ข้อมูลพนักงาน</t>
  </si>
  <si>
    <t xml:space="preserve">   • บันทึกข้อมูลพนักงาน: รหัส ชื่อ ตำแหน่ง แผนก เงินเดือน วันเริ่มงาน</t>
  </si>
  <si>
    <t>7. 06_Expenses - ค่าใช้จ่าย</t>
  </si>
  <si>
    <t xml:space="preserve">   • บันทึกค่าใช้จ่ายรายวัน: วันที่ ประเภท จำนวนเงิน ผู้รับผิดชอบ หมายเหตุ</t>
  </si>
  <si>
    <t xml:space="preserve">   • เลือกประเภทค่าใช้จ่ายจากรายการที่กำหนด</t>
  </si>
  <si>
    <t>8. 07_Revenue - รายงานรายได้</t>
  </si>
  <si>
    <t xml:space="preserve">   • แสดงรายได้ ค่าใช้จ่าย และกำไรรายวัน</t>
  </si>
  <si>
    <t xml:space="preserve">   • ข้อมูลจะอัปเดตโดยอัตโนมัติจากการจองและค่าใช้จ่าย</t>
  </si>
  <si>
    <t>9. 08_Reports - รายงานสรุป</t>
  </si>
  <si>
    <t xml:space="preserve">   • แสดงสรุปข้อมูลสำคัญ: จำนวนห้อง การจอง พนักงาน รายได้ ค่าใช้จ่าย</t>
  </si>
  <si>
    <t>10. Analysis - วิเคราะห์ข้อมูล</t>
  </si>
  <si>
    <t xml:space="preserve">    • วิเคราะห์ประเภทห้อง: จำนวน ว่าง อัตราการใช้</t>
  </si>
  <si>
    <t xml:space="preserve">    • วิเคราะห์รายได้ตามประเภทการชำระเงิน</t>
  </si>
  <si>
    <t xml:space="preserve">    • วิเคราะห์ค่าใช้จ่ายตามประเภท</t>
  </si>
  <si>
    <t>หมายเหตุ:</t>
  </si>
  <si>
    <t>• ทุกสูตรใช้การอ้างอิงแบบ A1 syntax เท่านั้น</t>
  </si>
  <si>
    <t>• ข้อมูลจะเชื่อมโยงกันอัตโนมัติผ่านสูตร VLOOKUP, SUMIF, COUNTIF เป็นต้น</t>
  </si>
  <si>
    <t>• ตรวจสอบข้อมูลก่อนบันทึก เพื่อให้แน่ใจว่าถูกต้อง</t>
  </si>
  <si>
    <t>ประเภทการชำระเงิน</t>
  </si>
  <si>
    <t>ประเภทค่าใช้จ่าย</t>
  </si>
  <si>
    <t>โอนเงิน</t>
  </si>
  <si>
    <t>ค่าน้ำ</t>
  </si>
  <si>
    <t>เงินสด</t>
  </si>
  <si>
    <t>ค่าไฟ</t>
  </si>
  <si>
    <t>ค่าอาหาร</t>
  </si>
  <si>
    <t>ค่าซ่อมแซม</t>
  </si>
  <si>
    <t>ค่าเดินทาง</t>
  </si>
  <si>
    <t>ค่าโฆษณา</t>
  </si>
  <si>
    <t>แดชบอร์ด - ภาพรวมการจัดการโรงแรม</t>
  </si>
  <si>
    <t>ตัวชี้วัดสำคัญ (KPI)</t>
  </si>
  <si>
    <t>จำนวนห้องว่าง</t>
  </si>
  <si>
    <t>จำนวนห้องไม่ว่าง</t>
  </si>
  <si>
    <t>อัตราการใช้ห้อง (%)</t>
  </si>
  <si>
    <t>รายได้รวมเดือนนี้</t>
  </si>
  <si>
    <t>ค่าใช้จ่ายรวมเดือนนี้</t>
  </si>
  <si>
    <t>กำไรสุทธิ</t>
  </si>
  <si>
    <t>ข้อมูลพื้นฐานโรงแรม</t>
  </si>
  <si>
    <t>ชื่อโรงแรม</t>
  </si>
  <si>
    <t>โรงแรมสมบูรณ์ (Complete Hotel)</t>
  </si>
  <si>
    <t>ที่อยู่</t>
  </si>
  <si>
    <t>123 ถนนสุขุมวิท เขตวัฒนา กรุงเทพฯ 10110</t>
  </si>
  <si>
    <t>เบอร์โทรศัพท์</t>
  </si>
  <si>
    <t>02-123-4567</t>
  </si>
  <si>
    <t>อีเมล</t>
  </si>
  <si>
    <t>info@completehotel.com</t>
  </si>
  <si>
    <t>เว็บไซต์</t>
  </si>
  <si>
    <t>www.completehotel.com</t>
  </si>
  <si>
    <t>ผู้จัดการ</t>
  </si>
  <si>
    <t>นายสมศักดิ์ สมบูรณ์</t>
  </si>
  <si>
    <t>ชั้นวุฒิ</t>
  </si>
  <si>
    <t>ผู้บริหารโรงแรม</t>
  </si>
  <si>
    <t>ประเภทห้องพัก</t>
  </si>
  <si>
    <t>ประเภทห้อง</t>
  </si>
  <si>
    <t>จำนวนห้อง</t>
  </si>
  <si>
    <t>ราคาต่อคืน (บาท)</t>
  </si>
  <si>
    <t>เตียง เดี่ยว</t>
  </si>
  <si>
    <t>เตียง คู่</t>
  </si>
  <si>
    <t>ข้อมูลห้องพัก</t>
  </si>
  <si>
    <t>รหัสห้อง</t>
  </si>
  <si>
    <t>ราคาต่อคืน</t>
  </si>
  <si>
    <t>สถานะ</t>
  </si>
  <si>
    <t>หมายเหตุ</t>
  </si>
  <si>
    <t>101</t>
  </si>
  <si>
    <t>1 เตียง</t>
  </si>
  <si>
    <t>ว่าง</t>
  </si>
  <si>
    <t>102</t>
  </si>
  <si>
    <t>ไม่ว่าง</t>
  </si>
  <si>
    <t>จองแล้ว</t>
  </si>
  <si>
    <t>103</t>
  </si>
  <si>
    <t>2 เตียง</t>
  </si>
  <si>
    <t>104</t>
  </si>
  <si>
    <t>201</t>
  </si>
  <si>
    <t>ซ่อมแซม</t>
  </si>
  <si>
    <t>ซ่อมแอร์</t>
  </si>
  <si>
    <t>202</t>
  </si>
  <si>
    <t>3 เตียง</t>
  </si>
  <si>
    <t>203</t>
  </si>
  <si>
    <t>301</t>
  </si>
  <si>
    <t>ข้อมูลการจองห้อง</t>
  </si>
  <si>
    <t>รหัสจอง</t>
  </si>
  <si>
    <t>ชื่อผู้จอง</t>
  </si>
  <si>
    <t>วันเข้า</t>
  </si>
  <si>
    <t>วันออก</t>
  </si>
  <si>
    <t>จำนวนคืน</t>
  </si>
  <si>
    <t>ราคา/คืน</t>
  </si>
  <si>
    <t>ราคารวม</t>
  </si>
  <si>
    <t>ประเภทชำระ</t>
  </si>
  <si>
    <t>RES001</t>
  </si>
  <si>
    <t>นายสมชาย</t>
  </si>
  <si>
    <t>2024-01-15</t>
  </si>
  <si>
    <t>2024-01-17</t>
  </si>
  <si>
    <t>สำเร็จ</t>
  </si>
  <si>
    <t>โอนบัญชี</t>
  </si>
  <si>
    <t>RES002</t>
  </si>
  <si>
    <t>นางสาวสมหญิง</t>
  </si>
  <si>
    <t>2024-01-16</t>
  </si>
  <si>
    <t>2024-01-18</t>
  </si>
  <si>
    <t>รอการยืนยัน</t>
  </si>
  <si>
    <t>RES003</t>
  </si>
  <si>
    <t>นายสมศรษฐ์</t>
  </si>
  <si>
    <t>2024-01-20</t>
  </si>
  <si>
    <t>ข้อมูลพนักงาน</t>
  </si>
  <si>
    <t>รหัสพนักงาน</t>
  </si>
  <si>
    <t>ชื่อพนักงาน</t>
  </si>
  <si>
    <t>ตำแหน่ง</t>
  </si>
  <si>
    <t>แผนก</t>
  </si>
  <si>
    <t>เงินเดือน</t>
  </si>
  <si>
    <t>วันเริ่มงาน</t>
  </si>
  <si>
    <t>STF001</t>
  </si>
  <si>
    <t>นายสมศักดิ์</t>
  </si>
  <si>
    <t>บริหาร</t>
  </si>
  <si>
    <t>2020-01-15</t>
  </si>
  <si>
    <t>STF002</t>
  </si>
  <si>
    <t>พนักงานต้อนรับ</t>
  </si>
  <si>
    <t>การขาย</t>
  </si>
  <si>
    <t>2021-06-01</t>
  </si>
  <si>
    <t>STF003</t>
  </si>
  <si>
    <t>นายสมบัติ</t>
  </si>
  <si>
    <t>พนักงานทำความสะอาด</t>
  </si>
  <si>
    <t>บ้านเรือน</t>
  </si>
  <si>
    <t>2022-03-10</t>
  </si>
  <si>
    <t>ข้อมูลค่าใช้จ่าย</t>
  </si>
  <si>
    <t>วันที่</t>
  </si>
  <si>
    <t>ประเภท</t>
  </si>
  <si>
    <t>จำนวนเงิน</t>
  </si>
  <si>
    <t>ผู้รับผิดชอบ</t>
  </si>
  <si>
    <t>สมชาย</t>
  </si>
  <si>
    <t>ค่าน้ำประปา</t>
  </si>
  <si>
    <t>ค่าไฟฟ้า</t>
  </si>
  <si>
    <t>สมหญิง</t>
  </si>
  <si>
    <t>อาหารพนักงาน</t>
  </si>
  <si>
    <t>สมบัติ</t>
  </si>
  <si>
    <t>ซ่อมแอร์ห้อง 201</t>
  </si>
  <si>
    <t>รายงานรายได้</t>
  </si>
  <si>
    <t>รายได้จากห้อง</t>
  </si>
  <si>
    <t>ค่าใช้จ่าย</t>
  </si>
  <si>
    <t>วิเคราะห์ประเภทห้อง</t>
  </si>
  <si>
    <t>จำนวนห้องทั้งหมด</t>
  </si>
  <si>
    <t>อัตราการใช้ (%)</t>
  </si>
  <si>
    <t>วิเคราะห์รายได้ตามประเภทการชำระเงิน</t>
  </si>
  <si>
    <t>วิเคราะห์ค่าใช้จ่ายตามประเภท</t>
  </si>
  <si>
    <t>บัตรเครดิต</t>
  </si>
  <si>
    <t>รายงานสรุป</t>
  </si>
  <si>
    <t>สรุปข้อมูล</t>
  </si>
  <si>
    <t>จำนวนห้องซ่อมแซม</t>
  </si>
  <si>
    <t>จำนวนการจองทั้งหมด</t>
  </si>
  <si>
    <t>จำนวนการจองสำเร็จ</t>
  </si>
  <si>
    <t>จำนวนการจองรอยืนยัน</t>
  </si>
  <si>
    <t>จำนวนพนักงาน</t>
  </si>
  <si>
    <t>รวมเงินเดือนทั้งหมด</t>
  </si>
  <si>
    <t>เงินเดือนเฉลี่ย</t>
  </si>
  <si>
    <t>รวมรายได้ทั้งหมด</t>
  </si>
  <si>
    <t>รวมค่าใช้จ่ายทั้งหมด</t>
  </si>
  <si>
    <t>อัตรากำไร (%)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</si>
</sst>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11">
    <font>
      <sz val="11.0"/>
      <color theme="1"/>
      <name val="Calibri"/>
      <scheme val="minor"/>
    </font>
    <font>
      <b/>
      <sz val="14.0"/>
      <color rgb="FFFFFFFF"/>
      <name val="Calibri"/>
      <scheme val="minor"/>
    </font>
    <font>
      <sz val="11.0"/>
      <color theme="1"/>
      <name val="Calibri"/>
    </font>
    <font>
      <b/>
      <sz val="12.0"/>
      <color rgb="FFFFFFFF"/>
      <name val="Calibri"/>
      <scheme val="minor"/>
    </font>
    <font/>
    <font>
      <b/>
      <sz val="11.0"/>
      <color theme="1"/>
      <name val="Calibri"/>
      <scheme val="minor"/>
    </font>
    <font>
      <color theme="1"/>
      <name val="Calibri"/>
      <scheme val="minor"/>
    </font>
    <font>
      <b/>
      <sz val="11.0"/>
      <color rgb="FFFFFFFF"/>
      <name val="Calibri"/>
      <scheme val="minor"/>
    </font>
    <font>
      <b/>
      <color theme="1"/>
      <name val="Calibri"/>
      <scheme val="minor"/>
    </font>
    <font>
      <b/>
      <color rgb="FFFFFFFF"/>
      <name val="Calibri"/>
      <scheme val="minor"/>
    </font>
    <font>
      <b/>
      <sz val="10.0"/>
      <color theme="1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70AD47"/>
        <bgColor rgb="FF70AD47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FFC000"/>
        <bgColor rgb="FFFFC000"/>
      </patternFill>
    </fill>
    <fill>
      <patternFill patternType="solid">
        <fgColor rgb="FFFF6B6B"/>
        <bgColor rgb="FFFF6B6B"/>
      </patternFill>
    </fill>
    <fill>
      <patternFill patternType="solid">
        <fgColor rgb="FF4472C4"/>
        <bgColor rgb="FF4472C4"/>
      </patternFill>
    </fill>
  </fills>
  <borders count="6">
    <border/>
    <border>
      <left/>
      <right/>
      <top/>
      <bottom/>
    </border>
    <border>
      <left/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/>
      <bottom/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horizontal="left" shrinkToFit="0" vertical="top" wrapText="1"/>
    </xf>
    <xf borderId="2" fillId="2" fontId="3" numFmtId="0" xfId="0" applyBorder="1" applyFont="1"/>
    <xf borderId="3" fillId="0" fontId="4" numFmtId="0" xfId="0" applyBorder="1" applyFont="1"/>
    <xf borderId="4" fillId="0" fontId="2" numFmtId="0" xfId="0" applyAlignment="1" applyBorder="1" applyFont="1">
      <alignment horizontal="left" vertical="center"/>
    </xf>
    <xf borderId="2" fillId="2" fontId="1" numFmtId="0" xfId="0" applyAlignment="1" applyBorder="1" applyFont="1">
      <alignment horizontal="center" vertical="center"/>
    </xf>
    <xf borderId="5" fillId="0" fontId="4" numFmtId="0" xfId="0" applyBorder="1" applyFont="1"/>
    <xf borderId="0" fillId="0" fontId="5" numFmtId="0" xfId="0" applyFont="1"/>
    <xf borderId="0" fillId="0" fontId="6" numFmtId="0" xfId="0" applyFont="1"/>
    <xf borderId="4" fillId="3" fontId="7" numFmtId="3" xfId="0" applyAlignment="1" applyBorder="1" applyFill="1" applyFont="1" applyNumberFormat="1">
      <alignment horizontal="center" vertical="center"/>
    </xf>
    <xf borderId="4" fillId="4" fontId="7" numFmtId="3" xfId="0" applyAlignment="1" applyBorder="1" applyFill="1" applyFont="1" applyNumberFormat="1">
      <alignment horizontal="center" vertical="center"/>
    </xf>
    <xf borderId="4" fillId="5" fontId="7" numFmtId="3" xfId="0" applyAlignment="1" applyBorder="1" applyFill="1" applyFont="1" applyNumberFormat="1">
      <alignment horizontal="center" vertical="center"/>
    </xf>
    <xf borderId="4" fillId="2" fontId="7" numFmtId="3" xfId="0" applyAlignment="1" applyBorder="1" applyFont="1" applyNumberFormat="1">
      <alignment horizontal="center" vertical="center"/>
    </xf>
    <xf borderId="4" fillId="6" fontId="7" numFmtId="3" xfId="0" applyAlignment="1" applyBorder="1" applyFill="1" applyFont="1" applyNumberFormat="1">
      <alignment horizontal="center" vertical="center"/>
    </xf>
    <xf borderId="4" fillId="7" fontId="7" numFmtId="3" xfId="0" applyAlignment="1" applyBorder="1" applyFill="1" applyFont="1" applyNumberFormat="1">
      <alignment horizontal="center" vertical="center"/>
    </xf>
    <xf borderId="0" fillId="0" fontId="8" numFmtId="0" xfId="0" applyFont="1"/>
    <xf borderId="4" fillId="0" fontId="2" numFmtId="0" xfId="0" applyAlignment="1" applyBorder="1" applyFont="1">
      <alignment horizontal="left" shrinkToFit="0" vertical="center" wrapText="1"/>
    </xf>
    <xf borderId="4" fillId="7" fontId="7" numFmtId="0" xfId="0" applyAlignment="1" applyBorder="1" applyFont="1">
      <alignment horizontal="center" vertical="center"/>
    </xf>
    <xf borderId="4" fillId="0" fontId="2" numFmtId="0" xfId="0" applyAlignment="1" applyBorder="1" applyFont="1">
      <alignment horizontal="left" readingOrder="0" vertical="center"/>
    </xf>
    <xf borderId="4" fillId="0" fontId="2" numFmtId="3" xfId="0" applyAlignment="1" applyBorder="1" applyFont="1" applyNumberFormat="1">
      <alignment horizontal="left" readingOrder="0" vertical="center"/>
    </xf>
    <xf borderId="4" fillId="0" fontId="2" numFmtId="3" xfId="0" applyAlignment="1" applyBorder="1" applyFont="1" applyNumberFormat="1">
      <alignment horizontal="left" vertical="center"/>
    </xf>
    <xf borderId="4" fillId="7" fontId="7" numFmtId="0" xfId="0" applyAlignment="1" applyBorder="1" applyFont="1">
      <alignment horizontal="center" shrinkToFit="0" vertical="center" wrapText="1"/>
    </xf>
    <xf borderId="4" fillId="0" fontId="2" numFmtId="164" xfId="0" applyAlignment="1" applyBorder="1" applyFont="1" applyNumberFormat="1">
      <alignment horizontal="left" vertical="center"/>
    </xf>
    <xf borderId="4" fillId="0" fontId="2" numFmtId="1" xfId="0" applyAlignment="1" applyBorder="1" applyFont="1" applyNumberFormat="1">
      <alignment horizontal="left" vertical="center"/>
    </xf>
    <xf borderId="4" fillId="7" fontId="9" numFmtId="0" xfId="0" applyAlignment="1" applyBorder="1" applyFont="1">
      <alignment horizontal="center" vertical="center"/>
    </xf>
    <xf borderId="4" fillId="0" fontId="2" numFmtId="3" xfId="0" applyAlignment="1" applyBorder="1" applyFont="1" applyNumberFormat="1">
      <alignment horizontal="center" vertical="center"/>
    </xf>
    <xf borderId="4" fillId="0" fontId="2" numFmtId="4" xfId="0" applyAlignment="1" applyBorder="1" applyFont="1" applyNumberFormat="1">
      <alignment horizontal="center" vertical="center"/>
    </xf>
    <xf borderId="4" fillId="0" fontId="10" numFmtId="4" xfId="0" applyBorder="1" applyFont="1" applyNumberFormat="1"/>
  </cellXfs>
  <cellStyles count="1">
    <cellStyle xfId="0" name="Normal" builtinId="0"/>
  </cellStyles>
  <dxfs count="2">
    <dxf>
      <font/>
      <fill>
        <patternFill patternType="solid">
          <fgColor rgb="FF92D050"/>
          <bgColor rgb="FF92D050"/>
        </patternFill>
      </fill>
      <border/>
    </dxf>
    <dxf>
      <font>
        <color rgb="FFFFFFFF"/>
      </font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0.0"/>
    <col customWidth="1" min="2" max="26" width="8.71"/>
  </cols>
  <sheetData>
    <row r="1" ht="24.75" customHeight="1">
      <c r="A1" s="1" t="s">
        <v>0</v>
      </c>
    </row>
    <row r="3" ht="19.5" customHeight="1">
      <c r="A3" s="2"/>
    </row>
    <row r="4" ht="19.5" customHeight="1">
      <c r="A4" s="2" t="s">
        <v>1</v>
      </c>
    </row>
    <row r="5" ht="19.5" customHeight="1">
      <c r="A5" s="2" t="s">
        <v>2</v>
      </c>
    </row>
    <row r="6" ht="19.5" customHeight="1">
      <c r="A6" s="2" t="s">
        <v>3</v>
      </c>
    </row>
    <row r="7" ht="19.5" customHeight="1">
      <c r="A7" s="2" t="s">
        <v>4</v>
      </c>
    </row>
    <row r="8" ht="19.5" customHeight="1">
      <c r="A8" s="2" t="s">
        <v>5</v>
      </c>
    </row>
    <row r="9" ht="19.5" customHeight="1">
      <c r="A9" s="2" t="s">
        <v>6</v>
      </c>
    </row>
    <row r="10" ht="19.5" customHeight="1">
      <c r="A10" s="2" t="s">
        <v>7</v>
      </c>
    </row>
    <row r="11" ht="19.5" customHeight="1">
      <c r="A11" s="2"/>
    </row>
    <row r="12" ht="19.5" customHeight="1">
      <c r="A12" s="2" t="s">
        <v>8</v>
      </c>
    </row>
    <row r="13" ht="19.5" customHeight="1">
      <c r="A13" s="2" t="s">
        <v>9</v>
      </c>
    </row>
    <row r="14" ht="19.5" customHeight="1">
      <c r="A14" s="2" t="s">
        <v>10</v>
      </c>
    </row>
    <row r="15" ht="19.5" customHeight="1">
      <c r="A15" s="2"/>
    </row>
    <row r="16" ht="19.5" customHeight="1">
      <c r="A16" s="2" t="s">
        <v>11</v>
      </c>
    </row>
    <row r="17" ht="19.5" customHeight="1">
      <c r="A17" s="2" t="s">
        <v>12</v>
      </c>
    </row>
    <row r="18" ht="19.5" customHeight="1">
      <c r="A18" s="2" t="s">
        <v>13</v>
      </c>
    </row>
    <row r="19" ht="19.5" customHeight="1">
      <c r="A19" s="2"/>
    </row>
    <row r="20" ht="19.5" customHeight="1">
      <c r="A20" s="2" t="s">
        <v>14</v>
      </c>
    </row>
    <row r="21" ht="19.5" customHeight="1">
      <c r="A21" s="2" t="s">
        <v>15</v>
      </c>
    </row>
    <row r="22" ht="19.5" customHeight="1">
      <c r="A22" s="2" t="s">
        <v>16</v>
      </c>
    </row>
    <row r="23" ht="19.5" customHeight="1">
      <c r="A23" s="2" t="s">
        <v>17</v>
      </c>
    </row>
    <row r="24" ht="19.5" customHeight="1">
      <c r="A24" s="2"/>
    </row>
    <row r="25" ht="19.5" customHeight="1">
      <c r="A25" s="2" t="s">
        <v>18</v>
      </c>
    </row>
    <row r="26" ht="19.5" customHeight="1">
      <c r="A26" s="2" t="s">
        <v>19</v>
      </c>
    </row>
    <row r="27" ht="19.5" customHeight="1">
      <c r="A27" s="2" t="s">
        <v>20</v>
      </c>
    </row>
    <row r="28" ht="19.5" customHeight="1">
      <c r="A28" s="2" t="s">
        <v>21</v>
      </c>
    </row>
    <row r="29" ht="19.5" customHeight="1">
      <c r="A29" s="2"/>
    </row>
    <row r="30" ht="19.5" customHeight="1">
      <c r="A30" s="2" t="s">
        <v>22</v>
      </c>
    </row>
    <row r="31" ht="19.5" customHeight="1">
      <c r="A31" s="2" t="s">
        <v>23</v>
      </c>
    </row>
    <row r="32" ht="19.5" customHeight="1">
      <c r="A32" s="2"/>
    </row>
    <row r="33" ht="19.5" customHeight="1">
      <c r="A33" s="2" t="s">
        <v>24</v>
      </c>
    </row>
    <row r="34" ht="19.5" customHeight="1">
      <c r="A34" s="2" t="s">
        <v>25</v>
      </c>
    </row>
    <row r="35" ht="19.5" customHeight="1">
      <c r="A35" s="2" t="s">
        <v>26</v>
      </c>
    </row>
    <row r="36" ht="19.5" customHeight="1">
      <c r="A36" s="2"/>
    </row>
    <row r="37" ht="19.5" customHeight="1">
      <c r="A37" s="2" t="s">
        <v>27</v>
      </c>
    </row>
    <row r="38" ht="19.5" customHeight="1">
      <c r="A38" s="2" t="s">
        <v>28</v>
      </c>
    </row>
    <row r="39" ht="19.5" customHeight="1">
      <c r="A39" s="2" t="s">
        <v>29</v>
      </c>
    </row>
    <row r="40" ht="19.5" customHeight="1">
      <c r="A40" s="2"/>
    </row>
    <row r="41" ht="19.5" customHeight="1">
      <c r="A41" s="2" t="s">
        <v>30</v>
      </c>
    </row>
    <row r="42" ht="19.5" customHeight="1">
      <c r="A42" s="2" t="s">
        <v>31</v>
      </c>
    </row>
    <row r="43" ht="19.5" customHeight="1">
      <c r="A43" s="2"/>
    </row>
    <row r="44" ht="19.5" customHeight="1">
      <c r="A44" s="2" t="s">
        <v>32</v>
      </c>
    </row>
    <row r="45" ht="19.5" customHeight="1">
      <c r="A45" s="2" t="s">
        <v>33</v>
      </c>
    </row>
    <row r="46" ht="19.5" customHeight="1">
      <c r="A46" s="2" t="s">
        <v>34</v>
      </c>
    </row>
    <row r="47" ht="19.5" customHeight="1">
      <c r="A47" s="2" t="s">
        <v>35</v>
      </c>
    </row>
    <row r="48" ht="19.5" customHeight="1">
      <c r="A48" s="2"/>
    </row>
    <row r="49" ht="19.5" customHeight="1">
      <c r="A49" s="2" t="s">
        <v>36</v>
      </c>
    </row>
    <row r="50" ht="19.5" customHeight="1">
      <c r="A50" s="2" t="s">
        <v>37</v>
      </c>
    </row>
    <row r="51" ht="19.5" customHeight="1">
      <c r="A51" s="2" t="s">
        <v>38</v>
      </c>
    </row>
    <row r="52" ht="19.5" customHeight="1">
      <c r="A52" s="2" t="s">
        <v>39</v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5" footer="0.0" header="0.0" left="0.5" right="0.5" top="0.5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3" width="15.0"/>
    <col customWidth="1" min="4" max="4" width="20.0"/>
    <col customWidth="1" min="5" max="26" width="8.71"/>
  </cols>
  <sheetData>
    <row r="1">
      <c r="A1" s="3" t="s">
        <v>40</v>
      </c>
      <c r="B1" s="4"/>
      <c r="D1" s="3" t="s">
        <v>41</v>
      </c>
      <c r="E1" s="4"/>
    </row>
    <row r="3">
      <c r="A3" s="5" t="s">
        <v>42</v>
      </c>
      <c r="D3" s="5" t="s">
        <v>43</v>
      </c>
    </row>
    <row r="4">
      <c r="A4" s="5" t="s">
        <v>44</v>
      </c>
      <c r="D4" s="5" t="s">
        <v>45</v>
      </c>
    </row>
    <row r="5">
      <c r="D5" s="5" t="s">
        <v>46</v>
      </c>
    </row>
    <row r="6">
      <c r="D6" s="5" t="s">
        <v>47</v>
      </c>
    </row>
    <row r="7">
      <c r="D7" s="5" t="s">
        <v>48</v>
      </c>
    </row>
    <row r="8">
      <c r="D8" s="5" t="s">
        <v>49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B1"/>
    <mergeCell ref="D1:E1"/>
  </mergeCells>
  <printOptions/>
  <pageMargins bottom="0.5" footer="0.0" header="0.0" left="0.5" right="0.5" top="0.5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5.0"/>
    <col customWidth="1" min="2" max="3" width="20.0"/>
    <col customWidth="1" min="4" max="26" width="8.71"/>
  </cols>
  <sheetData>
    <row r="1" ht="24.75" customHeight="1">
      <c r="A1" s="6" t="s">
        <v>50</v>
      </c>
      <c r="B1" s="7"/>
      <c r="C1" s="4"/>
    </row>
    <row r="3">
      <c r="A3" s="8" t="s">
        <v>51</v>
      </c>
    </row>
    <row r="4">
      <c r="A4" s="9" t="s">
        <v>52</v>
      </c>
      <c r="B4" s="10">
        <f>IFERROR(COUNTIF('03_Rooms'!D:D,"ว่าง"),0)</f>
        <v>4</v>
      </c>
    </row>
    <row r="5">
      <c r="A5" s="9" t="s">
        <v>53</v>
      </c>
      <c r="B5" s="11">
        <f>IFERROR(COUNTIF('03_Rooms'!D:D,"ไม่ว่าง"),0)</f>
        <v>3</v>
      </c>
    </row>
    <row r="6">
      <c r="A6" s="9" t="s">
        <v>54</v>
      </c>
      <c r="B6" s="12">
        <f>IFERROR(IF(COUNTA('03_Rooms'!A4:A100)=0,0,(COUNTA('03_Rooms'!A4:A100)-COUNTIF('03_Rooms'!D:D,"ว่าง"))/COUNTA('03_Rooms'!A4:A100)*100),0)</f>
        <v>50</v>
      </c>
    </row>
    <row r="7">
      <c r="A7" s="9" t="s">
        <v>55</v>
      </c>
      <c r="B7" s="13">
        <f>IFERROR(SUMIF('04_Reservations'!I:I,"สำเร็จ",'04_Reservations'!H:H),0)</f>
        <v>0</v>
      </c>
    </row>
    <row r="8">
      <c r="A8" s="9" t="s">
        <v>56</v>
      </c>
      <c r="B8" s="14">
        <f>IFERROR(SUM('06_Expenses'!C:C),0)</f>
        <v>26000</v>
      </c>
    </row>
    <row r="9">
      <c r="A9" s="9" t="s">
        <v>57</v>
      </c>
      <c r="B9" s="15">
        <f>B7-B8</f>
        <v>-26000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conditionalFormatting sqref="B4">
    <cfRule type="cellIs" dxfId="0" priority="1" operator="greaterThan">
      <formula>5</formula>
    </cfRule>
  </conditionalFormatting>
  <conditionalFormatting sqref="B5">
    <cfRule type="cellIs" dxfId="1" priority="2" operator="greaterThan">
      <formula>10</formula>
    </cfRule>
  </conditionalFormatting>
  <printOptions/>
  <pageMargins bottom="0.5" footer="0.0" header="0.0" left="0.5" right="0.5" top="0.5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0.0"/>
    <col customWidth="1" min="2" max="2" width="40.0"/>
    <col customWidth="1" min="3" max="26" width="8.71"/>
  </cols>
  <sheetData>
    <row r="1">
      <c r="A1" s="3" t="s">
        <v>58</v>
      </c>
      <c r="B1" s="4"/>
    </row>
    <row r="3">
      <c r="A3" s="16" t="s">
        <v>59</v>
      </c>
      <c r="B3" s="17" t="s">
        <v>60</v>
      </c>
    </row>
    <row r="4">
      <c r="A4" s="16" t="s">
        <v>61</v>
      </c>
      <c r="B4" s="17" t="s">
        <v>62</v>
      </c>
    </row>
    <row r="5">
      <c r="A5" s="16" t="s">
        <v>63</v>
      </c>
      <c r="B5" s="17" t="s">
        <v>64</v>
      </c>
    </row>
    <row r="6">
      <c r="A6" s="16" t="s">
        <v>65</v>
      </c>
      <c r="B6" s="17" t="s">
        <v>66</v>
      </c>
    </row>
    <row r="7">
      <c r="A7" s="16" t="s">
        <v>67</v>
      </c>
      <c r="B7" s="17" t="s">
        <v>68</v>
      </c>
    </row>
    <row r="8">
      <c r="A8" s="16" t="s">
        <v>69</v>
      </c>
      <c r="B8" s="17" t="s">
        <v>70</v>
      </c>
    </row>
    <row r="9">
      <c r="A9" s="16" t="s">
        <v>71</v>
      </c>
      <c r="B9" s="17" t="s">
        <v>72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printOptions/>
  <pageMargins bottom="0.5" footer="0.0" header="0.0" left="0.5" right="0.5" top="0.5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2" width="15.0"/>
    <col customWidth="1" min="3" max="3" width="17.43"/>
    <col customWidth="1" min="4" max="26" width="8.71"/>
  </cols>
  <sheetData>
    <row r="1">
      <c r="A1" s="3" t="s">
        <v>73</v>
      </c>
      <c r="B1" s="7"/>
      <c r="C1" s="4"/>
    </row>
    <row r="3">
      <c r="A3" s="18" t="s">
        <v>74</v>
      </c>
      <c r="B3" s="18" t="s">
        <v>75</v>
      </c>
      <c r="C3" s="18" t="s">
        <v>76</v>
      </c>
    </row>
    <row r="4">
      <c r="A4" s="19" t="s">
        <v>77</v>
      </c>
      <c r="B4" s="5">
        <v>10.0</v>
      </c>
      <c r="C4" s="20">
        <v>400.0</v>
      </c>
    </row>
    <row r="5">
      <c r="A5" s="19" t="s">
        <v>78</v>
      </c>
      <c r="B5" s="5">
        <v>15.0</v>
      </c>
      <c r="C5" s="20">
        <v>500.0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rintOptions/>
  <pageMargins bottom="0.5" footer="0.0" header="0.0" left="0.5" right="0.5" top="0.5"/>
  <pageSetup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2.0"/>
    <col customWidth="1" min="2" max="3" width="15.0"/>
    <col customWidth="1" min="4" max="4" width="12.0"/>
    <col customWidth="1" min="5" max="5" width="15.0"/>
    <col customWidth="1" min="6" max="26" width="8.71"/>
  </cols>
  <sheetData>
    <row r="1">
      <c r="A1" s="3" t="s">
        <v>79</v>
      </c>
      <c r="B1" s="7"/>
      <c r="C1" s="7"/>
      <c r="D1" s="7"/>
      <c r="E1" s="4"/>
    </row>
    <row r="3">
      <c r="A3" s="18" t="s">
        <v>80</v>
      </c>
      <c r="B3" s="18" t="s">
        <v>74</v>
      </c>
      <c r="C3" s="18" t="s">
        <v>81</v>
      </c>
      <c r="D3" s="18" t="s">
        <v>82</v>
      </c>
      <c r="E3" s="18" t="s">
        <v>83</v>
      </c>
    </row>
    <row r="4">
      <c r="A4" s="5" t="s">
        <v>84</v>
      </c>
      <c r="B4" s="5" t="s">
        <v>85</v>
      </c>
      <c r="C4" s="21" t="str">
        <f>VLOOKUP(B4,'02_Room_Master'!A:C,3,FALSE)</f>
        <v>#N/A</v>
      </c>
      <c r="D4" s="5" t="s">
        <v>86</v>
      </c>
      <c r="E4" s="5"/>
    </row>
    <row r="5">
      <c r="A5" s="5" t="s">
        <v>87</v>
      </c>
      <c r="B5" s="5" t="s">
        <v>85</v>
      </c>
      <c r="C5" s="21" t="str">
        <f>VLOOKUP(B5,'02_Room_Master'!A:C,3,FALSE)</f>
        <v>#N/A</v>
      </c>
      <c r="D5" s="5" t="s">
        <v>88</v>
      </c>
      <c r="E5" s="5" t="s">
        <v>89</v>
      </c>
    </row>
    <row r="6">
      <c r="A6" s="5" t="s">
        <v>90</v>
      </c>
      <c r="B6" s="5" t="s">
        <v>91</v>
      </c>
      <c r="C6" s="21" t="str">
        <f>VLOOKUP(B6,'02_Room_Master'!A:C,3,FALSE)</f>
        <v>#N/A</v>
      </c>
      <c r="D6" s="5" t="s">
        <v>86</v>
      </c>
      <c r="E6" s="5"/>
    </row>
    <row r="7">
      <c r="A7" s="5" t="s">
        <v>92</v>
      </c>
      <c r="B7" s="5" t="s">
        <v>91</v>
      </c>
      <c r="C7" s="21" t="str">
        <f>VLOOKUP(B7,'02_Room_Master'!A:C,3,FALSE)</f>
        <v>#N/A</v>
      </c>
      <c r="D7" s="5" t="s">
        <v>88</v>
      </c>
      <c r="E7" s="5" t="s">
        <v>89</v>
      </c>
    </row>
    <row r="8">
      <c r="A8" s="5" t="s">
        <v>93</v>
      </c>
      <c r="B8" s="5" t="s">
        <v>91</v>
      </c>
      <c r="C8" s="21" t="str">
        <f>VLOOKUP(B8,'02_Room_Master'!A:C,3,FALSE)</f>
        <v>#N/A</v>
      </c>
      <c r="D8" s="5" t="s">
        <v>94</v>
      </c>
      <c r="E8" s="5" t="s">
        <v>95</v>
      </c>
    </row>
    <row r="9">
      <c r="A9" s="5" t="s">
        <v>96</v>
      </c>
      <c r="B9" s="5" t="s">
        <v>97</v>
      </c>
      <c r="C9" s="21" t="str">
        <f>VLOOKUP(B9,'02_Room_Master'!A:C,3,FALSE)</f>
        <v>#N/A</v>
      </c>
      <c r="D9" s="5" t="s">
        <v>86</v>
      </c>
      <c r="E9" s="5"/>
    </row>
    <row r="10">
      <c r="A10" s="5" t="s">
        <v>98</v>
      </c>
      <c r="B10" s="5" t="s">
        <v>97</v>
      </c>
      <c r="C10" s="21" t="str">
        <f>VLOOKUP(B10,'02_Room_Master'!A:C,3,FALSE)</f>
        <v>#N/A</v>
      </c>
      <c r="D10" s="5" t="s">
        <v>88</v>
      </c>
      <c r="E10" s="5" t="s">
        <v>89</v>
      </c>
    </row>
    <row r="11">
      <c r="A11" s="5" t="s">
        <v>99</v>
      </c>
      <c r="B11" s="5" t="s">
        <v>85</v>
      </c>
      <c r="C11" s="21" t="str">
        <f>VLOOKUP(B11,'02_Room_Master'!A:C,3,FALSE)</f>
        <v>#N/A</v>
      </c>
      <c r="D11" s="5" t="s">
        <v>86</v>
      </c>
      <c r="E11" s="5"/>
    </row>
    <row r="12">
      <c r="D12" s="9"/>
    </row>
    <row r="13">
      <c r="D13" s="9"/>
    </row>
    <row r="14">
      <c r="D14" s="9"/>
    </row>
    <row r="15">
      <c r="D15" s="9"/>
    </row>
    <row r="16">
      <c r="D16" s="9"/>
    </row>
    <row r="17">
      <c r="D17" s="9"/>
    </row>
    <row r="18">
      <c r="D18" s="9"/>
    </row>
    <row r="19">
      <c r="D19" s="9"/>
    </row>
    <row r="20">
      <c r="D20" s="9"/>
    </row>
    <row r="21" ht="15.75" customHeight="1">
      <c r="D21" s="9"/>
    </row>
    <row r="22" ht="15.75" customHeight="1">
      <c r="D22" s="9"/>
    </row>
    <row r="23" ht="15.75" customHeight="1">
      <c r="D23" s="9"/>
    </row>
    <row r="24" ht="15.75" customHeight="1">
      <c r="D24" s="9"/>
    </row>
    <row r="25" ht="15.75" customHeight="1">
      <c r="D25" s="9"/>
    </row>
    <row r="26" ht="15.75" customHeight="1">
      <c r="D26" s="9"/>
    </row>
    <row r="27" ht="15.75" customHeight="1">
      <c r="D27" s="9"/>
    </row>
    <row r="28" ht="15.75" customHeight="1">
      <c r="D28" s="9"/>
    </row>
    <row r="29" ht="15.75" customHeight="1">
      <c r="D29" s="9"/>
    </row>
    <row r="30" ht="15.75" customHeight="1">
      <c r="D30" s="9"/>
    </row>
    <row r="31" ht="15.75" customHeight="1">
      <c r="D31" s="9"/>
    </row>
    <row r="32" ht="15.75" customHeight="1">
      <c r="D32" s="9"/>
    </row>
    <row r="33" ht="15.75" customHeight="1">
      <c r="D33" s="9"/>
    </row>
    <row r="34" ht="15.75" customHeight="1">
      <c r="D34" s="9"/>
    </row>
    <row r="35" ht="15.75" customHeight="1">
      <c r="D35" s="9"/>
    </row>
    <row r="36" ht="15.75" customHeight="1">
      <c r="D36" s="9"/>
    </row>
    <row r="37" ht="15.75" customHeight="1">
      <c r="D37" s="9"/>
    </row>
    <row r="38" ht="15.75" customHeight="1">
      <c r="D38" s="9"/>
    </row>
    <row r="39" ht="15.75" customHeight="1">
      <c r="D39" s="9"/>
    </row>
    <row r="40" ht="15.75" customHeight="1">
      <c r="D40" s="9"/>
    </row>
    <row r="41" ht="15.75" customHeight="1">
      <c r="D41" s="9"/>
    </row>
    <row r="42" ht="15.75" customHeight="1">
      <c r="D42" s="9"/>
    </row>
    <row r="43" ht="15.75" customHeight="1">
      <c r="D43" s="9"/>
    </row>
    <row r="44" ht="15.75" customHeight="1">
      <c r="D44" s="9"/>
    </row>
    <row r="45" ht="15.75" customHeight="1">
      <c r="D45" s="9"/>
    </row>
    <row r="46" ht="15.75" customHeight="1">
      <c r="D46" s="9"/>
    </row>
    <row r="47" ht="15.75" customHeight="1">
      <c r="D47" s="9"/>
    </row>
    <row r="48" ht="15.75" customHeight="1">
      <c r="D48" s="9"/>
    </row>
    <row r="49" ht="15.75" customHeight="1">
      <c r="D49" s="9"/>
    </row>
    <row r="50" ht="15.75" customHeight="1">
      <c r="D50" s="9"/>
    </row>
    <row r="51" ht="15.75" customHeight="1">
      <c r="D51" s="9"/>
    </row>
    <row r="52" ht="15.75" customHeight="1">
      <c r="D52" s="9"/>
    </row>
    <row r="53" ht="15.75" customHeight="1">
      <c r="D53" s="9"/>
    </row>
    <row r="54" ht="15.75" customHeight="1">
      <c r="D54" s="9"/>
    </row>
    <row r="55" ht="15.75" customHeight="1">
      <c r="D55" s="9"/>
    </row>
    <row r="56" ht="15.75" customHeight="1">
      <c r="D56" s="9"/>
    </row>
    <row r="57" ht="15.75" customHeight="1">
      <c r="D57" s="9"/>
    </row>
    <row r="58" ht="15.75" customHeight="1">
      <c r="D58" s="9"/>
    </row>
    <row r="59" ht="15.75" customHeight="1">
      <c r="D59" s="9"/>
    </row>
    <row r="60" ht="15.75" customHeight="1">
      <c r="D60" s="9"/>
    </row>
    <row r="61" ht="15.75" customHeight="1">
      <c r="D61" s="9"/>
    </row>
    <row r="62" ht="15.75" customHeight="1">
      <c r="D62" s="9"/>
    </row>
    <row r="63" ht="15.75" customHeight="1">
      <c r="D63" s="9"/>
    </row>
    <row r="64" ht="15.75" customHeight="1">
      <c r="D64" s="9"/>
    </row>
    <row r="65" ht="15.75" customHeight="1">
      <c r="D65" s="9"/>
    </row>
    <row r="66" ht="15.75" customHeight="1">
      <c r="D66" s="9"/>
    </row>
    <row r="67" ht="15.75" customHeight="1">
      <c r="D67" s="9"/>
    </row>
    <row r="68" ht="15.75" customHeight="1">
      <c r="D68" s="9"/>
    </row>
    <row r="69" ht="15.75" customHeight="1">
      <c r="D69" s="9"/>
    </row>
    <row r="70" ht="15.75" customHeight="1">
      <c r="D70" s="9"/>
    </row>
    <row r="71" ht="15.75" customHeight="1">
      <c r="D71" s="9"/>
    </row>
    <row r="72" ht="15.75" customHeight="1">
      <c r="D72" s="9"/>
    </row>
    <row r="73" ht="15.75" customHeight="1">
      <c r="D73" s="9"/>
    </row>
    <row r="74" ht="15.75" customHeight="1">
      <c r="D74" s="9"/>
    </row>
    <row r="75" ht="15.75" customHeight="1">
      <c r="D75" s="9"/>
    </row>
    <row r="76" ht="15.75" customHeight="1">
      <c r="D76" s="9"/>
    </row>
    <row r="77" ht="15.75" customHeight="1">
      <c r="D77" s="9"/>
    </row>
    <row r="78" ht="15.75" customHeight="1">
      <c r="D78" s="9"/>
    </row>
    <row r="79" ht="15.75" customHeight="1">
      <c r="D79" s="9"/>
    </row>
    <row r="80" ht="15.75" customHeight="1">
      <c r="D80" s="9"/>
    </row>
    <row r="81" ht="15.75" customHeight="1">
      <c r="D81" s="9"/>
    </row>
    <row r="82" ht="15.75" customHeight="1">
      <c r="D82" s="9"/>
    </row>
    <row r="83" ht="15.75" customHeight="1">
      <c r="D83" s="9"/>
    </row>
    <row r="84" ht="15.75" customHeight="1">
      <c r="D84" s="9"/>
    </row>
    <row r="85" ht="15.75" customHeight="1">
      <c r="D85" s="9"/>
    </row>
    <row r="86" ht="15.75" customHeight="1">
      <c r="D86" s="9"/>
    </row>
    <row r="87" ht="15.75" customHeight="1">
      <c r="D87" s="9"/>
    </row>
    <row r="88" ht="15.75" customHeight="1">
      <c r="D88" s="9"/>
    </row>
    <row r="89" ht="15.75" customHeight="1">
      <c r="D89" s="9"/>
    </row>
    <row r="90" ht="15.75" customHeight="1">
      <c r="D90" s="9"/>
    </row>
    <row r="91" ht="15.75" customHeight="1">
      <c r="D91" s="9"/>
    </row>
    <row r="92" ht="15.75" customHeight="1">
      <c r="D92" s="9"/>
    </row>
    <row r="93" ht="15.75" customHeight="1">
      <c r="D93" s="9"/>
    </row>
    <row r="94" ht="15.75" customHeight="1">
      <c r="D94" s="9"/>
    </row>
    <row r="95" ht="15.75" customHeight="1">
      <c r="D95" s="9"/>
    </row>
    <row r="96" ht="15.75" customHeight="1">
      <c r="D96" s="9"/>
    </row>
    <row r="97" ht="15.75" customHeight="1">
      <c r="D97" s="9"/>
    </row>
    <row r="98" ht="15.75" customHeight="1">
      <c r="D98" s="9"/>
    </row>
    <row r="99" ht="15.75" customHeight="1">
      <c r="D99" s="9"/>
    </row>
    <row r="100" ht="15.75" customHeight="1">
      <c r="D100" s="9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dataValidations>
    <dataValidation type="list" allowBlank="1" sqref="D4:D100">
      <formula1>"ว่าง,ไม่ว่าง,ซ่อมแซม"</formula1>
    </dataValidation>
  </dataValidations>
  <printOptions/>
  <pageMargins bottom="0.5" footer="0.0" header="0.0" left="0.5" right="0.5" top="0.5"/>
  <pageSetup paperSize="9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2.0"/>
    <col customWidth="1" min="2" max="2" width="15.0"/>
    <col customWidth="1" min="3" max="6" width="12.0"/>
    <col customWidth="1" min="7" max="8" width="15.0"/>
    <col customWidth="1" min="9" max="9" width="11.71"/>
    <col customWidth="1" min="10" max="10" width="13.14"/>
    <col customWidth="1" min="11" max="26" width="8.71"/>
  </cols>
  <sheetData>
    <row r="1">
      <c r="A1" s="3" t="s">
        <v>100</v>
      </c>
      <c r="B1" s="7"/>
      <c r="C1" s="7"/>
      <c r="D1" s="7"/>
      <c r="E1" s="7"/>
      <c r="F1" s="7"/>
      <c r="G1" s="7"/>
      <c r="H1" s="7"/>
      <c r="I1" s="7"/>
      <c r="J1" s="4"/>
    </row>
    <row r="3">
      <c r="A3" s="22" t="s">
        <v>101</v>
      </c>
      <c r="B3" s="22" t="s">
        <v>102</v>
      </c>
      <c r="C3" s="22" t="s">
        <v>103</v>
      </c>
      <c r="D3" s="22" t="s">
        <v>104</v>
      </c>
      <c r="E3" s="22" t="s">
        <v>74</v>
      </c>
      <c r="F3" s="22" t="s">
        <v>105</v>
      </c>
      <c r="G3" s="22" t="s">
        <v>106</v>
      </c>
      <c r="H3" s="22" t="s">
        <v>107</v>
      </c>
      <c r="I3" s="22" t="s">
        <v>82</v>
      </c>
      <c r="J3" s="22" t="s">
        <v>108</v>
      </c>
    </row>
    <row r="4">
      <c r="A4" s="5" t="s">
        <v>109</v>
      </c>
      <c r="B4" s="5" t="s">
        <v>110</v>
      </c>
      <c r="C4" s="23" t="s">
        <v>111</v>
      </c>
      <c r="D4" s="23" t="s">
        <v>112</v>
      </c>
      <c r="E4" s="5" t="s">
        <v>91</v>
      </c>
      <c r="F4" s="24">
        <f t="shared" ref="F4:F6" si="1">D4-C4</f>
        <v>2</v>
      </c>
      <c r="G4" s="21" t="str">
        <f>VLOOKUP(E4,'02_Room_Master'!A:C,3,FALSE)</f>
        <v>#N/A</v>
      </c>
      <c r="H4" s="21" t="str">
        <f t="shared" ref="H4:H6" si="2">IF(F4&gt;0,F4*G4,0)</f>
        <v>#N/A</v>
      </c>
      <c r="I4" s="5" t="s">
        <v>113</v>
      </c>
      <c r="J4" s="19" t="s">
        <v>114</v>
      </c>
    </row>
    <row r="5">
      <c r="A5" s="5" t="s">
        <v>115</v>
      </c>
      <c r="B5" s="5" t="s">
        <v>116</v>
      </c>
      <c r="C5" s="23" t="s">
        <v>117</v>
      </c>
      <c r="D5" s="23" t="s">
        <v>118</v>
      </c>
      <c r="E5" s="5" t="s">
        <v>85</v>
      </c>
      <c r="F5" s="24">
        <f t="shared" si="1"/>
        <v>2</v>
      </c>
      <c r="G5" s="21" t="str">
        <f>VLOOKUP(E5,'02_Room_Master'!A:C,3,FALSE)</f>
        <v>#N/A</v>
      </c>
      <c r="H5" s="21" t="str">
        <f t="shared" si="2"/>
        <v>#N/A</v>
      </c>
      <c r="I5" s="5" t="s">
        <v>119</v>
      </c>
      <c r="J5" s="5" t="s">
        <v>42</v>
      </c>
    </row>
    <row r="6">
      <c r="A6" s="5" t="s">
        <v>120</v>
      </c>
      <c r="B6" s="5" t="s">
        <v>121</v>
      </c>
      <c r="C6" s="23" t="s">
        <v>112</v>
      </c>
      <c r="D6" s="23" t="s">
        <v>122</v>
      </c>
      <c r="E6" s="5" t="s">
        <v>97</v>
      </c>
      <c r="F6" s="24">
        <f t="shared" si="1"/>
        <v>3</v>
      </c>
      <c r="G6" s="21" t="str">
        <f>VLOOKUP(E6,'02_Room_Master'!A:C,3,FALSE)</f>
        <v>#N/A</v>
      </c>
      <c r="H6" s="21" t="str">
        <f t="shared" si="2"/>
        <v>#N/A</v>
      </c>
      <c r="I6" s="5" t="s">
        <v>113</v>
      </c>
      <c r="J6" s="5" t="s">
        <v>44</v>
      </c>
    </row>
    <row r="7">
      <c r="I7" s="9"/>
      <c r="J7" s="9"/>
    </row>
    <row r="8">
      <c r="I8" s="9"/>
      <c r="J8" s="9"/>
    </row>
    <row r="9">
      <c r="I9" s="9"/>
      <c r="J9" s="9"/>
    </row>
    <row r="10">
      <c r="I10" s="9"/>
      <c r="J10" s="9"/>
    </row>
    <row r="11">
      <c r="I11" s="9"/>
      <c r="J11" s="9"/>
    </row>
    <row r="12">
      <c r="I12" s="9"/>
      <c r="J12" s="9"/>
    </row>
    <row r="13">
      <c r="I13" s="9"/>
      <c r="J13" s="9"/>
    </row>
    <row r="14">
      <c r="I14" s="9"/>
      <c r="J14" s="9"/>
    </row>
    <row r="15">
      <c r="I15" s="9"/>
      <c r="J15" s="9"/>
    </row>
    <row r="16">
      <c r="I16" s="9"/>
      <c r="J16" s="9"/>
    </row>
    <row r="17">
      <c r="I17" s="9"/>
      <c r="J17" s="9"/>
    </row>
    <row r="18">
      <c r="I18" s="9"/>
      <c r="J18" s="9"/>
    </row>
    <row r="19">
      <c r="I19" s="9"/>
      <c r="J19" s="9"/>
    </row>
    <row r="20">
      <c r="I20" s="9"/>
      <c r="J20" s="9"/>
    </row>
    <row r="21" ht="15.75" customHeight="1">
      <c r="I21" s="9"/>
      <c r="J21" s="9"/>
    </row>
    <row r="22" ht="15.75" customHeight="1">
      <c r="I22" s="9"/>
      <c r="J22" s="9"/>
    </row>
    <row r="23" ht="15.75" customHeight="1">
      <c r="I23" s="9"/>
      <c r="J23" s="9"/>
    </row>
    <row r="24" ht="15.75" customHeight="1">
      <c r="I24" s="9"/>
      <c r="J24" s="9"/>
    </row>
    <row r="25" ht="15.75" customHeight="1">
      <c r="I25" s="9"/>
      <c r="J25" s="9"/>
    </row>
    <row r="26" ht="15.75" customHeight="1">
      <c r="I26" s="9"/>
      <c r="J26" s="9"/>
    </row>
    <row r="27" ht="15.75" customHeight="1">
      <c r="I27" s="9"/>
      <c r="J27" s="9"/>
    </row>
    <row r="28" ht="15.75" customHeight="1">
      <c r="I28" s="9"/>
      <c r="J28" s="9"/>
    </row>
    <row r="29" ht="15.75" customHeight="1">
      <c r="I29" s="9"/>
      <c r="J29" s="9"/>
    </row>
    <row r="30" ht="15.75" customHeight="1">
      <c r="I30" s="9"/>
      <c r="J30" s="9"/>
    </row>
    <row r="31" ht="15.75" customHeight="1">
      <c r="I31" s="9"/>
      <c r="J31" s="9"/>
    </row>
    <row r="32" ht="15.75" customHeight="1">
      <c r="I32" s="9"/>
      <c r="J32" s="9"/>
    </row>
    <row r="33" ht="15.75" customHeight="1">
      <c r="I33" s="9"/>
      <c r="J33" s="9"/>
    </row>
    <row r="34" ht="15.75" customHeight="1">
      <c r="I34" s="9"/>
      <c r="J34" s="9"/>
    </row>
    <row r="35" ht="15.75" customHeight="1">
      <c r="I35" s="9"/>
      <c r="J35" s="9"/>
    </row>
    <row r="36" ht="15.75" customHeight="1">
      <c r="I36" s="9"/>
      <c r="J36" s="9"/>
    </row>
    <row r="37" ht="15.75" customHeight="1">
      <c r="I37" s="9"/>
      <c r="J37" s="9"/>
    </row>
    <row r="38" ht="15.75" customHeight="1">
      <c r="I38" s="9"/>
      <c r="J38" s="9"/>
    </row>
    <row r="39" ht="15.75" customHeight="1">
      <c r="I39" s="9"/>
      <c r="J39" s="9"/>
    </row>
    <row r="40" ht="15.75" customHeight="1">
      <c r="I40" s="9"/>
      <c r="J40" s="9"/>
    </row>
    <row r="41" ht="15.75" customHeight="1">
      <c r="I41" s="9"/>
      <c r="J41" s="9"/>
    </row>
    <row r="42" ht="15.75" customHeight="1">
      <c r="I42" s="9"/>
      <c r="J42" s="9"/>
    </row>
    <row r="43" ht="15.75" customHeight="1">
      <c r="I43" s="9"/>
      <c r="J43" s="9"/>
    </row>
    <row r="44" ht="15.75" customHeight="1">
      <c r="I44" s="9"/>
      <c r="J44" s="9"/>
    </row>
    <row r="45" ht="15.75" customHeight="1">
      <c r="I45" s="9"/>
      <c r="J45" s="9"/>
    </row>
    <row r="46" ht="15.75" customHeight="1">
      <c r="I46" s="9"/>
      <c r="J46" s="9"/>
    </row>
    <row r="47" ht="15.75" customHeight="1">
      <c r="I47" s="9"/>
      <c r="J47" s="9"/>
    </row>
    <row r="48" ht="15.75" customHeight="1">
      <c r="I48" s="9"/>
      <c r="J48" s="9"/>
    </row>
    <row r="49" ht="15.75" customHeight="1">
      <c r="I49" s="9"/>
      <c r="J49" s="9"/>
    </row>
    <row r="50" ht="15.75" customHeight="1">
      <c r="I50" s="9"/>
      <c r="J50" s="9"/>
    </row>
    <row r="51" ht="15.75" customHeight="1">
      <c r="I51" s="9"/>
      <c r="J51" s="9"/>
    </row>
    <row r="52" ht="15.75" customHeight="1">
      <c r="I52" s="9"/>
      <c r="J52" s="9"/>
    </row>
    <row r="53" ht="15.75" customHeight="1">
      <c r="I53" s="9"/>
      <c r="J53" s="9"/>
    </row>
    <row r="54" ht="15.75" customHeight="1">
      <c r="I54" s="9"/>
      <c r="J54" s="9"/>
    </row>
    <row r="55" ht="15.75" customHeight="1">
      <c r="I55" s="9"/>
      <c r="J55" s="9"/>
    </row>
    <row r="56" ht="15.75" customHeight="1">
      <c r="I56" s="9"/>
      <c r="J56" s="9"/>
    </row>
    <row r="57" ht="15.75" customHeight="1">
      <c r="I57" s="9"/>
      <c r="J57" s="9"/>
    </row>
    <row r="58" ht="15.75" customHeight="1">
      <c r="I58" s="9"/>
      <c r="J58" s="9"/>
    </row>
    <row r="59" ht="15.75" customHeight="1">
      <c r="I59" s="9"/>
      <c r="J59" s="9"/>
    </row>
    <row r="60" ht="15.75" customHeight="1">
      <c r="I60" s="9"/>
      <c r="J60" s="9"/>
    </row>
    <row r="61" ht="15.75" customHeight="1">
      <c r="I61" s="9"/>
      <c r="J61" s="9"/>
    </row>
    <row r="62" ht="15.75" customHeight="1">
      <c r="I62" s="9"/>
      <c r="J62" s="9"/>
    </row>
    <row r="63" ht="15.75" customHeight="1">
      <c r="I63" s="9"/>
      <c r="J63" s="9"/>
    </row>
    <row r="64" ht="15.75" customHeight="1">
      <c r="I64" s="9"/>
      <c r="J64" s="9"/>
    </row>
    <row r="65" ht="15.75" customHeight="1">
      <c r="I65" s="9"/>
      <c r="J65" s="9"/>
    </row>
    <row r="66" ht="15.75" customHeight="1">
      <c r="I66" s="9"/>
      <c r="J66" s="9"/>
    </row>
    <row r="67" ht="15.75" customHeight="1">
      <c r="I67" s="9"/>
      <c r="J67" s="9"/>
    </row>
    <row r="68" ht="15.75" customHeight="1">
      <c r="I68" s="9"/>
      <c r="J68" s="9"/>
    </row>
    <row r="69" ht="15.75" customHeight="1">
      <c r="I69" s="9"/>
      <c r="J69" s="9"/>
    </row>
    <row r="70" ht="15.75" customHeight="1">
      <c r="I70" s="9"/>
      <c r="J70" s="9"/>
    </row>
    <row r="71" ht="15.75" customHeight="1">
      <c r="I71" s="9"/>
      <c r="J71" s="9"/>
    </row>
    <row r="72" ht="15.75" customHeight="1">
      <c r="I72" s="9"/>
      <c r="J72" s="9"/>
    </row>
    <row r="73" ht="15.75" customHeight="1">
      <c r="I73" s="9"/>
      <c r="J73" s="9"/>
    </row>
    <row r="74" ht="15.75" customHeight="1">
      <c r="I74" s="9"/>
      <c r="J74" s="9"/>
    </row>
    <row r="75" ht="15.75" customHeight="1">
      <c r="I75" s="9"/>
      <c r="J75" s="9"/>
    </row>
    <row r="76" ht="15.75" customHeight="1">
      <c r="I76" s="9"/>
      <c r="J76" s="9"/>
    </row>
    <row r="77" ht="15.75" customHeight="1">
      <c r="I77" s="9"/>
      <c r="J77" s="9"/>
    </row>
    <row r="78" ht="15.75" customHeight="1">
      <c r="I78" s="9"/>
      <c r="J78" s="9"/>
    </row>
    <row r="79" ht="15.75" customHeight="1">
      <c r="I79" s="9"/>
      <c r="J79" s="9"/>
    </row>
    <row r="80" ht="15.75" customHeight="1">
      <c r="I80" s="9"/>
      <c r="J80" s="9"/>
    </row>
    <row r="81" ht="15.75" customHeight="1">
      <c r="I81" s="9"/>
      <c r="J81" s="9"/>
    </row>
    <row r="82" ht="15.75" customHeight="1">
      <c r="I82" s="9"/>
      <c r="J82" s="9"/>
    </row>
    <row r="83" ht="15.75" customHeight="1">
      <c r="I83" s="9"/>
      <c r="J83" s="9"/>
    </row>
    <row r="84" ht="15.75" customHeight="1">
      <c r="I84" s="9"/>
      <c r="J84" s="9"/>
    </row>
    <row r="85" ht="15.75" customHeight="1">
      <c r="I85" s="9"/>
      <c r="J85" s="9"/>
    </row>
    <row r="86" ht="15.75" customHeight="1">
      <c r="I86" s="9"/>
      <c r="J86" s="9"/>
    </row>
    <row r="87" ht="15.75" customHeight="1">
      <c r="I87" s="9"/>
      <c r="J87" s="9"/>
    </row>
    <row r="88" ht="15.75" customHeight="1">
      <c r="I88" s="9"/>
      <c r="J88" s="9"/>
    </row>
    <row r="89" ht="15.75" customHeight="1">
      <c r="I89" s="9"/>
      <c r="J89" s="9"/>
    </row>
    <row r="90" ht="15.75" customHeight="1">
      <c r="I90" s="9"/>
      <c r="J90" s="9"/>
    </row>
    <row r="91" ht="15.75" customHeight="1">
      <c r="I91" s="9"/>
      <c r="J91" s="9"/>
    </row>
    <row r="92" ht="15.75" customHeight="1">
      <c r="I92" s="9"/>
      <c r="J92" s="9"/>
    </row>
    <row r="93" ht="15.75" customHeight="1">
      <c r="I93" s="9"/>
      <c r="J93" s="9"/>
    </row>
    <row r="94" ht="15.75" customHeight="1">
      <c r="I94" s="9"/>
      <c r="J94" s="9"/>
    </row>
    <row r="95" ht="15.75" customHeight="1">
      <c r="I95" s="9"/>
      <c r="J95" s="9"/>
    </row>
    <row r="96" ht="15.75" customHeight="1">
      <c r="I96" s="9"/>
      <c r="J96" s="9"/>
    </row>
    <row r="97" ht="15.75" customHeight="1">
      <c r="I97" s="9"/>
      <c r="J97" s="9"/>
    </row>
    <row r="98" ht="15.75" customHeight="1">
      <c r="I98" s="9"/>
      <c r="J98" s="9"/>
    </row>
    <row r="99" ht="15.75" customHeight="1">
      <c r="I99" s="9"/>
      <c r="J99" s="9"/>
    </row>
    <row r="100" ht="15.75" customHeight="1">
      <c r="I100" s="9"/>
      <c r="J100" s="9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J1"/>
  </mergeCells>
  <dataValidations>
    <dataValidation type="list" allowBlank="1" sqref="J4:J100">
      <formula1>"โอนบัญชี,เงินสด"</formula1>
    </dataValidation>
    <dataValidation type="list" allowBlank="1" sqref="I4:I100">
      <formula1>"สำเร็จ,รอการยืนยัน,ยกเลิก"</formula1>
    </dataValidation>
  </dataValidations>
  <printOptions/>
  <pageMargins bottom="0.5" footer="0.0" header="0.0" left="0.5" right="0.5" top="0.5"/>
  <pageSetup paperSize="9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2.0"/>
    <col customWidth="1" min="2" max="3" width="15.0"/>
    <col customWidth="1" min="4" max="4" width="12.0"/>
    <col customWidth="1" min="5" max="5" width="15.0"/>
    <col customWidth="1" min="6" max="6" width="12.0"/>
    <col customWidth="1" min="7" max="26" width="8.71"/>
  </cols>
  <sheetData>
    <row r="1">
      <c r="A1" s="3" t="s">
        <v>123</v>
      </c>
      <c r="B1" s="7"/>
      <c r="C1" s="7"/>
      <c r="D1" s="7"/>
      <c r="E1" s="7"/>
      <c r="F1" s="4"/>
    </row>
    <row r="3">
      <c r="A3" s="18" t="s">
        <v>124</v>
      </c>
      <c r="B3" s="18" t="s">
        <v>125</v>
      </c>
      <c r="C3" s="18" t="s">
        <v>126</v>
      </c>
      <c r="D3" s="18" t="s">
        <v>127</v>
      </c>
      <c r="E3" s="18" t="s">
        <v>128</v>
      </c>
      <c r="F3" s="18" t="s">
        <v>129</v>
      </c>
    </row>
    <row r="4">
      <c r="A4" s="5" t="s">
        <v>130</v>
      </c>
      <c r="B4" s="5" t="s">
        <v>131</v>
      </c>
      <c r="C4" s="5" t="s">
        <v>69</v>
      </c>
      <c r="D4" s="5" t="s">
        <v>132</v>
      </c>
      <c r="E4" s="21">
        <v>50000.0</v>
      </c>
      <c r="F4" s="23" t="s">
        <v>133</v>
      </c>
    </row>
    <row r="5">
      <c r="A5" s="5" t="s">
        <v>134</v>
      </c>
      <c r="B5" s="5" t="s">
        <v>116</v>
      </c>
      <c r="C5" s="5" t="s">
        <v>135</v>
      </c>
      <c r="D5" s="5" t="s">
        <v>136</v>
      </c>
      <c r="E5" s="21">
        <v>20000.0</v>
      </c>
      <c r="F5" s="23" t="s">
        <v>137</v>
      </c>
    </row>
    <row r="6">
      <c r="A6" s="5" t="s">
        <v>138</v>
      </c>
      <c r="B6" s="5" t="s">
        <v>139</v>
      </c>
      <c r="C6" s="5" t="s">
        <v>140</v>
      </c>
      <c r="D6" s="5" t="s">
        <v>141</v>
      </c>
      <c r="E6" s="21">
        <v>15000.0</v>
      </c>
      <c r="F6" s="23" t="s">
        <v>142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0.5" footer="0.0" header="0.0" left="0.5" right="0.5" top="0.5"/>
  <pageSetup paperSize="9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2" width="12.0"/>
    <col customWidth="1" min="3" max="4" width="15.0"/>
    <col customWidth="1" min="5" max="5" width="30.0"/>
    <col customWidth="1" min="6" max="26" width="8.71"/>
  </cols>
  <sheetData>
    <row r="1">
      <c r="A1" s="3" t="s">
        <v>143</v>
      </c>
      <c r="B1" s="7"/>
      <c r="C1" s="7"/>
      <c r="D1" s="7"/>
      <c r="E1" s="4"/>
    </row>
    <row r="3">
      <c r="A3" s="18" t="s">
        <v>144</v>
      </c>
      <c r="B3" s="18" t="s">
        <v>145</v>
      </c>
      <c r="C3" s="18" t="s">
        <v>146</v>
      </c>
      <c r="D3" s="18" t="s">
        <v>147</v>
      </c>
      <c r="E3" s="18" t="s">
        <v>83</v>
      </c>
    </row>
    <row r="4">
      <c r="A4" s="23" t="s">
        <v>111</v>
      </c>
      <c r="B4" s="5" t="s">
        <v>43</v>
      </c>
      <c r="C4" s="21">
        <v>5000.0</v>
      </c>
      <c r="D4" s="5" t="s">
        <v>148</v>
      </c>
      <c r="E4" s="5" t="s">
        <v>149</v>
      </c>
    </row>
    <row r="5">
      <c r="A5" s="23" t="s">
        <v>111</v>
      </c>
      <c r="B5" s="5" t="s">
        <v>45</v>
      </c>
      <c r="C5" s="21">
        <v>8000.0</v>
      </c>
      <c r="D5" s="5" t="s">
        <v>148</v>
      </c>
      <c r="E5" s="5" t="s">
        <v>150</v>
      </c>
    </row>
    <row r="6">
      <c r="A6" s="23" t="s">
        <v>117</v>
      </c>
      <c r="B6" s="5" t="s">
        <v>46</v>
      </c>
      <c r="C6" s="21">
        <v>3000.0</v>
      </c>
      <c r="D6" s="5" t="s">
        <v>151</v>
      </c>
      <c r="E6" s="5" t="s">
        <v>152</v>
      </c>
    </row>
    <row r="7">
      <c r="A7" s="23" t="s">
        <v>117</v>
      </c>
      <c r="B7" s="5" t="s">
        <v>47</v>
      </c>
      <c r="C7" s="21">
        <v>2500.0</v>
      </c>
      <c r="D7" s="5" t="s">
        <v>153</v>
      </c>
      <c r="E7" s="5" t="s">
        <v>154</v>
      </c>
    </row>
    <row r="8">
      <c r="A8" s="23" t="s">
        <v>112</v>
      </c>
      <c r="B8" s="5" t="s">
        <v>45</v>
      </c>
      <c r="C8" s="21">
        <v>7500.0</v>
      </c>
      <c r="D8" s="5" t="s">
        <v>148</v>
      </c>
      <c r="E8" s="5" t="s">
        <v>150</v>
      </c>
    </row>
    <row r="9">
      <c r="B9" s="9"/>
    </row>
    <row r="10">
      <c r="B10" s="9"/>
    </row>
    <row r="11">
      <c r="B11" s="9"/>
    </row>
    <row r="12">
      <c r="B12" s="9"/>
    </row>
    <row r="13">
      <c r="B13" s="9"/>
    </row>
    <row r="14">
      <c r="B14" s="9"/>
    </row>
    <row r="15">
      <c r="B15" s="9"/>
    </row>
    <row r="16">
      <c r="B16" s="9"/>
    </row>
    <row r="17">
      <c r="B17" s="9"/>
    </row>
    <row r="18">
      <c r="B18" s="9"/>
    </row>
    <row r="19">
      <c r="B19" s="9"/>
    </row>
    <row r="20">
      <c r="B20" s="9"/>
    </row>
    <row r="21" ht="15.75" customHeight="1">
      <c r="B21" s="9"/>
    </row>
    <row r="22" ht="15.75" customHeight="1">
      <c r="B22" s="9"/>
    </row>
    <row r="23" ht="15.75" customHeight="1">
      <c r="B23" s="9"/>
    </row>
    <row r="24" ht="15.75" customHeight="1">
      <c r="B24" s="9"/>
    </row>
    <row r="25" ht="15.75" customHeight="1">
      <c r="B25" s="9"/>
    </row>
    <row r="26" ht="15.75" customHeight="1">
      <c r="B26" s="9"/>
    </row>
    <row r="27" ht="15.75" customHeight="1">
      <c r="B27" s="9"/>
    </row>
    <row r="28" ht="15.75" customHeight="1">
      <c r="B28" s="9"/>
    </row>
    <row r="29" ht="15.75" customHeight="1">
      <c r="B29" s="9"/>
    </row>
    <row r="30" ht="15.75" customHeight="1">
      <c r="B30" s="9"/>
    </row>
    <row r="31" ht="15.75" customHeight="1">
      <c r="B31" s="9"/>
    </row>
    <row r="32" ht="15.75" customHeight="1">
      <c r="B32" s="9"/>
    </row>
    <row r="33" ht="15.75" customHeight="1">
      <c r="B33" s="9"/>
    </row>
    <row r="34" ht="15.75" customHeight="1">
      <c r="B34" s="9"/>
    </row>
    <row r="35" ht="15.75" customHeight="1">
      <c r="B35" s="9"/>
    </row>
    <row r="36" ht="15.75" customHeight="1">
      <c r="B36" s="9"/>
    </row>
    <row r="37" ht="15.75" customHeight="1">
      <c r="B37" s="9"/>
    </row>
    <row r="38" ht="15.75" customHeight="1">
      <c r="B38" s="9"/>
    </row>
    <row r="39" ht="15.75" customHeight="1">
      <c r="B39" s="9"/>
    </row>
    <row r="40" ht="15.75" customHeight="1">
      <c r="B40" s="9"/>
    </row>
    <row r="41" ht="15.75" customHeight="1">
      <c r="B41" s="9"/>
    </row>
    <row r="42" ht="15.75" customHeight="1">
      <c r="B42" s="9"/>
    </row>
    <row r="43" ht="15.75" customHeight="1">
      <c r="B43" s="9"/>
    </row>
    <row r="44" ht="15.75" customHeight="1">
      <c r="B44" s="9"/>
    </row>
    <row r="45" ht="15.75" customHeight="1">
      <c r="B45" s="9"/>
    </row>
    <row r="46" ht="15.75" customHeight="1">
      <c r="B46" s="9"/>
    </row>
    <row r="47" ht="15.75" customHeight="1">
      <c r="B47" s="9"/>
    </row>
    <row r="48" ht="15.75" customHeight="1">
      <c r="B48" s="9"/>
    </row>
    <row r="49" ht="15.75" customHeight="1">
      <c r="B49" s="9"/>
    </row>
    <row r="50" ht="15.75" customHeight="1">
      <c r="B50" s="9"/>
    </row>
    <row r="51" ht="15.75" customHeight="1">
      <c r="B51" s="9"/>
    </row>
    <row r="52" ht="15.75" customHeight="1">
      <c r="B52" s="9"/>
    </row>
    <row r="53" ht="15.75" customHeight="1">
      <c r="B53" s="9"/>
    </row>
    <row r="54" ht="15.75" customHeight="1">
      <c r="B54" s="9"/>
    </row>
    <row r="55" ht="15.75" customHeight="1">
      <c r="B55" s="9"/>
    </row>
    <row r="56" ht="15.75" customHeight="1">
      <c r="B56" s="9"/>
    </row>
    <row r="57" ht="15.75" customHeight="1">
      <c r="B57" s="9"/>
    </row>
    <row r="58" ht="15.75" customHeight="1">
      <c r="B58" s="9"/>
    </row>
    <row r="59" ht="15.75" customHeight="1">
      <c r="B59" s="9"/>
    </row>
    <row r="60" ht="15.75" customHeight="1">
      <c r="B60" s="9"/>
    </row>
    <row r="61" ht="15.75" customHeight="1">
      <c r="B61" s="9"/>
    </row>
    <row r="62" ht="15.75" customHeight="1">
      <c r="B62" s="9"/>
    </row>
    <row r="63" ht="15.75" customHeight="1">
      <c r="B63" s="9"/>
    </row>
    <row r="64" ht="15.75" customHeight="1">
      <c r="B64" s="9"/>
    </row>
    <row r="65" ht="15.75" customHeight="1">
      <c r="B65" s="9"/>
    </row>
    <row r="66" ht="15.75" customHeight="1">
      <c r="B66" s="9"/>
    </row>
    <row r="67" ht="15.75" customHeight="1">
      <c r="B67" s="9"/>
    </row>
    <row r="68" ht="15.75" customHeight="1">
      <c r="B68" s="9"/>
    </row>
    <row r="69" ht="15.75" customHeight="1">
      <c r="B69" s="9"/>
    </row>
    <row r="70" ht="15.75" customHeight="1">
      <c r="B70" s="9"/>
    </row>
    <row r="71" ht="15.75" customHeight="1">
      <c r="B71" s="9"/>
    </row>
    <row r="72" ht="15.75" customHeight="1">
      <c r="B72" s="9"/>
    </row>
    <row r="73" ht="15.75" customHeight="1">
      <c r="B73" s="9"/>
    </row>
    <row r="74" ht="15.75" customHeight="1">
      <c r="B74" s="9"/>
    </row>
    <row r="75" ht="15.75" customHeight="1">
      <c r="B75" s="9"/>
    </row>
    <row r="76" ht="15.75" customHeight="1">
      <c r="B76" s="9"/>
    </row>
    <row r="77" ht="15.75" customHeight="1">
      <c r="B77" s="9"/>
    </row>
    <row r="78" ht="15.75" customHeight="1">
      <c r="B78" s="9"/>
    </row>
    <row r="79" ht="15.75" customHeight="1">
      <c r="B79" s="9"/>
    </row>
    <row r="80" ht="15.75" customHeight="1">
      <c r="B80" s="9"/>
    </row>
    <row r="81" ht="15.75" customHeight="1">
      <c r="B81" s="9"/>
    </row>
    <row r="82" ht="15.75" customHeight="1">
      <c r="B82" s="9"/>
    </row>
    <row r="83" ht="15.75" customHeight="1">
      <c r="B83" s="9"/>
    </row>
    <row r="84" ht="15.75" customHeight="1">
      <c r="B84" s="9"/>
    </row>
    <row r="85" ht="15.75" customHeight="1">
      <c r="B85" s="9"/>
    </row>
    <row r="86" ht="15.75" customHeight="1">
      <c r="B86" s="9"/>
    </row>
    <row r="87" ht="15.75" customHeight="1">
      <c r="B87" s="9"/>
    </row>
    <row r="88" ht="15.75" customHeight="1">
      <c r="B88" s="9"/>
    </row>
    <row r="89" ht="15.75" customHeight="1">
      <c r="B89" s="9"/>
    </row>
    <row r="90" ht="15.75" customHeight="1">
      <c r="B90" s="9"/>
    </row>
    <row r="91" ht="15.75" customHeight="1">
      <c r="B91" s="9"/>
    </row>
    <row r="92" ht="15.75" customHeight="1">
      <c r="B92" s="9"/>
    </row>
    <row r="93" ht="15.75" customHeight="1">
      <c r="B93" s="9"/>
    </row>
    <row r="94" ht="15.75" customHeight="1">
      <c r="B94" s="9"/>
    </row>
    <row r="95" ht="15.75" customHeight="1">
      <c r="B95" s="9"/>
    </row>
    <row r="96" ht="15.75" customHeight="1">
      <c r="B96" s="9"/>
    </row>
    <row r="97" ht="15.75" customHeight="1">
      <c r="B97" s="9"/>
    </row>
    <row r="98" ht="15.75" customHeight="1">
      <c r="B98" s="9"/>
    </row>
    <row r="99" ht="15.75" customHeight="1">
      <c r="B99" s="9"/>
    </row>
    <row r="100" ht="15.75" customHeight="1">
      <c r="B100" s="9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dataValidations>
    <dataValidation type="list" allowBlank="1" sqref="B4:B100">
      <formula1>"ค่าน้ำ,ค่าไฟ,ค่าอาหาร,ค่าซ่อมแซม,ค่าเดินทาง,ค่าโฆษณา"</formula1>
    </dataValidation>
  </dataValidations>
  <printOptions/>
  <pageMargins bottom="0.5" footer="0.0" header="0.0" left="0.5" right="0.5" top="0.5"/>
  <pageSetup paperSize="9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4" width="15.0"/>
    <col customWidth="1" min="5" max="26" width="8.71"/>
  </cols>
  <sheetData>
    <row r="1">
      <c r="A1" s="3" t="s">
        <v>155</v>
      </c>
      <c r="B1" s="7"/>
      <c r="C1" s="7"/>
      <c r="D1" s="4"/>
    </row>
    <row r="3">
      <c r="A3" s="18" t="s">
        <v>144</v>
      </c>
      <c r="B3" s="18" t="s">
        <v>156</v>
      </c>
      <c r="C3" s="18" t="s">
        <v>157</v>
      </c>
      <c r="D3" s="18" t="s">
        <v>57</v>
      </c>
    </row>
    <row r="4">
      <c r="A4" s="23" t="s">
        <v>111</v>
      </c>
      <c r="B4" s="21" t="str">
        <f>SUMIFS('04_Reservations'!H:H,'04_Reservations'!I:I,"สำเร็จ",'04_Reservations'!C:C,A4)</f>
        <v>#N/A</v>
      </c>
      <c r="C4" s="21">
        <f>SUMIF('06_Expenses'!A:A,A4,'06_Expenses'!C:C)</f>
        <v>13000</v>
      </c>
      <c r="D4" s="21" t="str">
        <f t="shared" ref="D4:D6" si="1">B4-C4</f>
        <v>#N/A</v>
      </c>
    </row>
    <row r="5">
      <c r="A5" s="23" t="s">
        <v>117</v>
      </c>
      <c r="B5" s="21">
        <f>SUMIFS('04_Reservations'!H:H,'04_Reservations'!I:I,"สำเร็จ",'04_Reservations'!C:C,A5)</f>
        <v>0</v>
      </c>
      <c r="C5" s="21">
        <f>SUMIF('06_Expenses'!A:A,A5,'06_Expenses'!C:C)</f>
        <v>5500</v>
      </c>
      <c r="D5" s="21">
        <f t="shared" si="1"/>
        <v>-5500</v>
      </c>
    </row>
    <row r="6">
      <c r="A6" s="23" t="s">
        <v>112</v>
      </c>
      <c r="B6" s="21" t="str">
        <f>SUMIFS('04_Reservations'!H:H,'04_Reservations'!I:I,"สำเร็จ",'04_Reservations'!C:C,A6)</f>
        <v>#N/A</v>
      </c>
      <c r="C6" s="21">
        <f>SUMIF('06_Expenses'!A:A,A6,'06_Expenses'!C:C)</f>
        <v>7500</v>
      </c>
      <c r="D6" s="21" t="str">
        <f t="shared" si="1"/>
        <v>#N/A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rintOptions/>
  <pageMargins bottom="0.5" footer="0.0" header="0.0" left="0.5" right="0.5" top="0.5"/>
  <pageSetup paperSize="9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0.0"/>
    <col customWidth="1" min="2" max="4" width="15.0"/>
    <col customWidth="1" min="5" max="26" width="8.71"/>
  </cols>
  <sheetData>
    <row r="1">
      <c r="A1" s="3" t="s">
        <v>158</v>
      </c>
      <c r="B1" s="7"/>
      <c r="C1" s="7"/>
      <c r="D1" s="4"/>
    </row>
    <row r="3">
      <c r="A3" s="25" t="s">
        <v>74</v>
      </c>
      <c r="B3" s="25" t="s">
        <v>159</v>
      </c>
      <c r="C3" s="25" t="s">
        <v>52</v>
      </c>
      <c r="D3" s="25" t="s">
        <v>160</v>
      </c>
    </row>
    <row r="4">
      <c r="A4" s="26" t="s">
        <v>85</v>
      </c>
      <c r="B4" s="26">
        <f>COUNTIF('03_Rooms'!B:B,"1 เตียง")</f>
        <v>3</v>
      </c>
      <c r="C4" s="26">
        <f>COUNTIFS('03_Rooms'!B:B,"1 เตียง",'03_Rooms'!D:D,"ว่าง")</f>
        <v>2</v>
      </c>
      <c r="D4" s="27">
        <f t="shared" ref="D4:D6" si="1">IFERROR(IF(B4=0,0,C4/B4*100),0)</f>
        <v>66.66666667</v>
      </c>
    </row>
    <row r="5">
      <c r="A5" s="26" t="s">
        <v>91</v>
      </c>
      <c r="B5" s="26">
        <f>COUNTIF('03_Rooms'!B:B,"2 เตียง")</f>
        <v>3</v>
      </c>
      <c r="C5" s="26">
        <f>COUNTIFS('03_Rooms'!B:B,"2 เตียง",'03_Rooms'!D:D,"ว่าง")</f>
        <v>1</v>
      </c>
      <c r="D5" s="27">
        <f t="shared" si="1"/>
        <v>33.33333333</v>
      </c>
    </row>
    <row r="6">
      <c r="A6" s="26" t="s">
        <v>97</v>
      </c>
      <c r="B6" s="26">
        <f>COUNTIF('03_Rooms'!B:B,"3 เตียง")</f>
        <v>2</v>
      </c>
      <c r="C6" s="26">
        <f>COUNTIFS('03_Rooms'!B:B,"3 เตียง",'03_Rooms'!D:D,"ว่าง")</f>
        <v>1</v>
      </c>
      <c r="D6" s="27">
        <f t="shared" si="1"/>
        <v>50</v>
      </c>
    </row>
    <row r="9">
      <c r="A9" s="3" t="s">
        <v>161</v>
      </c>
      <c r="B9" s="4"/>
      <c r="D9" s="3" t="s">
        <v>162</v>
      </c>
      <c r="E9" s="4"/>
    </row>
    <row r="11">
      <c r="A11" s="21" t="s">
        <v>163</v>
      </c>
      <c r="B11" s="21">
        <f>SUMIFS('04_Reservations'!H:H,'04_Reservations'!J:J,"บัตรเครดิต",'04_Reservations'!I:I,"สำเร็จ")</f>
        <v>0</v>
      </c>
      <c r="D11" s="21" t="s">
        <v>43</v>
      </c>
      <c r="E11" s="21">
        <f>SUMIF('06_Expenses'!B:B,"ค่าน้ำ",'06_Expenses'!C:C)</f>
        <v>5000</v>
      </c>
    </row>
    <row r="12">
      <c r="A12" s="21" t="s">
        <v>42</v>
      </c>
      <c r="B12" s="21">
        <f>SUMIFS('04_Reservations'!H:H,'04_Reservations'!J:J,"โอนเงิน",'04_Reservations'!I:I,"สำเร็จ")</f>
        <v>0</v>
      </c>
      <c r="D12" s="21" t="s">
        <v>45</v>
      </c>
      <c r="E12" s="21">
        <f>SUMIF('06_Expenses'!B:B,"ค่าไฟ",'06_Expenses'!C:C)</f>
        <v>15500</v>
      </c>
    </row>
    <row r="13">
      <c r="A13" s="21" t="s">
        <v>44</v>
      </c>
      <c r="B13" s="21" t="str">
        <f>SUMIFS('04_Reservations'!H:H,'04_Reservations'!J:J,"เงินสด",'04_Reservations'!I:I,"สำเร็จ")</f>
        <v>#N/A</v>
      </c>
      <c r="D13" s="21" t="s">
        <v>46</v>
      </c>
      <c r="E13" s="21">
        <f>SUMIF('06_Expenses'!B:B,"ค่าอาหาร",'06_Expenses'!C:C)</f>
        <v>3000</v>
      </c>
    </row>
    <row r="14">
      <c r="D14" s="21" t="s">
        <v>47</v>
      </c>
      <c r="E14" s="21">
        <f>SUMIF('06_Expenses'!B:B,"ค่าซ่อมแซม",'06_Expenses'!C:C)</f>
        <v>2500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A9:B9"/>
    <mergeCell ref="D9:E9"/>
  </mergeCells>
  <printOptions/>
  <pageMargins bottom="0.5" footer="0.0" header="0.0" left="0.5" right="0.5" top="0.5"/>
  <pageSetup paperSize="9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2" width="20.0"/>
    <col customWidth="1" min="3" max="26" width="8.71"/>
  </cols>
  <sheetData>
    <row r="1">
      <c r="A1" s="3" t="s">
        <v>164</v>
      </c>
      <c r="B1" s="4"/>
    </row>
    <row r="3">
      <c r="A3" s="8" t="s">
        <v>165</v>
      </c>
    </row>
    <row r="4">
      <c r="A4" s="5" t="s">
        <v>159</v>
      </c>
      <c r="B4" s="28">
        <f>COUNTA('03_Rooms'!A4:A100)</f>
        <v>8</v>
      </c>
    </row>
    <row r="5">
      <c r="A5" s="5" t="s">
        <v>52</v>
      </c>
      <c r="B5" s="28">
        <f>COUNTIF('03_Rooms'!D:D,"ว่าง")</f>
        <v>4</v>
      </c>
    </row>
    <row r="6">
      <c r="A6" s="5" t="s">
        <v>53</v>
      </c>
      <c r="B6" s="28">
        <f>COUNTIF('03_Rooms'!D:D,"ไม่ว่าง")</f>
        <v>3</v>
      </c>
    </row>
    <row r="7">
      <c r="A7" s="5" t="s">
        <v>166</v>
      </c>
      <c r="B7" s="28">
        <f>COUNTIF('03_Rooms'!D:D,"ซ่อมแซม")</f>
        <v>1</v>
      </c>
    </row>
    <row r="8">
      <c r="A8" s="5" t="s">
        <v>54</v>
      </c>
      <c r="B8" s="28">
        <f>IFERROR(IF(B4=0,0,(B5)/B4*100),0)</f>
        <v>50</v>
      </c>
    </row>
    <row r="9">
      <c r="A9" s="5" t="s">
        <v>167</v>
      </c>
      <c r="B9" s="28">
        <f>COUNTA('04_Reservations'!A4:A100)</f>
        <v>3</v>
      </c>
    </row>
    <row r="10">
      <c r="A10" s="5" t="s">
        <v>168</v>
      </c>
      <c r="B10" s="28">
        <f>COUNTIF('04_Reservations'!I:I,"สำเร็จ")</f>
        <v>2</v>
      </c>
    </row>
    <row r="11">
      <c r="A11" s="5" t="s">
        <v>169</v>
      </c>
      <c r="B11" s="28">
        <f>COUNTIF('04_Reservations'!I:I,"รอการยืนยัน")</f>
        <v>1</v>
      </c>
    </row>
    <row r="12">
      <c r="A12" s="5" t="s">
        <v>170</v>
      </c>
      <c r="B12" s="28">
        <f>COUNTA('05_Staff'!A4:A100)</f>
        <v>3</v>
      </c>
    </row>
    <row r="13">
      <c r="A13" s="5" t="s">
        <v>171</v>
      </c>
      <c r="B13" s="28">
        <f>SUM('05_Staff'!E4:E100)</f>
        <v>85000</v>
      </c>
    </row>
    <row r="14">
      <c r="A14" s="5" t="s">
        <v>172</v>
      </c>
      <c r="B14" s="28">
        <f>IFERROR(B19/B18,0)</f>
        <v>0</v>
      </c>
    </row>
    <row r="15">
      <c r="A15" s="5" t="s">
        <v>173</v>
      </c>
      <c r="B15" s="28" t="str">
        <f>SUMIF('04_Reservations'!I:I,"สำเร็จ",'04_Reservations'!H:H)</f>
        <v>#N/A</v>
      </c>
    </row>
    <row r="16">
      <c r="A16" s="5" t="s">
        <v>174</v>
      </c>
      <c r="B16" s="28">
        <f>SUM('06_Expenses'!C:C)</f>
        <v>26000</v>
      </c>
    </row>
    <row r="17">
      <c r="A17" s="5" t="s">
        <v>57</v>
      </c>
      <c r="B17" s="28">
        <f>B21-B22</f>
        <v>0</v>
      </c>
    </row>
    <row r="18">
      <c r="A18" s="5" t="s">
        <v>175</v>
      </c>
      <c r="B18" s="28">
        <f>IFERROR(IF(B21=0,0,B23/B21*100),0)</f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printOptions/>
  <pageMargins bottom="0.5" footer="0.0" header="0.0" left="0.5" right="0.5" top="0.5"/>
  <pageSetup paperSize="9" orientation="landscape"/>
  <drawing r:id="rId1"/>
</worksheet>
</file>
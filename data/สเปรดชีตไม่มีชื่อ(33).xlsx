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<sst xmlns="http://schemas.openxmlformats.org/spreadsheetml/2006/main" count="189" uniqueCount="57">
  <si>
    <t>ข้อมูล</t>
  </si>
  <si>
    <t>A204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</si>
  <si>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</si>
  <si>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</si>
  <si>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</si>
  <si>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</si>
  <si>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</si>
  <si>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</si>
  <si>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</si>
  <si>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</si>
  <si>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</si>
  <si>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</si>
  <si>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</si>
  <si>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</si>
  <si>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</si>
  <si>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ค่ามิเตอร์ไฟ</t>
  </si>
  <si>
    <t>ค่ามิเตอร์น้ำ</t>
  </si>
  <si>
    <t>ค่าเช่า</t>
  </si>
  <si>
    <t>รวม</t>
  </si>
  <si>
    <t>A205</t>
  </si>
  <si>
    <t>A206</t>
  </si>
  <si>
    <t>ตั้งต้น</t>
  </si>
  <si>
    <t>A208</t>
  </si>
  <si>
    <t>บ้านแฝด1</t>
  </si>
  <si>
    <t>บ้านแฝด2</t>
  </si>
  <si>
    <t>หมายเลขห้อง</t>
  </si>
  <si>
    <t>ใบแจ้งค่าใช้จ่าย</t>
  </si>
  <si>
    <t>ชื่อ</t>
  </si>
  <si>
    <t>น.ส.กมลวรรณ แสงลี</t>
  </si>
  <si>
    <t xml:space="preserve"> ชื่อ-สกุล</t>
  </si>
  <si>
    <t>ประจำเดือน</t>
  </si>
  <si>
    <t>เลขประจำตัวประชาชน:</t>
  </si>
  <si>
    <t>1 4708 00288 60 7</t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</si>
  <si>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</si>
  <si>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</si>
  <si>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</si>
  <si>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</si>
  <si>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</si>
  <si>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วันเกิด:</t>
  </si>
  <si>
    <t>ค่าห้องพัก</t>
  </si>
  <si>
    <t>-</t>
  </si>
  <si>
    <t>ที่อยู่:</t>
  </si>
  <si>
    <t xml:space="preserve"> 73 หมู่ที่ 6 ตำบลวานรนิวาส อำเภอวานรนิวาส จังหวัดสกลนคร</t>
  </si>
  <si>
    <t>ค่าไฟ</t>
  </si>
  <si>
    <t>วันที่เซ็นสัญญาเช่า:</t>
  </si>
  <si>
    <t>ค่าน้ำ</t>
  </si>
  <si>
    <t xml:space="preserve"> **กรุณาจ่ายเงินก่อนวันที่ 5 ของเดือน**</t>
  </si>
  <si>
    <t>นาย สัญญา วารุกะ</t>
  </si>
  <si>
    <t>ชำระช้าปรับวันละ 50 บาท</t>
  </si>
  <si>
    <t>4310 00183 60 3</t>
  </si>
  <si>
    <t>**จ่ายเงินได้ที่ออฟฟิตหน้าโรงแรม**</t>
  </si>
  <si>
    <t xml:space="preserve"> ติดต่อสอบถาม โทร 080-6254859,042-492641</t>
  </si>
  <si>
    <t>10 หมู่ที่ 2 ต.ปากคาด อ.ปากคาด จ.บึงกาฬ</t>
  </si>
  <si>
    <t>น.ส. จีรัญญา มหาคม</t>
  </si>
  <si>
    <t xml:space="preserve">นาย ณัฐภัทร  ไกรรัตน์ </t>
  </si>
  <si>
    <t>บ้านแฝด 1</t>
  </si>
  <si>
    <t>หน่วยงาน กรองปราบปราม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</si>
</sst>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 mmm yyyy"/>
  </numFmts>
  <fonts count="21">
    <font>
      <sz val="10.0"/>
      <color rgb="FF000000"/>
      <name val="Arial"/>
      <scheme val="minor"/>
    </font>
    <font>
      <b/>
      <sz val="15.0"/>
      <color theme="1"/>
      <name val="DM Mono"/>
    </font>
    <font>
      <sz val="15.0"/>
      <color theme="1"/>
      <name val="DM Mono"/>
    </font>
    <font>
      <b/>
      <sz val="15.0"/>
      <color rgb="FFFF0000"/>
      <name val="DM Mono"/>
    </font>
    <font>
      <b/>
      <sz val="15.0"/>
      <color rgb="FFFF9900"/>
      <name val="DM Mono"/>
    </font>
    <font>
      <b/>
      <sz val="15.0"/>
      <color rgb="FFBF9000"/>
      <name val="DM Mono"/>
    </font>
    <font>
      <sz val="15.0"/>
      <color rgb="FFFF0000"/>
      <name val="DM Mono"/>
    </font>
    <font>
      <b/>
      <sz val="15.0"/>
      <color rgb="FF00FF00"/>
      <name val="DM Mono"/>
    </font>
    <font>
      <b/>
      <sz val="15.0"/>
      <color rgb="FF00FFFF"/>
      <name val="DM Mono"/>
    </font>
    <font>
      <b/>
      <sz val="15.0"/>
      <color rgb="FF4A86E8"/>
      <name val="DM Mono"/>
    </font>
    <font>
      <sz val="18.0"/>
      <color theme="1"/>
      <name val="DM Mono"/>
    </font>
    <font>
      <color theme="1"/>
      <name val="DM Mono"/>
    </font>
    <font>
      <b/>
      <u/>
      <sz val="22.0"/>
      <color theme="1"/>
      <name val="DM Mono"/>
    </font>
    <font/>
    <font>
      <sz val="19.0"/>
      <color theme="1"/>
      <name val="DM Mono"/>
    </font>
    <font>
      <sz val="20.0"/>
      <color theme="1"/>
      <name val="DM Mono"/>
    </font>
    <font>
      <sz val="22.0"/>
      <color theme="1"/>
      <name val="DM Mono"/>
    </font>
    <font>
      <b/>
      <sz val="22.0"/>
      <color theme="1"/>
      <name val="DM Mono"/>
    </font>
    <font>
      <sz val="14.0"/>
      <color theme="1"/>
      <name val="DM Mono"/>
    </font>
    <font>
      <sz val="18.0"/>
      <color rgb="FF001D35"/>
      <name val="DM Mono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6" fontId="1" numFmtId="0" xfId="0" applyAlignment="1" applyFont="1">
      <alignment horizontal="center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9" fontId="2" numFmtId="0" xfId="0" applyAlignment="1" applyFill="1" applyFont="1">
      <alignment horizontal="center"/>
    </xf>
    <xf borderId="0" fillId="0" fontId="6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11" fontId="1" numFmtId="0" xfId="0" applyAlignment="1" applyFont="1">
      <alignment horizontal="center"/>
    </xf>
    <xf borderId="0" fillId="12" fontId="1" numFmtId="0" xfId="0" applyAlignment="1" applyFill="1" applyFont="1">
      <alignment horizontal="center" readingOrder="0" vertical="bottom"/>
    </xf>
    <xf borderId="0" fillId="13" fontId="1" numFmtId="0" xfId="0" applyAlignment="1" applyFill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9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14" fontId="1" numFmtId="0" xfId="0" applyAlignment="1" applyFill="1" applyFont="1">
      <alignment horizontal="center" readingOrder="0" vertical="bottom"/>
    </xf>
    <xf borderId="0" fillId="15" fontId="1" numFmtId="0" xfId="0" applyAlignment="1" applyFill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0" fontId="10" numFmtId="0" xfId="0" applyAlignment="1" applyFont="1">
      <alignment horizontal="right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Font="1"/>
    <xf borderId="1" fillId="0" fontId="12" numFmtId="0" xfId="0" applyAlignment="1" applyBorder="1" applyFont="1">
      <alignment horizontal="center" vertical="center"/>
    </xf>
    <xf borderId="2" fillId="0" fontId="13" numFmtId="0" xfId="0" applyBorder="1" applyFont="1"/>
    <xf borderId="3" fillId="0" fontId="13" numFmtId="0" xfId="0" applyBorder="1" applyFont="1"/>
    <xf borderId="4" fillId="11" fontId="14" numFmtId="0" xfId="0" applyAlignment="1" applyBorder="1" applyFont="1">
      <alignment horizontal="center" readingOrder="0" vertical="center"/>
    </xf>
    <xf borderId="5" fillId="11" fontId="14" numFmtId="0" xfId="0" applyAlignment="1" applyBorder="1" applyFont="1">
      <alignment horizontal="center" vertical="center"/>
    </xf>
    <xf borderId="6" fillId="0" fontId="13" numFmtId="0" xfId="0" applyBorder="1" applyFont="1"/>
    <xf borderId="7" fillId="11" fontId="14" numFmtId="0" xfId="0" applyAlignment="1" applyBorder="1" applyFont="1">
      <alignment horizontal="center" readingOrder="0" vertical="center"/>
    </xf>
    <xf borderId="8" fillId="11" fontId="14" numFmtId="0" xfId="0" applyAlignment="1" applyBorder="1" applyFont="1">
      <alignment horizontal="center" readingOrder="0" vertical="center"/>
    </xf>
    <xf borderId="9" fillId="0" fontId="15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readingOrder="0" shrinkToFit="0" vertical="center" wrapText="1"/>
    </xf>
    <xf borderId="12" fillId="0" fontId="16" numFmtId="0" xfId="0" applyAlignment="1" applyBorder="1" applyFont="1">
      <alignment horizontal="center" vertical="center"/>
    </xf>
    <xf borderId="13" fillId="0" fontId="13" numFmtId="0" xfId="0" applyBorder="1" applyFont="1"/>
    <xf borderId="14" fillId="0" fontId="13" numFmtId="0" xfId="0" applyBorder="1" applyFont="1"/>
    <xf borderId="11" fillId="0" fontId="16" numFmtId="3" xfId="0" applyAlignment="1" applyBorder="1" applyFont="1" applyNumberFormat="1">
      <alignment horizontal="center" vertical="center"/>
    </xf>
    <xf borderId="15" fillId="16" fontId="17" numFmtId="0" xfId="0" applyAlignment="1" applyBorder="1" applyFill="1" applyFont="1">
      <alignment horizontal="center" vertical="center"/>
    </xf>
    <xf borderId="16" fillId="0" fontId="13" numFmtId="0" xfId="0" applyBorder="1" applyFont="1"/>
    <xf borderId="17" fillId="0" fontId="13" numFmtId="0" xfId="0" applyBorder="1" applyFont="1"/>
    <xf borderId="18" fillId="16" fontId="17" numFmtId="3" xfId="0" applyAlignment="1" applyBorder="1" applyFont="1" applyNumberFormat="1">
      <alignment horizontal="center" vertical="center"/>
    </xf>
    <xf borderId="19" fillId="0" fontId="18" numFmtId="0" xfId="0" applyAlignment="1" applyBorder="1" applyFont="1">
      <alignment horizontal="center" vertical="top"/>
    </xf>
    <xf borderId="20" fillId="0" fontId="13" numFmtId="0" xfId="0" applyBorder="1" applyFont="1"/>
    <xf borderId="21" fillId="0" fontId="13" numFmtId="0" xfId="0" applyBorder="1" applyFont="1"/>
    <xf borderId="22" fillId="0" fontId="18" numFmtId="0" xfId="0" applyAlignment="1" applyBorder="1" applyFont="1">
      <alignment horizontal="center" vertical="top"/>
    </xf>
    <xf borderId="23" fillId="0" fontId="13" numFmtId="0" xfId="0" applyBorder="1" applyFont="1"/>
    <xf borderId="0" fillId="17" fontId="19" numFmtId="0" xfId="0" applyAlignment="1" applyFill="1" applyFon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readingOrder="0" shrinkToFit="0" vertical="center" wrapText="1"/>
    </xf>
    <xf borderId="24" fillId="0" fontId="18" numFmtId="0" xfId="0" applyAlignment="1" applyBorder="1" applyFont="1">
      <alignment horizontal="center" vertical="center"/>
    </xf>
    <xf borderId="25" fillId="0" fontId="13" numFmtId="0" xfId="0" applyBorder="1" applyFont="1"/>
    <xf borderId="26" fillId="0" fontId="13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ollapsed="1" customWidth="1" min="1" max="1" width="19.63"/>
    <col hidden="1" min="2" max="11" width="12.63" outlineLevel="1"/>
    <col customWidth="1" hidden="1" min="12" max="12" width="14.38" outlineLevel="1"/>
    <col hidden="1" min="13" max="13" width="12.63" outlineLevel="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ollapsed="1">
      <c r="A3" s="3" t="s">
        <v>1</v>
      </c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</row>
    <row r="4" hidden="1" outlineLevel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 hidden="1" outlineLevel="1">
      <c r="A5" s="7" t="s">
        <v>15</v>
      </c>
      <c r="B5" s="8">
        <v>5217.0</v>
      </c>
      <c r="C5" s="8">
        <v>5294.0</v>
      </c>
      <c r="D5" s="8">
        <v>5418.0</v>
      </c>
      <c r="E5" s="8">
        <v>5580.0</v>
      </c>
      <c r="F5" s="9">
        <v>5756.0</v>
      </c>
      <c r="G5" s="8">
        <v>5889.0</v>
      </c>
      <c r="H5" s="8">
        <v>5990.0</v>
      </c>
      <c r="I5" s="4">
        <v>6099.0</v>
      </c>
      <c r="J5" s="4">
        <v>6214.0</v>
      </c>
      <c r="K5" s="4">
        <v>6351.0</v>
      </c>
      <c r="L5" s="2"/>
      <c r="M5" s="2"/>
    </row>
    <row r="6" hidden="1" outlineLevel="1">
      <c r="A6" s="5" t="s">
        <v>16</v>
      </c>
      <c r="B6" s="8">
        <v>151.0</v>
      </c>
      <c r="C6" s="8">
        <v>155.0</v>
      </c>
      <c r="D6" s="8">
        <v>158.0</v>
      </c>
      <c r="E6" s="8">
        <v>164.0</v>
      </c>
      <c r="F6" s="9">
        <v>168.0</v>
      </c>
      <c r="G6" s="8">
        <v>172.0</v>
      </c>
      <c r="H6" s="8">
        <v>176.0</v>
      </c>
      <c r="I6" s="4">
        <v>179.0</v>
      </c>
      <c r="J6" s="4">
        <v>183.0</v>
      </c>
      <c r="K6" s="4">
        <v>187.0</v>
      </c>
      <c r="L6" s="2"/>
      <c r="M6" s="2"/>
    </row>
    <row r="7" hidden="1" outlineLevel="1">
      <c r="A7" s="5" t="s">
        <v>17</v>
      </c>
      <c r="B7" s="4">
        <v>3500.0</v>
      </c>
      <c r="C7" s="4">
        <v>3500.0</v>
      </c>
      <c r="D7" s="4">
        <v>3500.0</v>
      </c>
      <c r="E7" s="4">
        <v>3500.0</v>
      </c>
      <c r="F7" s="4">
        <v>3500.0</v>
      </c>
      <c r="G7" s="4">
        <v>3500.0</v>
      </c>
      <c r="H7" s="4">
        <v>3500.0</v>
      </c>
      <c r="I7" s="4">
        <v>3500.0</v>
      </c>
      <c r="J7" s="4">
        <v>3500.0</v>
      </c>
      <c r="K7" s="4">
        <v>3500.0</v>
      </c>
      <c r="L7" s="2"/>
      <c r="M7" s="2"/>
    </row>
    <row r="8" hidden="1" outlineLevel="1">
      <c r="A8" s="5" t="s">
        <v>18</v>
      </c>
      <c r="J8" s="2"/>
      <c r="K8" s="4">
        <v>4696.0</v>
      </c>
      <c r="L8" s="2"/>
      <c r="M8" s="2"/>
    </row>
    <row r="9" collapsed="1">
      <c r="A9" s="10" t="s">
        <v>19</v>
      </c>
      <c r="B9" s="4"/>
      <c r="C9" s="4"/>
      <c r="D9" s="2"/>
      <c r="E9" s="2"/>
      <c r="F9" s="2"/>
      <c r="G9" s="2"/>
      <c r="H9" s="2"/>
      <c r="I9" s="2"/>
      <c r="J9" s="2"/>
      <c r="K9" s="2"/>
      <c r="L9" s="2"/>
      <c r="M9" s="2"/>
    </row>
    <row r="10" hidden="1" outlineLevel="1">
      <c r="A10" s="11" t="s">
        <v>2</v>
      </c>
      <c r="B10" s="12" t="s">
        <v>3</v>
      </c>
      <c r="C10" s="12" t="s">
        <v>4</v>
      </c>
      <c r="D10" s="12" t="s">
        <v>5</v>
      </c>
      <c r="E10" s="12" t="s">
        <v>6</v>
      </c>
      <c r="F10" s="12" t="s">
        <v>7</v>
      </c>
      <c r="G10" s="12" t="s">
        <v>8</v>
      </c>
      <c r="H10" s="12" t="s">
        <v>9</v>
      </c>
      <c r="I10" s="12" t="s">
        <v>10</v>
      </c>
      <c r="J10" s="12" t="s">
        <v>11</v>
      </c>
      <c r="K10" s="12" t="s">
        <v>12</v>
      </c>
      <c r="L10" s="12" t="s">
        <v>13</v>
      </c>
      <c r="M10" s="12" t="s">
        <v>14</v>
      </c>
    </row>
    <row r="11" hidden="1" outlineLevel="1">
      <c r="A11" s="13" t="s">
        <v>15</v>
      </c>
      <c r="B11" s="8">
        <v>7915.0</v>
      </c>
      <c r="C11" s="8">
        <v>8004.0</v>
      </c>
      <c r="D11" s="8">
        <v>8131.0</v>
      </c>
      <c r="E11" s="8">
        <v>8261.0</v>
      </c>
      <c r="F11" s="8">
        <v>8451.0</v>
      </c>
      <c r="G11" s="8">
        <v>8632.0</v>
      </c>
      <c r="H11" s="8">
        <v>8801.0</v>
      </c>
      <c r="I11" s="4">
        <v>8978.0</v>
      </c>
      <c r="J11" s="4">
        <v>9171.0</v>
      </c>
      <c r="K11" s="4">
        <v>9321.0</v>
      </c>
      <c r="L11" s="2"/>
      <c r="M11" s="2"/>
    </row>
    <row r="12" hidden="1" outlineLevel="1">
      <c r="A12" s="11" t="s">
        <v>16</v>
      </c>
      <c r="B12" s="8">
        <v>172.0</v>
      </c>
      <c r="C12" s="8">
        <v>176.0</v>
      </c>
      <c r="D12" s="8">
        <v>180.0</v>
      </c>
      <c r="E12" s="8">
        <v>184.0</v>
      </c>
      <c r="F12" s="8">
        <v>188.0</v>
      </c>
      <c r="G12" s="8">
        <v>192.0</v>
      </c>
      <c r="H12" s="8">
        <v>196.0</v>
      </c>
      <c r="I12" s="4">
        <v>201.0</v>
      </c>
      <c r="J12" s="4">
        <v>206.0</v>
      </c>
      <c r="K12" s="4">
        <v>210.0</v>
      </c>
      <c r="L12" s="2"/>
      <c r="M12" s="2"/>
    </row>
    <row r="13" hidden="1" outlineLevel="1">
      <c r="A13" s="11" t="s">
        <v>17</v>
      </c>
      <c r="B13" s="4">
        <v>3500.0</v>
      </c>
      <c r="C13" s="4">
        <v>3500.0</v>
      </c>
      <c r="D13" s="4">
        <v>3500.0</v>
      </c>
      <c r="E13" s="4">
        <v>3500.0</v>
      </c>
      <c r="F13" s="4">
        <v>3500.0</v>
      </c>
      <c r="G13" s="4">
        <v>3500.0</v>
      </c>
      <c r="H13" s="4">
        <v>3500.0</v>
      </c>
      <c r="I13" s="4">
        <v>3500.0</v>
      </c>
      <c r="J13" s="4">
        <v>3500.0</v>
      </c>
      <c r="K13" s="4">
        <v>3500.0</v>
      </c>
      <c r="L13" s="2"/>
      <c r="M13" s="2"/>
    </row>
    <row r="14" hidden="1" outlineLevel="1">
      <c r="A14" s="11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4">
        <v>4800.0</v>
      </c>
      <c r="L14" s="2"/>
      <c r="M14" s="2"/>
    </row>
    <row r="15" collapsed="1">
      <c r="A15" s="14" t="s">
        <v>20</v>
      </c>
      <c r="B15" s="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idden="1" outlineLevel="1">
      <c r="A16" s="15" t="s">
        <v>2</v>
      </c>
      <c r="B16" s="16" t="s">
        <v>3</v>
      </c>
      <c r="C16" s="16" t="s">
        <v>4</v>
      </c>
      <c r="D16" s="16" t="s">
        <v>5</v>
      </c>
      <c r="E16" s="16" t="s">
        <v>6</v>
      </c>
      <c r="F16" s="16" t="s">
        <v>7</v>
      </c>
      <c r="G16" s="16" t="s">
        <v>8</v>
      </c>
      <c r="H16" s="16" t="s">
        <v>9</v>
      </c>
      <c r="I16" s="16" t="s">
        <v>10</v>
      </c>
      <c r="J16" s="16" t="s">
        <v>11</v>
      </c>
      <c r="K16" s="16" t="s">
        <v>12</v>
      </c>
      <c r="L16" s="16" t="s">
        <v>13</v>
      </c>
      <c r="M16" s="16" t="s">
        <v>14</v>
      </c>
    </row>
    <row r="17" hidden="1" outlineLevel="1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9">
        <v>9698.0</v>
      </c>
      <c r="K17" s="4">
        <v>9826.0</v>
      </c>
      <c r="L17" s="2"/>
      <c r="M17" s="2"/>
    </row>
    <row r="18" hidden="1" outlineLevel="1">
      <c r="A18" s="15" t="s">
        <v>16</v>
      </c>
      <c r="B18" s="18"/>
      <c r="C18" s="18"/>
      <c r="D18" s="18"/>
      <c r="E18" s="18"/>
      <c r="F18" s="18"/>
      <c r="G18" s="18"/>
      <c r="H18" s="18"/>
      <c r="I18" s="18"/>
      <c r="J18" s="19">
        <v>300.0</v>
      </c>
      <c r="K18" s="4">
        <v>302.0</v>
      </c>
      <c r="L18" s="2"/>
      <c r="M18" s="2"/>
    </row>
    <row r="19" hidden="1" outlineLevel="1">
      <c r="A19" s="15" t="s">
        <v>17</v>
      </c>
      <c r="B19" s="20"/>
      <c r="C19" s="20"/>
      <c r="D19" s="20"/>
      <c r="E19" s="20"/>
      <c r="F19" s="20"/>
      <c r="G19" s="20"/>
      <c r="H19" s="20"/>
      <c r="I19" s="20"/>
      <c r="J19" s="19">
        <v>3500.0</v>
      </c>
      <c r="K19" s="4">
        <v>3500.0</v>
      </c>
      <c r="L19" s="4"/>
      <c r="M19" s="4"/>
    </row>
    <row r="20" hidden="1" outlineLevel="1">
      <c r="A20" s="15" t="s">
        <v>18</v>
      </c>
      <c r="B20" s="18"/>
      <c r="C20" s="18"/>
      <c r="D20" s="18"/>
      <c r="E20" s="18"/>
      <c r="F20" s="18"/>
      <c r="G20" s="18"/>
      <c r="H20" s="18"/>
      <c r="I20" s="18"/>
      <c r="J20" s="19" t="s">
        <v>21</v>
      </c>
      <c r="K20" s="2"/>
      <c r="L20" s="2"/>
      <c r="M20" s="2"/>
    </row>
    <row r="21" collapsed="1">
      <c r="A21" s="21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idden="1" outlineLevel="1">
      <c r="A22" s="22" t="s">
        <v>2</v>
      </c>
      <c r="B22" s="23" t="s">
        <v>3</v>
      </c>
      <c r="C22" s="23" t="s">
        <v>4</v>
      </c>
      <c r="D22" s="23" t="s">
        <v>5</v>
      </c>
      <c r="E22" s="23" t="s">
        <v>6</v>
      </c>
      <c r="F22" s="23" t="s">
        <v>7</v>
      </c>
      <c r="G22" s="23" t="s">
        <v>8</v>
      </c>
      <c r="H22" s="23" t="s">
        <v>9</v>
      </c>
      <c r="I22" s="23" t="s">
        <v>10</v>
      </c>
      <c r="J22" s="23" t="s">
        <v>11</v>
      </c>
      <c r="K22" s="23" t="s">
        <v>12</v>
      </c>
      <c r="L22" s="23" t="s">
        <v>13</v>
      </c>
      <c r="M22" s="23" t="s">
        <v>14</v>
      </c>
    </row>
    <row r="23" hidden="1" outlineLevel="1">
      <c r="A23" s="24" t="s">
        <v>15</v>
      </c>
      <c r="B23" s="18"/>
      <c r="C23" s="18"/>
      <c r="D23" s="18"/>
      <c r="E23" s="18"/>
      <c r="F23" s="18"/>
      <c r="G23" s="18"/>
      <c r="H23" s="18"/>
      <c r="I23" s="19">
        <v>6340.0</v>
      </c>
      <c r="J23" s="4">
        <v>6511.0</v>
      </c>
      <c r="K23" s="4">
        <v>6690.0</v>
      </c>
      <c r="L23" s="2"/>
      <c r="M23" s="2"/>
    </row>
    <row r="24" hidden="1" outlineLevel="1">
      <c r="A24" s="22" t="s">
        <v>16</v>
      </c>
      <c r="B24" s="18"/>
      <c r="C24" s="18"/>
      <c r="D24" s="18"/>
      <c r="E24" s="18"/>
      <c r="F24" s="18"/>
      <c r="G24" s="18"/>
      <c r="H24" s="18"/>
      <c r="I24" s="19">
        <v>311.0</v>
      </c>
      <c r="J24" s="4">
        <v>314.0</v>
      </c>
      <c r="K24" s="4">
        <v>317.0</v>
      </c>
      <c r="L24" s="2"/>
      <c r="M24" s="2"/>
    </row>
    <row r="25" hidden="1" outlineLevel="1">
      <c r="A25" s="22" t="s">
        <v>17</v>
      </c>
      <c r="B25" s="18"/>
      <c r="C25" s="18"/>
      <c r="D25" s="18"/>
      <c r="E25" s="18"/>
      <c r="F25" s="18"/>
      <c r="G25" s="18"/>
      <c r="H25" s="18"/>
      <c r="I25" s="19">
        <v>3500.0</v>
      </c>
      <c r="J25" s="4">
        <v>3500.0</v>
      </c>
      <c r="K25" s="4">
        <v>3500.0</v>
      </c>
      <c r="L25" s="2"/>
      <c r="M25" s="2"/>
    </row>
    <row r="26" hidden="1" outlineLevel="1">
      <c r="A26" s="22" t="s">
        <v>18</v>
      </c>
      <c r="B26" s="18"/>
      <c r="C26" s="18"/>
      <c r="D26" s="18"/>
      <c r="E26" s="18"/>
      <c r="F26" s="18"/>
      <c r="G26" s="18"/>
      <c r="H26" s="18"/>
      <c r="I26" s="19" t="s">
        <v>21</v>
      </c>
      <c r="J26" s="2"/>
      <c r="K26" s="4">
        <v>6370.0</v>
      </c>
      <c r="L26" s="2"/>
      <c r="M26" s="2"/>
    </row>
    <row r="27" collapsed="1">
      <c r="A27" s="25" t="s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idden="1" outlineLevel="1">
      <c r="A28" s="26" t="s">
        <v>2</v>
      </c>
      <c r="B28" s="27" t="s">
        <v>3</v>
      </c>
      <c r="C28" s="27" t="s">
        <v>4</v>
      </c>
      <c r="D28" s="27" t="s">
        <v>5</v>
      </c>
      <c r="E28" s="27" t="s">
        <v>6</v>
      </c>
      <c r="F28" s="27" t="s">
        <v>7</v>
      </c>
      <c r="G28" s="27" t="s">
        <v>8</v>
      </c>
      <c r="H28" s="27" t="s">
        <v>9</v>
      </c>
      <c r="I28" s="27" t="s">
        <v>10</v>
      </c>
      <c r="J28" s="27" t="s">
        <v>11</v>
      </c>
      <c r="K28" s="27" t="s">
        <v>12</v>
      </c>
      <c r="L28" s="27" t="s">
        <v>13</v>
      </c>
      <c r="M28" s="27" t="s">
        <v>14</v>
      </c>
    </row>
    <row r="29" hidden="1" outlineLevel="1">
      <c r="A29" s="26" t="s">
        <v>15</v>
      </c>
      <c r="B29" s="28"/>
      <c r="C29" s="28"/>
      <c r="D29" s="28"/>
      <c r="E29" s="28"/>
      <c r="F29" s="28"/>
      <c r="G29" s="28"/>
      <c r="H29" s="28"/>
      <c r="I29" s="28"/>
      <c r="J29" s="28"/>
      <c r="K29" s="29"/>
      <c r="L29" s="29"/>
      <c r="M29" s="29"/>
    </row>
    <row r="30" hidden="1" outlineLevel="1">
      <c r="A30" s="26" t="s">
        <v>16</v>
      </c>
      <c r="B30" s="28"/>
      <c r="C30" s="28"/>
      <c r="D30" s="28"/>
      <c r="E30" s="28"/>
      <c r="F30" s="28"/>
      <c r="G30" s="28"/>
      <c r="H30" s="28"/>
      <c r="I30" s="28"/>
      <c r="J30" s="28"/>
      <c r="K30" s="29"/>
      <c r="L30" s="29"/>
      <c r="M30" s="29"/>
    </row>
    <row r="31" hidden="1" outlineLevel="1">
      <c r="A31" s="26" t="s">
        <v>17</v>
      </c>
      <c r="B31" s="28"/>
      <c r="C31" s="28"/>
      <c r="D31" s="28"/>
      <c r="E31" s="28"/>
      <c r="F31" s="28"/>
      <c r="G31" s="28"/>
      <c r="H31" s="28"/>
      <c r="I31" s="28"/>
      <c r="J31" s="28"/>
      <c r="K31" s="29"/>
      <c r="L31" s="29"/>
      <c r="M31" s="29"/>
    </row>
    <row r="32" hidden="1" outlineLevel="1">
      <c r="A32" s="26" t="s">
        <v>18</v>
      </c>
      <c r="B32" s="28"/>
      <c r="C32" s="28"/>
      <c r="D32" s="28"/>
      <c r="E32" s="28"/>
      <c r="F32" s="28"/>
      <c r="G32" s="28"/>
      <c r="H32" s="28"/>
      <c r="I32" s="28"/>
      <c r="J32" s="28"/>
      <c r="K32" s="30">
        <v>7000.0</v>
      </c>
      <c r="L32" s="29"/>
      <c r="M32" s="29"/>
    </row>
    <row r="33" collapsed="1">
      <c r="A33" s="31" t="s">
        <v>24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idden="1" outlineLevel="1">
      <c r="A34" s="32" t="s">
        <v>2</v>
      </c>
      <c r="B34" s="33" t="s">
        <v>3</v>
      </c>
      <c r="C34" s="33" t="s">
        <v>4</v>
      </c>
      <c r="D34" s="33" t="s">
        <v>5</v>
      </c>
      <c r="E34" s="33" t="s">
        <v>6</v>
      </c>
      <c r="F34" s="33" t="s">
        <v>7</v>
      </c>
      <c r="G34" s="33" t="s">
        <v>8</v>
      </c>
      <c r="H34" s="33" t="s">
        <v>9</v>
      </c>
      <c r="I34" s="33" t="s">
        <v>10</v>
      </c>
      <c r="J34" s="33" t="s">
        <v>11</v>
      </c>
      <c r="K34" s="33" t="s">
        <v>12</v>
      </c>
      <c r="L34" s="33" t="s">
        <v>13</v>
      </c>
      <c r="M34" s="33" t="s">
        <v>14</v>
      </c>
    </row>
    <row r="35" hidden="1" outlineLevel="1">
      <c r="A35" s="32" t="s">
        <v>15</v>
      </c>
      <c r="B35" s="28"/>
      <c r="C35" s="28"/>
      <c r="D35" s="28"/>
      <c r="E35" s="28"/>
      <c r="F35" s="28"/>
      <c r="G35" s="28"/>
      <c r="H35" s="28"/>
      <c r="I35" s="28"/>
      <c r="J35" s="28"/>
      <c r="K35" s="29"/>
      <c r="L35" s="29"/>
      <c r="M35" s="29"/>
    </row>
    <row r="36" hidden="1" outlineLevel="1">
      <c r="A36" s="32" t="s">
        <v>16</v>
      </c>
      <c r="B36" s="28"/>
      <c r="C36" s="28"/>
      <c r="D36" s="28"/>
      <c r="E36" s="28"/>
      <c r="F36" s="28"/>
      <c r="G36" s="28"/>
      <c r="H36" s="28"/>
      <c r="I36" s="28"/>
      <c r="J36" s="28"/>
      <c r="K36" s="29"/>
      <c r="L36" s="29"/>
      <c r="M36" s="29"/>
    </row>
    <row r="37" hidden="1" outlineLevel="1">
      <c r="A37" s="32" t="s">
        <v>17</v>
      </c>
      <c r="B37" s="28"/>
      <c r="C37" s="28"/>
      <c r="D37" s="28"/>
      <c r="E37" s="28"/>
      <c r="F37" s="28"/>
      <c r="G37" s="28"/>
      <c r="H37" s="28"/>
      <c r="I37" s="28"/>
      <c r="J37" s="28"/>
      <c r="K37" s="30">
        <v>7000.0</v>
      </c>
      <c r="L37" s="29"/>
      <c r="M37" s="29"/>
    </row>
    <row r="38" hidden="1" outlineLevel="1">
      <c r="A38" s="32" t="s">
        <v>18</v>
      </c>
      <c r="B38" s="28"/>
      <c r="C38" s="28"/>
      <c r="D38" s="28"/>
      <c r="E38" s="28"/>
      <c r="F38" s="28"/>
      <c r="G38" s="28"/>
      <c r="H38" s="28"/>
      <c r="I38" s="28"/>
      <c r="J38" s="28"/>
      <c r="K38" s="30"/>
      <c r="L38" s="29"/>
      <c r="M38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Col="1"/>
  <cols>
    <col customWidth="1" hidden="1" min="1" max="1" width="36.38" outlineLevel="1"/>
    <col customWidth="1" hidden="1" min="2" max="2" width="82.25" outlineLevel="1"/>
    <col collapsed="1" customWidth="1" min="3" max="3" width="4.63"/>
    <col customWidth="1" min="4" max="4" width="12.5"/>
    <col customWidth="1" min="5" max="5" width="27.25"/>
    <col customWidth="1" min="6" max="6" width="29.25"/>
    <col customWidth="1" min="7" max="7" width="22.25"/>
    <col customWidth="1" min="8" max="8" width="14.5"/>
    <col customWidth="1" min="9" max="9" width="17.5"/>
    <col customWidth="1" min="10" max="10" width="13.75"/>
  </cols>
  <sheetData>
    <row r="1" ht="48.0" customHeight="1">
      <c r="A1" s="34" t="s">
        <v>25</v>
      </c>
      <c r="B1" s="35" t="s">
        <v>20</v>
      </c>
      <c r="C1" s="36"/>
      <c r="D1" s="36"/>
      <c r="E1" s="37" t="s">
        <v>26</v>
      </c>
      <c r="F1" s="38"/>
      <c r="G1" s="38"/>
      <c r="H1" s="38"/>
      <c r="I1" s="38"/>
      <c r="J1" s="39"/>
      <c r="K1" s="36"/>
    </row>
    <row r="2" ht="36.0" customHeight="1">
      <c r="A2" s="34" t="s">
        <v>27</v>
      </c>
      <c r="B2" s="35" t="s">
        <v>28</v>
      </c>
      <c r="C2" s="36"/>
      <c r="D2" s="36"/>
      <c r="E2" s="40" t="s">
        <v>29</v>
      </c>
      <c r="F2" s="41" t="str">
        <f t="array" ref="F2">INDEX(B:B, MATCH(H2, B:B, 0) + 1)</f>
        <v>น.ส.กมลวรรณ แสงลี</v>
      </c>
      <c r="G2" s="42"/>
      <c r="H2" s="43" t="s">
        <v>20</v>
      </c>
      <c r="I2" s="43" t="s">
        <v>30</v>
      </c>
      <c r="J2" s="44" t="s">
        <v>12</v>
      </c>
      <c r="K2" s="36"/>
    </row>
    <row r="3" ht="36.0" customHeight="1">
      <c r="A3" s="34" t="s">
        <v>31</v>
      </c>
      <c r="B3" s="35" t="s">
        <v>32</v>
      </c>
      <c r="C3" s="36"/>
      <c r="D3" s="36"/>
      <c r="E3" s="45" t="s">
        <v>33</v>
      </c>
      <c r="F3" s="46" t="s">
        <v>34</v>
      </c>
      <c r="G3" s="46" t="s">
        <v>35</v>
      </c>
      <c r="H3" s="46" t="s">
        <v>36</v>
      </c>
      <c r="I3" s="46" t="s">
        <v>37</v>
      </c>
      <c r="J3" s="47" t="s">
        <v>18</v>
      </c>
      <c r="K3" s="36"/>
    </row>
    <row r="4" ht="36.0" customHeight="1">
      <c r="A4" s="34" t="s">
        <v>38</v>
      </c>
      <c r="B4" s="48">
        <v>233922.0</v>
      </c>
      <c r="C4" s="36"/>
      <c r="D4" s="36"/>
      <c r="E4" s="45" t="s">
        <v>39</v>
      </c>
      <c r="F4" s="49" t="s">
        <v>40</v>
      </c>
      <c r="G4" s="50"/>
      <c r="H4" s="50"/>
      <c r="I4" s="51"/>
      <c r="J4" s="52">
        <v>3500.0</v>
      </c>
      <c r="K4" s="36"/>
    </row>
    <row r="5" ht="36.0" customHeight="1">
      <c r="A5" s="34" t="s">
        <v>41</v>
      </c>
      <c r="B5" s="35" t="s">
        <v>42</v>
      </c>
      <c r="C5" s="36"/>
      <c r="D5" s="36"/>
      <c r="E5" s="45" t="s">
        <v>43</v>
      </c>
      <c r="F5" s="46">
        <f t="array" ref="F5">INDEX('ชีต1'!C:N, MATCH(H2, 'ชีต1'!A:A, 0)+2, MATCH(J2, 'ชีต1'!4:4, 0)-3)</f>
        <v>9698</v>
      </c>
      <c r="G5" s="46">
        <f t="array" ref="G5">INDEX('ชีต1'!B:N, MATCH(H2, 'ชีต1'!A:A, 0)+2, MATCH(J2, INDEX('ชีต1'!B:N, MATCH(H2,'ชีต1'!A:A,0)+1,0), 0)-0)</f>
        <v>9826</v>
      </c>
      <c r="H5" s="46">
        <f t="shared" ref="H5:H6" si="1">G5-F5</f>
        <v>128</v>
      </c>
      <c r="I5" s="46">
        <v>8.0</v>
      </c>
      <c r="J5" s="47">
        <f t="shared" ref="J5:J6" si="2">H5*I5</f>
        <v>1024</v>
      </c>
      <c r="K5" s="36"/>
    </row>
    <row r="6" ht="36.0" customHeight="1">
      <c r="A6" s="34" t="s">
        <v>44</v>
      </c>
      <c r="B6" s="48"/>
      <c r="C6" s="36"/>
      <c r="E6" s="45" t="s">
        <v>45</v>
      </c>
      <c r="F6" s="46">
        <f t="array" ref="F6">INDEX('ชีต1'!C:N, MATCH(H2, 'ชีต1'!A:A, 0)+3, MATCH(J2, 'ชีต1'!4:4, 0)-3)</f>
        <v>300</v>
      </c>
      <c r="G6" s="46">
        <f t="array" ref="G6">INDEX('ชีต1'!B:N, MATCH(H2, 'ชีต1'!A:A, 0)+3, MATCH(J2, INDEX('ชีต1'!B:N, MATCH(H2,'ชีต1'!A:A,0)+1,0), 0)-0)</f>
        <v>302</v>
      </c>
      <c r="H6" s="46">
        <f t="shared" si="1"/>
        <v>2</v>
      </c>
      <c r="I6" s="46">
        <v>25.0</v>
      </c>
      <c r="J6" s="47">
        <f t="shared" si="2"/>
        <v>50</v>
      </c>
      <c r="K6" s="36"/>
    </row>
    <row r="7" ht="36.0" customHeight="1">
      <c r="A7" s="34"/>
      <c r="B7" s="48"/>
      <c r="C7" s="36"/>
      <c r="D7" s="36"/>
      <c r="E7" s="53" t="s">
        <v>18</v>
      </c>
      <c r="F7" s="54"/>
      <c r="G7" s="54"/>
      <c r="H7" s="54"/>
      <c r="I7" s="55"/>
      <c r="J7" s="56">
        <f>SUM(J4:J6)</f>
        <v>4574</v>
      </c>
      <c r="K7" s="36"/>
    </row>
    <row r="8" ht="25.5" customHeight="1">
      <c r="A8" s="34" t="s">
        <v>25</v>
      </c>
      <c r="B8" s="35" t="s">
        <v>22</v>
      </c>
      <c r="C8" s="36"/>
      <c r="D8" s="36"/>
      <c r="E8" s="57" t="s">
        <v>46</v>
      </c>
      <c r="F8" s="58"/>
      <c r="G8" s="58"/>
      <c r="H8" s="58"/>
      <c r="I8" s="58"/>
      <c r="J8" s="59"/>
      <c r="K8" s="36"/>
    </row>
    <row r="9" ht="27.0" customHeight="1">
      <c r="A9" s="34" t="s">
        <v>27</v>
      </c>
      <c r="B9" s="35" t="s">
        <v>47</v>
      </c>
      <c r="C9" s="36"/>
      <c r="D9" s="36"/>
      <c r="E9" s="60" t="s">
        <v>48</v>
      </c>
      <c r="J9" s="61"/>
      <c r="K9" s="36"/>
    </row>
    <row r="10" ht="25.5" customHeight="1">
      <c r="A10" s="34" t="s">
        <v>31</v>
      </c>
      <c r="B10" s="62" t="s">
        <v>49</v>
      </c>
      <c r="C10" s="36"/>
      <c r="D10" s="36"/>
      <c r="E10" s="60" t="s">
        <v>50</v>
      </c>
      <c r="J10" s="61"/>
      <c r="K10" s="36"/>
    </row>
    <row r="11" ht="27.0" customHeight="1">
      <c r="A11" s="34" t="s">
        <v>38</v>
      </c>
      <c r="B11" s="63">
        <v>225795.0</v>
      </c>
      <c r="C11" s="36"/>
      <c r="D11" s="36"/>
      <c r="E11" s="64" t="s">
        <v>51</v>
      </c>
      <c r="F11" s="65"/>
      <c r="G11" s="65"/>
      <c r="H11" s="65"/>
      <c r="I11" s="65"/>
      <c r="J11" s="66"/>
      <c r="K11" s="36"/>
    </row>
    <row r="12">
      <c r="A12" s="34" t="s">
        <v>41</v>
      </c>
      <c r="B12" s="35" t="s">
        <v>52</v>
      </c>
      <c r="C12" s="36"/>
      <c r="D12" s="36"/>
      <c r="E12" s="36"/>
      <c r="F12" s="36"/>
      <c r="G12" s="36"/>
      <c r="H12" s="36"/>
      <c r="I12" s="36"/>
      <c r="J12" s="36"/>
      <c r="K12" s="36"/>
    </row>
    <row r="13">
      <c r="A13" s="34" t="s">
        <v>44</v>
      </c>
      <c r="B13" s="67"/>
      <c r="C13" s="36"/>
      <c r="D13" s="36"/>
      <c r="E13" s="36"/>
      <c r="F13" s="36"/>
      <c r="G13" s="36"/>
      <c r="H13" s="36"/>
      <c r="I13" s="36"/>
      <c r="J13" s="36"/>
      <c r="K13" s="36"/>
    </row>
    <row r="14" ht="13.5" customHeight="1">
      <c r="A14" s="34"/>
      <c r="B14" s="67"/>
      <c r="C14" s="36"/>
      <c r="D14" s="36"/>
      <c r="E14" s="36"/>
      <c r="F14" s="36"/>
      <c r="G14" s="36"/>
      <c r="H14" s="36"/>
      <c r="I14" s="36"/>
      <c r="J14" s="36"/>
      <c r="K14" s="36"/>
    </row>
    <row r="15">
      <c r="A15" s="34" t="s">
        <v>25</v>
      </c>
      <c r="B15" s="35" t="s">
        <v>19</v>
      </c>
      <c r="C15" s="36"/>
      <c r="D15" s="36"/>
      <c r="E15" s="36"/>
      <c r="F15" s="36"/>
      <c r="G15" s="36"/>
      <c r="H15" s="36"/>
      <c r="I15" s="36"/>
      <c r="J15" s="36"/>
      <c r="K15" s="36"/>
    </row>
    <row r="16">
      <c r="A16" s="34" t="s">
        <v>27</v>
      </c>
      <c r="B16" s="35" t="s">
        <v>53</v>
      </c>
      <c r="C16" s="36"/>
      <c r="D16" s="36"/>
      <c r="E16" s="36"/>
      <c r="F16" s="36"/>
      <c r="G16" s="36"/>
      <c r="H16" s="36"/>
      <c r="J16" s="36"/>
      <c r="K16" s="36"/>
    </row>
    <row r="17">
      <c r="A17" s="34" t="s">
        <v>31</v>
      </c>
      <c r="B17" s="67"/>
      <c r="C17" s="36"/>
      <c r="D17" s="36"/>
      <c r="E17" s="36"/>
      <c r="F17" s="36"/>
      <c r="G17" s="36"/>
      <c r="H17" s="36"/>
      <c r="I17" s="36"/>
      <c r="J17" s="36"/>
      <c r="K17" s="36"/>
    </row>
    <row r="18">
      <c r="A18" s="34" t="s">
        <v>38</v>
      </c>
      <c r="B18" s="67"/>
      <c r="C18" s="36"/>
      <c r="D18" s="36"/>
      <c r="E18" s="36"/>
      <c r="F18" s="36"/>
      <c r="G18" s="36"/>
      <c r="H18" s="36"/>
      <c r="I18" s="36"/>
      <c r="J18" s="36"/>
      <c r="K18" s="36"/>
    </row>
    <row r="19">
      <c r="A19" s="34" t="s">
        <v>41</v>
      </c>
      <c r="B19" s="67"/>
      <c r="C19" s="36"/>
      <c r="D19" s="36"/>
      <c r="E19" s="36"/>
      <c r="F19" s="36"/>
      <c r="G19" s="36"/>
      <c r="H19" s="36"/>
      <c r="I19" s="36"/>
      <c r="J19" s="36"/>
      <c r="K19" s="36"/>
    </row>
    <row r="20">
      <c r="A20" s="34" t="s">
        <v>44</v>
      </c>
      <c r="B20" s="67"/>
      <c r="C20" s="36"/>
      <c r="D20" s="36"/>
      <c r="E20" s="36"/>
      <c r="F20" s="36"/>
      <c r="G20" s="36"/>
      <c r="H20" s="36"/>
      <c r="I20" s="36"/>
      <c r="J20" s="36"/>
      <c r="K20" s="36"/>
    </row>
    <row r="21">
      <c r="A21" s="34"/>
      <c r="B21" s="67"/>
      <c r="C21" s="36"/>
      <c r="D21" s="36"/>
      <c r="E21" s="36"/>
      <c r="F21" s="36"/>
      <c r="G21" s="36"/>
      <c r="H21" s="36"/>
      <c r="I21" s="36"/>
      <c r="J21" s="36"/>
      <c r="K21" s="36"/>
    </row>
    <row r="22">
      <c r="A22" s="34" t="s">
        <v>25</v>
      </c>
      <c r="B22" s="35" t="s">
        <v>1</v>
      </c>
      <c r="C22" s="36"/>
      <c r="D22" s="36"/>
      <c r="E22" s="36"/>
      <c r="F22" s="36"/>
      <c r="G22" s="36"/>
      <c r="H22" s="36"/>
      <c r="I22" s="36"/>
      <c r="J22" s="36"/>
      <c r="K22" s="36"/>
    </row>
    <row r="23">
      <c r="A23" s="34" t="s">
        <v>27</v>
      </c>
      <c r="B23" s="35" t="s">
        <v>54</v>
      </c>
      <c r="C23" s="36"/>
      <c r="D23" s="36"/>
      <c r="E23" s="36"/>
      <c r="F23" s="36"/>
      <c r="G23" s="36"/>
      <c r="H23" s="36"/>
      <c r="I23" s="36"/>
      <c r="J23" s="36"/>
      <c r="K23" s="36"/>
    </row>
    <row r="24">
      <c r="A24" s="34" t="s">
        <v>31</v>
      </c>
      <c r="B24" s="67"/>
      <c r="C24" s="36"/>
      <c r="D24" s="36"/>
      <c r="E24" s="36"/>
      <c r="F24" s="36"/>
      <c r="G24" s="36"/>
      <c r="H24" s="36"/>
      <c r="I24" s="36"/>
      <c r="J24" s="36"/>
      <c r="K24" s="36"/>
    </row>
    <row r="25">
      <c r="A25" s="34" t="s">
        <v>38</v>
      </c>
      <c r="B25" s="68"/>
      <c r="C25" s="36"/>
      <c r="D25" s="36"/>
      <c r="E25" s="36"/>
      <c r="F25" s="36"/>
      <c r="G25" s="36"/>
      <c r="H25" s="36"/>
      <c r="I25" s="36"/>
      <c r="J25" s="36"/>
      <c r="K25" s="36"/>
    </row>
    <row r="26">
      <c r="A26" s="34" t="s">
        <v>41</v>
      </c>
      <c r="B26" s="67"/>
      <c r="C26" s="36"/>
      <c r="D26" s="36"/>
      <c r="E26" s="36"/>
      <c r="F26" s="36"/>
      <c r="G26" s="36"/>
      <c r="H26" s="36"/>
      <c r="I26" s="36"/>
      <c r="J26" s="36"/>
      <c r="K26" s="36"/>
    </row>
    <row r="27">
      <c r="A27" s="34" t="s">
        <v>44</v>
      </c>
      <c r="B27" s="67"/>
      <c r="C27" s="36"/>
      <c r="D27" s="36"/>
      <c r="E27" s="36"/>
      <c r="F27" s="36"/>
      <c r="G27" s="36"/>
      <c r="H27" s="36"/>
      <c r="I27" s="36"/>
      <c r="J27" s="36"/>
      <c r="K27" s="36"/>
    </row>
    <row r="28">
      <c r="A28" s="34" t="s">
        <v>25</v>
      </c>
      <c r="B28" s="35" t="s">
        <v>55</v>
      </c>
      <c r="C28" s="36"/>
      <c r="D28" s="36"/>
      <c r="E28" s="36"/>
      <c r="F28" s="36"/>
      <c r="G28" s="36"/>
      <c r="H28" s="36"/>
      <c r="I28" s="36"/>
      <c r="J28" s="36"/>
      <c r="K28" s="36"/>
    </row>
    <row r="29">
      <c r="A29" s="34" t="s">
        <v>27</v>
      </c>
      <c r="B29" s="35" t="s">
        <v>56</v>
      </c>
      <c r="C29" s="36"/>
      <c r="D29" s="36"/>
      <c r="E29" s="36"/>
      <c r="F29" s="36"/>
      <c r="G29" s="36"/>
      <c r="H29" s="36"/>
      <c r="I29" s="36"/>
      <c r="J29" s="36"/>
      <c r="K29" s="36"/>
    </row>
    <row r="30">
      <c r="A30" s="34" t="s">
        <v>31</v>
      </c>
      <c r="B30" s="35" t="s">
        <v>40</v>
      </c>
      <c r="C30" s="36"/>
      <c r="D30" s="36"/>
      <c r="E30" s="36"/>
      <c r="F30" s="36"/>
      <c r="G30" s="36"/>
      <c r="H30" s="36"/>
      <c r="I30" s="36"/>
      <c r="J30" s="36"/>
      <c r="K30" s="36"/>
    </row>
    <row r="31">
      <c r="A31" s="34" t="s">
        <v>38</v>
      </c>
      <c r="B31" s="35" t="s">
        <v>40</v>
      </c>
      <c r="C31" s="36"/>
      <c r="D31" s="36"/>
      <c r="E31" s="36"/>
      <c r="F31" s="36"/>
      <c r="G31" s="36"/>
      <c r="H31" s="36"/>
      <c r="I31" s="36"/>
      <c r="J31" s="36"/>
      <c r="K31" s="36"/>
    </row>
    <row r="32">
      <c r="A32" s="34" t="s">
        <v>41</v>
      </c>
      <c r="B32" s="35" t="s">
        <v>40</v>
      </c>
      <c r="C32" s="36"/>
      <c r="D32" s="36"/>
      <c r="E32" s="36"/>
      <c r="F32" s="36"/>
      <c r="G32" s="36"/>
      <c r="H32" s="36"/>
      <c r="I32" s="36"/>
      <c r="J32" s="36"/>
      <c r="K32" s="36"/>
    </row>
    <row r="33">
      <c r="A33" s="34" t="s">
        <v>44</v>
      </c>
      <c r="B33" s="67"/>
      <c r="C33" s="36"/>
      <c r="D33" s="36"/>
      <c r="E33" s="36"/>
      <c r="F33" s="36"/>
      <c r="G33" s="36"/>
      <c r="H33" s="36"/>
      <c r="I33" s="36"/>
      <c r="J33" s="36"/>
      <c r="K33" s="36"/>
    </row>
    <row r="34">
      <c r="A34" s="34" t="s">
        <v>25</v>
      </c>
      <c r="B34" s="35" t="s">
        <v>1</v>
      </c>
      <c r="C34" s="36"/>
      <c r="D34" s="36"/>
      <c r="E34" s="36"/>
      <c r="F34" s="36"/>
      <c r="G34" s="36"/>
      <c r="H34" s="36"/>
      <c r="I34" s="36"/>
      <c r="J34" s="36"/>
      <c r="K34" s="36"/>
    </row>
    <row r="35">
      <c r="A35" s="34" t="s">
        <v>27</v>
      </c>
      <c r="B35" s="35" t="s">
        <v>56</v>
      </c>
      <c r="C35" s="36"/>
      <c r="D35" s="36"/>
      <c r="E35" s="36"/>
      <c r="F35" s="36"/>
      <c r="G35" s="36"/>
      <c r="H35" s="36"/>
      <c r="I35" s="36"/>
      <c r="J35" s="36"/>
      <c r="K35" s="36"/>
    </row>
    <row r="36">
      <c r="A36" s="34" t="s">
        <v>31</v>
      </c>
      <c r="B36" s="35" t="s">
        <v>40</v>
      </c>
      <c r="C36" s="36"/>
      <c r="D36" s="36"/>
      <c r="E36" s="36"/>
      <c r="F36" s="36"/>
      <c r="G36" s="36"/>
      <c r="H36" s="36"/>
      <c r="I36" s="36"/>
      <c r="J36" s="36"/>
      <c r="K36" s="36"/>
    </row>
    <row r="37">
      <c r="A37" s="34" t="s">
        <v>38</v>
      </c>
      <c r="B37" s="69" t="s">
        <v>40</v>
      </c>
      <c r="C37" s="36"/>
      <c r="D37" s="36"/>
      <c r="E37" s="36"/>
      <c r="F37" s="36"/>
      <c r="G37" s="36"/>
      <c r="H37" s="36"/>
      <c r="I37" s="36"/>
      <c r="J37" s="36"/>
      <c r="K37" s="36"/>
    </row>
    <row r="38">
      <c r="A38" s="34" t="s">
        <v>41</v>
      </c>
      <c r="B38" s="35" t="s">
        <v>40</v>
      </c>
      <c r="C38" s="36"/>
      <c r="D38" s="36"/>
      <c r="E38" s="36"/>
      <c r="F38" s="36"/>
      <c r="G38" s="36"/>
      <c r="H38" s="36"/>
      <c r="I38" s="36"/>
      <c r="J38" s="36"/>
      <c r="K38" s="36"/>
    </row>
    <row r="39">
      <c r="A39" s="34" t="s">
        <v>44</v>
      </c>
      <c r="B39" s="35"/>
      <c r="C39" s="36"/>
      <c r="D39" s="36"/>
      <c r="E39" s="36"/>
      <c r="F39" s="36"/>
      <c r="G39" s="36"/>
      <c r="H39" s="36"/>
      <c r="I39" s="36"/>
      <c r="J39" s="36"/>
      <c r="K39" s="36"/>
    </row>
  </sheetData>
  <mergeCells count="8">
    <mergeCell ref="E1:J1"/>
    <mergeCell ref="F2:G2"/>
    <mergeCell ref="F4:I4"/>
    <mergeCell ref="E7:I7"/>
    <mergeCell ref="E8:J8"/>
    <mergeCell ref="E9:J9"/>
    <mergeCell ref="E10:J10"/>
    <mergeCell ref="E11:J11"/>
  </mergeCells>
  <dataValidations>
    <dataValidation type="list" allowBlank="1" showDropDown="1" showErrorMessage="1" sqref="H2">
      <formula1>"A204,A205,A206,A208"</formula1>
    </dataValidation>
    <dataValidation type="list" allowBlank="1" showDropDown="1" showErrorMessage="1" sqref="J2">
      <formula1>'ชีต1'!$B$4:$M$4</formula1>
    </dataValidation>
  </dataValidations>
  <drawing r:id="rId1"/>
</worksheet>
</file>
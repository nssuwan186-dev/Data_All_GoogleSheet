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 Config" sheetId="1" r:id="rId5"/>
    <sheet state="visible" name="สำเนาของ ชีต1" sheetId="2" r:id="rId6"/>
  </sheets>
  <definedNames/>
  <calcPr/>
</workbook>
</file>

<file path=xl/sharedStrings.xml><?xml version="1.0" encoding="utf-8"?>
<sst xmlns="http://schemas.openxmlformats.org/spreadsheetml/2006/main" count="264" uniqueCount="108">
  <si>
    <t>รายชื่อผู้ตรวจสอบ</t>
  </si>
  <si>
    <t>รายรับอื่นๆ</t>
  </si>
  <si>
    <t>ช่องทางการจอง</t>
  </si>
  <si>
    <t>Commission</t>
  </si>
  <si>
    <t>ประเภทการชำระเงิน</t>
  </si>
  <si>
    <t>ข้อมูลบริษัท</t>
  </si>
  <si>
    <t>เป้าหมายอัตราเข้าพัก</t>
  </si>
  <si>
    <t>ข้อมูลผู้</t>
  </si>
  <si>
    <t>เช่ารายเดือน</t>
  </si>
  <si>
    <t>No.</t>
  </si>
  <si>
    <t>เดือน</t>
  </si>
  <si>
    <t>ชื่อย่อ</t>
  </si>
  <si>
    <t>พิกูล</t>
  </si>
  <si>
    <t>ค่าซักผ้า</t>
  </si>
  <si>
    <t>โทรศัพท์</t>
  </si>
  <si>
    <t>เงินสด</t>
  </si>
  <si>
    <t>ชื่อบริษัท</t>
  </si>
  <si>
    <t>บริษัท วิพัฒน์โฮเทล.ดีเวลอปเมนท์ จำกัด</t>
  </si>
  <si>
    <t>หมายเลขห้อง</t>
  </si>
  <si>
    <t>A206</t>
  </si>
  <si>
    <t>มกราคม</t>
  </si>
  <si>
    <t>ม.ค.</t>
  </si>
  <si>
    <t>ครูแอ๊ว</t>
  </si>
  <si>
    <t>ค่าอาหาร</t>
  </si>
  <si>
    <t>Ascend</t>
  </si>
  <si>
    <t>เงินโอน QR</t>
  </si>
  <si>
    <t>ที่อยู่บริษัท</t>
  </si>
  <si>
    <t>426 หมู่ที่9 ตำบลบึงกาฬ อำเภอเมืองบึงกาฬ จังหวัดบึงกาฬ 38000</t>
  </si>
  <si>
    <t>ชื่อ</t>
  </si>
  <si>
    <t>น.ส.กมลวรรณ แสงลี</t>
  </si>
  <si>
    <t>A208</t>
  </si>
  <si>
    <t>กุมภาพันธ์</t>
  </si>
  <si>
    <t>ก.พ.</t>
  </si>
  <si>
    <t>จิ๋ม</t>
  </si>
  <si>
    <t>ค่าเสียหาย</t>
  </si>
  <si>
    <t>Walk-in</t>
  </si>
  <si>
    <t>เบอร์โทรศัพท์</t>
  </si>
  <si>
    <t>โทร 080-6254859,042-492641</t>
  </si>
  <si>
    <t>เลขประจำตัวประชาชน:</t>
  </si>
  <si>
    <t>1 4708 00288 60 7</t>
  </si>
  <si>
    <t>A205</t>
  </si>
  <si>
    <t>มีนาคม</t>
  </si>
  <si>
    <t>มี.ค.</t>
  </si>
  <si>
    <t>เอฟ</t>
  </si>
  <si>
    <t>ค่ารีดผ้า</t>
  </si>
  <si>
    <t>เลขประจำตัว</t>
  </si>
  <si>
    <t>เลขประจำตัวผู้เสียภาษีอากร  0-3855-59000-07-5</t>
  </si>
  <si>
    <t>วันเกิด:</t>
  </si>
  <si>
    <t>A204</t>
  </si>
  <si>
    <t>เมษายน</t>
  </si>
  <si>
    <t>เม.ย.</t>
  </si>
  <si>
    <t>ค่าเครื่องดื่ม</t>
  </si>
  <si>
    <t>อีเมล</t>
  </si>
  <si>
    <t>vipathotel@gmail.com</t>
  </si>
  <si>
    <t>ที่อยู่:</t>
  </si>
  <si>
    <t xml:space="preserve"> 73 หมู่ที่ 6 ตำบลวานรนิวาส อำเภอวานรนิวาส จังหวัดสกลนคร</t>
  </si>
  <si>
    <t>บ้านแฝด 1</t>
  </si>
  <si>
    <t>พฤษภาคม</t>
  </si>
  <si>
    <t>พ.ค.</t>
  </si>
  <si>
    <t>ค่ามินิบาร์</t>
  </si>
  <si>
    <t>Logo บริษัท</t>
  </si>
  <si>
    <t>วันที่เซ็นสัญญาเช่า:</t>
  </si>
  <si>
    <t>บ้านแฝด 2</t>
  </si>
  <si>
    <t>มิถุนายน</t>
  </si>
  <si>
    <t>มิ.ย.</t>
  </si>
  <si>
    <t>(สำนักงานใหญ่)</t>
  </si>
  <si>
    <t>กรกฎาคม</t>
  </si>
  <si>
    <t>ก.ค.</t>
  </si>
  <si>
    <t>สิงหาคม</t>
  </si>
  <si>
    <t>ส.ค.</t>
  </si>
  <si>
    <t>นาย สัญญา วารุกะ</t>
  </si>
  <si>
    <t>กันยายน</t>
  </si>
  <si>
    <t>ก.ย.</t>
  </si>
  <si>
    <t>4310 00183 60 3</t>
  </si>
  <si>
    <t>ตุลาคม</t>
  </si>
  <si>
    <t>ต.ค.</t>
  </si>
  <si>
    <t>พฤศจิกายน</t>
  </si>
  <si>
    <t>พ.ย.</t>
  </si>
  <si>
    <t>10 หมู่ที่ 2 ต.ปากคาด อ.ปากคาด จ.บึงกาฬ</t>
  </si>
  <si>
    <t>ธันวาคม</t>
  </si>
  <si>
    <t>ธ.ค.</t>
  </si>
  <si>
    <t>น.ส. จีรัญญา มหาคม</t>
  </si>
  <si>
    <t xml:space="preserve">นาย ณัฐภัทร  ไกรรัตน์ </t>
  </si>
  <si>
    <t>หน่วยงาน กรองปราบปราม</t>
  </si>
  <si>
    <t>-</t>
  </si>
  <si>
    <t>ใบแจ้งค่าใช้จ่าย</t>
  </si>
  <si>
    <t xml:space="preserve"> ชื่อ-สกุล</t>
  </si>
  <si>
    <t>ประจำเดือน</t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</si>
  <si>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</si>
  <si>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</si>
  <si>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</si>
  <si>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</si>
  <si>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</si>
  <si>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รวม</t>
  </si>
  <si>
    <t>ค่าห้องพัก</t>
  </si>
  <si>
    <t>ค่าไฟ</t>
  </si>
  <si>
    <t>ค่าน้ำ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</si>
  <si>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</si>
  <si>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</si>
  <si>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</si>
  <si>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</si>
  <si>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รายเดือน</t>
  </si>
  <si>
    <t>ค่ามิเตอร์ไฟ</t>
  </si>
  <si>
    <t>ค่ามิเตอร์น้ำ</t>
  </si>
  <si>
    <t>ค่าเช่า</t>
  </si>
  <si>
    <t>ตั้งต้น</t>
  </si>
  <si>
    <t>&gt;&gt;&gt;</t>
  </si>
  <si>
    <t xml:space="preserve">   &gt;&gt;&gt;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</si>
</sst>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d/m/yy"/>
  </numFmts>
  <fonts count="29">
    <font>
      <sz val="10.0"/>
      <color rgb="FF000000"/>
      <name val="Arial"/>
      <scheme val="minor"/>
    </font>
    <font>
      <b/>
      <sz val="18.0"/>
      <color rgb="FF000000"/>
      <name val="Bai Jamjuree"/>
    </font>
    <font/>
    <font>
      <b/>
      <sz val="18.0"/>
      <color theme="1"/>
      <name val="Bai Jamjuree"/>
    </font>
    <font>
      <sz val="11.0"/>
      <color rgb="FF000000"/>
      <name val="Bai Jamjuree"/>
    </font>
    <font>
      <sz val="11.0"/>
      <color rgb="FF0000FF"/>
      <name val="Bai Jamjuree"/>
    </font>
    <font>
      <b/>
      <sz val="11.0"/>
      <color rgb="FF000000"/>
      <name val="Bai Jamjuree"/>
    </font>
    <font>
      <sz val="18.0"/>
      <color theme="1"/>
      <name val="DM Mono"/>
    </font>
    <font>
      <sz val="11.0"/>
      <color rgb="FFFF0000"/>
      <name val="Bai Jamjuree"/>
    </font>
    <font>
      <sz val="11.0"/>
      <color rgb="FF1F1F1F"/>
      <name val="Bai Jamjuree"/>
    </font>
    <font>
      <u/>
      <sz val="11.0"/>
      <color rgb="FF000000"/>
      <name val="Bai Jamjuree"/>
    </font>
    <font>
      <sz val="18.0"/>
      <color rgb="FF001D35"/>
      <name val="DM Mono"/>
    </font>
    <font>
      <color theme="1"/>
      <name val="Arial"/>
      <scheme val="minor"/>
    </font>
    <font>
      <b/>
      <sz val="15.0"/>
      <color theme="1"/>
      <name val="DM Mono"/>
    </font>
    <font>
      <sz val="15.0"/>
      <color theme="1"/>
      <name val="DM Mono"/>
    </font>
    <font>
      <b/>
      <u/>
      <sz val="22.0"/>
      <color theme="1"/>
      <name val="DM Mono"/>
    </font>
    <font>
      <sz val="19.0"/>
      <color theme="1"/>
      <name val="DM Mono"/>
    </font>
    <font>
      <sz val="20.0"/>
      <color theme="1"/>
      <name val="DM Mono"/>
    </font>
    <font>
      <sz val="22.0"/>
      <color theme="1"/>
      <name val="DM Mono"/>
    </font>
    <font>
      <b/>
      <sz val="22.0"/>
      <color theme="1"/>
      <name val="DM Mono"/>
    </font>
    <font>
      <sz val="14.0"/>
      <color theme="1"/>
      <name val="DM Mono"/>
    </font>
    <font>
      <b/>
      <sz val="15.0"/>
      <color rgb="FFFF0000"/>
      <name val="DM Mono"/>
    </font>
    <font>
      <b/>
      <sz val="15.0"/>
      <color rgb="FFFF9900"/>
      <name val="DM Mono"/>
    </font>
    <font>
      <b/>
      <sz val="15.0"/>
      <color rgb="FFBF9000"/>
      <name val="DM Mono"/>
    </font>
    <font>
      <sz val="15.0"/>
      <color rgb="FFFF0000"/>
      <name val="DM Mono"/>
    </font>
    <font>
      <b/>
      <sz val="15.0"/>
      <color rgb="FF00FF00"/>
      <name val="DM Mono"/>
    </font>
    <font>
      <b/>
      <sz val="15.0"/>
      <color rgb="FF00FFFF"/>
      <name val="DM Mono"/>
    </font>
    <font>
      <color rgb="FFFF0000"/>
      <name val="Arial"/>
      <scheme val="minor"/>
    </font>
    <font>
      <b/>
      <sz val="15.0"/>
      <color rgb="FF4A86E8"/>
      <name val="DM Mono"/>
    </font>
  </fonts>
  <fills count="2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30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bottom" wrapText="0"/>
    </xf>
    <xf borderId="0" fillId="0" fontId="4" numFmtId="9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9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right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4" fontId="9" numFmtId="0" xfId="0" applyAlignment="1" applyFill="1" applyFont="1">
      <alignment shrinkToFit="0" vertical="bottom" wrapText="0"/>
    </xf>
    <xf borderId="1" fillId="4" fontId="4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7" numFmtId="164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left" shrinkToFit="0" vertical="bottom" wrapText="0"/>
    </xf>
    <xf borderId="0" fillId="4" fontId="11" numFmtId="0" xfId="0" applyAlignment="1" applyFon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7" numFmtId="166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4" fillId="0" fontId="15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5" fontId="16" numFmtId="0" xfId="0" applyAlignment="1" applyBorder="1" applyFill="1" applyFont="1">
      <alignment horizontal="center" readingOrder="0" vertical="center"/>
    </xf>
    <xf borderId="8" fillId="5" fontId="16" numFmtId="0" xfId="0" applyAlignment="1" applyBorder="1" applyFont="1">
      <alignment horizontal="center" vertical="center"/>
    </xf>
    <xf borderId="9" fillId="0" fontId="2" numFmtId="0" xfId="0" applyBorder="1" applyFont="1"/>
    <xf borderId="10" fillId="5" fontId="17" numFmtId="0" xfId="0" applyAlignment="1" applyBorder="1" applyFont="1">
      <alignment horizontal="center" readingOrder="0" vertical="center"/>
    </xf>
    <xf borderId="10" fillId="5" fontId="16" numFmtId="0" xfId="0" applyAlignment="1" applyBorder="1" applyFont="1">
      <alignment horizontal="center" readingOrder="0" vertical="center"/>
    </xf>
    <xf borderId="11" fillId="5" fontId="16" numFmtId="0" xfId="0" applyAlignment="1" applyBorder="1" applyFont="1">
      <alignment horizontal="center" readingOrder="0" vertical="center"/>
    </xf>
    <xf borderId="12" fillId="0" fontId="17" numFmtId="0" xfId="0" applyAlignment="1" applyBorder="1" applyFont="1">
      <alignment horizontal="center" vertical="center"/>
    </xf>
    <xf borderId="13" fillId="0" fontId="18" numFmtId="0" xfId="0" applyAlignment="1" applyBorder="1" applyFont="1">
      <alignment horizontal="center" vertical="center"/>
    </xf>
    <xf borderId="14" fillId="0" fontId="18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4" fillId="0" fontId="18" numFmtId="3" xfId="0" applyAlignment="1" applyBorder="1" applyFont="1" applyNumberFormat="1">
      <alignment horizontal="center" vertical="center"/>
    </xf>
    <xf borderId="18" fillId="6" fontId="19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6" fontId="19" numFmtId="3" xfId="0" applyAlignment="1" applyBorder="1" applyFont="1" applyNumberFormat="1">
      <alignment horizontal="center" vertical="center"/>
    </xf>
    <xf borderId="22" fillId="0" fontId="20" numFmtId="0" xfId="0" applyAlignment="1" applyBorder="1" applyFont="1">
      <alignment horizontal="center" vertical="top"/>
    </xf>
    <xf borderId="23" fillId="0" fontId="2" numFmtId="0" xfId="0" applyBorder="1" applyFont="1"/>
    <xf borderId="24" fillId="0" fontId="2" numFmtId="0" xfId="0" applyBorder="1" applyFont="1"/>
    <xf borderId="25" fillId="0" fontId="20" numFmtId="0" xfId="0" applyAlignment="1" applyBorder="1" applyFont="1">
      <alignment horizontal="center" vertical="top"/>
    </xf>
    <xf borderId="26" fillId="0" fontId="2" numFmtId="0" xfId="0" applyBorder="1" applyFont="1"/>
    <xf borderId="27" fillId="0" fontId="20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0" fillId="7" fontId="13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8" fontId="14" numFmtId="0" xfId="0" applyAlignment="1" applyFill="1" applyFont="1">
      <alignment horizontal="center" readingOrder="0"/>
    </xf>
    <xf borderId="0" fillId="9" fontId="21" numFmtId="0" xfId="0" applyAlignment="1" applyFill="1" applyFont="1">
      <alignment horizontal="center" readingOrder="0"/>
    </xf>
    <xf borderId="0" fillId="9" fontId="21" numFmtId="0" xfId="0" applyAlignment="1" applyFont="1">
      <alignment horizontal="center"/>
    </xf>
    <xf borderId="0" fillId="8" fontId="14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0" fillId="10" fontId="13" numFmtId="0" xfId="0" applyAlignment="1" applyFill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9" fontId="22" numFmtId="0" xfId="0" applyAlignment="1" applyFont="1">
      <alignment horizontal="center" readingOrder="0"/>
    </xf>
    <xf borderId="0" fillId="2" fontId="13" numFmtId="0" xfId="0" applyAlignment="1" applyFont="1">
      <alignment horizontal="center"/>
    </xf>
    <xf borderId="0" fillId="11" fontId="13" numFmtId="0" xfId="0" applyAlignment="1" applyFill="1" applyFont="1">
      <alignment horizontal="center" readingOrder="0"/>
    </xf>
    <xf borderId="0" fillId="12" fontId="13" numFmtId="0" xfId="0" applyAlignment="1" applyFill="1" applyFont="1">
      <alignment horizontal="center" readingOrder="0"/>
    </xf>
    <xf borderId="0" fillId="9" fontId="23" numFmtId="0" xfId="0" applyAlignment="1" applyFont="1">
      <alignment horizontal="center" readingOrder="0"/>
    </xf>
    <xf borderId="0" fillId="12" fontId="13" numFmtId="0" xfId="0" applyAlignment="1" applyFont="1">
      <alignment horizontal="center"/>
    </xf>
    <xf borderId="0" fillId="13" fontId="14" numFmtId="0" xfId="0" applyAlignment="1" applyFill="1" applyFont="1">
      <alignment horizontal="center"/>
    </xf>
    <xf borderId="0" fillId="0" fontId="24" numFmtId="0" xfId="0" applyAlignment="1" applyFont="1">
      <alignment horizontal="center" readingOrder="0"/>
    </xf>
    <xf borderId="0" fillId="13" fontId="14" numFmtId="0" xfId="0" applyAlignment="1" applyFont="1">
      <alignment horizontal="center" readingOrder="0"/>
    </xf>
    <xf borderId="0" fillId="14" fontId="13" numFmtId="0" xfId="0" applyAlignment="1" applyFill="1" applyFont="1">
      <alignment horizontal="center" readingOrder="0"/>
    </xf>
    <xf borderId="0" fillId="15" fontId="14" numFmtId="0" xfId="0" applyAlignment="1" applyFill="1" applyFont="1">
      <alignment horizontal="center"/>
    </xf>
    <xf borderId="0" fillId="5" fontId="13" numFmtId="0" xfId="0" applyAlignment="1" applyFont="1">
      <alignment horizontal="center" readingOrder="0"/>
    </xf>
    <xf borderId="0" fillId="9" fontId="25" numFmtId="0" xfId="0" applyAlignment="1" applyFont="1">
      <alignment horizontal="center" readingOrder="0"/>
    </xf>
    <xf borderId="0" fillId="5" fontId="13" numFmtId="0" xfId="0" applyAlignment="1" applyFont="1">
      <alignment horizontal="center"/>
    </xf>
    <xf borderId="0" fillId="16" fontId="13" numFmtId="0" xfId="0" applyAlignment="1" applyFill="1" applyFont="1">
      <alignment horizontal="center" readingOrder="0" vertical="bottom"/>
    </xf>
    <xf borderId="0" fillId="15" fontId="14" numFmtId="0" xfId="0" applyAlignment="1" applyFont="1">
      <alignment horizontal="center" readingOrder="0"/>
    </xf>
    <xf borderId="0" fillId="15" fontId="14" numFmtId="166" xfId="0" applyAlignment="1" applyFont="1" applyNumberFormat="1">
      <alignment horizontal="center" readingOrder="0"/>
    </xf>
    <xf borderId="0" fillId="17" fontId="13" numFmtId="0" xfId="0" applyAlignment="1" applyFill="1" applyFont="1">
      <alignment horizontal="center" vertical="bottom"/>
    </xf>
    <xf borderId="0" fillId="9" fontId="26" numFmtId="0" xfId="0" applyAlignment="1" applyFont="1">
      <alignment horizontal="center" vertical="bottom"/>
    </xf>
    <xf borderId="0" fillId="13" fontId="14" numFmtId="0" xfId="0" applyAlignment="1" applyFont="1">
      <alignment horizontal="center" vertical="bottom"/>
    </xf>
    <xf borderId="0" fillId="0" fontId="2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27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bottom"/>
    </xf>
    <xf borderId="0" fillId="18" fontId="13" numFmtId="0" xfId="0" applyAlignment="1" applyFill="1" applyFont="1">
      <alignment horizontal="center" readingOrder="0" vertical="bottom"/>
    </xf>
    <xf borderId="0" fillId="19" fontId="13" numFmtId="0" xfId="0" applyAlignment="1" applyFill="1" applyFont="1">
      <alignment horizontal="center" vertical="bottom"/>
    </xf>
    <xf borderId="0" fillId="9" fontId="2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0</xdr:rowOff>
    </xdr:from>
    <xdr:ext cx="3333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2.0"/>
    <col customWidth="1" min="3" max="3" width="16.5"/>
    <col customWidth="1" min="4" max="4" width="11.63"/>
    <col customWidth="1" min="5" max="5" width="17.13"/>
    <col customWidth="1" min="6" max="6" width="10.63"/>
    <col customWidth="1" min="7" max="7" width="11.63"/>
    <col customWidth="1" min="8" max="8" width="51.5"/>
    <col customWidth="1" min="9" max="9" width="13.5"/>
    <col customWidth="1" min="10" max="10" width="30.0"/>
    <col customWidth="1" min="11" max="11" width="62.63"/>
    <col customWidth="1" min="12" max="12" width="20.63"/>
    <col customWidth="1" min="13" max="13" width="5.13"/>
    <col customWidth="1" min="14" max="14" width="10.63"/>
    <col customWidth="1" min="15" max="15" width="7.5"/>
    <col customWidth="1" min="16" max="16" width="4.25"/>
    <col customWidth="1" min="17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3" t="s">
        <v>5</v>
      </c>
      <c r="H1" s="4"/>
      <c r="I1" s="2" t="s">
        <v>6</v>
      </c>
      <c r="J1" s="5" t="s">
        <v>7</v>
      </c>
      <c r="K1" s="5" t="s">
        <v>8</v>
      </c>
      <c r="L1" s="5"/>
      <c r="M1" s="2" t="s">
        <v>9</v>
      </c>
      <c r="N1" s="2" t="s">
        <v>10</v>
      </c>
      <c r="O1" s="2" t="s">
        <v>11</v>
      </c>
      <c r="P1" s="6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12</v>
      </c>
      <c r="B2" s="8" t="s">
        <v>13</v>
      </c>
      <c r="C2" s="8" t="s">
        <v>14</v>
      </c>
      <c r="D2" s="9"/>
      <c r="E2" s="10" t="s">
        <v>15</v>
      </c>
      <c r="F2" s="11"/>
      <c r="G2" s="11" t="s">
        <v>16</v>
      </c>
      <c r="H2" s="12" t="s">
        <v>17</v>
      </c>
      <c r="I2" s="13">
        <v>0.01</v>
      </c>
      <c r="J2" s="14" t="s">
        <v>18</v>
      </c>
      <c r="K2" s="15" t="s">
        <v>19</v>
      </c>
      <c r="L2" s="15" t="s">
        <v>19</v>
      </c>
      <c r="M2" s="16">
        <v>1.0</v>
      </c>
      <c r="N2" s="12" t="s">
        <v>20</v>
      </c>
      <c r="O2" s="12" t="s">
        <v>21</v>
      </c>
      <c r="P2" s="12"/>
    </row>
    <row r="3">
      <c r="A3" s="8" t="s">
        <v>22</v>
      </c>
      <c r="B3" s="8" t="s">
        <v>23</v>
      </c>
      <c r="C3" s="8" t="s">
        <v>24</v>
      </c>
      <c r="D3" s="9"/>
      <c r="E3" s="17" t="s">
        <v>25</v>
      </c>
      <c r="F3" s="11"/>
      <c r="G3" s="11" t="s">
        <v>26</v>
      </c>
      <c r="H3" s="18" t="s">
        <v>27</v>
      </c>
      <c r="I3" s="8"/>
      <c r="J3" s="14" t="s">
        <v>28</v>
      </c>
      <c r="K3" s="15" t="s">
        <v>29</v>
      </c>
      <c r="L3" s="15" t="s">
        <v>30</v>
      </c>
      <c r="M3" s="16">
        <v>2.0</v>
      </c>
      <c r="N3" s="12" t="s">
        <v>31</v>
      </c>
      <c r="O3" s="12" t="s">
        <v>32</v>
      </c>
      <c r="P3" s="12"/>
    </row>
    <row r="4">
      <c r="A4" s="8" t="s">
        <v>33</v>
      </c>
      <c r="B4" s="8" t="s">
        <v>34</v>
      </c>
      <c r="C4" s="19" t="s">
        <v>35</v>
      </c>
      <c r="D4" s="9"/>
      <c r="E4" s="8"/>
      <c r="F4" s="11"/>
      <c r="G4" s="11" t="s">
        <v>36</v>
      </c>
      <c r="H4" s="12" t="s">
        <v>37</v>
      </c>
      <c r="I4" s="8"/>
      <c r="J4" s="14" t="s">
        <v>38</v>
      </c>
      <c r="K4" s="15" t="s">
        <v>39</v>
      </c>
      <c r="L4" s="15" t="s">
        <v>40</v>
      </c>
      <c r="M4" s="16">
        <v>3.0</v>
      </c>
      <c r="N4" s="12" t="s">
        <v>41</v>
      </c>
      <c r="O4" s="12" t="s">
        <v>42</v>
      </c>
      <c r="P4" s="12"/>
    </row>
    <row r="5">
      <c r="A5" s="8" t="s">
        <v>43</v>
      </c>
      <c r="B5" s="8" t="s">
        <v>44</v>
      </c>
      <c r="C5" s="8"/>
      <c r="D5" s="9"/>
      <c r="E5" s="8"/>
      <c r="F5" s="11"/>
      <c r="G5" s="11" t="s">
        <v>45</v>
      </c>
      <c r="H5" s="20" t="s">
        <v>46</v>
      </c>
      <c r="I5" s="8"/>
      <c r="J5" s="14" t="s">
        <v>47</v>
      </c>
      <c r="K5" s="21">
        <v>233922.0</v>
      </c>
      <c r="L5" s="15" t="s">
        <v>48</v>
      </c>
      <c r="M5" s="16">
        <v>4.0</v>
      </c>
      <c r="N5" s="12" t="s">
        <v>49</v>
      </c>
      <c r="O5" s="12" t="s">
        <v>50</v>
      </c>
      <c r="P5" s="12"/>
    </row>
    <row r="6">
      <c r="A6" s="8"/>
      <c r="B6" s="8" t="s">
        <v>51</v>
      </c>
      <c r="C6" s="8"/>
      <c r="D6" s="9"/>
      <c r="E6" s="8"/>
      <c r="F6" s="11"/>
      <c r="G6" s="11" t="s">
        <v>52</v>
      </c>
      <c r="H6" s="12" t="s">
        <v>53</v>
      </c>
      <c r="I6" s="8"/>
      <c r="J6" s="14" t="s">
        <v>54</v>
      </c>
      <c r="K6" s="15" t="s">
        <v>55</v>
      </c>
      <c r="L6" s="15" t="s">
        <v>56</v>
      </c>
      <c r="M6" s="16">
        <v>5.0</v>
      </c>
      <c r="N6" s="12" t="s">
        <v>57</v>
      </c>
      <c r="O6" s="12" t="s">
        <v>58</v>
      </c>
      <c r="P6" s="12"/>
    </row>
    <row r="7">
      <c r="A7" s="8"/>
      <c r="B7" s="8" t="s">
        <v>59</v>
      </c>
      <c r="C7" s="8"/>
      <c r="D7" s="8"/>
      <c r="E7" s="8"/>
      <c r="F7" s="11"/>
      <c r="G7" s="11" t="s">
        <v>60</v>
      </c>
      <c r="H7" s="12"/>
      <c r="I7" s="8"/>
      <c r="J7" s="14" t="s">
        <v>61</v>
      </c>
      <c r="K7" s="21"/>
      <c r="L7" s="15" t="s">
        <v>62</v>
      </c>
      <c r="M7" s="16">
        <v>6.0</v>
      </c>
      <c r="N7" s="12" t="s">
        <v>63</v>
      </c>
      <c r="O7" s="12" t="s">
        <v>64</v>
      </c>
      <c r="P7" s="12"/>
    </row>
    <row r="8">
      <c r="A8" s="8"/>
      <c r="B8" s="12"/>
      <c r="C8" s="8"/>
      <c r="D8" s="8"/>
      <c r="E8" s="8"/>
      <c r="F8" s="12"/>
      <c r="G8" s="12"/>
      <c r="H8" s="22" t="s">
        <v>65</v>
      </c>
      <c r="I8" s="8"/>
      <c r="J8" s="14"/>
      <c r="K8" s="21"/>
      <c r="L8" s="5"/>
      <c r="M8" s="16">
        <v>7.0</v>
      </c>
      <c r="N8" s="12" t="s">
        <v>66</v>
      </c>
      <c r="O8" s="12" t="s">
        <v>67</v>
      </c>
      <c r="P8" s="12"/>
    </row>
    <row r="9">
      <c r="A9" s="8"/>
      <c r="B9" s="12"/>
      <c r="C9" s="8"/>
      <c r="D9" s="8"/>
      <c r="E9" s="8"/>
      <c r="F9" s="12"/>
      <c r="G9" s="12"/>
      <c r="H9" s="12"/>
      <c r="I9" s="8"/>
      <c r="J9" s="14" t="s">
        <v>18</v>
      </c>
      <c r="K9" s="15" t="s">
        <v>30</v>
      </c>
      <c r="L9" s="5"/>
      <c r="M9" s="16">
        <v>8.0</v>
      </c>
      <c r="N9" s="12" t="s">
        <v>68</v>
      </c>
      <c r="O9" s="12" t="s">
        <v>69</v>
      </c>
      <c r="P9" s="12"/>
    </row>
    <row r="10">
      <c r="A10" s="8"/>
      <c r="B10" s="12"/>
      <c r="C10" s="8"/>
      <c r="D10" s="8"/>
      <c r="E10" s="8"/>
      <c r="F10" s="12"/>
      <c r="G10" s="12"/>
      <c r="H10" s="12"/>
      <c r="I10" s="8"/>
      <c r="J10" s="14" t="s">
        <v>28</v>
      </c>
      <c r="K10" s="15" t="s">
        <v>70</v>
      </c>
      <c r="L10" s="5"/>
      <c r="M10" s="16">
        <v>9.0</v>
      </c>
      <c r="N10" s="12" t="s">
        <v>71</v>
      </c>
      <c r="O10" s="12" t="s">
        <v>72</v>
      </c>
      <c r="P10" s="12"/>
    </row>
    <row r="11">
      <c r="A11" s="8"/>
      <c r="B11" s="12"/>
      <c r="C11" s="8"/>
      <c r="D11" s="8"/>
      <c r="E11" s="8"/>
      <c r="F11" s="12"/>
      <c r="G11" s="12"/>
      <c r="H11" s="12"/>
      <c r="I11" s="8"/>
      <c r="J11" s="14" t="s">
        <v>38</v>
      </c>
      <c r="K11" s="23" t="s">
        <v>73</v>
      </c>
      <c r="L11" s="12"/>
      <c r="M11" s="16">
        <v>10.0</v>
      </c>
      <c r="N11" s="12" t="s">
        <v>74</v>
      </c>
      <c r="O11" s="12" t="s">
        <v>75</v>
      </c>
      <c r="P11" s="12"/>
    </row>
    <row r="12">
      <c r="A12" s="8"/>
      <c r="B12" s="12"/>
      <c r="C12" s="8"/>
      <c r="D12" s="8"/>
      <c r="E12" s="8"/>
      <c r="F12" s="12"/>
      <c r="G12" s="12"/>
      <c r="H12" s="12"/>
      <c r="I12" s="8"/>
      <c r="J12" s="14" t="s">
        <v>47</v>
      </c>
      <c r="K12" s="24">
        <v>225795.0</v>
      </c>
      <c r="L12" s="12"/>
      <c r="M12" s="16">
        <v>11.0</v>
      </c>
      <c r="N12" s="12" t="s">
        <v>76</v>
      </c>
      <c r="O12" s="12" t="s">
        <v>77</v>
      </c>
      <c r="P12" s="12"/>
    </row>
    <row r="13">
      <c r="A13" s="8"/>
      <c r="B13" s="12"/>
      <c r="C13" s="8"/>
      <c r="D13" s="8"/>
      <c r="E13" s="8"/>
      <c r="F13" s="12"/>
      <c r="G13" s="12"/>
      <c r="H13" s="12"/>
      <c r="I13" s="8"/>
      <c r="J13" s="14" t="s">
        <v>54</v>
      </c>
      <c r="K13" s="15" t="s">
        <v>78</v>
      </c>
      <c r="L13" s="12"/>
      <c r="M13" s="16">
        <v>12.0</v>
      </c>
      <c r="N13" s="12" t="s">
        <v>79</v>
      </c>
      <c r="O13" s="12" t="s">
        <v>80</v>
      </c>
      <c r="P13" s="12"/>
    </row>
    <row r="14">
      <c r="A14" s="8"/>
      <c r="B14" s="12"/>
      <c r="C14" s="8"/>
      <c r="D14" s="8"/>
      <c r="E14" s="8"/>
      <c r="F14" s="12"/>
      <c r="G14" s="12"/>
      <c r="H14" s="12"/>
      <c r="I14" s="8"/>
      <c r="J14" s="14" t="s">
        <v>61</v>
      </c>
      <c r="K14" s="25"/>
      <c r="L14" s="12"/>
      <c r="M14" s="12"/>
      <c r="N14" s="12"/>
      <c r="O14" s="12"/>
      <c r="P14" s="12"/>
    </row>
    <row r="15">
      <c r="A15" s="8"/>
      <c r="B15" s="12"/>
      <c r="C15" s="8"/>
      <c r="D15" s="8"/>
      <c r="E15" s="8"/>
      <c r="F15" s="12"/>
      <c r="G15" s="12"/>
      <c r="H15" s="12"/>
      <c r="I15" s="8"/>
      <c r="J15" s="14"/>
      <c r="K15" s="25"/>
      <c r="L15" s="12"/>
      <c r="M15" s="12"/>
      <c r="N15" s="12"/>
      <c r="O15" s="12"/>
      <c r="P15" s="12"/>
    </row>
    <row r="16">
      <c r="A16" s="8"/>
      <c r="B16" s="12"/>
      <c r="C16" s="8"/>
      <c r="D16" s="8"/>
      <c r="E16" s="8"/>
      <c r="F16" s="12"/>
      <c r="G16" s="12"/>
      <c r="H16" s="12"/>
      <c r="I16" s="8"/>
      <c r="J16" s="14" t="s">
        <v>18</v>
      </c>
      <c r="K16" s="15" t="s">
        <v>40</v>
      </c>
      <c r="L16" s="12"/>
      <c r="M16" s="12"/>
      <c r="N16" s="12"/>
      <c r="O16" s="12"/>
      <c r="P16" s="12"/>
    </row>
    <row r="17">
      <c r="A17" s="8"/>
      <c r="B17" s="12"/>
      <c r="C17" s="8"/>
      <c r="D17" s="8"/>
      <c r="E17" s="8"/>
      <c r="F17" s="12"/>
      <c r="G17" s="12"/>
      <c r="H17" s="12"/>
      <c r="I17" s="8"/>
      <c r="J17" s="14" t="s">
        <v>28</v>
      </c>
      <c r="K17" s="15" t="s">
        <v>81</v>
      </c>
      <c r="L17" s="12"/>
      <c r="M17" s="12"/>
      <c r="N17" s="12"/>
      <c r="O17" s="12"/>
      <c r="P17" s="12"/>
    </row>
    <row r="18">
      <c r="A18" s="8"/>
      <c r="B18" s="12"/>
      <c r="C18" s="8"/>
      <c r="D18" s="8"/>
      <c r="E18" s="8"/>
      <c r="F18" s="12"/>
      <c r="G18" s="12"/>
      <c r="H18" s="12"/>
      <c r="I18" s="8"/>
      <c r="J18" s="14" t="s">
        <v>38</v>
      </c>
      <c r="K18" s="25"/>
      <c r="L18" s="12"/>
      <c r="M18" s="12"/>
      <c r="N18" s="12"/>
      <c r="O18" s="12"/>
      <c r="P18" s="12"/>
    </row>
    <row r="19">
      <c r="A19" s="8"/>
      <c r="B19" s="12"/>
      <c r="C19" s="8"/>
      <c r="D19" s="8"/>
      <c r="E19" s="8"/>
      <c r="F19" s="12"/>
      <c r="G19" s="12"/>
      <c r="H19" s="12"/>
      <c r="I19" s="8"/>
      <c r="J19" s="14" t="s">
        <v>47</v>
      </c>
      <c r="K19" s="25"/>
      <c r="L19" s="12"/>
      <c r="M19" s="12"/>
      <c r="N19" s="12"/>
      <c r="O19" s="12"/>
      <c r="P19" s="12"/>
    </row>
    <row r="20">
      <c r="A20" s="8"/>
      <c r="B20" s="12"/>
      <c r="C20" s="8"/>
      <c r="D20" s="8"/>
      <c r="E20" s="8"/>
      <c r="F20" s="12"/>
      <c r="G20" s="12"/>
      <c r="H20" s="12"/>
      <c r="I20" s="8"/>
      <c r="J20" s="14" t="s">
        <v>54</v>
      </c>
      <c r="K20" s="25"/>
      <c r="L20" s="12"/>
      <c r="M20" s="12"/>
      <c r="N20" s="12"/>
      <c r="O20" s="12"/>
      <c r="P20" s="12"/>
    </row>
    <row r="21">
      <c r="A21" s="8"/>
      <c r="B21" s="12"/>
      <c r="C21" s="8"/>
      <c r="D21" s="8"/>
      <c r="E21" s="8"/>
      <c r="F21" s="12"/>
      <c r="G21" s="12"/>
      <c r="H21" s="12"/>
      <c r="I21" s="8"/>
      <c r="J21" s="14" t="s">
        <v>61</v>
      </c>
      <c r="K21" s="25"/>
      <c r="L21" s="12"/>
      <c r="M21" s="12"/>
      <c r="N21" s="12"/>
      <c r="O21" s="12"/>
      <c r="P21" s="12"/>
    </row>
    <row r="22">
      <c r="A22" s="8"/>
      <c r="B22" s="12"/>
      <c r="C22" s="8"/>
      <c r="D22" s="8"/>
      <c r="E22" s="8"/>
      <c r="F22" s="12"/>
      <c r="G22" s="12"/>
      <c r="H22" s="12"/>
      <c r="I22" s="8"/>
      <c r="J22" s="14"/>
      <c r="K22" s="25"/>
      <c r="L22" s="12"/>
      <c r="M22" s="12"/>
      <c r="N22" s="12"/>
      <c r="O22" s="12"/>
      <c r="P22" s="12"/>
    </row>
    <row r="23">
      <c r="A23" s="8"/>
      <c r="B23" s="12"/>
      <c r="C23" s="8"/>
      <c r="D23" s="8"/>
      <c r="E23" s="8"/>
      <c r="F23" s="12"/>
      <c r="G23" s="12"/>
      <c r="H23" s="12"/>
      <c r="I23" s="8"/>
      <c r="J23" s="14" t="s">
        <v>18</v>
      </c>
      <c r="K23" s="15" t="s">
        <v>48</v>
      </c>
      <c r="L23" s="12"/>
      <c r="M23" s="12"/>
      <c r="N23" s="12"/>
      <c r="O23" s="12"/>
      <c r="P23" s="12"/>
    </row>
    <row r="24">
      <c r="A24" s="8"/>
      <c r="B24" s="12"/>
      <c r="C24" s="8"/>
      <c r="D24" s="8"/>
      <c r="E24" s="8"/>
      <c r="F24" s="12"/>
      <c r="G24" s="12"/>
      <c r="H24" s="12"/>
      <c r="I24" s="8"/>
      <c r="J24" s="14" t="s">
        <v>28</v>
      </c>
      <c r="K24" s="15" t="s">
        <v>82</v>
      </c>
      <c r="L24" s="12"/>
      <c r="M24" s="12"/>
      <c r="N24" s="12"/>
      <c r="O24" s="12"/>
      <c r="P24" s="12"/>
    </row>
    <row r="25">
      <c r="A25" s="8"/>
      <c r="B25" s="12"/>
      <c r="C25" s="8"/>
      <c r="D25" s="8"/>
      <c r="E25" s="8"/>
      <c r="F25" s="12"/>
      <c r="G25" s="12"/>
      <c r="H25" s="12"/>
      <c r="I25" s="8"/>
      <c r="J25" s="14" t="s">
        <v>38</v>
      </c>
      <c r="K25" s="25"/>
      <c r="L25" s="12"/>
      <c r="M25" s="12"/>
      <c r="N25" s="12"/>
      <c r="O25" s="12"/>
      <c r="P25" s="12"/>
    </row>
    <row r="26">
      <c r="A26" s="8"/>
      <c r="B26" s="12"/>
      <c r="C26" s="8"/>
      <c r="D26" s="8"/>
      <c r="E26" s="8"/>
      <c r="F26" s="12"/>
      <c r="G26" s="12"/>
      <c r="H26" s="12"/>
      <c r="I26" s="8"/>
      <c r="J26" s="14" t="s">
        <v>47</v>
      </c>
      <c r="K26" s="26"/>
      <c r="L26" s="12"/>
      <c r="M26" s="12"/>
      <c r="N26" s="12"/>
      <c r="O26" s="12"/>
      <c r="P26" s="12"/>
    </row>
    <row r="27">
      <c r="A27" s="8"/>
      <c r="B27" s="12"/>
      <c r="C27" s="8"/>
      <c r="D27" s="8"/>
      <c r="E27" s="8"/>
      <c r="F27" s="12"/>
      <c r="G27" s="12"/>
      <c r="H27" s="12"/>
      <c r="I27" s="8"/>
      <c r="J27" s="14" t="s">
        <v>54</v>
      </c>
      <c r="K27" s="25"/>
      <c r="L27" s="12"/>
      <c r="M27" s="12"/>
      <c r="N27" s="12"/>
      <c r="O27" s="12"/>
      <c r="P27" s="12"/>
    </row>
    <row r="28">
      <c r="A28" s="8"/>
      <c r="B28" s="12"/>
      <c r="C28" s="8"/>
      <c r="D28" s="8"/>
      <c r="E28" s="8"/>
      <c r="F28" s="12"/>
      <c r="G28" s="12"/>
      <c r="H28" s="12"/>
      <c r="I28" s="8"/>
      <c r="J28" s="14" t="s">
        <v>61</v>
      </c>
      <c r="K28" s="25"/>
      <c r="L28" s="12"/>
      <c r="M28" s="12"/>
      <c r="N28" s="12"/>
      <c r="O28" s="12"/>
      <c r="P28" s="12"/>
    </row>
    <row r="29">
      <c r="J29" s="14" t="s">
        <v>18</v>
      </c>
      <c r="K29" s="15" t="s">
        <v>56</v>
      </c>
    </row>
    <row r="30">
      <c r="J30" s="14" t="s">
        <v>28</v>
      </c>
      <c r="K30" s="15" t="s">
        <v>83</v>
      </c>
    </row>
    <row r="31">
      <c r="J31" s="14" t="s">
        <v>38</v>
      </c>
      <c r="K31" s="15" t="s">
        <v>84</v>
      </c>
    </row>
    <row r="32">
      <c r="J32" s="14" t="s">
        <v>47</v>
      </c>
      <c r="K32" s="15" t="s">
        <v>84</v>
      </c>
    </row>
    <row r="33">
      <c r="J33" s="14" t="s">
        <v>54</v>
      </c>
      <c r="K33" s="15" t="s">
        <v>84</v>
      </c>
    </row>
    <row r="34">
      <c r="J34" s="14" t="s">
        <v>61</v>
      </c>
      <c r="K34" s="27">
        <v>25134.0</v>
      </c>
    </row>
    <row r="35">
      <c r="J35" s="14" t="s">
        <v>18</v>
      </c>
      <c r="K35" s="15" t="s">
        <v>62</v>
      </c>
    </row>
    <row r="36">
      <c r="J36" s="14" t="s">
        <v>28</v>
      </c>
      <c r="K36" s="15" t="s">
        <v>83</v>
      </c>
    </row>
    <row r="37">
      <c r="J37" s="14" t="s">
        <v>38</v>
      </c>
      <c r="K37" s="15" t="s">
        <v>84</v>
      </c>
    </row>
    <row r="38">
      <c r="J38" s="14" t="s">
        <v>47</v>
      </c>
      <c r="K38" s="28" t="s">
        <v>84</v>
      </c>
    </row>
    <row r="39">
      <c r="J39" s="14" t="s">
        <v>54</v>
      </c>
      <c r="K39" s="15" t="s">
        <v>84</v>
      </c>
    </row>
    <row r="40">
      <c r="J40" s="14" t="s">
        <v>61</v>
      </c>
      <c r="K40" s="27">
        <v>25143.0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G1:H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3.0" topLeftCell="N1" activePane="topRight" state="frozen"/>
      <selection activeCell="O2" sqref="O2" pane="topRight"/>
    </sheetView>
  </sheetViews>
  <sheetFormatPr customHeight="1" defaultColWidth="12.63" defaultRowHeight="15.75" outlineLevelCol="1" outlineLevelRow="1"/>
  <cols>
    <col customWidth="1" min="1" max="1" width="27.75"/>
    <col min="2" max="11" width="12.63" outlineLevel="1"/>
    <col customWidth="1" min="12" max="12" width="14.38" outlineLevel="1"/>
    <col min="13" max="13" width="12.63" outlineLevel="1"/>
    <col customWidth="1" min="14" max="14" width="53.63"/>
    <col customWidth="1" min="15" max="15" width="26.63"/>
    <col customWidth="1" min="16" max="16" width="26.38"/>
    <col customWidth="1" min="17" max="17" width="22.88"/>
    <col customWidth="1" min="18" max="18" width="23.13"/>
    <col customWidth="1" min="19" max="19" width="23.88"/>
  </cols>
  <sheetData>
    <row r="1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 t="s">
        <v>85</v>
      </c>
      <c r="O1" s="32"/>
      <c r="P1" s="32"/>
      <c r="Q1" s="32"/>
      <c r="R1" s="32"/>
      <c r="S1" s="33"/>
    </row>
    <row r="2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4" t="s">
        <v>86</v>
      </c>
      <c r="O2" s="35" t="str">
        <f t="array" ref="O2">INDEX('⚙️ Config'!K:K, MATCH(Q2, '⚙️ Config'!K:K, 0) + 1)</f>
        <v>#REF!</v>
      </c>
      <c r="P2" s="36"/>
      <c r="Q2" s="37" t="s">
        <v>62</v>
      </c>
      <c r="R2" s="38" t="s">
        <v>87</v>
      </c>
      <c r="S2" s="39" t="s">
        <v>74</v>
      </c>
    </row>
    <row r="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40" t="s">
        <v>88</v>
      </c>
      <c r="O3" s="41" t="s">
        <v>89</v>
      </c>
      <c r="P3" s="41" t="s">
        <v>90</v>
      </c>
      <c r="Q3" s="41" t="s">
        <v>91</v>
      </c>
      <c r="R3" s="41" t="s">
        <v>92</v>
      </c>
      <c r="S3" s="42" t="s">
        <v>93</v>
      </c>
    </row>
    <row r="4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40" t="s">
        <v>94</v>
      </c>
      <c r="O4" s="43" t="s">
        <v>84</v>
      </c>
      <c r="P4" s="44"/>
      <c r="Q4" s="44"/>
      <c r="R4" s="45"/>
      <c r="S4" s="46">
        <v>3500.0</v>
      </c>
    </row>
    <row r="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40" t="s">
        <v>95</v>
      </c>
      <c r="O5" s="41"/>
      <c r="P5" s="41" t="str">
        <f t="array" ref="P5">INDEX('สำเนาของ ชีต1'!K:AC, MATCH(Q2, 'สำเนาของ ชีต1'!J:J, 0)+2, MATCH(S2, INDEX('สำเนาของ ชีต1'!K:AC, MATCH(Q2,'สำเนาของ ชีต1'!J:J,0)+1,0), 0)-0)</f>
        <v>#N/A</v>
      </c>
      <c r="Q5" s="41" t="str">
        <f t="shared" ref="Q5:Q6" si="1">P5-O5</f>
        <v>#N/A</v>
      </c>
      <c r="R5" s="41">
        <v>8.0</v>
      </c>
      <c r="S5" s="42" t="str">
        <f t="shared" ref="S5:S6" si="2">Q5*R5</f>
        <v>#N/A</v>
      </c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40" t="s">
        <v>96</v>
      </c>
      <c r="O6" s="41"/>
      <c r="P6" s="41" t="str">
        <f t="array" ref="P6">INDEX('สำเนาของ ชีต1'!K:AC, MATCH(Q2, 'สำเนาของ ชีต1'!J:J, 0)+3, MATCH(S2, INDEX('สำเนาของ ชีต1'!K:AC, MATCH(Q2,'สำเนาของ ชีต1'!J:J,0)+1,0), 0)-0)</f>
        <v>#N/A</v>
      </c>
      <c r="Q6" s="41" t="str">
        <f t="shared" si="1"/>
        <v>#N/A</v>
      </c>
      <c r="R6" s="41">
        <v>25.0</v>
      </c>
      <c r="S6" s="42" t="str">
        <f t="shared" si="2"/>
        <v>#N/A</v>
      </c>
    </row>
    <row r="7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47" t="s">
        <v>93</v>
      </c>
      <c r="O7" s="48"/>
      <c r="P7" s="48"/>
      <c r="Q7" s="48"/>
      <c r="R7" s="49"/>
      <c r="S7" s="50" t="str">
        <f>SUM(S4:S6)</f>
        <v>#N/A</v>
      </c>
    </row>
    <row r="8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51" t="s">
        <v>97</v>
      </c>
      <c r="O8" s="52"/>
      <c r="P8" s="52"/>
      <c r="Q8" s="52"/>
      <c r="R8" s="52"/>
      <c r="S8" s="53"/>
    </row>
    <row r="9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54" t="s">
        <v>98</v>
      </c>
      <c r="S9" s="55"/>
    </row>
    <row r="10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54" t="s">
        <v>99</v>
      </c>
      <c r="S10" s="55"/>
    </row>
    <row r="11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56" t="s">
        <v>100</v>
      </c>
      <c r="O11" s="57"/>
      <c r="P11" s="57"/>
      <c r="Q11" s="57"/>
      <c r="R11" s="57"/>
      <c r="S11" s="58"/>
    </row>
    <row r="12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>
      <c r="A16" s="29" t="s">
        <v>101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>
      <c r="A17" s="59" t="s">
        <v>48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30"/>
      <c r="P17" s="30"/>
      <c r="Q17" s="30"/>
      <c r="R17" s="30"/>
      <c r="S17" s="30"/>
    </row>
    <row r="18" outlineLevel="1">
      <c r="A18" s="61" t="s">
        <v>10</v>
      </c>
      <c r="B18" s="62" t="s">
        <v>20</v>
      </c>
      <c r="C18" s="62" t="s">
        <v>31</v>
      </c>
      <c r="D18" s="62" t="s">
        <v>41</v>
      </c>
      <c r="E18" s="62" t="s">
        <v>49</v>
      </c>
      <c r="F18" s="62" t="s">
        <v>57</v>
      </c>
      <c r="G18" s="62" t="s">
        <v>63</v>
      </c>
      <c r="H18" s="62" t="s">
        <v>66</v>
      </c>
      <c r="I18" s="62" t="s">
        <v>68</v>
      </c>
      <c r="J18" s="62" t="s">
        <v>71</v>
      </c>
      <c r="K18" s="62" t="s">
        <v>74</v>
      </c>
      <c r="L18" s="62" t="s">
        <v>76</v>
      </c>
      <c r="M18" s="62" t="s">
        <v>79</v>
      </c>
      <c r="N18" s="63"/>
      <c r="O18" s="62"/>
      <c r="P18" s="62"/>
      <c r="Q18" s="62"/>
      <c r="R18" s="62"/>
      <c r="S18" s="62"/>
    </row>
    <row r="19" outlineLevel="1">
      <c r="A19" s="64" t="s">
        <v>102</v>
      </c>
      <c r="B19" s="65">
        <v>5217.0</v>
      </c>
      <c r="C19" s="65">
        <v>5294.0</v>
      </c>
      <c r="D19" s="65">
        <v>5418.0</v>
      </c>
      <c r="E19" s="65">
        <v>5580.0</v>
      </c>
      <c r="F19" s="66">
        <v>5756.0</v>
      </c>
      <c r="G19" s="65">
        <v>5889.0</v>
      </c>
      <c r="H19" s="65">
        <v>5990.0</v>
      </c>
      <c r="I19" s="60">
        <v>6099.0</v>
      </c>
      <c r="J19" s="60">
        <v>6214.0</v>
      </c>
      <c r="K19" s="60">
        <v>6351.0</v>
      </c>
      <c r="L19" s="30"/>
      <c r="M19" s="30"/>
      <c r="N19" s="30"/>
      <c r="O19" s="30"/>
      <c r="P19" s="30"/>
      <c r="Q19" s="30"/>
      <c r="R19" s="30"/>
      <c r="S19" s="30"/>
    </row>
    <row r="20" outlineLevel="1">
      <c r="A20" s="61" t="s">
        <v>103</v>
      </c>
      <c r="B20" s="65">
        <v>151.0</v>
      </c>
      <c r="C20" s="65">
        <v>155.0</v>
      </c>
      <c r="D20" s="65">
        <v>158.0</v>
      </c>
      <c r="E20" s="65">
        <v>164.0</v>
      </c>
      <c r="F20" s="66">
        <v>168.0</v>
      </c>
      <c r="G20" s="65">
        <v>172.0</v>
      </c>
      <c r="H20" s="65">
        <v>176.0</v>
      </c>
      <c r="I20" s="60">
        <v>179.0</v>
      </c>
      <c r="J20" s="60">
        <v>183.0</v>
      </c>
      <c r="K20" s="60">
        <v>187.0</v>
      </c>
      <c r="L20" s="30"/>
      <c r="M20" s="30"/>
      <c r="N20" s="30"/>
      <c r="O20" s="30"/>
      <c r="P20" s="30"/>
      <c r="Q20" s="30"/>
      <c r="R20" s="30"/>
      <c r="S20" s="30"/>
    </row>
    <row r="21" outlineLevel="1">
      <c r="A21" s="61" t="s">
        <v>104</v>
      </c>
      <c r="B21" s="60">
        <v>3500.0</v>
      </c>
      <c r="C21" s="60">
        <v>3500.0</v>
      </c>
      <c r="D21" s="60">
        <v>3500.0</v>
      </c>
      <c r="E21" s="60">
        <v>3500.0</v>
      </c>
      <c r="F21" s="60">
        <v>3500.0</v>
      </c>
      <c r="G21" s="60">
        <v>3500.0</v>
      </c>
      <c r="H21" s="60">
        <v>3500.0</v>
      </c>
      <c r="I21" s="60">
        <v>3500.0</v>
      </c>
      <c r="J21" s="60">
        <v>3500.0</v>
      </c>
      <c r="K21" s="60">
        <v>3500.0</v>
      </c>
      <c r="L21" s="30"/>
      <c r="M21" s="30"/>
      <c r="N21" s="30"/>
      <c r="O21" s="30"/>
      <c r="P21" s="30"/>
      <c r="Q21" s="30"/>
      <c r="R21" s="30"/>
      <c r="S21" s="30"/>
    </row>
    <row r="22" outlineLevel="1">
      <c r="A22" s="61" t="s">
        <v>93</v>
      </c>
      <c r="J22" s="30"/>
      <c r="K22" s="60">
        <v>4696.0</v>
      </c>
      <c r="L22" s="30"/>
      <c r="M22" s="30"/>
      <c r="N22" s="30"/>
      <c r="O22" s="30"/>
      <c r="P22" s="30"/>
      <c r="Q22" s="30"/>
      <c r="R22" s="30"/>
      <c r="S22" s="30"/>
    </row>
    <row r="23">
      <c r="A23" s="67" t="s">
        <v>40</v>
      </c>
      <c r="B23" s="60"/>
      <c r="C23" s="6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outlineLevel="1">
      <c r="A24" s="68" t="s">
        <v>10</v>
      </c>
      <c r="B24" s="69" t="s">
        <v>20</v>
      </c>
      <c r="C24" s="69" t="s">
        <v>31</v>
      </c>
      <c r="D24" s="69" t="s">
        <v>41</v>
      </c>
      <c r="E24" s="69" t="s">
        <v>49</v>
      </c>
      <c r="F24" s="69" t="s">
        <v>57</v>
      </c>
      <c r="G24" s="69" t="s">
        <v>63</v>
      </c>
      <c r="H24" s="69" t="s">
        <v>66</v>
      </c>
      <c r="I24" s="69" t="s">
        <v>68</v>
      </c>
      <c r="J24" s="69" t="s">
        <v>71</v>
      </c>
      <c r="K24" s="69" t="s">
        <v>74</v>
      </c>
      <c r="L24" s="69" t="s">
        <v>76</v>
      </c>
      <c r="M24" s="69" t="s">
        <v>79</v>
      </c>
      <c r="N24" s="69"/>
      <c r="O24" s="69"/>
      <c r="P24" s="69"/>
      <c r="Q24" s="69"/>
      <c r="R24" s="69"/>
      <c r="S24" s="69"/>
    </row>
    <row r="25" outlineLevel="1">
      <c r="A25" s="70" t="s">
        <v>102</v>
      </c>
      <c r="B25" s="65">
        <v>7915.0</v>
      </c>
      <c r="C25" s="65">
        <v>8004.0</v>
      </c>
      <c r="D25" s="65">
        <v>8131.0</v>
      </c>
      <c r="E25" s="65">
        <v>8261.0</v>
      </c>
      <c r="F25" s="65">
        <v>8451.0</v>
      </c>
      <c r="G25" s="65">
        <v>8632.0</v>
      </c>
      <c r="H25" s="65">
        <v>8801.0</v>
      </c>
      <c r="I25" s="60">
        <v>8978.0</v>
      </c>
      <c r="J25" s="60">
        <v>9171.0</v>
      </c>
      <c r="K25" s="60">
        <v>9321.0</v>
      </c>
      <c r="L25" s="30"/>
      <c r="M25" s="30"/>
      <c r="N25" s="30"/>
      <c r="O25" s="30"/>
      <c r="P25" s="30"/>
      <c r="Q25" s="30"/>
      <c r="R25" s="30"/>
      <c r="S25" s="30"/>
    </row>
    <row r="26" outlineLevel="1">
      <c r="A26" s="68" t="s">
        <v>103</v>
      </c>
      <c r="B26" s="65">
        <v>172.0</v>
      </c>
      <c r="C26" s="65">
        <v>176.0</v>
      </c>
      <c r="D26" s="65">
        <v>180.0</v>
      </c>
      <c r="E26" s="65">
        <v>184.0</v>
      </c>
      <c r="F26" s="65">
        <v>188.0</v>
      </c>
      <c r="G26" s="65">
        <v>192.0</v>
      </c>
      <c r="H26" s="65">
        <v>196.0</v>
      </c>
      <c r="I26" s="60">
        <v>201.0</v>
      </c>
      <c r="J26" s="60">
        <v>206.0</v>
      </c>
      <c r="K26" s="60">
        <v>210.0</v>
      </c>
      <c r="L26" s="30"/>
      <c r="M26" s="30"/>
      <c r="N26" s="30"/>
      <c r="O26" s="30"/>
      <c r="P26" s="30"/>
      <c r="Q26" s="30"/>
      <c r="R26" s="30"/>
      <c r="S26" s="30"/>
    </row>
    <row r="27" outlineLevel="1">
      <c r="A27" s="68" t="s">
        <v>104</v>
      </c>
      <c r="B27" s="60">
        <v>3500.0</v>
      </c>
      <c r="C27" s="60">
        <v>3500.0</v>
      </c>
      <c r="D27" s="60">
        <v>3500.0</v>
      </c>
      <c r="E27" s="60">
        <v>3500.0</v>
      </c>
      <c r="F27" s="60">
        <v>3500.0</v>
      </c>
      <c r="G27" s="60">
        <v>3500.0</v>
      </c>
      <c r="H27" s="60">
        <v>3500.0</v>
      </c>
      <c r="I27" s="60">
        <v>3500.0</v>
      </c>
      <c r="J27" s="60">
        <v>3500.0</v>
      </c>
      <c r="K27" s="60">
        <v>3500.0</v>
      </c>
      <c r="L27" s="30"/>
      <c r="M27" s="30"/>
      <c r="N27" s="30"/>
      <c r="O27" s="30"/>
      <c r="P27" s="30"/>
      <c r="Q27" s="30"/>
      <c r="R27" s="30"/>
      <c r="S27" s="30"/>
    </row>
    <row r="28" outlineLevel="1">
      <c r="A28" s="68" t="s">
        <v>93</v>
      </c>
      <c r="B28" s="30"/>
      <c r="C28" s="30"/>
      <c r="D28" s="30"/>
      <c r="E28" s="30"/>
      <c r="F28" s="30"/>
      <c r="G28" s="30"/>
      <c r="H28" s="30"/>
      <c r="I28" s="30"/>
      <c r="J28" s="30"/>
      <c r="K28" s="60">
        <v>4800.0</v>
      </c>
      <c r="L28" s="30"/>
      <c r="M28" s="30"/>
      <c r="N28" s="30"/>
      <c r="O28" s="30"/>
      <c r="P28" s="30"/>
      <c r="Q28" s="30"/>
      <c r="R28" s="30"/>
      <c r="S28" s="30"/>
    </row>
    <row r="29">
      <c r="A29" s="71" t="s">
        <v>19</v>
      </c>
      <c r="B29" s="60"/>
      <c r="C29" s="6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outlineLevel="1">
      <c r="A30" s="72" t="s">
        <v>10</v>
      </c>
      <c r="B30" s="73" t="s">
        <v>20</v>
      </c>
      <c r="C30" s="73" t="s">
        <v>31</v>
      </c>
      <c r="D30" s="73" t="s">
        <v>41</v>
      </c>
      <c r="E30" s="73" t="s">
        <v>49</v>
      </c>
      <c r="F30" s="73" t="s">
        <v>57</v>
      </c>
      <c r="G30" s="73" t="s">
        <v>63</v>
      </c>
      <c r="H30" s="73" t="s">
        <v>66</v>
      </c>
      <c r="I30" s="73" t="s">
        <v>68</v>
      </c>
      <c r="J30" s="73" t="s">
        <v>71</v>
      </c>
      <c r="K30" s="73" t="s">
        <v>74</v>
      </c>
      <c r="L30" s="73" t="s">
        <v>76</v>
      </c>
      <c r="M30" s="73" t="s">
        <v>79</v>
      </c>
      <c r="N30" s="73"/>
      <c r="O30" s="73"/>
      <c r="P30" s="73"/>
      <c r="Q30" s="73"/>
      <c r="R30" s="73"/>
      <c r="S30" s="73"/>
    </row>
    <row r="31" outlineLevel="1">
      <c r="A31" s="74" t="s">
        <v>102</v>
      </c>
      <c r="B31" s="75"/>
      <c r="C31" s="75"/>
      <c r="D31" s="75"/>
      <c r="E31" s="75"/>
      <c r="F31" s="75"/>
      <c r="G31" s="75"/>
      <c r="H31" s="75"/>
      <c r="I31" s="75"/>
      <c r="J31" s="76">
        <v>9698.0</v>
      </c>
      <c r="K31" s="60">
        <v>9826.0</v>
      </c>
      <c r="L31" s="30"/>
      <c r="M31" s="30"/>
      <c r="N31" s="30"/>
      <c r="O31" s="30"/>
      <c r="P31" s="30"/>
      <c r="Q31" s="30"/>
      <c r="R31" s="30"/>
      <c r="S31" s="30"/>
    </row>
    <row r="32" outlineLevel="1">
      <c r="A32" s="72" t="s">
        <v>103</v>
      </c>
      <c r="B32" s="75"/>
      <c r="C32" s="75"/>
      <c r="D32" s="75"/>
      <c r="E32" s="75"/>
      <c r="F32" s="75"/>
      <c r="G32" s="75"/>
      <c r="H32" s="75"/>
      <c r="I32" s="75"/>
      <c r="J32" s="76">
        <v>300.0</v>
      </c>
      <c r="K32" s="60">
        <v>302.0</v>
      </c>
      <c r="L32" s="30"/>
      <c r="M32" s="30"/>
      <c r="N32" s="30"/>
      <c r="O32" s="30"/>
      <c r="P32" s="30"/>
      <c r="Q32" s="30"/>
      <c r="R32" s="30"/>
      <c r="S32" s="30"/>
    </row>
    <row r="33" outlineLevel="1">
      <c r="A33" s="72" t="s">
        <v>104</v>
      </c>
      <c r="B33" s="77"/>
      <c r="C33" s="77"/>
      <c r="D33" s="77"/>
      <c r="E33" s="77"/>
      <c r="F33" s="77"/>
      <c r="G33" s="77"/>
      <c r="H33" s="77"/>
      <c r="I33" s="77"/>
      <c r="J33" s="76">
        <v>3500.0</v>
      </c>
      <c r="K33" s="60">
        <v>3500.0</v>
      </c>
      <c r="L33" s="60"/>
      <c r="M33" s="60"/>
      <c r="N33" s="60"/>
      <c r="O33" s="60"/>
      <c r="P33" s="60"/>
      <c r="Q33" s="60"/>
      <c r="R33" s="60"/>
      <c r="S33" s="60"/>
    </row>
    <row r="34" outlineLevel="1">
      <c r="A34" s="72" t="s">
        <v>93</v>
      </c>
      <c r="B34" s="75"/>
      <c r="C34" s="75"/>
      <c r="D34" s="75"/>
      <c r="E34" s="75"/>
      <c r="F34" s="75"/>
      <c r="G34" s="75"/>
      <c r="H34" s="75"/>
      <c r="I34" s="75"/>
      <c r="J34" s="76" t="s">
        <v>105</v>
      </c>
      <c r="K34" s="30"/>
      <c r="L34" s="30"/>
      <c r="M34" s="30"/>
      <c r="N34" s="30"/>
      <c r="O34" s="30"/>
      <c r="P34" s="30"/>
      <c r="Q34" s="30"/>
      <c r="R34" s="30"/>
      <c r="S34" s="30"/>
    </row>
    <row r="35">
      <c r="A35" s="78" t="s">
        <v>30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30"/>
      <c r="O35" s="30"/>
      <c r="P35" s="30"/>
      <c r="Q35" s="30"/>
      <c r="R35" s="30"/>
      <c r="S35" s="30"/>
    </row>
    <row r="36" outlineLevel="1">
      <c r="A36" s="80" t="s">
        <v>10</v>
      </c>
      <c r="B36" s="81" t="s">
        <v>20</v>
      </c>
      <c r="C36" s="81" t="s">
        <v>31</v>
      </c>
      <c r="D36" s="81" t="s">
        <v>41</v>
      </c>
      <c r="E36" s="81" t="s">
        <v>49</v>
      </c>
      <c r="F36" s="81" t="s">
        <v>57</v>
      </c>
      <c r="G36" s="81" t="s">
        <v>63</v>
      </c>
      <c r="H36" s="81" t="s">
        <v>66</v>
      </c>
      <c r="I36" s="81" t="s">
        <v>68</v>
      </c>
      <c r="J36" s="81" t="s">
        <v>71</v>
      </c>
      <c r="K36" s="81" t="s">
        <v>74</v>
      </c>
      <c r="L36" s="81" t="s">
        <v>76</v>
      </c>
      <c r="M36" s="81" t="s">
        <v>79</v>
      </c>
      <c r="N36" s="81"/>
      <c r="O36" s="81"/>
      <c r="P36" s="81"/>
      <c r="Q36" s="81"/>
      <c r="R36" s="81"/>
      <c r="S36" s="81"/>
    </row>
    <row r="37" outlineLevel="1">
      <c r="A37" s="82" t="s">
        <v>102</v>
      </c>
      <c r="B37" s="75"/>
      <c r="C37" s="75"/>
      <c r="D37" s="75"/>
      <c r="E37" s="75"/>
      <c r="F37" s="75"/>
      <c r="G37" s="75"/>
      <c r="H37" s="75"/>
      <c r="I37" s="76">
        <v>6340.0</v>
      </c>
      <c r="J37" s="60">
        <v>6511.0</v>
      </c>
      <c r="K37" s="60">
        <v>6690.0</v>
      </c>
      <c r="L37" s="30"/>
      <c r="M37" s="30"/>
      <c r="N37" s="30"/>
      <c r="O37" s="30"/>
      <c r="P37" s="30"/>
      <c r="Q37" s="30"/>
      <c r="R37" s="30"/>
      <c r="S37" s="30"/>
    </row>
    <row r="38" outlineLevel="1">
      <c r="A38" s="80" t="s">
        <v>103</v>
      </c>
      <c r="B38" s="75"/>
      <c r="C38" s="75"/>
      <c r="D38" s="75"/>
      <c r="E38" s="75"/>
      <c r="F38" s="75"/>
      <c r="G38" s="75"/>
      <c r="H38" s="75"/>
      <c r="I38" s="76">
        <v>311.0</v>
      </c>
      <c r="J38" s="60">
        <v>314.0</v>
      </c>
      <c r="K38" s="60">
        <v>317.0</v>
      </c>
      <c r="L38" s="30"/>
      <c r="M38" s="30"/>
      <c r="N38" s="30"/>
      <c r="O38" s="30"/>
      <c r="P38" s="30"/>
      <c r="Q38" s="30"/>
      <c r="R38" s="30"/>
      <c r="S38" s="30"/>
    </row>
    <row r="39" outlineLevel="1">
      <c r="A39" s="80" t="s">
        <v>104</v>
      </c>
      <c r="B39" s="75"/>
      <c r="C39" s="75"/>
      <c r="D39" s="75"/>
      <c r="E39" s="75"/>
      <c r="F39" s="75"/>
      <c r="G39" s="75"/>
      <c r="H39" s="75"/>
      <c r="I39" s="76">
        <v>3500.0</v>
      </c>
      <c r="J39" s="60">
        <v>3500.0</v>
      </c>
      <c r="K39" s="60">
        <v>3500.0</v>
      </c>
      <c r="L39" s="30"/>
      <c r="M39" s="30"/>
      <c r="N39" s="30"/>
      <c r="O39" s="30"/>
      <c r="P39" s="30"/>
      <c r="Q39" s="30"/>
      <c r="R39" s="30"/>
      <c r="S39" s="30"/>
    </row>
    <row r="40" outlineLevel="1">
      <c r="A40" s="80" t="s">
        <v>93</v>
      </c>
      <c r="B40" s="75"/>
      <c r="C40" s="75"/>
      <c r="D40" s="75"/>
      <c r="E40" s="75"/>
      <c r="F40" s="75"/>
      <c r="G40" s="75"/>
      <c r="H40" s="75"/>
      <c r="I40" s="76" t="s">
        <v>105</v>
      </c>
      <c r="J40" s="30"/>
      <c r="K40" s="60">
        <v>6370.0</v>
      </c>
      <c r="L40" s="30"/>
      <c r="M40" s="30"/>
      <c r="N40" s="30"/>
      <c r="O40" s="30"/>
      <c r="P40" s="30"/>
      <c r="Q40" s="30"/>
      <c r="R40" s="30"/>
      <c r="S40" s="30"/>
    </row>
    <row r="41">
      <c r="A41" s="83" t="s">
        <v>56</v>
      </c>
      <c r="B41" s="79"/>
      <c r="C41" s="79"/>
      <c r="D41" s="79"/>
      <c r="E41" s="79"/>
      <c r="F41" s="79"/>
      <c r="G41" s="79"/>
      <c r="H41" s="79"/>
      <c r="I41" s="79"/>
      <c r="J41" s="84" t="s">
        <v>106</v>
      </c>
      <c r="K41" s="85">
        <v>25134.0</v>
      </c>
      <c r="L41" s="85"/>
      <c r="M41" s="79"/>
      <c r="N41" s="30"/>
      <c r="O41" s="30"/>
      <c r="P41" s="30"/>
      <c r="Q41" s="30"/>
      <c r="R41" s="30"/>
      <c r="S41" s="30"/>
    </row>
    <row r="42" outlineLevel="1">
      <c r="A42" s="86" t="s">
        <v>10</v>
      </c>
      <c r="B42" s="87" t="s">
        <v>20</v>
      </c>
      <c r="C42" s="87" t="s">
        <v>31</v>
      </c>
      <c r="D42" s="87" t="s">
        <v>41</v>
      </c>
      <c r="E42" s="87" t="s">
        <v>49</v>
      </c>
      <c r="F42" s="87" t="s">
        <v>57</v>
      </c>
      <c r="G42" s="87" t="s">
        <v>63</v>
      </c>
      <c r="H42" s="87" t="s">
        <v>66</v>
      </c>
      <c r="I42" s="87" t="s">
        <v>68</v>
      </c>
      <c r="J42" s="87" t="s">
        <v>71</v>
      </c>
      <c r="K42" s="87" t="s">
        <v>74</v>
      </c>
      <c r="L42" s="87" t="s">
        <v>76</v>
      </c>
      <c r="M42" s="87" t="s">
        <v>79</v>
      </c>
      <c r="N42" s="87"/>
      <c r="O42" s="87"/>
      <c r="P42" s="87"/>
      <c r="Q42" s="87"/>
      <c r="R42" s="87"/>
      <c r="S42" s="87"/>
    </row>
    <row r="43" outlineLevel="1">
      <c r="A43" s="86" t="s">
        <v>102</v>
      </c>
      <c r="B43" s="88"/>
      <c r="C43" s="88"/>
      <c r="D43" s="88"/>
      <c r="E43" s="88"/>
      <c r="F43" s="88"/>
      <c r="G43" s="88"/>
      <c r="H43" s="88"/>
      <c r="I43" s="88"/>
      <c r="J43" s="88"/>
      <c r="K43" s="89">
        <v>111.0</v>
      </c>
      <c r="L43" s="90"/>
      <c r="M43" s="90"/>
      <c r="N43" s="90"/>
      <c r="O43" s="90"/>
      <c r="P43" s="90"/>
      <c r="Q43" s="90"/>
      <c r="R43" s="90"/>
      <c r="S43" s="90"/>
    </row>
    <row r="44" outlineLevel="1">
      <c r="A44" s="86" t="s">
        <v>103</v>
      </c>
      <c r="B44" s="88"/>
      <c r="C44" s="88"/>
      <c r="D44" s="88"/>
      <c r="E44" s="88"/>
      <c r="F44" s="88"/>
      <c r="G44" s="88"/>
      <c r="H44" s="88"/>
      <c r="I44" s="88"/>
      <c r="J44" s="88"/>
      <c r="K44" s="89">
        <v>752.0</v>
      </c>
      <c r="L44" s="90"/>
      <c r="M44" s="90"/>
      <c r="N44" s="90"/>
      <c r="O44" s="90"/>
      <c r="P44" s="90"/>
      <c r="Q44" s="90"/>
      <c r="R44" s="90"/>
      <c r="S44" s="90"/>
    </row>
    <row r="45" outlineLevel="1">
      <c r="A45" s="86" t="s">
        <v>104</v>
      </c>
      <c r="B45" s="88"/>
      <c r="C45" s="88"/>
      <c r="D45" s="88"/>
      <c r="E45" s="88"/>
      <c r="F45" s="88"/>
      <c r="G45" s="88"/>
      <c r="H45" s="88"/>
      <c r="I45" s="88"/>
      <c r="J45" s="88"/>
      <c r="K45" s="91" t="s">
        <v>84</v>
      </c>
      <c r="L45" s="92">
        <v>7000.0</v>
      </c>
      <c r="M45" s="90"/>
      <c r="N45" s="90"/>
      <c r="O45" s="90"/>
      <c r="P45" s="90"/>
      <c r="Q45" s="90"/>
      <c r="R45" s="90"/>
      <c r="S45" s="90"/>
    </row>
    <row r="46" outlineLevel="1">
      <c r="A46" s="86" t="s">
        <v>93</v>
      </c>
      <c r="B46" s="88"/>
      <c r="C46" s="88"/>
      <c r="D46" s="88"/>
      <c r="E46" s="88"/>
      <c r="F46" s="88"/>
      <c r="G46" s="88"/>
      <c r="H46" s="88"/>
      <c r="I46" s="88"/>
      <c r="J46" s="88"/>
      <c r="K46" s="91" t="s">
        <v>84</v>
      </c>
      <c r="L46" s="90"/>
      <c r="M46" s="90"/>
      <c r="N46" s="90"/>
      <c r="O46" s="90"/>
      <c r="P46" s="90"/>
      <c r="Q46" s="90"/>
      <c r="R46" s="90"/>
      <c r="S46" s="90"/>
    </row>
    <row r="47">
      <c r="A47" s="93" t="s">
        <v>62</v>
      </c>
      <c r="B47" s="79"/>
      <c r="C47" s="79"/>
      <c r="D47" s="79"/>
      <c r="E47" s="79"/>
      <c r="F47" s="79"/>
      <c r="G47" s="79"/>
      <c r="H47" s="79"/>
      <c r="I47" s="79"/>
      <c r="J47" s="79"/>
      <c r="K47" s="84" t="s">
        <v>107</v>
      </c>
      <c r="L47" s="85">
        <v>25143.0</v>
      </c>
      <c r="M47" s="79"/>
      <c r="N47" s="30"/>
      <c r="O47" s="30"/>
      <c r="P47" s="30"/>
      <c r="Q47" s="30"/>
      <c r="R47" s="30"/>
      <c r="S47" s="30"/>
    </row>
    <row r="48" outlineLevel="1">
      <c r="A48" s="94" t="s">
        <v>10</v>
      </c>
      <c r="B48" s="95" t="s">
        <v>20</v>
      </c>
      <c r="C48" s="95" t="s">
        <v>31</v>
      </c>
      <c r="D48" s="95" t="s">
        <v>41</v>
      </c>
      <c r="E48" s="95" t="s">
        <v>49</v>
      </c>
      <c r="F48" s="95" t="s">
        <v>57</v>
      </c>
      <c r="G48" s="95" t="s">
        <v>63</v>
      </c>
      <c r="H48" s="95" t="s">
        <v>66</v>
      </c>
      <c r="I48" s="95" t="s">
        <v>68</v>
      </c>
      <c r="J48" s="95" t="s">
        <v>71</v>
      </c>
      <c r="K48" s="95" t="s">
        <v>74</v>
      </c>
      <c r="L48" s="95" t="s">
        <v>76</v>
      </c>
      <c r="M48" s="95" t="s">
        <v>79</v>
      </c>
      <c r="N48" s="95"/>
      <c r="O48" s="95"/>
      <c r="P48" s="95"/>
      <c r="Q48" s="95"/>
      <c r="R48" s="95"/>
      <c r="S48" s="95"/>
    </row>
    <row r="49" outlineLevel="1">
      <c r="A49" s="94" t="s">
        <v>102</v>
      </c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9">
        <v>1.0</v>
      </c>
      <c r="M49" s="90"/>
      <c r="N49" s="90"/>
      <c r="O49" s="90"/>
      <c r="P49" s="90"/>
      <c r="Q49" s="90"/>
      <c r="R49" s="90"/>
      <c r="S49" s="90"/>
    </row>
    <row r="50" outlineLevel="1">
      <c r="A50" s="94" t="s">
        <v>103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9">
        <v>170.0</v>
      </c>
      <c r="M50" s="90"/>
      <c r="N50" s="90"/>
      <c r="O50" s="90"/>
      <c r="P50" s="90"/>
      <c r="Q50" s="90"/>
      <c r="R50" s="90"/>
      <c r="S50" s="90"/>
    </row>
    <row r="51" outlineLevel="1">
      <c r="A51" s="94" t="s">
        <v>104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9" t="s">
        <v>84</v>
      </c>
      <c r="M51" s="92">
        <v>7000.0</v>
      </c>
      <c r="N51" s="90"/>
      <c r="O51" s="90"/>
      <c r="P51" s="90"/>
      <c r="Q51" s="90"/>
      <c r="R51" s="90"/>
      <c r="S51" s="90"/>
    </row>
    <row r="52" outlineLevel="1">
      <c r="A52" s="94" t="s">
        <v>93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9" t="s">
        <v>84</v>
      </c>
      <c r="M52" s="90"/>
      <c r="N52" s="90"/>
      <c r="O52" s="90"/>
      <c r="P52" s="90"/>
      <c r="Q52" s="90"/>
      <c r="R52" s="90"/>
      <c r="S52" s="90"/>
    </row>
  </sheetData>
  <mergeCells count="8">
    <mergeCell ref="N1:S1"/>
    <mergeCell ref="O2:P2"/>
    <mergeCell ref="O4:R4"/>
    <mergeCell ref="N7:R7"/>
    <mergeCell ref="N8:S8"/>
    <mergeCell ref="N9:S9"/>
    <mergeCell ref="N10:S10"/>
    <mergeCell ref="N11:S11"/>
  </mergeCells>
  <dataValidations>
    <dataValidation type="list" allowBlank="1" showDropDown="1" showErrorMessage="1" sqref="Q2">
      <formula1>'⚙️ Config'!$L$2:$L$7</formula1>
    </dataValidation>
    <dataValidation type="list" allowBlank="1" showDropDown="1" showErrorMessage="1" sqref="S2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
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HOTEL_BOOKINGS" sheetId="1" r:id="rId5"/>
    <sheet state="visible" name="SHEET_RENT_INVOICE" sheetId="2" r:id="rId6"/>
    <sheet state="visible" name="SHEET_PAYROLL" sheetId="3" r:id="rId7"/>
  </sheets>
  <definedNames/>
  <calcPr/>
</workbook>
</file>

<file path=xl/sharedStrings.xml><?xml version="1.0" encoding="utf-8"?>
<sst xmlns="http://schemas.openxmlformats.org/spreadsheetml/2006/main" count="43" uniqueCount="40">
  <si>
    <t>booking_id</t>
  </si>
  <si>
    <t>checkin_date</t>
  </si>
  <si>
    <t>checkout_date</t>
  </si>
  <si>
    <t>nights</t>
  </si>
  <si>
    <t>room_no</t>
  </si>
  <si>
    <t>pay_type</t>
  </si>
  <si>
    <t>room_rate</t>
  </si>
  <si>
    <t>fees</t>
  </si>
  <si>
    <t>total</t>
  </si>
  <si>
    <t>status</t>
  </si>
  <si>
    <t>guest_name</t>
  </si>
  <si>
    <t>nationality</t>
  </si>
  <si>
    <t>id_type</t>
  </si>
  <si>
    <t>id_no_masked</t>
  </si>
  <si>
    <t>phone</t>
  </si>
  <si>
    <t>email</t>
  </si>
  <si>
    <t>origin</t>
  </si>
  <si>
    <t>destination</t>
  </si>
  <si>
    <t>note</t>
  </si>
  <si>
    <t>period_month</t>
  </si>
  <si>
    <t>issue_date</t>
  </si>
  <si>
    <t>due_date</t>
  </si>
  <si>
    <t>tenant_name</t>
  </si>
  <si>
    <t>water_prev</t>
  </si>
  <si>
    <t>water_curr</t>
  </si>
  <si>
    <t>water_usage</t>
  </si>
  <si>
    <t>water_unit_price</t>
  </si>
  <si>
    <t>water_amount</t>
  </si>
  <si>
    <t>elec_prev</t>
  </si>
  <si>
    <t>elec_curr</t>
  </si>
  <si>
    <t>elec_usage</t>
  </si>
  <si>
    <t>elec_unit_price</t>
  </si>
  <si>
    <t>elec_amount</t>
  </si>
  <si>
    <t>base_rent</t>
  </si>
  <si>
    <t>other_fees</t>
  </si>
  <si>
    <t>subtotal</t>
  </si>
  <si>
    <t>discount</t>
  </si>
  <si>
    <t>paid_status</t>
  </si>
  <si>
    <t>payment_ref</t>
  </si>
  <si>
    <t>anomaly_flag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</si>
</sst>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D2" s="2" t="str">
        <f>IF(AND(B2&lt;&gt;"",C2&lt;&gt;""), DATEDIF(B2, C2, "D"), "")</f>
        <v/>
      </c>
      <c r="I2" s="2">
        <f>IF(G2="",0,G2)+IF(H2="",0,H2)</f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</v>
      </c>
      <c r="B1" s="1" t="s">
        <v>20</v>
      </c>
      <c r="C1" s="1" t="s">
        <v>21</v>
      </c>
      <c r="D1" s="1" t="s">
        <v>22</v>
      </c>
      <c r="E1" s="1" t="s">
        <v>4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8</v>
      </c>
      <c r="U1" s="1" t="s">
        <v>37</v>
      </c>
      <c r="V1" s="1" t="s">
        <v>38</v>
      </c>
      <c r="W1" s="1" t="s">
        <v>18</v>
      </c>
      <c r="X1" s="1" t="s">
        <v>39</v>
      </c>
    </row>
    <row r="2">
      <c r="H2" s="2" t="str">
        <f>IF(AND(G2&lt;&gt;"",F2&lt;&gt;""), G2 - F2, "")</f>
        <v/>
      </c>
      <c r="J2" s="2">
        <f>IF(H2="",0,H2*I2)</f>
        <v>0</v>
      </c>
      <c r="M2" s="2" t="str">
        <f>IF(AND(L2&lt;&gt;"",K2&lt;&gt;""), L2 - K2, "")</f>
        <v/>
      </c>
      <c r="O2" s="2">
        <f>IF(M2="",0,M2*N2)</f>
        <v>0</v>
      </c>
      <c r="R2" s="2">
        <f>SUM(J2,O2,P2,IF(Q2="",0,Q2))</f>
        <v>0</v>
      </c>
      <c r="T2" s="2">
        <f>IF(S2="",R2,R2-S2)</f>
        <v>0</v>
      </c>
      <c r="X2" s="2" t="str">
        <f>IF(OR(H2&lt;0,M2&lt;0),"Check meter","")</f>
        <v/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
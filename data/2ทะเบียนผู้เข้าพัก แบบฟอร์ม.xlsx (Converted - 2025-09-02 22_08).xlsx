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ฐานข้อมูลห้องพัก" sheetId="1" r:id="rId5"/>
    <sheet state="visible" name="รายชื่อ" sheetId="2" r:id="rId6"/>
    <sheet state="visible" name="ฟอร์มอบจ.ค่าทำเนียบ" sheetId="3" r:id="rId7"/>
    <sheet state="visible" name="ฟอร์มทะเบียนผู้เข้าพัก" sheetId="4" r:id="rId8"/>
    <sheet state="visible" name="ใบเสร็จรับเงิน-ห้องพัก" sheetId="5" r:id="rId9"/>
  </sheets>
  <definedNames>
    <definedName localSheetId="4" name="ID">'ใบเสร็จรับเงิน-ห้องพัก'!$E$3</definedName>
    <definedName hidden="1" localSheetId="1" name="_xlnm._FilterDatabase">'รายชื่อ'!$D$1:$K$101</definedName>
    <definedName hidden="1" localSheetId="3" name="_xlnm._FilterDatabase">'ฟอร์มทะเบียนผู้เข้าพัก'!$A$2:$L$152</definedName>
  </definedNames>
  <calcPr/>
</workbook>
</file>

<file path=xl/sharedStrings.xml><?xml version="1.0" encoding="utf-8"?>
<sst xmlns="http://schemas.openxmlformats.org/spreadsheetml/2006/main" count="1173" uniqueCount="350">
  <si>
    <t>ชื่อ/เบอร์ห้อง</t>
  </si>
  <si>
    <t>ชื่อ ตึก/ตำแหน่ง</t>
  </si>
  <si>
    <t>Type</t>
  </si>
  <si>
    <t>ราคาList Price</t>
  </si>
  <si>
    <t>A101</t>
  </si>
  <si>
    <t>A</t>
  </si>
  <si>
    <t>Standard</t>
  </si>
  <si>
    <t>A102</t>
  </si>
  <si>
    <t>A103</t>
  </si>
  <si>
    <t>A104</t>
  </si>
  <si>
    <t>A105</t>
  </si>
  <si>
    <t>A106</t>
  </si>
  <si>
    <t>Standard Twin</t>
  </si>
  <si>
    <t>A107</t>
  </si>
  <si>
    <t>A108</t>
  </si>
  <si>
    <t>A109</t>
  </si>
  <si>
    <t>A110</t>
  </si>
  <si>
    <t>A111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</si>
  <si>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</si>
  <si>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</si>
  <si>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</si>
  <si>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</si>
  <si>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</si>
  <si>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</si>
  <si>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</si>
  <si>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</si>
  <si>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</si>
  <si>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</si>
  <si>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</si>
  <si>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B101</t>
  </si>
  <si>
    <t>B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</si>
  <si>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</si>
  <si>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</si>
  <si>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</si>
  <si>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</si>
  <si>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</si>
  <si>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</si>
  <si>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</si>
  <si>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</si>
  <si>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</si>
  <si>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</si>
  <si>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</si>
  <si>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</si>
  <si>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</si>
  <si>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</si>
  <si>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</si>
  <si>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</si>
  <si>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</si>
  <si>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</si>
  <si>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</si>
  <si>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</si>
  <si>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</si>
  <si>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N1</t>
  </si>
  <si>
    <t>N</t>
  </si>
  <si>
    <t>N2</t>
  </si>
  <si>
    <t>N3</t>
  </si>
  <si>
    <t>N4</t>
  </si>
  <si>
    <t>N5</t>
  </si>
  <si>
    <t>N6</t>
  </si>
  <si>
    <t>N7</t>
  </si>
  <si>
    <t>ปรเภท</t>
  </si>
  <si>
    <t>ราคา</t>
  </si>
  <si>
    <t>ตึกA</t>
  </si>
  <si>
    <t>เตียง เดี่ยว</t>
  </si>
  <si>
    <t>เตียง คู่</t>
  </si>
  <si>
    <t>ตึกB</t>
  </si>
  <si>
    <t>บ้านน็อคดาวน์</t>
  </si>
  <si>
    <t>Transaction ID</t>
  </si>
  <si>
    <t>เช็คอิน</t>
  </si>
  <si>
    <t>เช็คเอ้าท์</t>
  </si>
  <si>
    <t>ลำดับ</t>
  </si>
  <si>
    <t>ชื่อ-นามสกุล</t>
  </si>
  <si>
    <t>เบอร์โทร</t>
  </si>
  <si>
    <t>ห้อง</t>
  </si>
  <si>
    <t>ประเภทการชำระ</t>
  </si>
  <si>
    <t>ที่อยู่</t>
  </si>
  <si>
    <t>เลขที่บัตรประชาชน</t>
  </si>
  <si>
    <t>VP01146</t>
  </si>
  <si>
    <t>เงินสด</t>
  </si>
  <si>
    <t>VP01147</t>
  </si>
  <si>
    <t>VP01148</t>
  </si>
  <si>
    <t>VP01149</t>
  </si>
  <si>
    <t>VP01150</t>
  </si>
  <si>
    <t>โอนบัญชี</t>
  </si>
  <si>
    <t>VP01151</t>
  </si>
  <si>
    <t>VP01152</t>
  </si>
  <si>
    <t>VP01153</t>
  </si>
  <si>
    <t>VP01154</t>
  </si>
  <si>
    <t>VP01155</t>
  </si>
  <si>
    <t>A100</t>
  </si>
  <si>
    <t>VP01156</t>
  </si>
  <si>
    <t>VP01157</t>
  </si>
  <si>
    <t>VP01158</t>
  </si>
  <si>
    <t>VP01159</t>
  </si>
  <si>
    <t>VP01160</t>
  </si>
  <si>
    <t>VP01161</t>
  </si>
  <si>
    <t>VP01162</t>
  </si>
  <si>
    <t>VP01163</t>
  </si>
  <si>
    <t>VP01164</t>
  </si>
  <si>
    <t>VP01165</t>
  </si>
  <si>
    <t>VP01166</t>
  </si>
  <si>
    <t>VP01167</t>
  </si>
  <si>
    <t>VP01168</t>
  </si>
  <si>
    <t>VP01169</t>
  </si>
  <si>
    <t>VP01170</t>
  </si>
  <si>
    <t>VP01171</t>
  </si>
  <si>
    <t>VP01172</t>
  </si>
  <si>
    <t>VP01173</t>
  </si>
  <si>
    <t>VP01174</t>
  </si>
  <si>
    <t>VP01175</t>
  </si>
  <si>
    <t>VP01176</t>
  </si>
  <si>
    <t>VP01177</t>
  </si>
  <si>
    <t>VP01178</t>
  </si>
  <si>
    <t>VP01179</t>
  </si>
  <si>
    <t>VP01180</t>
  </si>
  <si>
    <t>VP01181</t>
  </si>
  <si>
    <t>VP01182</t>
  </si>
  <si>
    <t>VP01183</t>
  </si>
  <si>
    <t>VP01184</t>
  </si>
  <si>
    <t>VP01185</t>
  </si>
  <si>
    <t>VP01186</t>
  </si>
  <si>
    <t>VP01187</t>
  </si>
  <si>
    <t>VP01188</t>
  </si>
  <si>
    <t>VP01189</t>
  </si>
  <si>
    <t>VP01190</t>
  </si>
  <si>
    <t>VP01191</t>
  </si>
  <si>
    <t>VP01192</t>
  </si>
  <si>
    <t>VP01193</t>
  </si>
  <si>
    <t>VP01194</t>
  </si>
  <si>
    <t>VP01195</t>
  </si>
  <si>
    <t>VP01196</t>
  </si>
  <si>
    <t>VP01197</t>
  </si>
  <si>
    <t>VP01198</t>
  </si>
  <si>
    <t>VP01199</t>
  </si>
  <si>
    <t>VP01200</t>
  </si>
  <si>
    <t>VP01201</t>
  </si>
  <si>
    <t>VP01202</t>
  </si>
  <si>
    <t>VP01203</t>
  </si>
  <si>
    <t>VP01204</t>
  </si>
  <si>
    <t>VP01205</t>
  </si>
  <si>
    <t>VP01206</t>
  </si>
  <si>
    <t>VP01207</t>
  </si>
  <si>
    <t>VP01208</t>
  </si>
  <si>
    <t>VP01209</t>
  </si>
  <si>
    <t>VP01210</t>
  </si>
  <si>
    <t>VP01211</t>
  </si>
  <si>
    <t>VP01212</t>
  </si>
  <si>
    <t>VP01213</t>
  </si>
  <si>
    <t>VP01214</t>
  </si>
  <si>
    <t>VP01215</t>
  </si>
  <si>
    <t>VP01216</t>
  </si>
  <si>
    <t>VP01217</t>
  </si>
  <si>
    <t>VP01218</t>
  </si>
  <si>
    <t>VP01219</t>
  </si>
  <si>
    <t>VP01220</t>
  </si>
  <si>
    <t>VP01221</t>
  </si>
  <si>
    <t>VP01222</t>
  </si>
  <si>
    <t>VP01223</t>
  </si>
  <si>
    <t>VP01224</t>
  </si>
  <si>
    <t>VP01225</t>
  </si>
  <si>
    <t>VP01226</t>
  </si>
  <si>
    <t>VP01227</t>
  </si>
  <si>
    <t>VP01228</t>
  </si>
  <si>
    <t>VP01229</t>
  </si>
  <si>
    <t>VP01230</t>
  </si>
  <si>
    <t>VP01231</t>
  </si>
  <si>
    <t>VP01232</t>
  </si>
  <si>
    <t>VP01233</t>
  </si>
  <si>
    <t>VP01234</t>
  </si>
  <si>
    <t>VP01235</t>
  </si>
  <si>
    <t>VP01236</t>
  </si>
  <si>
    <t>VP01237</t>
  </si>
  <si>
    <t>VP01238</t>
  </si>
  <si>
    <t>VP01239</t>
  </si>
  <si>
    <t>VP01240</t>
  </si>
  <si>
    <t>VP01241</t>
  </si>
  <si>
    <t>VP01242</t>
  </si>
  <si>
    <t>VP01243</t>
  </si>
  <si>
    <t>VP01244</t>
  </si>
  <si>
    <t>B117</t>
  </si>
  <si>
    <t>VP01245</t>
  </si>
  <si>
    <t>บัญชีผู้เข้าพักและรายละเอียดในการเรียกเก็บค่าธรรมเนียมบำรุงองค์การบริหารส่วนจังหวัด</t>
  </si>
  <si>
    <t xml:space="preserve">         แบบ อบจ. รร.6</t>
  </si>
  <si>
    <t xml:space="preserve">         วันที่...............เดือน....มิถุนายน.....พ.ศ.......2568.......</t>
  </si>
  <si>
    <t xml:space="preserve">                 เจ้าของ/เจ้าสำนักโรงแรม วิพัฒน์โฮเทลดีเวลลอปเม้นท์จำกัด ได้จัดทำรายการของผู้เข้าพักในโรงแรมประจำเดือน..พฤษภาคม... พ.ศ... 2568</t>
  </si>
  <si>
    <t xml:space="preserve">ยื่นต่อองค์การบริหารส่วนจังหวัดบึงกาฬ </t>
  </si>
  <si>
    <t>มีข้อความต่อไปนี้</t>
  </si>
  <si>
    <t>รายได้</t>
  </si>
  <si>
    <t>ค่าทำเนียบ</t>
  </si>
  <si>
    <t>ที่</t>
  </si>
  <si>
    <t>ชื่อ-สกุล</t>
  </si>
  <si>
    <t>วันเวลาที่เข้าพัก</t>
  </si>
  <si>
    <t>รวมจำนวน</t>
  </si>
  <si>
    <t>ห้องพักราคา</t>
  </si>
  <si>
    <t>รวมเป็นเงิน</t>
  </si>
  <si>
    <t>หมายเหตุ</t>
  </si>
  <si>
    <t>รวม</t>
  </si>
  <si>
    <t>วันที่เข้าพัก</t>
  </si>
  <si>
    <t>บาท</t>
  </si>
  <si>
    <t>ค่าเช่าห้องพัก</t>
  </si>
  <si>
    <t>ค่าธรรมเนียม</t>
  </si>
  <si>
    <t xml:space="preserve">                 ลงชื่อ................................................................ผู้แจ้ง / ตรวจสอบ</t>
  </si>
  <si>
    <t>(........................................................)</t>
  </si>
  <si>
    <t>ลงชื่อ................................................................ผู้แจ้ง / ตรวจสอบ</t>
  </si>
  <si>
    <t xml:space="preserve">        (..................................................................)</t>
  </si>
  <si>
    <t>ค่าห้องพักรวม</t>
  </si>
  <si>
    <t>ค่าธรรมเนียมรวม</t>
  </si>
  <si>
    <t>ประจำเดือน</t>
  </si>
  <si>
    <t>กรกฏาคม</t>
  </si>
  <si>
    <t>เลขที่ลำดับ</t>
  </si>
  <si>
    <t xml:space="preserve">  วันเวลา เข้ามาพัก</t>
  </si>
  <si>
    <t>ห้องพักเลขที่</t>
  </si>
  <si>
    <t>ชื่อตัวและชื่อสกุล</t>
  </si>
  <si>
    <t>สัญชาติ</t>
  </si>
  <si>
    <t xml:space="preserve"> เลขประจำตัวประชาชนหรือ    ใบสำคัญประจำตัวคนต่างด้าว  หรือหนังสือเดินทาง   เลขที่....ออกให้โดย</t>
  </si>
  <si>
    <t xml:space="preserve"> ที่อยู่ปัจจุบัน               อยู่ที่ ตำบล อำเภอ    จังหวัด หรือประเทศใด</t>
  </si>
  <si>
    <t>อาชีพ</t>
  </si>
  <si>
    <t>มาจากตำบล อำเภอ จังหวัด หรือประเทศใด</t>
  </si>
  <si>
    <t>จะไปตำบล อำเภอ จังหวัด หรือประเทศใด</t>
  </si>
  <si>
    <t>วันเวลาที่ออกไป</t>
  </si>
  <si>
    <t>VP01045</t>
  </si>
  <si>
    <t>ไทย</t>
  </si>
  <si>
    <t>รับจ้าง</t>
  </si>
  <si>
    <t>บึงกาฬ</t>
  </si>
  <si>
    <t>VP01046</t>
  </si>
  <si>
    <t>VP01047</t>
  </si>
  <si>
    <t>VP01048</t>
  </si>
  <si>
    <t>VP01049</t>
  </si>
  <si>
    <t>VP01050</t>
  </si>
  <si>
    <t>VP01051</t>
  </si>
  <si>
    <t>VP01052</t>
  </si>
  <si>
    <t>VP01053</t>
  </si>
  <si>
    <t>VP01054</t>
  </si>
  <si>
    <t>VP01055</t>
  </si>
  <si>
    <t>VP01056</t>
  </si>
  <si>
    <t>VP01057</t>
  </si>
  <si>
    <t>VP01058</t>
  </si>
  <si>
    <t>VP01059</t>
  </si>
  <si>
    <t>VP01060</t>
  </si>
  <si>
    <t>VP01061</t>
  </si>
  <si>
    <t>VP01062</t>
  </si>
  <si>
    <t>VP01063</t>
  </si>
  <si>
    <t>VP01064</t>
  </si>
  <si>
    <t>VP01065</t>
  </si>
  <si>
    <t>VP01066</t>
  </si>
  <si>
    <t>VP01067</t>
  </si>
  <si>
    <t>VP01068</t>
  </si>
  <si>
    <t>VP01069</t>
  </si>
  <si>
    <t>VP01070</t>
  </si>
  <si>
    <t>ปากคาด</t>
  </si>
  <si>
    <t>VP01071</t>
  </si>
  <si>
    <t>VP01072</t>
  </si>
  <si>
    <t>VP01073</t>
  </si>
  <si>
    <t>VP01074</t>
  </si>
  <si>
    <t>VP01075</t>
  </si>
  <si>
    <t>กทม</t>
  </si>
  <si>
    <t>VP01076</t>
  </si>
  <si>
    <t>VP01077</t>
  </si>
  <si>
    <t>VP01078</t>
  </si>
  <si>
    <t>VP01079</t>
  </si>
  <si>
    <t>VP01080</t>
  </si>
  <si>
    <t>VP01081</t>
  </si>
  <si>
    <t>VP01082</t>
  </si>
  <si>
    <t>VP01083</t>
  </si>
  <si>
    <t>นครปฐม</t>
  </si>
  <si>
    <t>VP01084</t>
  </si>
  <si>
    <t>นนทบุรี</t>
  </si>
  <si>
    <t>VP01085</t>
  </si>
  <si>
    <t>VP01086</t>
  </si>
  <si>
    <t>อุดรธานี</t>
  </si>
  <si>
    <t>VP01087</t>
  </si>
  <si>
    <t>VP01088</t>
  </si>
  <si>
    <t>VP01089</t>
  </si>
  <si>
    <t>VP01090</t>
  </si>
  <si>
    <t>VP01091</t>
  </si>
  <si>
    <t>VP01092</t>
  </si>
  <si>
    <t>VP01093</t>
  </si>
  <si>
    <t>VP01094</t>
  </si>
  <si>
    <t>ปทุมธานี</t>
  </si>
  <si>
    <t>VP01095</t>
  </si>
  <si>
    <t>VP01096</t>
  </si>
  <si>
    <t>VP01097</t>
  </si>
  <si>
    <t>VP01098</t>
  </si>
  <si>
    <t>VP01099</t>
  </si>
  <si>
    <t>VP01100</t>
  </si>
  <si>
    <t>VP01101</t>
  </si>
  <si>
    <t>VP01102</t>
  </si>
  <si>
    <t>VP01103</t>
  </si>
  <si>
    <t>กทม.</t>
  </si>
  <si>
    <t>VP01104</t>
  </si>
  <si>
    <t>เลย</t>
  </si>
  <si>
    <t>VP01105</t>
  </si>
  <si>
    <t>VP01106</t>
  </si>
  <si>
    <t>VP01107</t>
  </si>
  <si>
    <t>VP01108</t>
  </si>
  <si>
    <t>VP01109</t>
  </si>
  <si>
    <t>VP01110</t>
  </si>
  <si>
    <t>VP01111</t>
  </si>
  <si>
    <t>VP01112</t>
  </si>
  <si>
    <t>VP01113</t>
  </si>
  <si>
    <t>VP01114</t>
  </si>
  <si>
    <t>VP01115</t>
  </si>
  <si>
    <t>VP01116</t>
  </si>
  <si>
    <t>VP01117</t>
  </si>
  <si>
    <t>สกล</t>
  </si>
  <si>
    <t>VP01118</t>
  </si>
  <si>
    <t>VP01119</t>
  </si>
  <si>
    <t>VP01120</t>
  </si>
  <si>
    <t>VP01121</t>
  </si>
  <si>
    <t>VP01122</t>
  </si>
  <si>
    <t>VP01123</t>
  </si>
  <si>
    <t>VP01124</t>
  </si>
  <si>
    <t>VP01125</t>
  </si>
  <si>
    <t>VP01126</t>
  </si>
  <si>
    <t>VP01127</t>
  </si>
  <si>
    <t>VP01128</t>
  </si>
  <si>
    <t>VP01129</t>
  </si>
  <si>
    <t>VP01130</t>
  </si>
  <si>
    <t>VP01131</t>
  </si>
  <si>
    <t>VP01132</t>
  </si>
  <si>
    <t>VP01133</t>
  </si>
  <si>
    <t>VP01134</t>
  </si>
  <si>
    <t>VP01135</t>
  </si>
  <si>
    <t>VP01136</t>
  </si>
  <si>
    <t>VP01137</t>
  </si>
  <si>
    <t>VP01138</t>
  </si>
  <si>
    <t>VP01139</t>
  </si>
  <si>
    <t>VP01140</t>
  </si>
  <si>
    <t>VP01141</t>
  </si>
  <si>
    <t>VP01142</t>
  </si>
  <si>
    <t>VP01143</t>
  </si>
  <si>
    <t xml:space="preserve">ใบเสร็จรับเงิน / ใบกำกับภาษี        
</t>
  </si>
  <si>
    <t>ต้นฉบับ</t>
  </si>
  <si>
    <t>สำเนา</t>
  </si>
  <si>
    <t>(สำนักงานใหญ่)</t>
  </si>
  <si>
    <t>เลขที่เอกสาร</t>
  </si>
  <si>
    <t>VP00850</t>
  </si>
  <si>
    <t>426 หมู่ที่9 ตำบลบึงกาฬ อำเภอเมืองบึงกาฬ จังหวัดบึงกาฬ 38000</t>
  </si>
  <si>
    <t>วันที่</t>
  </si>
  <si>
    <t>โทร 080-6254859,042-492641</t>
  </si>
  <si>
    <t>ชำระเงินโดย</t>
  </si>
  <si>
    <t>เลขประจำตัวผู้เสียภาษีอากร  0-3855-59000-07-5</t>
  </si>
  <si>
    <t>ชื่อลูกค้า</t>
  </si>
  <si>
    <t>No.</t>
  </si>
  <si>
    <t>รายการ</t>
  </si>
  <si>
    <t>ระยะเวลา</t>
  </si>
  <si>
    <t>ราคารวม</t>
  </si>
  <si>
    <t>ภาษีมูลค่าเพิ่ม 7%</t>
  </si>
  <si>
    <t>ราคาไม่รวมภาษีมูลค่าเพิ่ม</t>
  </si>
  <si>
    <t>จำนวนเงินรวมทั้งสิ้น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</si>
</sst>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฿-41E]#,##0.00"/>
    <numFmt numFmtId="165" formatCode="[$฿-41E]#,##0"/>
    <numFmt numFmtId="166" formatCode="dd&quot; &quot;mmm&quot; &quot;yy"/>
    <numFmt numFmtId="167" formatCode="&quot;฿&quot;#,##0"/>
    <numFmt numFmtId="168" formatCode="d/m/yyyy"/>
    <numFmt numFmtId="169" formatCode="_-* #,##0.00_-;\-* #,##0.00_-;_-* &quot;-&quot;??_-;_-@"/>
    <numFmt numFmtId="170" formatCode="&quot;  &quot;yyyy"/>
    <numFmt numFmtId="171" formatCode="&quot; &quot;d&quot;/&quot;mmm&quot;/&quot;yy"/>
  </numFmts>
  <fonts count="35">
    <font>
      <sz val="10.0"/>
      <color rgb="FF000000"/>
      <name val="Arial"/>
      <scheme val="minor"/>
    </font>
    <font>
      <b/>
      <u/>
      <color rgb="FF0000FF"/>
      <name val="Bai Jamjuree"/>
    </font>
    <font>
      <b/>
      <color theme="1"/>
      <name val="Bai Jamjuree"/>
    </font>
    <font>
      <color theme="1"/>
      <name val="Bai Jamjuree"/>
    </font>
    <font>
      <sz val="11.0"/>
      <color theme="1"/>
      <name val="Arial"/>
    </font>
    <font>
      <color theme="1"/>
      <name val="Arial"/>
    </font>
    <font>
      <b/>
      <sz val="20.0"/>
      <color theme="1"/>
      <name val="Angsana New"/>
    </font>
    <font>
      <sz val="20.0"/>
      <color theme="1"/>
      <name val="Angsana New"/>
    </font>
    <font>
      <color rgb="FFFF0000"/>
      <name val="Arial"/>
    </font>
    <font>
      <b/>
      <sz val="18.0"/>
      <color theme="1"/>
      <name val="Angsana New"/>
    </font>
    <font/>
    <font>
      <sz val="18.0"/>
      <color theme="1"/>
      <name val="Angsana New"/>
    </font>
    <font>
      <b/>
      <sz val="10.0"/>
      <color theme="1"/>
      <name val="Arial"/>
    </font>
    <font>
      <b/>
      <sz val="13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31.0"/>
      <color theme="1"/>
      <name val="Angsana New"/>
    </font>
    <font>
      <b/>
      <sz val="28.0"/>
      <color rgb="FF000000"/>
      <name val="Angsana New"/>
    </font>
    <font>
      <b/>
      <sz val="32.0"/>
      <color theme="1"/>
      <name val="Angsana New"/>
    </font>
    <font>
      <sz val="20.0"/>
      <color rgb="FF000000"/>
      <name val="Angsana New"/>
    </font>
    <font>
      <color theme="1"/>
      <name val="Kanit"/>
    </font>
    <font>
      <sz val="8.0"/>
      <color theme="1"/>
      <name val="Kanit"/>
    </font>
    <font>
      <b/>
      <sz val="17.0"/>
      <color rgb="FF0174BE"/>
      <name val="Kanit"/>
    </font>
    <font>
      <sz val="14.0"/>
      <color theme="1"/>
      <name val="Kanit"/>
    </font>
    <font>
      <b/>
      <sz val="14.0"/>
      <color rgb="FF0174BE"/>
      <name val="Kanit"/>
    </font>
    <font>
      <sz val="10.0"/>
      <color theme="1"/>
      <name val="Kanit"/>
    </font>
    <font>
      <b/>
      <sz val="10.0"/>
      <color rgb="FF0174BE"/>
      <name val="Kanit"/>
    </font>
    <font>
      <sz val="10.0"/>
      <color rgb="FF1F1F1F"/>
      <name val="Kanit"/>
    </font>
    <font>
      <b/>
      <sz val="10.0"/>
      <color theme="1"/>
      <name val="Kanit"/>
    </font>
    <font>
      <b/>
      <color rgb="FF0174BE"/>
      <name val="Kanit"/>
    </font>
    <font>
      <b/>
      <sz val="11.0"/>
      <color rgb="FF0174BE"/>
      <name val="Kanit"/>
    </font>
    <font>
      <b/>
      <sz val="11.0"/>
      <color rgb="FF000000"/>
      <name val="Kanit"/>
    </font>
    <font>
      <sz val="11.0"/>
      <color theme="1"/>
      <name val="Kanit"/>
    </font>
    <font>
      <sz val="16.0"/>
      <color theme="1"/>
      <name val="Kanit"/>
    </font>
    <font>
      <b/>
      <sz val="11.0"/>
      <color theme="1"/>
      <name val="Kanit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2" numFmtId="0" xfId="0" applyAlignment="1" applyFont="1">
      <alignment horizontal="center" vertical="center"/>
    </xf>
    <xf borderId="0" fillId="2" fontId="4" numFmtId="164" xfId="0" applyAlignment="1" applyFill="1" applyFont="1" applyNumberFormat="1">
      <alignment vertical="bottom"/>
    </xf>
    <xf borderId="0" fillId="2" fontId="2" numFmtId="0" xfId="0" applyAlignment="1" applyFont="1">
      <alignment horizontal="center" shrinkToFit="0" vertical="bottom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Font="1"/>
    <xf borderId="0" fillId="0" fontId="5" numFmtId="3" xfId="0" applyFont="1" applyNumberFormat="1"/>
    <xf borderId="0" fillId="3" fontId="6" numFmtId="0" xfId="0" applyAlignment="1" applyFill="1" applyFont="1">
      <alignment horizontal="center" vertical="center"/>
    </xf>
    <xf borderId="0" fillId="3" fontId="5" numFmtId="0" xfId="0" applyAlignment="1" applyFont="1">
      <alignment horizontal="center" vertical="center"/>
    </xf>
    <xf borderId="0" fillId="3" fontId="7" numFmtId="0" xfId="0" applyAlignment="1" applyFont="1">
      <alignment horizontal="right" vertical="center"/>
    </xf>
    <xf borderId="0" fillId="0" fontId="5" numFmtId="0" xfId="0" applyAlignment="1" applyFont="1">
      <alignment horizontal="center" vertical="center"/>
    </xf>
    <xf borderId="0" fillId="3" fontId="5" numFmtId="165" xfId="0" applyAlignment="1" applyFont="1" applyNumberFormat="1">
      <alignment horizontal="center" vertical="center"/>
    </xf>
    <xf borderId="0" fillId="3" fontId="7" numFmtId="0" xfId="0" applyAlignment="1" applyFont="1">
      <alignment horizontal="center" vertical="center"/>
    </xf>
    <xf borderId="0" fillId="4" fontId="8" numFmtId="0" xfId="0" applyAlignment="1" applyFill="1" applyFont="1">
      <alignment horizontal="center" vertical="center"/>
    </xf>
    <xf borderId="1" fillId="3" fontId="9" numFmtId="0" xfId="0" applyAlignment="1" applyBorder="1" applyFont="1">
      <alignment horizontal="center" vertical="center"/>
    </xf>
    <xf borderId="2" fillId="3" fontId="9" numFmtId="0" xfId="0" applyAlignment="1" applyBorder="1" applyFont="1">
      <alignment horizontal="center" vertical="center"/>
    </xf>
    <xf borderId="2" fillId="3" fontId="9" numFmtId="165" xfId="0" applyAlignment="1" applyBorder="1" applyFont="1" applyNumberFormat="1">
      <alignment horizontal="center" vertical="center"/>
    </xf>
    <xf borderId="0" fillId="0" fontId="5" numFmtId="3" xfId="0" applyAlignment="1" applyFont="1" applyNumberFormat="1">
      <alignment horizontal="center" vertical="center"/>
    </xf>
    <xf borderId="3" fillId="0" fontId="10" numFmtId="0" xfId="0" applyBorder="1" applyFont="1"/>
    <xf borderId="2" fillId="3" fontId="11" numFmtId="0" xfId="0" applyAlignment="1" applyBorder="1" applyFont="1">
      <alignment horizontal="center" vertical="center"/>
    </xf>
    <xf borderId="2" fillId="5" fontId="7" numFmtId="166" xfId="0" applyAlignment="1" applyBorder="1" applyFill="1" applyFont="1" applyNumberFormat="1">
      <alignment horizontal="center" vertical="center"/>
    </xf>
    <xf borderId="2" fillId="3" fontId="5" numFmtId="0" xfId="0" applyAlignment="1" applyBorder="1" applyFont="1">
      <alignment horizontal="center" vertical="center"/>
    </xf>
    <xf borderId="2" fillId="3" fontId="3" numFmtId="165" xfId="0" applyAlignment="1" applyBorder="1" applyFont="1" applyNumberFormat="1">
      <alignment horizontal="center" vertical="center"/>
    </xf>
    <xf borderId="2" fillId="3" fontId="5" numFmtId="167" xfId="0" applyAlignment="1" applyBorder="1" applyFont="1" applyNumberFormat="1">
      <alignment horizontal="center" vertical="center"/>
    </xf>
    <xf borderId="0" fillId="5" fontId="7" numFmtId="166" xfId="0" applyAlignment="1" applyFont="1" applyNumberFormat="1">
      <alignment horizontal="center" vertical="center"/>
    </xf>
    <xf borderId="4" fillId="3" fontId="5" numFmtId="0" xfId="0" applyAlignment="1" applyBorder="1" applyFont="1">
      <alignment horizontal="center" vertical="center"/>
    </xf>
    <xf borderId="2" fillId="3" fontId="9" numFmtId="1" xfId="0" applyAlignment="1" applyBorder="1" applyFont="1" applyNumberFormat="1">
      <alignment horizontal="center" vertical="center"/>
    </xf>
    <xf borderId="2" fillId="3" fontId="9" numFmtId="167" xfId="0" applyAlignment="1" applyBorder="1" applyFont="1" applyNumberFormat="1">
      <alignment horizontal="center" vertical="center"/>
    </xf>
    <xf borderId="0" fillId="3" fontId="11" numFmtId="0" xfId="0" applyAlignment="1" applyFont="1">
      <alignment horizontal="center" vertical="center"/>
    </xf>
    <xf borderId="0" fillId="5" fontId="7" numFmtId="0" xfId="0" applyAlignment="1" applyFont="1">
      <alignment horizontal="center" vertical="center"/>
    </xf>
    <xf borderId="5" fillId="3" fontId="9" numFmtId="0" xfId="0" applyAlignment="1" applyBorder="1" applyFont="1">
      <alignment horizontal="center" vertical="center"/>
    </xf>
    <xf borderId="6" fillId="0" fontId="10" numFmtId="0" xfId="0" applyBorder="1" applyFont="1"/>
    <xf borderId="4" fillId="3" fontId="5" numFmtId="168" xfId="0" applyAlignment="1" applyBorder="1" applyFont="1" applyNumberFormat="1">
      <alignment horizontal="center" vertical="center"/>
    </xf>
    <xf borderId="0" fillId="3" fontId="5" numFmtId="168" xfId="0" applyAlignment="1" applyFont="1" applyNumberFormat="1">
      <alignment horizontal="center" vertical="center"/>
    </xf>
    <xf borderId="2" fillId="3" fontId="5" numFmtId="168" xfId="0" applyAlignment="1" applyBorder="1" applyFont="1" applyNumberFormat="1">
      <alignment horizontal="center" vertical="center"/>
    </xf>
    <xf borderId="0" fillId="3" fontId="5" numFmtId="169" xfId="0" applyAlignment="1" applyFont="1" applyNumberFormat="1">
      <alignment horizontal="center" vertical="center"/>
    </xf>
    <xf borderId="4" fillId="3" fontId="11" numFmtId="0" xfId="0" applyAlignment="1" applyBorder="1" applyFont="1">
      <alignment horizontal="center" vertical="center"/>
    </xf>
    <xf borderId="2" fillId="3" fontId="5" numFmtId="165" xfId="0" applyAlignment="1" applyBorder="1" applyFont="1" applyNumberFormat="1">
      <alignment horizontal="center" vertical="center"/>
    </xf>
    <xf borderId="0" fillId="3" fontId="11" numFmtId="165" xfId="0" applyAlignment="1" applyFont="1" applyNumberFormat="1">
      <alignment horizontal="center" vertical="center"/>
    </xf>
    <xf borderId="0" fillId="6" fontId="12" numFmtId="0" xfId="0" applyAlignment="1" applyFill="1" applyFont="1">
      <alignment horizontal="center" vertical="center"/>
    </xf>
    <xf borderId="0" fillId="7" fontId="13" numFmtId="0" xfId="0" applyAlignment="1" applyFill="1" applyFont="1">
      <alignment horizontal="center" vertical="center"/>
    </xf>
    <xf borderId="0" fillId="7" fontId="14" numFmtId="0" xfId="0" applyAlignment="1" applyFont="1">
      <alignment horizontal="center" shrinkToFit="0" vertical="center" wrapText="1"/>
    </xf>
    <xf borderId="0" fillId="3" fontId="15" numFmtId="0" xfId="0" applyAlignment="1" applyFont="1">
      <alignment horizontal="right" vertical="center"/>
    </xf>
    <xf borderId="0" fillId="0" fontId="5" numFmtId="0" xfId="0" applyAlignment="1" applyFont="1">
      <alignment horizontal="right" vertical="center"/>
    </xf>
    <xf borderId="0" fillId="0" fontId="5" numFmtId="0" xfId="0" applyAlignment="1" applyFont="1">
      <alignment horizontal="right"/>
    </xf>
    <xf borderId="0" fillId="3" fontId="5" numFmtId="0" xfId="0" applyAlignment="1" applyFont="1">
      <alignment horizontal="right" vertical="center"/>
    </xf>
    <xf borderId="0" fillId="0" fontId="4" numFmtId="0" xfId="0" applyAlignment="1" applyFont="1">
      <alignment horizontal="center" vertical="center"/>
    </xf>
    <xf borderId="0" fillId="0" fontId="14" numFmtId="3" xfId="0" applyAlignment="1" applyFont="1" applyNumberFormat="1">
      <alignment horizontal="center" vertical="center"/>
    </xf>
    <xf borderId="0" fillId="0" fontId="4" numFmtId="0" xfId="0" applyFont="1"/>
    <xf borderId="0" fillId="3" fontId="4" numFmtId="0" xfId="0" applyAlignment="1" applyFont="1">
      <alignment horizontal="center" vertical="center"/>
    </xf>
    <xf borderId="0" fillId="3" fontId="14" numFmtId="3" xfId="0" applyAlignment="1" applyFont="1" applyNumberFormat="1">
      <alignment horizontal="center" vertical="center"/>
    </xf>
    <xf borderId="0" fillId="0" fontId="16" numFmtId="0" xfId="0" applyAlignment="1" applyFont="1">
      <alignment horizontal="right" vertical="center"/>
    </xf>
    <xf borderId="0" fillId="3" fontId="17" numFmtId="0" xfId="0" applyAlignment="1" applyFont="1">
      <alignment horizontal="center" vertical="center"/>
    </xf>
    <xf borderId="0" fillId="3" fontId="17" numFmtId="170" xfId="0" applyAlignment="1" applyFont="1" applyNumberFormat="1">
      <alignment horizontal="left" vertical="center"/>
    </xf>
    <xf borderId="0" fillId="0" fontId="18" numFmtId="0" xfId="0" applyAlignment="1" applyFont="1">
      <alignment horizontal="center" vertical="center"/>
    </xf>
    <xf borderId="2" fillId="0" fontId="7" numFmtId="0" xfId="0" applyAlignment="1" applyBorder="1" applyFont="1">
      <alignment horizontal="center" shrinkToFit="0" vertical="center" wrapText="1"/>
    </xf>
    <xf borderId="2" fillId="2" fontId="6" numFmtId="0" xfId="0" applyAlignment="1" applyBorder="1" applyFont="1">
      <alignment horizontal="center" shrinkToFit="0" vertical="center" wrapText="1"/>
    </xf>
    <xf borderId="2" fillId="0" fontId="7" numFmtId="166" xfId="0" applyAlignment="1" applyBorder="1" applyFont="1" applyNumberFormat="1">
      <alignment horizontal="center" shrinkToFit="0" vertical="center" wrapText="1"/>
    </xf>
    <xf borderId="2" fillId="5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vertical="center"/>
    </xf>
    <xf borderId="2" fillId="5" fontId="7" numFmtId="0" xfId="0" applyAlignment="1" applyBorder="1" applyFont="1">
      <alignment horizontal="center" vertical="center"/>
    </xf>
    <xf borderId="2" fillId="0" fontId="7" numFmtId="1" xfId="0" applyAlignment="1" applyBorder="1" applyFont="1" applyNumberFormat="1">
      <alignment horizontal="center" vertical="center"/>
    </xf>
    <xf borderId="2" fillId="0" fontId="7" numFmtId="1" xfId="0" applyAlignment="1" applyBorder="1" applyFont="1" applyNumberFormat="1">
      <alignment horizontal="center" shrinkToFit="0" vertical="center" wrapText="1"/>
    </xf>
    <xf borderId="2" fillId="0" fontId="19" numFmtId="0" xfId="0" applyAlignment="1" applyBorder="1" applyFont="1">
      <alignment horizontal="center" shrinkToFit="0" wrapText="0"/>
    </xf>
    <xf borderId="5" fillId="5" fontId="20" numFmtId="0" xfId="0" applyAlignment="1" applyBorder="1" applyFont="1">
      <alignment vertical="center"/>
    </xf>
    <xf borderId="7" fillId="0" fontId="20" numFmtId="0" xfId="0" applyAlignment="1" applyBorder="1" applyFont="1">
      <alignment vertical="center"/>
    </xf>
    <xf borderId="7" fillId="0" fontId="20" numFmtId="0" xfId="0" applyAlignment="1" applyBorder="1" applyFont="1">
      <alignment vertical="bottom"/>
    </xf>
    <xf borderId="7" fillId="0" fontId="21" numFmtId="0" xfId="0" applyAlignment="1" applyBorder="1" applyFont="1">
      <alignment vertical="bottom"/>
    </xf>
    <xf borderId="7" fillId="0" fontId="22" numFmtId="0" xfId="0" applyAlignment="1" applyBorder="1" applyFont="1">
      <alignment horizontal="right" vertical="center"/>
    </xf>
    <xf borderId="8" fillId="5" fontId="23" numFmtId="0" xfId="0" applyAlignment="1" applyBorder="1" applyFont="1">
      <alignment horizontal="center" vertical="center"/>
    </xf>
    <xf borderId="7" fillId="0" fontId="5" numFmtId="0" xfId="0" applyBorder="1" applyFont="1"/>
    <xf borderId="5" fillId="5" fontId="23" numFmtId="0" xfId="0" applyAlignment="1" applyBorder="1" applyFont="1">
      <alignment horizontal="center" vertical="center"/>
    </xf>
    <xf borderId="7" fillId="0" fontId="23" numFmtId="0" xfId="0" applyAlignment="1" applyBorder="1" applyFont="1">
      <alignment horizontal="center" vertical="center"/>
    </xf>
    <xf borderId="8" fillId="0" fontId="23" numFmtId="0" xfId="0" applyAlignment="1" applyBorder="1" applyFont="1">
      <alignment horizontal="center" vertical="center"/>
    </xf>
    <xf borderId="9" fillId="5" fontId="24" numFmtId="0" xfId="0" applyAlignment="1" applyBorder="1" applyFont="1">
      <alignment shrinkToFit="0" vertical="bottom" wrapText="0"/>
    </xf>
    <xf borderId="0" fillId="0" fontId="24" numFmtId="0" xfId="0" applyAlignment="1" applyFont="1">
      <alignment shrinkToFit="0" vertical="bottom" wrapText="0"/>
    </xf>
    <xf borderId="0" fillId="0" fontId="25" numFmtId="0" xfId="0" applyAlignment="1" applyFont="1">
      <alignment vertical="bottom"/>
    </xf>
    <xf borderId="0" fillId="0" fontId="5" numFmtId="0" xfId="0" applyAlignment="1" applyFont="1">
      <alignment horizontal="right" vertical="top"/>
    </xf>
    <xf borderId="10" fillId="5" fontId="24" numFmtId="0" xfId="0" applyAlignment="1" applyBorder="1" applyFont="1">
      <alignment shrinkToFit="0" vertical="bottom" wrapText="0"/>
    </xf>
    <xf borderId="10" fillId="0" fontId="23" numFmtId="0" xfId="0" applyAlignment="1" applyBorder="1" applyFont="1">
      <alignment horizontal="center" vertical="center"/>
    </xf>
    <xf borderId="9" fillId="5" fontId="5" numFmtId="0" xfId="0" applyBorder="1" applyFont="1"/>
    <xf borderId="0" fillId="5" fontId="25" numFmtId="0" xfId="0" applyAlignment="1" applyFont="1">
      <alignment horizontal="center" vertical="center"/>
    </xf>
    <xf borderId="0" fillId="0" fontId="26" numFmtId="0" xfId="0" applyAlignment="1" applyFont="1">
      <alignment vertical="bottom"/>
    </xf>
    <xf borderId="0" fillId="0" fontId="25" numFmtId="0" xfId="0" applyAlignment="1" applyFont="1">
      <alignment horizontal="left" shrinkToFit="0" vertical="bottom" wrapText="0"/>
    </xf>
    <xf borderId="10" fillId="5" fontId="5" numFmtId="0" xfId="0" applyBorder="1" applyFont="1"/>
    <xf borderId="0" fillId="0" fontId="25" numFmtId="49" xfId="0" applyAlignment="1" applyFont="1" applyNumberFormat="1">
      <alignment horizontal="left" shrinkToFit="0" vertical="bottom" wrapText="0"/>
    </xf>
    <xf borderId="9" fillId="5" fontId="25" numFmtId="0" xfId="0" applyAlignment="1" applyBorder="1" applyFont="1">
      <alignment shrinkToFit="0" vertical="bottom" wrapText="0"/>
    </xf>
    <xf borderId="0" fillId="3" fontId="27" numFmtId="0" xfId="0" applyFont="1"/>
    <xf borderId="0" fillId="0" fontId="25" numFmtId="171" xfId="0" applyAlignment="1" applyFont="1" applyNumberFormat="1">
      <alignment horizontal="left" shrinkToFit="0" vertical="bottom" wrapText="0"/>
    </xf>
    <xf borderId="10" fillId="5" fontId="25" numFmtId="0" xfId="0" applyAlignment="1" applyBorder="1" applyFont="1">
      <alignment shrinkToFit="0" vertical="bottom" wrapText="0"/>
    </xf>
    <xf borderId="0" fillId="0" fontId="25" numFmtId="0" xfId="0" applyAlignment="1" applyFont="1">
      <alignment shrinkToFit="0" vertical="bottom" wrapText="0"/>
    </xf>
    <xf borderId="0" fillId="5" fontId="25" numFmtId="0" xfId="0" applyFont="1"/>
    <xf borderId="0" fillId="0" fontId="25" numFmtId="0" xfId="0" applyAlignment="1" applyFont="1">
      <alignment horizontal="left" vertical="bottom"/>
    </xf>
    <xf borderId="0" fillId="5" fontId="25" numFmtId="0" xfId="0" applyAlignment="1" applyFont="1">
      <alignment shrinkToFit="0" vertical="bottom" wrapText="0"/>
    </xf>
    <xf borderId="0" fillId="0" fontId="28" numFmtId="0" xfId="0" applyAlignment="1" applyFont="1">
      <alignment vertical="bottom"/>
    </xf>
    <xf borderId="0" fillId="0" fontId="20" numFmtId="0" xfId="0" applyAlignment="1" applyFont="1">
      <alignment vertical="bottom"/>
    </xf>
    <xf borderId="9" fillId="5" fontId="29" numFmtId="0" xfId="0" applyAlignment="1" applyBorder="1" applyFont="1">
      <alignment vertical="bottom"/>
    </xf>
    <xf borderId="0" fillId="0" fontId="30" numFmtId="0" xfId="0" applyAlignment="1" applyFont="1">
      <alignment vertical="bottom"/>
    </xf>
    <xf borderId="10" fillId="5" fontId="29" numFmtId="0" xfId="0" applyAlignment="1" applyBorder="1" applyFont="1">
      <alignment vertical="bottom"/>
    </xf>
    <xf borderId="0" fillId="5" fontId="29" numFmtId="0" xfId="0" applyAlignment="1" applyFont="1">
      <alignment vertical="bottom"/>
    </xf>
    <xf borderId="9" fillId="5" fontId="20" numFmtId="0" xfId="0" applyAlignment="1" applyBorder="1" applyFont="1">
      <alignment vertical="bottom"/>
    </xf>
    <xf borderId="10" fillId="5" fontId="20" numFmtId="0" xfId="0" applyAlignment="1" applyBorder="1" applyFont="1">
      <alignment vertical="bottom"/>
    </xf>
    <xf borderId="0" fillId="5" fontId="20" numFmtId="0" xfId="0" applyAlignment="1" applyFont="1">
      <alignment vertical="bottom"/>
    </xf>
    <xf borderId="9" fillId="5" fontId="31" numFmtId="0" xfId="0" applyAlignment="1" applyBorder="1" applyFont="1">
      <alignment horizontal="center"/>
    </xf>
    <xf borderId="11" fillId="8" fontId="31" numFmtId="0" xfId="0" applyAlignment="1" applyBorder="1" applyFill="1" applyFont="1">
      <alignment horizontal="center"/>
    </xf>
    <xf borderId="10" fillId="5" fontId="31" numFmtId="0" xfId="0" applyAlignment="1" applyBorder="1" applyFont="1">
      <alignment horizontal="center"/>
    </xf>
    <xf borderId="0" fillId="5" fontId="31" numFmtId="0" xfId="0" applyAlignment="1" applyFont="1">
      <alignment horizontal="center"/>
    </xf>
    <xf borderId="9" fillId="5" fontId="32" numFmtId="0" xfId="0" applyAlignment="1" applyBorder="1" applyFont="1">
      <alignment horizontal="center" vertical="bottom"/>
    </xf>
    <xf borderId="0" fillId="0" fontId="32" numFmtId="0" xfId="0" applyAlignment="1" applyFont="1">
      <alignment horizontal="center" vertical="bottom"/>
    </xf>
    <xf borderId="0" fillId="0" fontId="20" numFmtId="4" xfId="0" applyAlignment="1" applyFont="1" applyNumberFormat="1">
      <alignment vertical="bottom"/>
    </xf>
    <xf borderId="10" fillId="5" fontId="32" numFmtId="0" xfId="0" applyAlignment="1" applyBorder="1" applyFont="1">
      <alignment horizontal="center" vertical="bottom"/>
    </xf>
    <xf borderId="0" fillId="5" fontId="32" numFmtId="0" xfId="0" applyAlignment="1" applyFont="1">
      <alignment horizontal="center" vertical="bottom"/>
    </xf>
    <xf borderId="10" fillId="0" fontId="33" numFmtId="0" xfId="0" applyAlignment="1" applyBorder="1" applyFont="1">
      <alignment horizontal="center" vertical="center"/>
    </xf>
    <xf borderId="12" fillId="0" fontId="32" numFmtId="0" xfId="0" applyAlignment="1" applyBorder="1" applyFont="1">
      <alignment horizontal="center" vertical="bottom"/>
    </xf>
    <xf borderId="12" fillId="0" fontId="20" numFmtId="4" xfId="0" applyAlignment="1" applyBorder="1" applyFont="1" applyNumberFormat="1">
      <alignment vertical="bottom"/>
    </xf>
    <xf borderId="9" fillId="5" fontId="34" numFmtId="0" xfId="0" applyAlignment="1" applyBorder="1" applyFont="1">
      <alignment horizontal="center" vertical="bottom"/>
    </xf>
    <xf borderId="0" fillId="0" fontId="34" numFmtId="0" xfId="0" applyAlignment="1" applyFont="1">
      <alignment horizontal="center" vertical="bottom"/>
    </xf>
    <xf borderId="10" fillId="5" fontId="34" numFmtId="0" xfId="0" applyAlignment="1" applyBorder="1" applyFont="1">
      <alignment horizontal="center" vertical="bottom"/>
    </xf>
    <xf borderId="0" fillId="5" fontId="34" numFmtId="0" xfId="0" applyAlignment="1" applyFont="1">
      <alignment horizontal="center" vertical="bottom"/>
    </xf>
    <xf borderId="0" fillId="0" fontId="30" numFmtId="0" xfId="0" applyAlignment="1" applyFont="1">
      <alignment horizontal="right" vertical="bottom"/>
    </xf>
    <xf borderId="0" fillId="0" fontId="20" numFmtId="0" xfId="0" applyFont="1"/>
    <xf borderId="0" fillId="0" fontId="20" numFmtId="4" xfId="0" applyFont="1" applyNumberFormat="1"/>
    <xf borderId="0" fillId="0" fontId="20" numFmtId="0" xfId="0" applyAlignment="1" applyFont="1">
      <alignment horizontal="right" vertical="bottom"/>
    </xf>
    <xf borderId="0" fillId="0" fontId="20" numFmtId="0" xfId="0" applyAlignment="1" applyFont="1">
      <alignment horizontal="left" vertical="bottom"/>
    </xf>
    <xf borderId="0" fillId="5" fontId="5" numFmtId="0" xfId="0" applyFont="1"/>
    <xf borderId="6" fillId="5" fontId="20" numFmtId="0" xfId="0" applyAlignment="1" applyBorder="1" applyFont="1">
      <alignment vertical="bottom"/>
    </xf>
    <xf borderId="12" fillId="0" fontId="20" numFmtId="0" xfId="0" applyAlignment="1" applyBorder="1" applyFont="1">
      <alignment vertical="bottom"/>
    </xf>
    <xf borderId="12" fillId="0" fontId="5" numFmtId="0" xfId="0" applyBorder="1" applyFont="1"/>
    <xf borderId="13" fillId="5" fontId="20" numFmtId="0" xfId="0" applyAlignment="1" applyBorder="1" applyFont="1">
      <alignment vertical="bottom"/>
    </xf>
    <xf borderId="12" fillId="5" fontId="20" numFmtId="0" xfId="0" applyAlignment="1" applyBorder="1" applyFont="1">
      <alignment vertical="bottom"/>
    </xf>
    <xf borderId="13" fillId="0" fontId="2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34</xdr:row>
      <xdr:rowOff>19050</xdr:rowOff>
    </xdr:from>
    <xdr:ext cx="13887450" cy="419100"/>
    <xdr:grpSp>
      <xdr:nvGrpSpPr>
        <xdr:cNvPr id="2" name="Shape 2"/>
        <xdr:cNvGrpSpPr/>
      </xdr:nvGrpSpPr>
      <xdr:grpSpPr>
        <a:xfrm>
          <a:off x="0" y="3570450"/>
          <a:ext cx="10692000" cy="419100"/>
          <a:chOff x="0" y="3570450"/>
          <a:chExt cx="10692000" cy="419100"/>
        </a:xfrm>
      </xdr:grpSpPr>
      <xdr:grpSp>
        <xdr:nvGrpSpPr>
          <xdr:cNvPr id="3" name="Shape 3"/>
          <xdr:cNvGrpSpPr/>
        </xdr:nvGrpSpPr>
        <xdr:grpSpPr>
          <a:xfrm>
            <a:off x="0" y="3570450"/>
            <a:ext cx="10692000" cy="419100"/>
            <a:chOff x="0" y="3570450"/>
            <a:chExt cx="10692000" cy="419100"/>
          </a:xfrm>
        </xdr:grpSpPr>
        <xdr:sp>
          <xdr:nvSpPr>
            <xdr:cNvPr id="4" name="Shape 4"/>
            <xdr:cNvSpPr/>
          </xdr:nvSpPr>
          <xdr:spPr>
            <a:xfrm>
              <a:off x="0" y="3570450"/>
              <a:ext cx="10692000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 title="ภาพวาด"/>
            <xdr:cNvGrpSpPr/>
          </xdr:nvGrpSpPr>
          <xdr:grpSpPr>
            <a:xfrm>
              <a:off x="0" y="3570450"/>
              <a:ext cx="10692000" cy="419100"/>
              <a:chOff x="0" y="3389900"/>
              <a:chExt cx="12165048" cy="354000"/>
            </a:xfrm>
          </xdr:grpSpPr>
          <xdr:sp>
            <xdr:nvSpPr>
              <xdr:cNvPr id="6" name="Shape 6"/>
              <xdr:cNvSpPr/>
            </xdr:nvSpPr>
            <xdr:spPr>
              <a:xfrm>
                <a:off x="0" y="3389900"/>
                <a:ext cx="12165025" cy="354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cxnSp>
            <xdr:nvCxnSpPr>
              <xdr:cNvPr id="7" name="Shape 7"/>
              <xdr:cNvCxnSpPr/>
            </xdr:nvCxnSpPr>
            <xdr:spPr>
              <a:xfrm>
                <a:off x="0" y="3389900"/>
                <a:ext cx="971400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dash"/>
                <a:round/>
                <a:headEnd len="sm" w="sm" type="none"/>
                <a:tailEnd len="sm" w="sm" type="none"/>
              </a:ln>
            </xdr:spPr>
          </xdr:cxnSp>
          <xdr:sp>
            <xdr:nvSpPr>
              <xdr:cNvPr id="8" name="Shape 8"/>
              <xdr:cNvSpPr txBox="1"/>
            </xdr:nvSpPr>
            <xdr:spPr>
              <a:xfrm>
                <a:off x="140553" y="3389900"/>
                <a:ext cx="707700" cy="354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91425" lIns="91425" spcFirstLastPara="1" rIns="91425" wrap="square" tIns="9142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Kanit"/>
                  <a:buNone/>
                </a:pPr>
                <a:r>
                  <a:rPr lang="en-US" sz="1100">
                    <a:latin typeface="Kanit"/>
                    <a:ea typeface="Kanit"/>
                    <a:cs typeface="Kanit"/>
                    <a:sym typeface="Kanit"/>
                  </a:rPr>
                  <a:t>ผู้จ่ายเงิน</a:t>
                </a:r>
                <a:endParaRPr sz="1100">
                  <a:latin typeface="Kanit"/>
                  <a:ea typeface="Kanit"/>
                  <a:cs typeface="Kanit"/>
                  <a:sym typeface="Kanit"/>
                </a:endParaRPr>
              </a:p>
            </xdr:txBody>
          </xdr:sp>
          <xdr:cxnSp>
            <xdr:nvCxnSpPr>
              <xdr:cNvPr id="9" name="Shape 9"/>
              <xdr:cNvCxnSpPr/>
            </xdr:nvCxnSpPr>
            <xdr:spPr>
              <a:xfrm>
                <a:off x="1069244" y="3389900"/>
                <a:ext cx="971400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dash"/>
                <a:round/>
                <a:headEnd len="sm" w="sm" type="none"/>
                <a:tailEnd len="sm" w="sm" type="none"/>
              </a:ln>
            </xdr:spPr>
          </xdr:cxnSp>
          <xdr:sp>
            <xdr:nvSpPr>
              <xdr:cNvPr id="10" name="Shape 10"/>
              <xdr:cNvSpPr txBox="1"/>
            </xdr:nvSpPr>
            <xdr:spPr>
              <a:xfrm>
                <a:off x="1205703" y="3389900"/>
                <a:ext cx="707700" cy="354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91425" lIns="91425" spcFirstLastPara="1" rIns="91425" wrap="square" tIns="91425">
                <a:sp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Kanit"/>
                  <a:buNone/>
                </a:pPr>
                <a:r>
                  <a:rPr lang="en-US" sz="1100">
                    <a:latin typeface="Kanit"/>
                    <a:ea typeface="Kanit"/>
                    <a:cs typeface="Kanit"/>
                    <a:sym typeface="Kanit"/>
                  </a:rPr>
                  <a:t>วันที่</a:t>
                </a:r>
                <a:endParaRPr sz="1100">
                  <a:latin typeface="Kanit"/>
                  <a:ea typeface="Kanit"/>
                  <a:cs typeface="Kanit"/>
                  <a:sym typeface="Kanit"/>
                </a:endParaRPr>
              </a:p>
            </xdr:txBody>
          </xdr:sp>
          <xdr:cxnSp>
            <xdr:nvCxnSpPr>
              <xdr:cNvPr id="11" name="Shape 11"/>
              <xdr:cNvCxnSpPr/>
            </xdr:nvCxnSpPr>
            <xdr:spPr>
              <a:xfrm>
                <a:off x="3324432" y="3389900"/>
                <a:ext cx="971400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dash"/>
                <a:round/>
                <a:headEnd len="sm" w="sm" type="none"/>
                <a:tailEnd len="sm" w="sm" type="none"/>
              </a:ln>
            </xdr:spPr>
          </xdr:cxnSp>
          <xdr:sp>
            <xdr:nvSpPr>
              <xdr:cNvPr id="12" name="Shape 12"/>
              <xdr:cNvSpPr txBox="1"/>
            </xdr:nvSpPr>
            <xdr:spPr>
              <a:xfrm>
                <a:off x="3456415" y="3389900"/>
                <a:ext cx="707700" cy="354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91425" lIns="91425" spcFirstLastPara="1" rIns="91425" wrap="square" tIns="91425">
                <a:sp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Kanit"/>
                  <a:buNone/>
                </a:pPr>
                <a:r>
                  <a:rPr lang="en-US" sz="1100">
                    <a:latin typeface="Kanit"/>
                    <a:ea typeface="Kanit"/>
                    <a:cs typeface="Kanit"/>
                    <a:sym typeface="Kanit"/>
                  </a:rPr>
                  <a:t>ผู้รับเงิน</a:t>
                </a:r>
                <a:endParaRPr sz="1100">
                  <a:latin typeface="Kanit"/>
                  <a:ea typeface="Kanit"/>
                  <a:cs typeface="Kanit"/>
                  <a:sym typeface="Kanit"/>
                </a:endParaRPr>
              </a:p>
            </xdr:txBody>
          </xdr:sp>
          <xdr:cxnSp>
            <xdr:nvCxnSpPr>
              <xdr:cNvPr id="13" name="Shape 13"/>
              <xdr:cNvCxnSpPr/>
            </xdr:nvCxnSpPr>
            <xdr:spPr>
              <a:xfrm>
                <a:off x="4573320" y="3389900"/>
                <a:ext cx="971400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dash"/>
                <a:round/>
                <a:headEnd len="sm" w="sm" type="none"/>
                <a:tailEnd len="sm" w="sm" type="non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4705304" y="3389900"/>
                <a:ext cx="707700" cy="354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91425" lIns="91425" spcFirstLastPara="1" rIns="91425" wrap="square" tIns="91425">
                <a:sp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Kanit"/>
                  <a:buNone/>
                </a:pPr>
                <a:r>
                  <a:rPr lang="en-US" sz="1100">
                    <a:latin typeface="Kanit"/>
                    <a:ea typeface="Kanit"/>
                    <a:cs typeface="Kanit"/>
                    <a:sym typeface="Kanit"/>
                  </a:rPr>
                  <a:t>วันที่</a:t>
                </a:r>
                <a:endParaRPr sz="1100">
                  <a:latin typeface="Kanit"/>
                  <a:ea typeface="Kanit"/>
                  <a:cs typeface="Kanit"/>
                  <a:sym typeface="Kanit"/>
                </a:endParaRPr>
              </a:p>
            </xdr:txBody>
          </xdr:sp>
          <xdr:cxnSp>
            <xdr:nvCxnSpPr>
              <xdr:cNvPr id="15" name="Shape 15"/>
              <xdr:cNvCxnSpPr/>
            </xdr:nvCxnSpPr>
            <xdr:spPr>
              <a:xfrm>
                <a:off x="6442075" y="3389900"/>
                <a:ext cx="1002600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dash"/>
                <a:round/>
                <a:headEnd len="sm" w="sm" type="none"/>
                <a:tailEnd len="sm" w="sm" type="none"/>
              </a:ln>
            </xdr:spPr>
          </xdr:cxnSp>
          <xdr:sp>
            <xdr:nvSpPr>
              <xdr:cNvPr id="16" name="Shape 16"/>
              <xdr:cNvSpPr txBox="1"/>
            </xdr:nvSpPr>
            <xdr:spPr>
              <a:xfrm>
                <a:off x="6578289" y="3389900"/>
                <a:ext cx="730500" cy="354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91425" lIns="91425" spcFirstLastPara="1" rIns="91425" wrap="square" tIns="9142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Kanit"/>
                  <a:buNone/>
                </a:pPr>
                <a:r>
                  <a:rPr lang="en-US" sz="1100">
                    <a:latin typeface="Kanit"/>
                    <a:ea typeface="Kanit"/>
                    <a:cs typeface="Kanit"/>
                    <a:sym typeface="Kanit"/>
                  </a:rPr>
                  <a:t>ผู้จ่ายเงิน</a:t>
                </a:r>
                <a:endParaRPr sz="1100">
                  <a:latin typeface="Kanit"/>
                  <a:ea typeface="Kanit"/>
                  <a:cs typeface="Kanit"/>
                  <a:sym typeface="Kanit"/>
                </a:endParaRPr>
              </a:p>
            </xdr:txBody>
          </xdr:sp>
          <xdr:cxnSp>
            <xdr:nvCxnSpPr>
              <xdr:cNvPr id="17" name="Shape 17"/>
              <xdr:cNvCxnSpPr/>
            </xdr:nvCxnSpPr>
            <xdr:spPr>
              <a:xfrm>
                <a:off x="7828527" y="3389900"/>
                <a:ext cx="1002600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dash"/>
                <a:round/>
                <a:headEnd len="sm" w="sm" type="none"/>
                <a:tailEnd len="sm" w="sm" type="none"/>
              </a:ln>
            </xdr:spPr>
          </xdr:cxnSp>
          <xdr:sp>
            <xdr:nvSpPr>
              <xdr:cNvPr id="18" name="Shape 18"/>
              <xdr:cNvSpPr txBox="1"/>
            </xdr:nvSpPr>
            <xdr:spPr>
              <a:xfrm>
                <a:off x="7964726" y="3389900"/>
                <a:ext cx="730500" cy="354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91425" lIns="91425" spcFirstLastPara="1" rIns="91425" wrap="square" tIns="91425">
                <a:sp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Kanit"/>
                  <a:buNone/>
                </a:pPr>
                <a:r>
                  <a:rPr lang="en-US" sz="1100">
                    <a:latin typeface="Kanit"/>
                    <a:ea typeface="Kanit"/>
                    <a:cs typeface="Kanit"/>
                    <a:sym typeface="Kanit"/>
                  </a:rPr>
                  <a:t>วันที่</a:t>
                </a:r>
                <a:endParaRPr sz="1100">
                  <a:latin typeface="Kanit"/>
                  <a:ea typeface="Kanit"/>
                  <a:cs typeface="Kanit"/>
                  <a:sym typeface="Kanit"/>
                </a:endParaRPr>
              </a:p>
            </xdr:txBody>
          </xdr:sp>
          <xdr:cxnSp>
            <xdr:nvCxnSpPr>
              <xdr:cNvPr id="19" name="Shape 19"/>
              <xdr:cNvCxnSpPr/>
            </xdr:nvCxnSpPr>
            <xdr:spPr>
              <a:xfrm>
                <a:off x="9873403" y="3389900"/>
                <a:ext cx="1002600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dash"/>
                <a:round/>
                <a:headEnd len="sm" w="sm" type="none"/>
                <a:tailEnd len="sm" w="sm" type="none"/>
              </a:ln>
            </xdr:spPr>
          </xdr:cxnSp>
          <xdr:sp>
            <xdr:nvSpPr>
              <xdr:cNvPr id="20" name="Shape 20"/>
              <xdr:cNvSpPr txBox="1"/>
            </xdr:nvSpPr>
            <xdr:spPr>
              <a:xfrm>
                <a:off x="10009630" y="3389900"/>
                <a:ext cx="730500" cy="354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91425" lIns="91425" spcFirstLastPara="1" rIns="91425" wrap="square" tIns="91425">
                <a:sp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Kanit"/>
                  <a:buNone/>
                </a:pPr>
                <a:r>
                  <a:rPr lang="en-US" sz="1100">
                    <a:latin typeface="Kanit"/>
                    <a:ea typeface="Kanit"/>
                    <a:cs typeface="Kanit"/>
                    <a:sym typeface="Kanit"/>
                  </a:rPr>
                  <a:t>ผู้รับเงิน</a:t>
                </a:r>
                <a:endParaRPr sz="1100">
                  <a:latin typeface="Kanit"/>
                  <a:ea typeface="Kanit"/>
                  <a:cs typeface="Kanit"/>
                  <a:sym typeface="Kanit"/>
                </a:endParaRPr>
              </a:p>
            </xdr:txBody>
          </xdr:sp>
          <xdr:cxnSp>
            <xdr:nvCxnSpPr>
              <xdr:cNvPr id="21" name="Shape 21"/>
              <xdr:cNvCxnSpPr/>
            </xdr:nvCxnSpPr>
            <xdr:spPr>
              <a:xfrm>
                <a:off x="11162448" y="3389900"/>
                <a:ext cx="1002600" cy="0"/>
              </a:xfrm>
              <a:prstGeom prst="straightConnector1">
                <a:avLst/>
              </a:prstGeom>
              <a:noFill/>
              <a:ln cap="flat" cmpd="sng" w="9525">
                <a:solidFill>
                  <a:srgbClr val="000000"/>
                </a:solidFill>
                <a:prstDash val="dash"/>
                <a:round/>
                <a:headEnd len="sm" w="sm" type="none"/>
                <a:tailEnd len="sm" w="sm" type="none"/>
              </a:ln>
            </xdr:spPr>
          </xdr:cxnSp>
          <xdr:sp>
            <xdr:nvSpPr>
              <xdr:cNvPr id="22" name="Shape 22"/>
              <xdr:cNvSpPr txBox="1"/>
            </xdr:nvSpPr>
            <xdr:spPr>
              <a:xfrm>
                <a:off x="11298675" y="3389900"/>
                <a:ext cx="730500" cy="354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91425" lIns="91425" spcFirstLastPara="1" rIns="91425" wrap="square" tIns="91425">
                <a:sp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Kanit"/>
                  <a:buNone/>
                </a:pPr>
                <a:r>
                  <a:rPr lang="en-US" sz="1100">
                    <a:latin typeface="Kanit"/>
                    <a:ea typeface="Kanit"/>
                    <a:cs typeface="Kanit"/>
                    <a:sym typeface="Kanit"/>
                  </a:rPr>
                  <a:t>วันที่</a:t>
                </a:r>
                <a:endParaRPr sz="1100">
                  <a:latin typeface="Kanit"/>
                  <a:ea typeface="Kanit"/>
                  <a:cs typeface="Kanit"/>
                  <a:sym typeface="Kanit"/>
                </a:endParaRPr>
              </a:p>
            </xdr:txBody>
          </xdr:sp>
          <xdr:sp>
            <xdr:nvSpPr>
              <xdr:cNvPr id="23" name="Shape 23"/>
              <xdr:cNvSpPr txBox="1"/>
            </xdr:nvSpPr>
            <xdr:spPr>
              <a:xfrm>
                <a:off x="10009606" y="3389900"/>
                <a:ext cx="730500" cy="354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91425" lIns="91425" spcFirstLastPara="1" rIns="91425" wrap="square" tIns="91425">
                <a:sp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Kanit"/>
                  <a:buNone/>
                </a:pPr>
                <a:r>
                  <a:rPr lang="en-US" sz="1100">
                    <a:latin typeface="Kanit"/>
                    <a:ea typeface="Kanit"/>
                    <a:cs typeface="Kanit"/>
                    <a:sym typeface="Kanit"/>
                  </a:rPr>
                  <a:t>ผู้รับเงิน</a:t>
                </a:r>
                <a:endParaRPr sz="1100">
                  <a:latin typeface="Kanit"/>
                  <a:ea typeface="Kanit"/>
                  <a:cs typeface="Kanit"/>
                  <a:sym typeface="Kanit"/>
                </a:endParaRPr>
              </a:p>
            </xdr:txBody>
          </xdr:sp>
        </xdr:grpSp>
      </xdr:grp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13"/>
    <col customWidth="1" min="2" max="2" width="20.5"/>
    <col customWidth="1" min="3" max="3" width="16.63"/>
    <col customWidth="1" min="4" max="4" width="20.63"/>
    <col customWidth="1" min="5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5.75" customHeight="1">
      <c r="A2" s="3" t="s">
        <v>4</v>
      </c>
      <c r="B2" s="4" t="s">
        <v>5</v>
      </c>
      <c r="C2" s="4" t="s">
        <v>6</v>
      </c>
      <c r="D2" s="4">
        <v>400.0</v>
      </c>
    </row>
    <row r="3" ht="15.75" customHeight="1">
      <c r="A3" s="3" t="s">
        <v>7</v>
      </c>
      <c r="B3" s="4" t="s">
        <v>5</v>
      </c>
      <c r="C3" s="4" t="s">
        <v>6</v>
      </c>
      <c r="D3" s="4">
        <v>400.0</v>
      </c>
    </row>
    <row r="4" ht="15.75" customHeight="1">
      <c r="A4" s="3" t="s">
        <v>8</v>
      </c>
      <c r="B4" s="4" t="s">
        <v>5</v>
      </c>
      <c r="C4" s="4" t="s">
        <v>6</v>
      </c>
      <c r="D4" s="4">
        <v>400.0</v>
      </c>
    </row>
    <row r="5" ht="15.75" customHeight="1">
      <c r="A5" s="3" t="s">
        <v>9</v>
      </c>
      <c r="B5" s="4" t="s">
        <v>5</v>
      </c>
      <c r="C5" s="4" t="s">
        <v>6</v>
      </c>
      <c r="D5" s="4">
        <v>400.0</v>
      </c>
    </row>
    <row r="6" ht="15.75" customHeight="1">
      <c r="A6" s="3" t="s">
        <v>10</v>
      </c>
      <c r="B6" s="4" t="s">
        <v>5</v>
      </c>
      <c r="C6" s="4" t="s">
        <v>6</v>
      </c>
      <c r="D6" s="4">
        <v>400.0</v>
      </c>
    </row>
    <row r="7" ht="15.75" customHeight="1">
      <c r="A7" s="3" t="s">
        <v>11</v>
      </c>
      <c r="B7" s="4" t="s">
        <v>5</v>
      </c>
      <c r="C7" s="4" t="s">
        <v>12</v>
      </c>
      <c r="D7" s="4">
        <v>500.0</v>
      </c>
    </row>
    <row r="8" ht="15.75" customHeight="1">
      <c r="A8" s="3" t="s">
        <v>13</v>
      </c>
      <c r="B8" s="4" t="s">
        <v>5</v>
      </c>
      <c r="C8" s="4" t="s">
        <v>12</v>
      </c>
      <c r="D8" s="4">
        <v>500.0</v>
      </c>
    </row>
    <row r="9" ht="15.75" customHeight="1">
      <c r="A9" s="3" t="s">
        <v>14</v>
      </c>
      <c r="B9" s="4" t="s">
        <v>5</v>
      </c>
      <c r="C9" s="4" t="s">
        <v>12</v>
      </c>
      <c r="D9" s="4">
        <v>500.0</v>
      </c>
    </row>
    <row r="10" ht="15.75" customHeight="1">
      <c r="A10" s="3" t="s">
        <v>15</v>
      </c>
      <c r="B10" s="4" t="s">
        <v>5</v>
      </c>
      <c r="C10" s="4" t="s">
        <v>12</v>
      </c>
      <c r="D10" s="4">
        <v>500.0</v>
      </c>
    </row>
    <row r="11" ht="15.75" customHeight="1">
      <c r="A11" s="3" t="s">
        <v>16</v>
      </c>
      <c r="B11" s="4" t="s">
        <v>5</v>
      </c>
      <c r="C11" s="4" t="s">
        <v>12</v>
      </c>
      <c r="D11" s="4">
        <v>500.0</v>
      </c>
    </row>
    <row r="12" ht="15.75" customHeight="1">
      <c r="A12" s="3" t="s">
        <v>17</v>
      </c>
      <c r="B12" s="4" t="s">
        <v>5</v>
      </c>
      <c r="C12" s="4" t="s">
        <v>6</v>
      </c>
      <c r="D12" s="4">
        <v>400.0</v>
      </c>
    </row>
    <row r="13" ht="15.75" customHeight="1">
      <c r="A13" s="3" t="s">
        <v>18</v>
      </c>
      <c r="B13" s="4" t="s">
        <v>5</v>
      </c>
      <c r="C13" s="4" t="s">
        <v>6</v>
      </c>
      <c r="D13" s="4">
        <v>400.0</v>
      </c>
    </row>
    <row r="14" ht="15.75" customHeight="1">
      <c r="A14" s="3" t="s">
        <v>19</v>
      </c>
      <c r="B14" s="4" t="s">
        <v>5</v>
      </c>
      <c r="C14" s="4" t="s">
        <v>6</v>
      </c>
      <c r="D14" s="4">
        <v>400.0</v>
      </c>
    </row>
    <row r="15" ht="15.75" customHeight="1">
      <c r="A15" s="3" t="s">
        <v>20</v>
      </c>
      <c r="B15" s="4" t="s">
        <v>5</v>
      </c>
      <c r="C15" s="4" t="s">
        <v>6</v>
      </c>
      <c r="D15" s="4">
        <v>400.0</v>
      </c>
    </row>
    <row r="16" ht="15.75" customHeight="1">
      <c r="A16" s="3" t="s">
        <v>21</v>
      </c>
      <c r="B16" s="4" t="s">
        <v>5</v>
      </c>
      <c r="C16" s="4" t="s">
        <v>6</v>
      </c>
      <c r="D16" s="4">
        <v>400.0</v>
      </c>
    </row>
    <row r="17" ht="15.75" customHeight="1">
      <c r="A17" s="3" t="s">
        <v>22</v>
      </c>
      <c r="B17" s="4" t="s">
        <v>5</v>
      </c>
      <c r="C17" s="4" t="s">
        <v>6</v>
      </c>
      <c r="D17" s="4">
        <v>400.0</v>
      </c>
    </row>
    <row r="18" ht="15.75" customHeight="1">
      <c r="A18" s="3" t="s">
        <v>23</v>
      </c>
      <c r="B18" s="4" t="s">
        <v>5</v>
      </c>
      <c r="C18" s="4" t="s">
        <v>6</v>
      </c>
      <c r="D18" s="4">
        <v>400.0</v>
      </c>
    </row>
    <row r="19" ht="15.75" customHeight="1">
      <c r="A19" s="3" t="s">
        <v>24</v>
      </c>
      <c r="B19" s="4" t="s">
        <v>5</v>
      </c>
      <c r="C19" s="4" t="s">
        <v>6</v>
      </c>
      <c r="D19" s="4">
        <v>400.0</v>
      </c>
    </row>
    <row r="20" ht="15.75" customHeight="1">
      <c r="A20" s="3" t="s">
        <v>25</v>
      </c>
      <c r="B20" s="4" t="s">
        <v>5</v>
      </c>
      <c r="C20" s="4" t="s">
        <v>6</v>
      </c>
      <c r="D20" s="4">
        <v>400.0</v>
      </c>
    </row>
    <row r="21" ht="15.75" customHeight="1">
      <c r="A21" s="3" t="s">
        <v>26</v>
      </c>
      <c r="B21" s="4" t="s">
        <v>5</v>
      </c>
      <c r="C21" s="4" t="s">
        <v>6</v>
      </c>
      <c r="D21" s="4">
        <v>400.0</v>
      </c>
    </row>
    <row r="22" ht="15.75" customHeight="1">
      <c r="A22" s="3" t="s">
        <v>27</v>
      </c>
      <c r="B22" s="4" t="s">
        <v>5</v>
      </c>
      <c r="C22" s="4" t="s">
        <v>6</v>
      </c>
      <c r="D22" s="4">
        <v>400.0</v>
      </c>
    </row>
    <row r="23" ht="15.75" customHeight="1">
      <c r="A23" s="3" t="s">
        <v>28</v>
      </c>
      <c r="B23" s="4" t="s">
        <v>5</v>
      </c>
      <c r="C23" s="4" t="s">
        <v>6</v>
      </c>
      <c r="D23" s="4">
        <v>400.0</v>
      </c>
    </row>
    <row r="24" ht="15.75" customHeight="1">
      <c r="A24" s="3" t="s">
        <v>29</v>
      </c>
      <c r="B24" s="4" t="s">
        <v>30</v>
      </c>
      <c r="C24" s="4" t="s">
        <v>6</v>
      </c>
      <c r="D24" s="4">
        <v>400.0</v>
      </c>
    </row>
    <row r="25" ht="15.75" customHeight="1">
      <c r="A25" s="3" t="s">
        <v>31</v>
      </c>
      <c r="B25" s="4" t="s">
        <v>30</v>
      </c>
      <c r="C25" s="4" t="s">
        <v>6</v>
      </c>
      <c r="D25" s="4">
        <v>400.0</v>
      </c>
    </row>
    <row r="26" ht="15.75" customHeight="1">
      <c r="A26" s="3" t="s">
        <v>32</v>
      </c>
      <c r="B26" s="4" t="s">
        <v>30</v>
      </c>
      <c r="C26" s="4" t="s">
        <v>6</v>
      </c>
      <c r="D26" s="4">
        <v>400.0</v>
      </c>
    </row>
    <row r="27" ht="15.75" customHeight="1">
      <c r="A27" s="3" t="s">
        <v>33</v>
      </c>
      <c r="B27" s="4" t="s">
        <v>30</v>
      </c>
      <c r="C27" s="4" t="s">
        <v>6</v>
      </c>
      <c r="D27" s="4">
        <v>400.0</v>
      </c>
    </row>
    <row r="28" ht="15.75" customHeight="1">
      <c r="A28" s="3" t="s">
        <v>34</v>
      </c>
      <c r="B28" s="4" t="s">
        <v>30</v>
      </c>
      <c r="C28" s="4" t="s">
        <v>6</v>
      </c>
      <c r="D28" s="4">
        <v>400.0</v>
      </c>
    </row>
    <row r="29" ht="15.75" customHeight="1">
      <c r="A29" s="3" t="s">
        <v>35</v>
      </c>
      <c r="B29" s="4" t="s">
        <v>30</v>
      </c>
      <c r="C29" s="4" t="s">
        <v>6</v>
      </c>
      <c r="D29" s="4">
        <v>400.0</v>
      </c>
    </row>
    <row r="30" ht="15.75" customHeight="1">
      <c r="A30" s="3" t="s">
        <v>36</v>
      </c>
      <c r="B30" s="4" t="s">
        <v>30</v>
      </c>
      <c r="C30" s="4" t="s">
        <v>6</v>
      </c>
      <c r="D30" s="4">
        <v>400.0</v>
      </c>
    </row>
    <row r="31" ht="15.75" customHeight="1">
      <c r="A31" s="3" t="s">
        <v>37</v>
      </c>
      <c r="B31" s="4" t="s">
        <v>30</v>
      </c>
      <c r="C31" s="4" t="s">
        <v>6</v>
      </c>
      <c r="D31" s="4">
        <v>400.0</v>
      </c>
    </row>
    <row r="32" ht="15.75" customHeight="1">
      <c r="A32" s="3" t="s">
        <v>38</v>
      </c>
      <c r="B32" s="4" t="s">
        <v>30</v>
      </c>
      <c r="C32" s="4" t="s">
        <v>6</v>
      </c>
      <c r="D32" s="4">
        <v>400.0</v>
      </c>
    </row>
    <row r="33" ht="15.75" customHeight="1">
      <c r="A33" s="3" t="s">
        <v>39</v>
      </c>
      <c r="B33" s="4" t="s">
        <v>30</v>
      </c>
      <c r="C33" s="4" t="s">
        <v>6</v>
      </c>
      <c r="D33" s="4">
        <v>400.0</v>
      </c>
    </row>
    <row r="34" ht="15.75" customHeight="1">
      <c r="A34" s="3" t="s">
        <v>40</v>
      </c>
      <c r="B34" s="4" t="s">
        <v>30</v>
      </c>
      <c r="C34" s="4" t="s">
        <v>12</v>
      </c>
      <c r="D34" s="4">
        <v>500.0</v>
      </c>
    </row>
    <row r="35" ht="15.75" customHeight="1">
      <c r="A35" s="3" t="s">
        <v>41</v>
      </c>
      <c r="B35" s="4" t="s">
        <v>30</v>
      </c>
      <c r="C35" s="4" t="s">
        <v>6</v>
      </c>
      <c r="D35" s="4">
        <v>400.0</v>
      </c>
    </row>
    <row r="36" ht="15.75" customHeight="1">
      <c r="A36" s="3" t="s">
        <v>42</v>
      </c>
      <c r="B36" s="4" t="s">
        <v>30</v>
      </c>
      <c r="C36" s="4" t="s">
        <v>6</v>
      </c>
      <c r="D36" s="4">
        <v>400.0</v>
      </c>
    </row>
    <row r="37" ht="15.75" customHeight="1">
      <c r="A37" s="3" t="s">
        <v>43</v>
      </c>
      <c r="B37" s="4" t="s">
        <v>30</v>
      </c>
      <c r="C37" s="4" t="s">
        <v>6</v>
      </c>
      <c r="D37" s="4">
        <v>400.0</v>
      </c>
    </row>
    <row r="38" ht="15.75" customHeight="1">
      <c r="A38" s="3" t="s">
        <v>44</v>
      </c>
      <c r="B38" s="4" t="s">
        <v>30</v>
      </c>
      <c r="C38" s="4" t="s">
        <v>6</v>
      </c>
      <c r="D38" s="4">
        <v>400.0</v>
      </c>
    </row>
    <row r="39" ht="15.75" customHeight="1">
      <c r="A39" s="3" t="s">
        <v>45</v>
      </c>
      <c r="B39" s="4" t="s">
        <v>30</v>
      </c>
      <c r="C39" s="4" t="s">
        <v>6</v>
      </c>
      <c r="D39" s="4">
        <v>400.0</v>
      </c>
    </row>
    <row r="40" ht="15.75" customHeight="1">
      <c r="A40" s="3" t="s">
        <v>46</v>
      </c>
      <c r="B40" s="4" t="s">
        <v>30</v>
      </c>
      <c r="C40" s="4" t="s">
        <v>6</v>
      </c>
      <c r="D40" s="4">
        <v>400.0</v>
      </c>
    </row>
    <row r="41" ht="15.75" customHeight="1">
      <c r="A41" s="3" t="s">
        <v>47</v>
      </c>
      <c r="B41" s="4" t="s">
        <v>30</v>
      </c>
      <c r="C41" s="4" t="s">
        <v>6</v>
      </c>
      <c r="D41" s="4">
        <v>400.0</v>
      </c>
    </row>
    <row r="42" ht="15.75" customHeight="1">
      <c r="A42" s="3" t="s">
        <v>48</v>
      </c>
      <c r="B42" s="4" t="s">
        <v>30</v>
      </c>
      <c r="C42" s="4" t="s">
        <v>6</v>
      </c>
      <c r="D42" s="4">
        <v>400.0</v>
      </c>
    </row>
    <row r="43" ht="15.75" customHeight="1">
      <c r="A43" s="3" t="s">
        <v>49</v>
      </c>
      <c r="B43" s="4" t="s">
        <v>30</v>
      </c>
      <c r="C43" s="4" t="s">
        <v>6</v>
      </c>
      <c r="D43" s="4">
        <v>400.0</v>
      </c>
    </row>
    <row r="44" ht="15.75" customHeight="1">
      <c r="A44" s="3" t="s">
        <v>50</v>
      </c>
      <c r="B44" s="4" t="s">
        <v>30</v>
      </c>
      <c r="C44" s="4" t="s">
        <v>6</v>
      </c>
      <c r="D44" s="4">
        <v>400.0</v>
      </c>
    </row>
    <row r="45" ht="15.75" customHeight="1">
      <c r="A45" s="3" t="s">
        <v>51</v>
      </c>
      <c r="B45" s="4" t="s">
        <v>30</v>
      </c>
      <c r="C45" s="4" t="s">
        <v>6</v>
      </c>
      <c r="D45" s="4">
        <v>400.0</v>
      </c>
    </row>
    <row r="46" ht="15.75" customHeight="1">
      <c r="A46" s="3" t="s">
        <v>52</v>
      </c>
      <c r="B46" s="4" t="s">
        <v>53</v>
      </c>
      <c r="C46" s="4" t="s">
        <v>12</v>
      </c>
      <c r="D46" s="4">
        <v>600.0</v>
      </c>
    </row>
    <row r="47" ht="15.75" customHeight="1">
      <c r="A47" s="3" t="s">
        <v>54</v>
      </c>
      <c r="B47" s="4" t="s">
        <v>53</v>
      </c>
      <c r="C47" s="4" t="s">
        <v>6</v>
      </c>
      <c r="D47" s="4">
        <v>500.0</v>
      </c>
    </row>
    <row r="48" ht="15.75" customHeight="1">
      <c r="A48" s="3" t="s">
        <v>55</v>
      </c>
      <c r="B48" s="4" t="s">
        <v>53</v>
      </c>
      <c r="C48" s="4" t="s">
        <v>6</v>
      </c>
      <c r="D48" s="4">
        <v>500.0</v>
      </c>
    </row>
    <row r="49" ht="15.75" customHeight="1">
      <c r="A49" s="3" t="s">
        <v>56</v>
      </c>
      <c r="B49" s="4" t="s">
        <v>53</v>
      </c>
      <c r="C49" s="4" t="s">
        <v>12</v>
      </c>
      <c r="D49" s="4">
        <v>600.0</v>
      </c>
    </row>
    <row r="50" ht="15.75" customHeight="1">
      <c r="A50" s="3" t="s">
        <v>57</v>
      </c>
      <c r="B50" s="4" t="s">
        <v>53</v>
      </c>
      <c r="C50" s="4" t="s">
        <v>12</v>
      </c>
      <c r="D50" s="4">
        <v>600.0</v>
      </c>
    </row>
    <row r="51" ht="15.75" customHeight="1">
      <c r="A51" s="3" t="s">
        <v>58</v>
      </c>
      <c r="B51" s="4" t="s">
        <v>53</v>
      </c>
      <c r="C51" s="4" t="s">
        <v>12</v>
      </c>
      <c r="D51" s="4">
        <v>600.0</v>
      </c>
    </row>
    <row r="52" ht="15.75" customHeight="1">
      <c r="A52" s="3" t="s">
        <v>59</v>
      </c>
      <c r="B52" s="4" t="s">
        <v>53</v>
      </c>
      <c r="C52" s="4" t="s">
        <v>6</v>
      </c>
      <c r="D52" s="4">
        <v>500.0</v>
      </c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hidden="1" customHeight="1">
      <c r="A55" s="3"/>
      <c r="B55" s="3"/>
      <c r="C55" s="3"/>
      <c r="D55" s="3"/>
    </row>
    <row r="56" ht="15.75" hidden="1" customHeight="1">
      <c r="A56" s="2"/>
      <c r="B56" s="2" t="s">
        <v>60</v>
      </c>
      <c r="C56" s="2" t="s">
        <v>61</v>
      </c>
      <c r="D56" s="2"/>
    </row>
    <row r="57" ht="15.75" hidden="1" customHeight="1">
      <c r="A57" s="5" t="s">
        <v>62</v>
      </c>
      <c r="B57" s="3" t="s">
        <v>63</v>
      </c>
      <c r="C57" s="3">
        <v>400.0</v>
      </c>
      <c r="D57" s="3"/>
    </row>
    <row r="58" ht="15.75" hidden="1" customHeight="1">
      <c r="B58" s="3" t="s">
        <v>64</v>
      </c>
      <c r="C58" s="3">
        <v>500.0</v>
      </c>
      <c r="D58" s="3"/>
    </row>
    <row r="59" ht="15.75" hidden="1" customHeight="1">
      <c r="A59" s="5" t="s">
        <v>65</v>
      </c>
      <c r="B59" s="3" t="s">
        <v>63</v>
      </c>
      <c r="C59" s="3">
        <v>400.0</v>
      </c>
      <c r="D59" s="3"/>
    </row>
    <row r="60" ht="15.75" hidden="1" customHeight="1">
      <c r="B60" s="3" t="s">
        <v>64</v>
      </c>
      <c r="C60" s="3">
        <v>500.0</v>
      </c>
      <c r="D60" s="3"/>
    </row>
    <row r="61" ht="15.75" hidden="1" customHeight="1">
      <c r="A61" s="5" t="s">
        <v>66</v>
      </c>
      <c r="B61" s="3" t="s">
        <v>63</v>
      </c>
      <c r="C61" s="3">
        <v>500.0</v>
      </c>
      <c r="D61" s="3"/>
    </row>
    <row r="62" ht="15.75" hidden="1" customHeight="1">
      <c r="B62" s="3" t="s">
        <v>64</v>
      </c>
      <c r="C62" s="3">
        <v>600.0</v>
      </c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57:A58"/>
    <mergeCell ref="A59:A60"/>
    <mergeCell ref="A61:A62"/>
  </mergeCells>
  <hyperlinks>
    <hyperlink display="ชื่อ/เบอร์ห้อง" location="null!A1" ref="A1"/>
  </hyperlinks>
  <printOptions gridLines="1" horizontalCentered="1"/>
  <pageMargins bottom="2.2545159796201952" footer="0.0" header="0.0" left="0.7" right="0.7" top="1.7577582213987961"/>
  <pageSetup paperSize="9" scale="20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4" width="7.63"/>
    <col customWidth="1" min="5" max="5" width="43.13"/>
    <col customWidth="1" min="6" max="6" width="20.25"/>
    <col customWidth="1" min="9" max="9" width="12.25"/>
    <col customWidth="1" min="10" max="10" width="27.38"/>
    <col customWidth="1" min="11" max="11" width="23.0"/>
  </cols>
  <sheetData>
    <row r="1" ht="15.75" customHeight="1">
      <c r="A1" s="6" t="s">
        <v>67</v>
      </c>
      <c r="B1" s="7" t="s">
        <v>68</v>
      </c>
      <c r="C1" s="7" t="s">
        <v>69</v>
      </c>
      <c r="D1" s="7" t="s">
        <v>70</v>
      </c>
      <c r="E1" s="7" t="s">
        <v>71</v>
      </c>
      <c r="F1" s="7" t="s">
        <v>72</v>
      </c>
      <c r="G1" s="7" t="s">
        <v>73</v>
      </c>
      <c r="H1" s="7" t="s">
        <v>61</v>
      </c>
      <c r="I1" s="7" t="s">
        <v>74</v>
      </c>
      <c r="J1" s="7" t="s">
        <v>75</v>
      </c>
      <c r="K1" s="7" t="s">
        <v>76</v>
      </c>
    </row>
    <row r="2" ht="15.75" customHeight="1">
      <c r="A2" s="8" t="s">
        <v>77</v>
      </c>
      <c r="B2" s="9"/>
      <c r="C2" s="9"/>
      <c r="D2" s="9">
        <v>1.0</v>
      </c>
      <c r="E2" s="8"/>
      <c r="G2" s="10" t="s">
        <v>17</v>
      </c>
      <c r="I2" s="10" t="s">
        <v>78</v>
      </c>
      <c r="K2" s="8"/>
    </row>
    <row r="3" ht="15.75" customHeight="1">
      <c r="A3" s="8" t="s">
        <v>79</v>
      </c>
      <c r="B3" s="9"/>
      <c r="C3" s="9"/>
      <c r="D3" s="9">
        <v>2.0</v>
      </c>
      <c r="E3" s="8"/>
      <c r="G3" s="10" t="s">
        <v>36</v>
      </c>
      <c r="I3" s="10" t="s">
        <v>78</v>
      </c>
      <c r="K3" s="8"/>
    </row>
    <row r="4" ht="15.75" customHeight="1">
      <c r="A4" s="8" t="s">
        <v>80</v>
      </c>
      <c r="B4" s="9"/>
      <c r="C4" s="9"/>
      <c r="D4" s="9">
        <v>3.0</v>
      </c>
      <c r="E4" s="8"/>
      <c r="G4" s="10" t="s">
        <v>34</v>
      </c>
      <c r="I4" s="10" t="s">
        <v>78</v>
      </c>
      <c r="K4" s="8"/>
    </row>
    <row r="5" ht="15.75" customHeight="1">
      <c r="A5" s="8" t="s">
        <v>81</v>
      </c>
      <c r="B5" s="9"/>
      <c r="C5" s="9"/>
      <c r="D5" s="9">
        <v>4.0</v>
      </c>
      <c r="E5" s="8"/>
      <c r="G5" s="10" t="s">
        <v>35</v>
      </c>
      <c r="I5" s="10" t="s">
        <v>78</v>
      </c>
      <c r="K5" s="8"/>
    </row>
    <row r="6" ht="15.75" customHeight="1">
      <c r="A6" s="8" t="s">
        <v>82</v>
      </c>
      <c r="B6" s="9"/>
      <c r="C6" s="9"/>
      <c r="D6" s="9">
        <v>5.0</v>
      </c>
      <c r="E6" s="8"/>
      <c r="G6" s="10" t="s">
        <v>10</v>
      </c>
      <c r="I6" s="10" t="s">
        <v>83</v>
      </c>
      <c r="K6" s="8"/>
    </row>
    <row r="7" ht="15.75" customHeight="1">
      <c r="A7" s="8" t="s">
        <v>84</v>
      </c>
      <c r="B7" s="9"/>
      <c r="C7" s="9"/>
      <c r="D7" s="9">
        <v>6.0</v>
      </c>
      <c r="E7" s="8"/>
      <c r="G7" s="10" t="s">
        <v>11</v>
      </c>
      <c r="I7" s="10" t="s">
        <v>83</v>
      </c>
      <c r="K7" s="8"/>
    </row>
    <row r="8" ht="15.75" customHeight="1">
      <c r="A8" s="8" t="s">
        <v>85</v>
      </c>
      <c r="B8" s="9"/>
      <c r="C8" s="9"/>
      <c r="D8" s="9">
        <v>7.0</v>
      </c>
      <c r="E8" s="8"/>
      <c r="G8" s="10" t="s">
        <v>35</v>
      </c>
      <c r="I8" s="10" t="s">
        <v>83</v>
      </c>
      <c r="K8" s="8"/>
    </row>
    <row r="9" ht="15.75" customHeight="1">
      <c r="A9" s="8" t="s">
        <v>86</v>
      </c>
      <c r="B9" s="9"/>
      <c r="C9" s="9"/>
      <c r="D9" s="9">
        <v>8.0</v>
      </c>
      <c r="E9" s="8"/>
      <c r="G9" s="10" t="s">
        <v>55</v>
      </c>
      <c r="I9" s="10" t="s">
        <v>83</v>
      </c>
      <c r="K9" s="8"/>
    </row>
    <row r="10" ht="15.75" customHeight="1">
      <c r="A10" s="8" t="s">
        <v>87</v>
      </c>
      <c r="B10" s="9"/>
      <c r="C10" s="9"/>
      <c r="D10" s="9">
        <v>9.0</v>
      </c>
      <c r="E10" s="8"/>
      <c r="G10" s="10" t="s">
        <v>36</v>
      </c>
      <c r="I10" s="10" t="s">
        <v>78</v>
      </c>
      <c r="K10" s="8"/>
    </row>
    <row r="11" ht="15.75" customHeight="1">
      <c r="A11" s="8" t="s">
        <v>88</v>
      </c>
      <c r="B11" s="9"/>
      <c r="C11" s="9"/>
      <c r="D11" s="9">
        <v>10.0</v>
      </c>
      <c r="E11" s="8"/>
      <c r="G11" s="10" t="s">
        <v>89</v>
      </c>
      <c r="I11" s="10" t="s">
        <v>83</v>
      </c>
      <c r="K11" s="8"/>
    </row>
    <row r="12" ht="15.75" customHeight="1">
      <c r="A12" s="8" t="s">
        <v>90</v>
      </c>
      <c r="B12" s="9"/>
      <c r="C12" s="9"/>
      <c r="D12" s="9">
        <v>11.0</v>
      </c>
      <c r="E12" s="8"/>
      <c r="G12" s="10" t="s">
        <v>31</v>
      </c>
      <c r="I12" s="10" t="s">
        <v>83</v>
      </c>
      <c r="K12" s="8"/>
    </row>
    <row r="13" ht="15.75" customHeight="1">
      <c r="A13" s="8" t="s">
        <v>91</v>
      </c>
      <c r="B13" s="9"/>
      <c r="C13" s="9"/>
      <c r="D13" s="9">
        <v>12.0</v>
      </c>
      <c r="E13" s="8"/>
      <c r="G13" s="10" t="s">
        <v>11</v>
      </c>
      <c r="I13" s="10" t="s">
        <v>83</v>
      </c>
      <c r="K13" s="8"/>
    </row>
    <row r="14" ht="15.75" customHeight="1">
      <c r="A14" s="8" t="s">
        <v>92</v>
      </c>
      <c r="B14" s="9"/>
      <c r="C14" s="9"/>
      <c r="D14" s="9">
        <v>13.0</v>
      </c>
      <c r="E14" s="8"/>
      <c r="G14" s="10" t="s">
        <v>10</v>
      </c>
      <c r="I14" s="10" t="s">
        <v>83</v>
      </c>
      <c r="K14" s="8"/>
    </row>
    <row r="15" ht="15.75" customHeight="1">
      <c r="A15" s="8" t="s">
        <v>93</v>
      </c>
      <c r="B15" s="9"/>
      <c r="C15" s="9"/>
      <c r="D15" s="9">
        <v>14.0</v>
      </c>
      <c r="E15" s="8"/>
      <c r="G15" s="10" t="s">
        <v>9</v>
      </c>
      <c r="I15" s="10" t="s">
        <v>78</v>
      </c>
      <c r="K15" s="8"/>
    </row>
    <row r="16" ht="15.75" customHeight="1">
      <c r="A16" s="8" t="s">
        <v>94</v>
      </c>
      <c r="B16" s="9"/>
      <c r="C16" s="9"/>
      <c r="D16" s="9">
        <v>15.0</v>
      </c>
      <c r="E16" s="8"/>
      <c r="G16" s="10" t="s">
        <v>59</v>
      </c>
      <c r="I16" s="10" t="s">
        <v>78</v>
      </c>
      <c r="K16" s="8"/>
    </row>
    <row r="17" ht="15.75" customHeight="1">
      <c r="A17" s="8" t="s">
        <v>95</v>
      </c>
      <c r="B17" s="9"/>
      <c r="C17" s="9"/>
      <c r="D17" s="9">
        <v>16.0</v>
      </c>
      <c r="E17" s="8"/>
      <c r="G17" s="10" t="s">
        <v>37</v>
      </c>
      <c r="I17" s="10" t="s">
        <v>78</v>
      </c>
      <c r="K17" s="8"/>
    </row>
    <row r="18" ht="15.75" customHeight="1">
      <c r="A18" s="8" t="s">
        <v>96</v>
      </c>
      <c r="B18" s="9"/>
      <c r="C18" s="9"/>
      <c r="D18" s="9">
        <v>17.0</v>
      </c>
      <c r="E18" s="8"/>
      <c r="G18" s="10" t="s">
        <v>36</v>
      </c>
      <c r="I18" s="10" t="s">
        <v>78</v>
      </c>
      <c r="K18" s="8"/>
    </row>
    <row r="19" ht="15.75" customHeight="1">
      <c r="A19" s="8" t="s">
        <v>97</v>
      </c>
      <c r="B19" s="9"/>
      <c r="C19" s="9"/>
      <c r="D19" s="9">
        <v>18.0</v>
      </c>
      <c r="E19" s="8"/>
      <c r="G19" s="10" t="s">
        <v>38</v>
      </c>
      <c r="I19" s="10" t="s">
        <v>78</v>
      </c>
      <c r="K19" s="8"/>
    </row>
    <row r="20" ht="15.75" customHeight="1">
      <c r="A20" s="8" t="s">
        <v>98</v>
      </c>
      <c r="B20" s="9"/>
      <c r="C20" s="9"/>
      <c r="D20" s="9">
        <v>19.0</v>
      </c>
      <c r="E20" s="8"/>
      <c r="G20" s="10" t="s">
        <v>10</v>
      </c>
      <c r="I20" s="10" t="s">
        <v>78</v>
      </c>
      <c r="K20" s="8"/>
    </row>
    <row r="21" ht="15.75" customHeight="1">
      <c r="A21" s="8" t="s">
        <v>99</v>
      </c>
      <c r="B21" s="9"/>
      <c r="C21" s="9"/>
      <c r="D21" s="9">
        <v>20.0</v>
      </c>
      <c r="E21" s="8"/>
      <c r="G21" s="10" t="s">
        <v>34</v>
      </c>
      <c r="I21" s="10" t="s">
        <v>78</v>
      </c>
      <c r="K21" s="8"/>
    </row>
    <row r="22" ht="15.75" customHeight="1">
      <c r="A22" s="8" t="s">
        <v>100</v>
      </c>
      <c r="B22" s="9"/>
      <c r="C22" s="9"/>
      <c r="D22" s="9">
        <v>21.0</v>
      </c>
      <c r="E22" s="8"/>
      <c r="G22" s="10" t="s">
        <v>8</v>
      </c>
      <c r="I22" s="10" t="s">
        <v>78</v>
      </c>
      <c r="K22" s="8"/>
    </row>
    <row r="23" ht="15.75" customHeight="1">
      <c r="A23" s="8" t="s">
        <v>101</v>
      </c>
      <c r="B23" s="9"/>
      <c r="C23" s="9"/>
      <c r="D23" s="9">
        <v>22.0</v>
      </c>
      <c r="E23" s="8"/>
      <c r="G23" s="10" t="s">
        <v>59</v>
      </c>
      <c r="I23" s="10" t="s">
        <v>78</v>
      </c>
      <c r="K23" s="8"/>
    </row>
    <row r="24" ht="15.75" customHeight="1">
      <c r="A24" s="8" t="s">
        <v>102</v>
      </c>
      <c r="B24" s="9"/>
      <c r="C24" s="9"/>
      <c r="D24" s="9">
        <v>23.0</v>
      </c>
      <c r="E24" s="8"/>
      <c r="G24" s="10" t="s">
        <v>11</v>
      </c>
      <c r="I24" s="10" t="s">
        <v>78</v>
      </c>
      <c r="K24" s="8"/>
    </row>
    <row r="25" ht="15.75" customHeight="1">
      <c r="A25" s="8" t="s">
        <v>103</v>
      </c>
      <c r="B25" s="9"/>
      <c r="C25" s="9"/>
      <c r="D25" s="9">
        <v>24.0</v>
      </c>
      <c r="E25" s="8"/>
      <c r="G25" s="10" t="s">
        <v>10</v>
      </c>
      <c r="I25" s="10" t="s">
        <v>78</v>
      </c>
      <c r="K25" s="8"/>
    </row>
    <row r="26" ht="15.75" customHeight="1">
      <c r="A26" s="8" t="s">
        <v>104</v>
      </c>
      <c r="B26" s="9"/>
      <c r="C26" s="9"/>
      <c r="D26" s="9">
        <v>25.0</v>
      </c>
      <c r="E26" s="8"/>
      <c r="G26" s="10" t="s">
        <v>9</v>
      </c>
      <c r="I26" s="10" t="s">
        <v>83</v>
      </c>
      <c r="K26" s="8"/>
    </row>
    <row r="27" ht="15.75" customHeight="1">
      <c r="A27" s="8" t="s">
        <v>105</v>
      </c>
      <c r="B27" s="9"/>
      <c r="C27" s="9"/>
      <c r="D27" s="9">
        <v>26.0</v>
      </c>
      <c r="E27" s="8"/>
      <c r="G27" s="10" t="s">
        <v>35</v>
      </c>
      <c r="I27" s="10" t="s">
        <v>78</v>
      </c>
      <c r="K27" s="8"/>
    </row>
    <row r="28" ht="15.75" customHeight="1">
      <c r="A28" s="8" t="s">
        <v>106</v>
      </c>
      <c r="B28" s="9"/>
      <c r="C28" s="9"/>
      <c r="D28" s="9">
        <v>27.0</v>
      </c>
      <c r="E28" s="8"/>
      <c r="G28" s="10" t="s">
        <v>10</v>
      </c>
      <c r="I28" s="10" t="s">
        <v>83</v>
      </c>
      <c r="K28" s="8"/>
    </row>
    <row r="29" ht="15.75" customHeight="1">
      <c r="A29" s="8" t="s">
        <v>107</v>
      </c>
      <c r="B29" s="9"/>
      <c r="C29" s="9"/>
      <c r="D29" s="9">
        <v>28.0</v>
      </c>
      <c r="E29" s="8"/>
      <c r="G29" s="10" t="s">
        <v>29</v>
      </c>
      <c r="I29" s="10" t="s">
        <v>83</v>
      </c>
      <c r="K29" s="8"/>
    </row>
    <row r="30" ht="15.75" customHeight="1">
      <c r="A30" s="8" t="s">
        <v>108</v>
      </c>
      <c r="B30" s="9"/>
      <c r="C30" s="9"/>
      <c r="D30" s="9">
        <v>29.0</v>
      </c>
      <c r="E30" s="8"/>
      <c r="G30" s="10" t="s">
        <v>38</v>
      </c>
      <c r="I30" s="10" t="s">
        <v>83</v>
      </c>
      <c r="K30" s="8"/>
    </row>
    <row r="31" ht="15.75" customHeight="1">
      <c r="A31" s="8" t="s">
        <v>109</v>
      </c>
      <c r="B31" s="9"/>
      <c r="C31" s="9"/>
      <c r="D31" s="9">
        <v>30.0</v>
      </c>
      <c r="E31" s="8"/>
      <c r="G31" s="10" t="s">
        <v>39</v>
      </c>
      <c r="I31" s="10" t="s">
        <v>83</v>
      </c>
      <c r="K31" s="8"/>
    </row>
    <row r="32" ht="15.75" customHeight="1">
      <c r="A32" s="8" t="s">
        <v>110</v>
      </c>
      <c r="B32" s="9"/>
      <c r="C32" s="9"/>
      <c r="D32" s="9">
        <v>31.0</v>
      </c>
      <c r="E32" s="8"/>
      <c r="G32" s="10" t="s">
        <v>10</v>
      </c>
      <c r="I32" s="10" t="s">
        <v>83</v>
      </c>
      <c r="K32" s="8"/>
    </row>
    <row r="33" ht="15.75" customHeight="1">
      <c r="A33" s="8" t="s">
        <v>111</v>
      </c>
      <c r="B33" s="9"/>
      <c r="C33" s="9"/>
      <c r="D33" s="9">
        <v>32.0</v>
      </c>
      <c r="E33" s="8"/>
      <c r="G33" s="10" t="s">
        <v>13</v>
      </c>
      <c r="I33" s="10" t="s">
        <v>78</v>
      </c>
      <c r="K33" s="8"/>
    </row>
    <row r="34" ht="15.75" customHeight="1">
      <c r="A34" s="8" t="s">
        <v>112</v>
      </c>
      <c r="B34" s="9"/>
      <c r="C34" s="9"/>
      <c r="D34" s="9">
        <v>33.0</v>
      </c>
      <c r="E34" s="8"/>
      <c r="G34" s="10" t="s">
        <v>11</v>
      </c>
      <c r="I34" s="10" t="s">
        <v>78</v>
      </c>
      <c r="K34" s="8"/>
    </row>
    <row r="35" ht="15.75" customHeight="1">
      <c r="A35" s="8" t="s">
        <v>113</v>
      </c>
      <c r="B35" s="9"/>
      <c r="C35" s="9"/>
      <c r="D35" s="9">
        <v>34.0</v>
      </c>
      <c r="E35" s="8"/>
      <c r="G35" s="10" t="s">
        <v>9</v>
      </c>
      <c r="I35" s="10" t="s">
        <v>78</v>
      </c>
      <c r="K35" s="8"/>
    </row>
    <row r="36" ht="15.75" customHeight="1">
      <c r="A36" s="8" t="s">
        <v>114</v>
      </c>
      <c r="B36" s="9"/>
      <c r="C36" s="9"/>
      <c r="D36" s="9">
        <v>35.0</v>
      </c>
      <c r="E36" s="8"/>
      <c r="G36" s="10" t="s">
        <v>32</v>
      </c>
      <c r="I36" s="10" t="s">
        <v>83</v>
      </c>
      <c r="K36" s="8"/>
    </row>
    <row r="37" ht="15.75" customHeight="1">
      <c r="A37" s="8" t="s">
        <v>115</v>
      </c>
      <c r="B37" s="9"/>
      <c r="C37" s="9"/>
      <c r="D37" s="9">
        <v>36.0</v>
      </c>
      <c r="E37" s="8"/>
      <c r="G37" s="10" t="s">
        <v>36</v>
      </c>
      <c r="I37" s="10" t="s">
        <v>83</v>
      </c>
      <c r="K37" s="8"/>
    </row>
    <row r="38" ht="15.75" customHeight="1">
      <c r="A38" s="8" t="s">
        <v>116</v>
      </c>
      <c r="B38" s="9"/>
      <c r="C38" s="9"/>
      <c r="D38" s="9">
        <v>37.0</v>
      </c>
      <c r="E38" s="8"/>
      <c r="G38" s="10" t="s">
        <v>36</v>
      </c>
      <c r="I38" s="10" t="s">
        <v>83</v>
      </c>
      <c r="K38" s="8"/>
    </row>
    <row r="39" ht="15.75" customHeight="1">
      <c r="A39" s="8" t="s">
        <v>117</v>
      </c>
      <c r="B39" s="9"/>
      <c r="C39" s="9"/>
      <c r="D39" s="9">
        <v>38.0</v>
      </c>
      <c r="E39" s="8"/>
      <c r="G39" s="10" t="s">
        <v>38</v>
      </c>
      <c r="I39" s="10" t="s">
        <v>78</v>
      </c>
      <c r="K39" s="8"/>
    </row>
    <row r="40" ht="15.75" customHeight="1">
      <c r="A40" s="8" t="s">
        <v>118</v>
      </c>
      <c r="B40" s="9"/>
      <c r="C40" s="9"/>
      <c r="D40" s="9">
        <v>39.0</v>
      </c>
      <c r="E40" s="8"/>
      <c r="G40" s="10" t="s">
        <v>33</v>
      </c>
      <c r="I40" s="10" t="s">
        <v>83</v>
      </c>
      <c r="K40" s="8"/>
    </row>
    <row r="41" ht="15.75" customHeight="1">
      <c r="A41" s="8" t="s">
        <v>119</v>
      </c>
      <c r="B41" s="9"/>
      <c r="C41" s="9"/>
      <c r="D41" s="9">
        <v>40.0</v>
      </c>
      <c r="E41" s="8"/>
      <c r="G41" s="10" t="s">
        <v>35</v>
      </c>
      <c r="I41" s="10" t="s">
        <v>83</v>
      </c>
      <c r="K41" s="8"/>
    </row>
    <row r="42" ht="15.75" customHeight="1">
      <c r="A42" s="8" t="s">
        <v>120</v>
      </c>
      <c r="B42" s="9"/>
      <c r="C42" s="9"/>
      <c r="D42" s="9">
        <v>41.0</v>
      </c>
      <c r="E42" s="8"/>
      <c r="G42" s="10" t="s">
        <v>54</v>
      </c>
      <c r="H42" s="11"/>
      <c r="I42" s="10" t="s">
        <v>78</v>
      </c>
      <c r="K42" s="8"/>
    </row>
    <row r="43" ht="15.75" customHeight="1">
      <c r="A43" s="8" t="s">
        <v>121</v>
      </c>
      <c r="B43" s="9"/>
      <c r="C43" s="9"/>
      <c r="D43" s="9">
        <v>42.0</v>
      </c>
      <c r="E43" s="8"/>
      <c r="G43" s="10" t="s">
        <v>11</v>
      </c>
      <c r="H43" s="11"/>
      <c r="I43" s="10" t="s">
        <v>83</v>
      </c>
      <c r="K43" s="8"/>
    </row>
    <row r="44" ht="15.75" customHeight="1">
      <c r="A44" s="8" t="s">
        <v>122</v>
      </c>
      <c r="B44" s="9"/>
      <c r="C44" s="9"/>
      <c r="D44" s="9">
        <v>43.0</v>
      </c>
      <c r="E44" s="8"/>
      <c r="G44" s="10" t="s">
        <v>33</v>
      </c>
      <c r="I44" s="10" t="s">
        <v>83</v>
      </c>
      <c r="K44" s="8"/>
    </row>
    <row r="45" ht="15.75" customHeight="1">
      <c r="A45" s="8" t="s">
        <v>123</v>
      </c>
      <c r="B45" s="9"/>
      <c r="C45" s="9"/>
      <c r="D45" s="9">
        <v>44.0</v>
      </c>
      <c r="E45" s="8"/>
      <c r="G45" s="10" t="s">
        <v>55</v>
      </c>
      <c r="H45" s="11"/>
      <c r="I45" s="10" t="s">
        <v>83</v>
      </c>
      <c r="K45" s="8"/>
    </row>
    <row r="46" ht="15.75" customHeight="1">
      <c r="A46" s="8" t="s">
        <v>124</v>
      </c>
      <c r="B46" s="9"/>
      <c r="C46" s="9"/>
      <c r="D46" s="9">
        <v>45.0</v>
      </c>
      <c r="E46" s="8"/>
      <c r="G46" s="10" t="s">
        <v>35</v>
      </c>
      <c r="I46" s="10" t="s">
        <v>83</v>
      </c>
      <c r="K46" s="8"/>
    </row>
    <row r="47" ht="15.75" customHeight="1">
      <c r="A47" s="8" t="s">
        <v>125</v>
      </c>
      <c r="B47" s="9"/>
      <c r="C47" s="9"/>
      <c r="D47" s="9">
        <v>46.0</v>
      </c>
      <c r="E47" s="8"/>
      <c r="G47" s="10" t="s">
        <v>9</v>
      </c>
      <c r="I47" s="10" t="s">
        <v>83</v>
      </c>
      <c r="K47" s="8"/>
    </row>
    <row r="48" ht="15.75" customHeight="1">
      <c r="A48" s="8" t="s">
        <v>126</v>
      </c>
      <c r="B48" s="9"/>
      <c r="C48" s="9"/>
      <c r="D48" s="9">
        <v>47.0</v>
      </c>
      <c r="E48" s="8"/>
      <c r="G48" s="10" t="s">
        <v>10</v>
      </c>
      <c r="I48" s="10" t="s">
        <v>78</v>
      </c>
      <c r="K48" s="8"/>
    </row>
    <row r="49" ht="15.75" customHeight="1">
      <c r="A49" s="8" t="s">
        <v>127</v>
      </c>
      <c r="B49" s="9"/>
      <c r="C49" s="9"/>
      <c r="D49" s="9">
        <v>48.0</v>
      </c>
      <c r="E49" s="8"/>
      <c r="G49" s="10" t="s">
        <v>9</v>
      </c>
      <c r="I49" s="10" t="s">
        <v>78</v>
      </c>
      <c r="K49" s="8"/>
    </row>
    <row r="50" ht="15.75" customHeight="1">
      <c r="A50" s="8" t="s">
        <v>128</v>
      </c>
      <c r="B50" s="9"/>
      <c r="C50" s="9"/>
      <c r="D50" s="9">
        <v>49.0</v>
      </c>
      <c r="E50" s="8"/>
      <c r="G50" s="10" t="s">
        <v>34</v>
      </c>
      <c r="I50" s="10" t="s">
        <v>78</v>
      </c>
      <c r="K50" s="8"/>
    </row>
    <row r="51" ht="15.75" customHeight="1">
      <c r="A51" s="8" t="s">
        <v>129</v>
      </c>
      <c r="B51" s="9"/>
      <c r="C51" s="9"/>
      <c r="D51" s="9">
        <v>50.0</v>
      </c>
      <c r="E51" s="8"/>
      <c r="G51" s="10" t="s">
        <v>14</v>
      </c>
      <c r="I51" s="10" t="s">
        <v>83</v>
      </c>
      <c r="K51" s="8"/>
    </row>
    <row r="52" ht="15.75" customHeight="1">
      <c r="A52" s="8" t="s">
        <v>130</v>
      </c>
      <c r="B52" s="9"/>
      <c r="C52" s="9"/>
      <c r="D52" s="9">
        <v>51.0</v>
      </c>
      <c r="E52" s="8"/>
      <c r="G52" s="10" t="s">
        <v>35</v>
      </c>
      <c r="I52" s="10" t="s">
        <v>83</v>
      </c>
      <c r="K52" s="8"/>
    </row>
    <row r="53" ht="15.75" customHeight="1">
      <c r="A53" s="8" t="s">
        <v>131</v>
      </c>
      <c r="B53" s="9"/>
      <c r="C53" s="9"/>
      <c r="D53" s="9">
        <v>52.0</v>
      </c>
      <c r="E53" s="8"/>
      <c r="G53" s="10" t="s">
        <v>10</v>
      </c>
      <c r="I53" s="10" t="s">
        <v>78</v>
      </c>
      <c r="K53" s="8"/>
    </row>
    <row r="54" ht="15.75" customHeight="1">
      <c r="A54" s="8" t="s">
        <v>132</v>
      </c>
      <c r="B54" s="9"/>
      <c r="C54" s="9"/>
      <c r="D54" s="9">
        <v>53.0</v>
      </c>
      <c r="E54" s="8"/>
      <c r="G54" s="10" t="s">
        <v>35</v>
      </c>
      <c r="I54" s="10" t="s">
        <v>83</v>
      </c>
      <c r="K54" s="8"/>
    </row>
    <row r="55" ht="15.75" customHeight="1">
      <c r="A55" s="8" t="s">
        <v>133</v>
      </c>
      <c r="B55" s="9"/>
      <c r="C55" s="9"/>
      <c r="D55" s="9">
        <v>54.0</v>
      </c>
      <c r="E55" s="8"/>
      <c r="G55" s="10" t="s">
        <v>11</v>
      </c>
      <c r="I55" s="10" t="s">
        <v>83</v>
      </c>
      <c r="K55" s="8"/>
    </row>
    <row r="56" ht="15.75" customHeight="1">
      <c r="A56" s="8" t="s">
        <v>134</v>
      </c>
      <c r="B56" s="9"/>
      <c r="C56" s="9"/>
      <c r="D56" s="9">
        <v>55.0</v>
      </c>
      <c r="E56" s="8"/>
      <c r="G56" s="10" t="s">
        <v>14</v>
      </c>
      <c r="I56" s="10" t="s">
        <v>83</v>
      </c>
      <c r="K56" s="8"/>
    </row>
    <row r="57" ht="15.75" customHeight="1">
      <c r="A57" s="8" t="s">
        <v>135</v>
      </c>
      <c r="B57" s="9"/>
      <c r="C57" s="9"/>
      <c r="D57" s="9">
        <v>56.0</v>
      </c>
      <c r="E57" s="8"/>
      <c r="G57" s="10" t="s">
        <v>36</v>
      </c>
      <c r="I57" s="10" t="s">
        <v>83</v>
      </c>
      <c r="K57" s="8"/>
    </row>
    <row r="58" ht="15.75" customHeight="1">
      <c r="A58" s="8" t="s">
        <v>136</v>
      </c>
      <c r="B58" s="9"/>
      <c r="C58" s="9"/>
      <c r="D58" s="9">
        <v>57.0</v>
      </c>
      <c r="E58" s="8"/>
      <c r="G58" s="10" t="s">
        <v>8</v>
      </c>
      <c r="I58" s="10" t="s">
        <v>78</v>
      </c>
      <c r="K58" s="8"/>
    </row>
    <row r="59" ht="15.75" customHeight="1">
      <c r="A59" s="8" t="s">
        <v>137</v>
      </c>
      <c r="B59" s="9"/>
      <c r="C59" s="9"/>
      <c r="D59" s="9">
        <v>58.0</v>
      </c>
      <c r="E59" s="8"/>
      <c r="G59" s="10" t="s">
        <v>34</v>
      </c>
      <c r="I59" s="10" t="s">
        <v>78</v>
      </c>
      <c r="K59" s="8"/>
    </row>
    <row r="60" ht="15.75" customHeight="1">
      <c r="A60" s="8" t="s">
        <v>138</v>
      </c>
      <c r="B60" s="9"/>
      <c r="C60" s="9"/>
      <c r="D60" s="9">
        <v>59.0</v>
      </c>
      <c r="E60" s="8"/>
      <c r="G60" s="10" t="s">
        <v>10</v>
      </c>
      <c r="I60" s="10" t="s">
        <v>78</v>
      </c>
      <c r="K60" s="8"/>
    </row>
    <row r="61" ht="15.75" customHeight="1">
      <c r="A61" s="8" t="s">
        <v>139</v>
      </c>
      <c r="B61" s="9"/>
      <c r="C61" s="9"/>
      <c r="D61" s="9">
        <v>60.0</v>
      </c>
      <c r="E61" s="8"/>
      <c r="G61" s="10" t="s">
        <v>17</v>
      </c>
      <c r="I61" s="10" t="s">
        <v>83</v>
      </c>
      <c r="K61" s="8"/>
    </row>
    <row r="62" ht="15.75" customHeight="1">
      <c r="A62" s="8" t="s">
        <v>140</v>
      </c>
      <c r="B62" s="9"/>
      <c r="C62" s="9"/>
      <c r="D62" s="9">
        <v>61.0</v>
      </c>
      <c r="E62" s="8"/>
      <c r="G62" s="10" t="s">
        <v>34</v>
      </c>
      <c r="I62" s="10" t="s">
        <v>83</v>
      </c>
      <c r="K62" s="8"/>
    </row>
    <row r="63" ht="15.75" customHeight="1">
      <c r="A63" s="8" t="s">
        <v>141</v>
      </c>
      <c r="B63" s="9"/>
      <c r="C63" s="9"/>
      <c r="D63" s="9">
        <v>62.0</v>
      </c>
      <c r="E63" s="8"/>
      <c r="G63" s="10" t="s">
        <v>8</v>
      </c>
      <c r="I63" s="10" t="s">
        <v>78</v>
      </c>
      <c r="K63" s="8"/>
    </row>
    <row r="64" ht="15.75" customHeight="1">
      <c r="A64" s="8" t="s">
        <v>142</v>
      </c>
      <c r="B64" s="9"/>
      <c r="C64" s="9"/>
      <c r="D64" s="9">
        <v>63.0</v>
      </c>
      <c r="E64" s="8"/>
      <c r="G64" s="10" t="s">
        <v>13</v>
      </c>
      <c r="I64" s="10" t="s">
        <v>78</v>
      </c>
      <c r="K64" s="8"/>
    </row>
    <row r="65" ht="15.75" customHeight="1">
      <c r="A65" s="8" t="s">
        <v>143</v>
      </c>
      <c r="B65" s="9"/>
      <c r="C65" s="9"/>
      <c r="D65" s="9">
        <v>64.0</v>
      </c>
      <c r="E65" s="8"/>
      <c r="G65" s="10" t="s">
        <v>10</v>
      </c>
      <c r="I65" s="10" t="s">
        <v>78</v>
      </c>
      <c r="K65" s="8"/>
    </row>
    <row r="66" ht="15.75" customHeight="1">
      <c r="A66" s="8" t="s">
        <v>144</v>
      </c>
      <c r="B66" s="9"/>
      <c r="C66" s="9"/>
      <c r="D66" s="9">
        <v>65.0</v>
      </c>
      <c r="E66" s="8"/>
      <c r="G66" s="10" t="s">
        <v>35</v>
      </c>
      <c r="I66" s="10" t="s">
        <v>83</v>
      </c>
      <c r="K66" s="8"/>
    </row>
    <row r="67" ht="15.75" customHeight="1">
      <c r="A67" s="8" t="s">
        <v>145</v>
      </c>
      <c r="B67" s="9"/>
      <c r="C67" s="9"/>
      <c r="D67" s="9">
        <v>66.0</v>
      </c>
      <c r="E67" s="8"/>
      <c r="G67" s="10" t="s">
        <v>10</v>
      </c>
      <c r="I67" s="10" t="s">
        <v>83</v>
      </c>
      <c r="K67" s="8"/>
    </row>
    <row r="68" ht="15.75" customHeight="1">
      <c r="A68" s="8" t="s">
        <v>146</v>
      </c>
      <c r="B68" s="9"/>
      <c r="C68" s="9"/>
      <c r="D68" s="9">
        <v>67.0</v>
      </c>
      <c r="E68" s="8"/>
      <c r="G68" s="10" t="s">
        <v>36</v>
      </c>
      <c r="I68" s="10" t="s">
        <v>83</v>
      </c>
      <c r="K68" s="8"/>
    </row>
    <row r="69" ht="15.75" customHeight="1">
      <c r="A69" s="8" t="s">
        <v>147</v>
      </c>
      <c r="B69" s="9"/>
      <c r="C69" s="9"/>
      <c r="D69" s="9">
        <v>68.0</v>
      </c>
      <c r="E69" s="8"/>
      <c r="G69" s="10" t="s">
        <v>33</v>
      </c>
      <c r="I69" s="10" t="s">
        <v>83</v>
      </c>
      <c r="K69" s="8"/>
    </row>
    <row r="70" ht="15.75" customHeight="1">
      <c r="A70" s="8" t="s">
        <v>148</v>
      </c>
      <c r="B70" s="9"/>
      <c r="C70" s="9"/>
      <c r="D70" s="9">
        <v>69.0</v>
      </c>
      <c r="E70" s="8"/>
      <c r="G70" s="10" t="s">
        <v>8</v>
      </c>
      <c r="I70" s="10" t="s">
        <v>78</v>
      </c>
      <c r="K70" s="8"/>
    </row>
    <row r="71" ht="15.75" customHeight="1">
      <c r="A71" s="8" t="s">
        <v>149</v>
      </c>
      <c r="B71" s="9"/>
      <c r="C71" s="9"/>
      <c r="D71" s="9">
        <v>70.0</v>
      </c>
      <c r="E71" s="8"/>
      <c r="G71" s="10" t="s">
        <v>35</v>
      </c>
      <c r="I71" s="10" t="s">
        <v>83</v>
      </c>
      <c r="K71" s="8"/>
    </row>
    <row r="72" ht="15.75" customHeight="1">
      <c r="A72" s="8" t="s">
        <v>150</v>
      </c>
      <c r="B72" s="9"/>
      <c r="C72" s="9"/>
      <c r="D72" s="9">
        <v>71.0</v>
      </c>
      <c r="E72" s="8"/>
      <c r="G72" s="10" t="s">
        <v>33</v>
      </c>
      <c r="I72" s="10" t="s">
        <v>78</v>
      </c>
      <c r="K72" s="8"/>
    </row>
    <row r="73" ht="15.75" customHeight="1">
      <c r="A73" s="8" t="s">
        <v>151</v>
      </c>
      <c r="B73" s="9"/>
      <c r="C73" s="9"/>
      <c r="D73" s="9">
        <v>72.0</v>
      </c>
      <c r="E73" s="8"/>
      <c r="G73" s="10" t="s">
        <v>10</v>
      </c>
      <c r="I73" s="10" t="s">
        <v>78</v>
      </c>
      <c r="K73" s="8"/>
    </row>
    <row r="74" ht="15.75" customHeight="1">
      <c r="A74" s="8" t="s">
        <v>152</v>
      </c>
      <c r="B74" s="9"/>
      <c r="C74" s="9"/>
      <c r="D74" s="9">
        <v>73.0</v>
      </c>
      <c r="E74" s="8"/>
      <c r="G74" s="10" t="s">
        <v>7</v>
      </c>
      <c r="I74" s="10" t="s">
        <v>83</v>
      </c>
      <c r="K74" s="8"/>
    </row>
    <row r="75" ht="15.75" customHeight="1">
      <c r="A75" s="8" t="s">
        <v>153</v>
      </c>
      <c r="B75" s="9"/>
      <c r="C75" s="9"/>
      <c r="D75" s="9">
        <v>74.0</v>
      </c>
      <c r="E75" s="8"/>
      <c r="G75" s="10" t="s">
        <v>34</v>
      </c>
      <c r="I75" s="10" t="s">
        <v>83</v>
      </c>
      <c r="K75" s="8"/>
    </row>
    <row r="76" ht="15.75" customHeight="1">
      <c r="A76" s="8" t="s">
        <v>154</v>
      </c>
      <c r="B76" s="9"/>
      <c r="C76" s="9"/>
      <c r="D76" s="9">
        <v>75.0</v>
      </c>
      <c r="E76" s="8"/>
      <c r="G76" s="10" t="s">
        <v>37</v>
      </c>
      <c r="I76" s="10" t="s">
        <v>78</v>
      </c>
      <c r="K76" s="8"/>
    </row>
    <row r="77" ht="15.75" customHeight="1">
      <c r="A77" s="8" t="s">
        <v>155</v>
      </c>
      <c r="B77" s="9"/>
      <c r="C77" s="9"/>
      <c r="D77" s="9">
        <v>76.0</v>
      </c>
      <c r="E77" s="8"/>
      <c r="G77" s="10" t="s">
        <v>37</v>
      </c>
      <c r="I77" s="10" t="s">
        <v>78</v>
      </c>
      <c r="K77" s="8"/>
    </row>
    <row r="78" ht="15.75" customHeight="1">
      <c r="A78" s="8" t="s">
        <v>156</v>
      </c>
      <c r="B78" s="9"/>
      <c r="C78" s="9"/>
      <c r="D78" s="9">
        <v>77.0</v>
      </c>
      <c r="E78" s="8"/>
      <c r="G78" s="10" t="s">
        <v>9</v>
      </c>
      <c r="H78" s="11"/>
      <c r="I78" s="10" t="s">
        <v>83</v>
      </c>
      <c r="K78" s="8"/>
    </row>
    <row r="79" ht="15.75" customHeight="1">
      <c r="A79" s="8" t="s">
        <v>157</v>
      </c>
      <c r="B79" s="9"/>
      <c r="C79" s="9"/>
      <c r="D79" s="9">
        <v>78.0</v>
      </c>
      <c r="E79" s="8"/>
      <c r="G79" s="10" t="s">
        <v>4</v>
      </c>
      <c r="I79" s="10" t="s">
        <v>78</v>
      </c>
      <c r="K79" s="8"/>
    </row>
    <row r="80" ht="15.75" customHeight="1">
      <c r="A80" s="8" t="s">
        <v>158</v>
      </c>
      <c r="B80" s="9"/>
      <c r="C80" s="9"/>
      <c r="D80" s="9">
        <v>79.0</v>
      </c>
      <c r="E80" s="8"/>
      <c r="G80" s="10" t="s">
        <v>35</v>
      </c>
      <c r="I80" s="10" t="s">
        <v>83</v>
      </c>
      <c r="K80" s="8"/>
    </row>
    <row r="81" ht="15.75" customHeight="1">
      <c r="A81" s="8" t="s">
        <v>159</v>
      </c>
      <c r="B81" s="9"/>
      <c r="C81" s="9"/>
      <c r="D81" s="9">
        <v>80.0</v>
      </c>
      <c r="E81" s="8"/>
      <c r="G81" s="10" t="s">
        <v>38</v>
      </c>
      <c r="I81" s="10" t="s">
        <v>78</v>
      </c>
      <c r="K81" s="8"/>
    </row>
    <row r="82" ht="15.75" customHeight="1">
      <c r="A82" s="8" t="s">
        <v>160</v>
      </c>
      <c r="B82" s="9"/>
      <c r="C82" s="9"/>
      <c r="D82" s="9">
        <v>81.0</v>
      </c>
      <c r="E82" s="8"/>
      <c r="G82" s="10" t="s">
        <v>37</v>
      </c>
      <c r="I82" s="10" t="s">
        <v>83</v>
      </c>
      <c r="K82" s="8"/>
    </row>
    <row r="83" ht="15.75" customHeight="1">
      <c r="A83" s="8" t="s">
        <v>161</v>
      </c>
      <c r="B83" s="9"/>
      <c r="C83" s="9"/>
      <c r="D83" s="9">
        <v>82.0</v>
      </c>
      <c r="E83" s="8"/>
      <c r="G83" s="10" t="s">
        <v>9</v>
      </c>
      <c r="I83" s="10" t="s">
        <v>78</v>
      </c>
      <c r="K83" s="8"/>
    </row>
    <row r="84" ht="15.75" customHeight="1">
      <c r="A84" s="8" t="s">
        <v>162</v>
      </c>
      <c r="B84" s="9"/>
      <c r="C84" s="9"/>
      <c r="D84" s="9">
        <v>83.0</v>
      </c>
      <c r="E84" s="8"/>
      <c r="G84" s="10" t="s">
        <v>10</v>
      </c>
      <c r="I84" s="10" t="s">
        <v>83</v>
      </c>
      <c r="K84" s="8"/>
    </row>
    <row r="85" ht="15.75" customHeight="1">
      <c r="A85" s="8" t="s">
        <v>163</v>
      </c>
      <c r="B85" s="9"/>
      <c r="C85" s="9"/>
      <c r="D85" s="9">
        <v>84.0</v>
      </c>
      <c r="E85" s="8"/>
      <c r="G85" s="10" t="s">
        <v>17</v>
      </c>
      <c r="I85" s="10" t="s">
        <v>78</v>
      </c>
      <c r="K85" s="8"/>
    </row>
    <row r="86" ht="15.75" customHeight="1">
      <c r="A86" s="8" t="s">
        <v>164</v>
      </c>
      <c r="B86" s="9"/>
      <c r="C86" s="9"/>
      <c r="D86" s="9">
        <v>85.0</v>
      </c>
      <c r="E86" s="8"/>
      <c r="G86" s="10" t="s">
        <v>59</v>
      </c>
      <c r="I86" s="10" t="s">
        <v>78</v>
      </c>
      <c r="K86" s="8"/>
    </row>
    <row r="87" ht="15.75" customHeight="1">
      <c r="A87" s="8" t="s">
        <v>165</v>
      </c>
      <c r="B87" s="9"/>
      <c r="C87" s="9"/>
      <c r="D87" s="9">
        <v>86.0</v>
      </c>
      <c r="E87" s="8"/>
      <c r="G87" s="10" t="s">
        <v>55</v>
      </c>
      <c r="I87" s="10" t="s">
        <v>78</v>
      </c>
      <c r="K87" s="8"/>
    </row>
    <row r="88" ht="15.75" customHeight="1">
      <c r="A88" s="8" t="s">
        <v>166</v>
      </c>
      <c r="B88" s="9"/>
      <c r="C88" s="9"/>
      <c r="D88" s="9">
        <v>87.0</v>
      </c>
      <c r="E88" s="8"/>
      <c r="G88" s="10" t="s">
        <v>11</v>
      </c>
      <c r="I88" s="10" t="s">
        <v>78</v>
      </c>
      <c r="K88" s="8"/>
    </row>
    <row r="89" ht="15.75" customHeight="1">
      <c r="A89" s="8" t="s">
        <v>167</v>
      </c>
      <c r="B89" s="9"/>
      <c r="C89" s="9"/>
      <c r="D89" s="9">
        <v>88.0</v>
      </c>
      <c r="E89" s="8"/>
      <c r="G89" s="10" t="s">
        <v>32</v>
      </c>
      <c r="I89" s="10" t="s">
        <v>83</v>
      </c>
      <c r="K89" s="8"/>
    </row>
    <row r="90" ht="15.75" customHeight="1">
      <c r="A90" s="8" t="s">
        <v>168</v>
      </c>
      <c r="B90" s="9"/>
      <c r="C90" s="9"/>
      <c r="D90" s="9">
        <v>89.0</v>
      </c>
      <c r="E90" s="8"/>
      <c r="G90" s="10" t="s">
        <v>7</v>
      </c>
      <c r="I90" s="10" t="s">
        <v>78</v>
      </c>
      <c r="K90" s="8"/>
    </row>
    <row r="91" ht="15.75" customHeight="1">
      <c r="A91" s="8" t="s">
        <v>169</v>
      </c>
      <c r="B91" s="9"/>
      <c r="C91" s="9"/>
      <c r="D91" s="9">
        <v>90.0</v>
      </c>
      <c r="E91" s="8"/>
      <c r="G91" s="10" t="s">
        <v>33</v>
      </c>
      <c r="I91" s="10" t="s">
        <v>78</v>
      </c>
      <c r="K91" s="8"/>
    </row>
    <row r="92" ht="15.75" customHeight="1">
      <c r="A92" s="8" t="s">
        <v>170</v>
      </c>
      <c r="B92" s="9"/>
      <c r="C92" s="9"/>
      <c r="D92" s="9">
        <v>91.0</v>
      </c>
      <c r="E92" s="8"/>
      <c r="G92" s="10" t="s">
        <v>36</v>
      </c>
      <c r="I92" s="10" t="s">
        <v>83</v>
      </c>
      <c r="K92" s="8"/>
    </row>
    <row r="93" ht="15.75" customHeight="1">
      <c r="A93" s="8" t="s">
        <v>171</v>
      </c>
      <c r="B93" s="9"/>
      <c r="C93" s="9"/>
      <c r="D93" s="9">
        <v>92.0</v>
      </c>
      <c r="E93" s="8"/>
      <c r="G93" s="10" t="s">
        <v>8</v>
      </c>
      <c r="H93" s="11"/>
      <c r="I93" s="10" t="s">
        <v>83</v>
      </c>
      <c r="K93" s="8"/>
    </row>
    <row r="94" ht="15.75" customHeight="1">
      <c r="A94" s="8" t="s">
        <v>172</v>
      </c>
      <c r="B94" s="9"/>
      <c r="C94" s="9"/>
      <c r="D94" s="9">
        <v>93.0</v>
      </c>
      <c r="E94" s="8"/>
      <c r="G94" s="10" t="s">
        <v>35</v>
      </c>
      <c r="I94" s="10" t="s">
        <v>78</v>
      </c>
      <c r="K94" s="8"/>
    </row>
    <row r="95" ht="15.75" customHeight="1">
      <c r="A95" s="8" t="s">
        <v>173</v>
      </c>
      <c r="B95" s="9"/>
      <c r="C95" s="9"/>
      <c r="D95" s="9">
        <v>94.0</v>
      </c>
      <c r="E95" s="8"/>
      <c r="G95" s="10" t="s">
        <v>34</v>
      </c>
      <c r="I95" s="10" t="s">
        <v>78</v>
      </c>
      <c r="K95" s="8"/>
    </row>
    <row r="96" ht="15.75" customHeight="1">
      <c r="A96" s="8" t="s">
        <v>174</v>
      </c>
      <c r="B96" s="9"/>
      <c r="C96" s="9"/>
      <c r="D96" s="9">
        <v>95.0</v>
      </c>
      <c r="E96" s="8"/>
      <c r="G96" s="10" t="s">
        <v>7</v>
      </c>
      <c r="I96" s="10" t="s">
        <v>78</v>
      </c>
      <c r="K96" s="8"/>
    </row>
    <row r="97" ht="15.75" customHeight="1">
      <c r="A97" s="8" t="s">
        <v>175</v>
      </c>
      <c r="B97" s="9"/>
      <c r="C97" s="9"/>
      <c r="D97" s="9">
        <v>96.0</v>
      </c>
      <c r="E97" s="8"/>
      <c r="G97" s="10" t="s">
        <v>55</v>
      </c>
      <c r="I97" s="10" t="s">
        <v>83</v>
      </c>
      <c r="K97" s="8"/>
    </row>
    <row r="98" ht="15.75" customHeight="1">
      <c r="A98" s="8" t="s">
        <v>176</v>
      </c>
      <c r="B98" s="9"/>
      <c r="C98" s="9"/>
      <c r="D98" s="9">
        <v>97.0</v>
      </c>
      <c r="E98" s="8"/>
      <c r="G98" s="10" t="s">
        <v>38</v>
      </c>
      <c r="I98" s="10" t="s">
        <v>83</v>
      </c>
      <c r="K98" s="8"/>
    </row>
    <row r="99" ht="15.75" customHeight="1">
      <c r="A99" s="8" t="s">
        <v>177</v>
      </c>
      <c r="B99" s="9"/>
      <c r="C99" s="9"/>
      <c r="D99" s="9">
        <v>98.0</v>
      </c>
      <c r="E99" s="8"/>
      <c r="G99" s="10" t="s">
        <v>10</v>
      </c>
      <c r="I99" s="10" t="s">
        <v>78</v>
      </c>
      <c r="K99" s="8"/>
    </row>
    <row r="100" ht="15.75" customHeight="1">
      <c r="A100" s="8" t="s">
        <v>178</v>
      </c>
      <c r="B100" s="9"/>
      <c r="C100" s="9"/>
      <c r="D100" s="9">
        <v>99.0</v>
      </c>
      <c r="E100" s="8"/>
      <c r="G100" s="10" t="s">
        <v>179</v>
      </c>
      <c r="I100" s="10" t="s">
        <v>78</v>
      </c>
      <c r="K100" s="8"/>
    </row>
    <row r="101" ht="15.75" customHeight="1">
      <c r="A101" s="8" t="s">
        <v>180</v>
      </c>
      <c r="B101" s="9"/>
      <c r="C101" s="9"/>
      <c r="D101" s="9">
        <v>100.0</v>
      </c>
      <c r="E101" s="8"/>
      <c r="G101" s="10" t="s">
        <v>31</v>
      </c>
      <c r="I101" s="10" t="s">
        <v>83</v>
      </c>
      <c r="K101" s="8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D$1:$K$10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16.88"/>
    <col customWidth="1" min="2" max="2" width="39.63"/>
    <col customWidth="1" min="3" max="3" width="24.5"/>
    <col customWidth="1" min="4" max="4" width="21.25"/>
    <col customWidth="1" min="5" max="5" width="29.88"/>
    <col customWidth="1" min="6" max="6" width="16.0"/>
    <col customWidth="1" min="7" max="7" width="15.25"/>
    <col customWidth="1" min="8" max="8" width="12.0"/>
    <col customWidth="1" hidden="1" min="9" max="9" width="10.5"/>
    <col customWidth="1" hidden="1" min="10" max="10" width="10.63"/>
    <col customWidth="1" hidden="1" min="11" max="11" width="9.13"/>
  </cols>
  <sheetData>
    <row r="1">
      <c r="A1" s="12" t="s">
        <v>181</v>
      </c>
      <c r="F1" s="13"/>
      <c r="G1" s="14" t="s">
        <v>182</v>
      </c>
      <c r="I1" s="15"/>
      <c r="J1" s="15"/>
      <c r="K1" s="15"/>
    </row>
    <row r="2">
      <c r="A2" s="13"/>
      <c r="B2" s="13"/>
      <c r="C2" s="13"/>
      <c r="D2" s="13"/>
      <c r="E2" s="16"/>
      <c r="F2" s="13"/>
      <c r="G2" s="13"/>
      <c r="H2" s="13"/>
      <c r="I2" s="15"/>
      <c r="J2" s="15"/>
      <c r="K2" s="15"/>
    </row>
    <row r="3">
      <c r="A3" s="13"/>
      <c r="B3" s="13"/>
      <c r="C3" s="13"/>
      <c r="D3" s="17" t="s">
        <v>183</v>
      </c>
      <c r="E3" s="16"/>
      <c r="F3" s="13"/>
      <c r="G3" s="13"/>
      <c r="H3" s="13"/>
      <c r="I3" s="18">
        <v>400.0</v>
      </c>
      <c r="J3" s="18">
        <v>500.0</v>
      </c>
      <c r="K3" s="18">
        <v>600.0</v>
      </c>
    </row>
    <row r="4">
      <c r="A4" s="17" t="s">
        <v>184</v>
      </c>
      <c r="F4" s="13"/>
      <c r="G4" s="13"/>
      <c r="H4" s="13"/>
      <c r="I4" s="15">
        <f t="shared" ref="I4:J4" si="1">I22+I45+I68+I91+I114+I160+I183+I206+I137</f>
        <v>0</v>
      </c>
      <c r="J4" s="15">
        <f t="shared" si="1"/>
        <v>0</v>
      </c>
      <c r="K4" s="15">
        <f>K22+K45+K68+K91+K114+K160+K183+K206</f>
        <v>0</v>
      </c>
    </row>
    <row r="5">
      <c r="A5" s="17" t="s">
        <v>185</v>
      </c>
      <c r="C5" s="17" t="s">
        <v>186</v>
      </c>
      <c r="D5" s="13"/>
      <c r="E5" s="16"/>
      <c r="F5" s="13"/>
      <c r="G5" s="13"/>
      <c r="H5" s="13"/>
    </row>
    <row r="6">
      <c r="A6" s="13"/>
      <c r="B6" s="13"/>
      <c r="C6" s="13"/>
      <c r="D6" s="13"/>
      <c r="E6" s="16"/>
      <c r="F6" s="13"/>
      <c r="G6" s="13"/>
      <c r="H6" s="13"/>
      <c r="I6" s="15"/>
      <c r="J6" s="15" t="s">
        <v>187</v>
      </c>
      <c r="K6" s="15" t="s">
        <v>188</v>
      </c>
    </row>
    <row r="7">
      <c r="A7" s="19" t="s">
        <v>189</v>
      </c>
      <c r="B7" s="19" t="s">
        <v>190</v>
      </c>
      <c r="C7" s="19" t="s">
        <v>191</v>
      </c>
      <c r="D7" s="20" t="s">
        <v>192</v>
      </c>
      <c r="E7" s="21" t="s">
        <v>193</v>
      </c>
      <c r="F7" s="20" t="s">
        <v>194</v>
      </c>
      <c r="G7" s="20" t="s">
        <v>194</v>
      </c>
      <c r="H7" s="19" t="s">
        <v>195</v>
      </c>
      <c r="I7" s="15" t="s">
        <v>196</v>
      </c>
      <c r="J7" s="22">
        <f>I4+J4+K4</f>
        <v>0</v>
      </c>
      <c r="K7" s="15">
        <f>J7*1%</f>
        <v>0</v>
      </c>
    </row>
    <row r="8">
      <c r="A8" s="23"/>
      <c r="B8" s="23"/>
      <c r="C8" s="23"/>
      <c r="D8" s="20" t="s">
        <v>197</v>
      </c>
      <c r="E8" s="21" t="s">
        <v>198</v>
      </c>
      <c r="F8" s="20" t="s">
        <v>199</v>
      </c>
      <c r="G8" s="20" t="s">
        <v>200</v>
      </c>
      <c r="H8" s="23"/>
      <c r="I8" s="15"/>
      <c r="J8" s="15"/>
      <c r="K8" s="15"/>
    </row>
    <row r="9">
      <c r="A9" s="24">
        <v>1.0</v>
      </c>
      <c r="B9" s="25" t="str">
        <f>IFERROR(VLOOKUP(A9,'ฟอร์มทะเบียนผู้เข้าพัก'!A3:E153,5,FALSE),)</f>
        <v/>
      </c>
      <c r="C9" s="25" t="str">
        <f>IFERROR(VLOOKUP(A9,'ฟอร์มทะเบียนผู้เข้าพัก'!A:F,3,FALSE),)</f>
        <v/>
      </c>
      <c r="D9" s="26" t="str">
        <f t="shared" ref="D9:D18" si="2">IFERROR(VLOOKUP(I9,' รายการเข้าพัก'!B:L,6,FALSE),)</f>
        <v/>
      </c>
      <c r="E9" s="27" t="str">
        <f t="shared" ref="E9:E18" si="3">IFERROR(vlookup(K9,'🛏️ รายการห้องพัก'!A:E,5,false),)</f>
        <v/>
      </c>
      <c r="F9" s="28">
        <f t="shared" ref="F9:F18" si="4">E9*D9</f>
        <v>0</v>
      </c>
      <c r="G9" s="28">
        <f t="shared" ref="G9:G18" si="5">F9*1%</f>
        <v>0</v>
      </c>
      <c r="H9" s="26"/>
      <c r="I9" s="29" t="str">
        <f>IFERROR(VLOOKUP(A9,'ฟอร์มทะเบียนผู้เข้าพัก'!A:L,2,FALSE),)</f>
        <v>VP01045</v>
      </c>
      <c r="K9" s="29" t="str">
        <f>IFERROR(VLOOKUP(A9,'ฟอร์มทะเบียนผู้เข้าพัก'!A:L,4,FALSE),)</f>
        <v/>
      </c>
    </row>
    <row r="10">
      <c r="A10" s="24">
        <v>2.0</v>
      </c>
      <c r="B10" s="25" t="str">
        <f>IFERROR(VLOOKUP(A10,'ฟอร์มทะเบียนผู้เข้าพัก'!A4:E153,5,FALSE),)</f>
        <v/>
      </c>
      <c r="C10" s="25" t="str">
        <f>IFERROR(VLOOKUP(A10,'ฟอร์มทะเบียนผู้เข้าพัก'!A:F,3,FALSE),)</f>
        <v/>
      </c>
      <c r="D10" s="26" t="str">
        <f t="shared" si="2"/>
        <v/>
      </c>
      <c r="E10" s="27" t="str">
        <f t="shared" si="3"/>
        <v/>
      </c>
      <c r="F10" s="28">
        <f t="shared" si="4"/>
        <v>0</v>
      </c>
      <c r="G10" s="28">
        <f t="shared" si="5"/>
        <v>0</v>
      </c>
      <c r="H10" s="26"/>
      <c r="I10" s="29" t="str">
        <f>IFERROR(VLOOKUP(A10,'ฟอร์มทะเบียนผู้เข้าพัก'!A:L,2,FALSE),)</f>
        <v>VP01046</v>
      </c>
      <c r="K10" s="29" t="str">
        <f>IFERROR(VLOOKUP(A10,'ฟอร์มทะเบียนผู้เข้าพัก'!A:L,4,FALSE),)</f>
        <v/>
      </c>
    </row>
    <row r="11">
      <c r="A11" s="24">
        <v>3.0</v>
      </c>
      <c r="B11" s="25" t="str">
        <f>IFERROR(VLOOKUP(A11,'ฟอร์มทะเบียนผู้เข้าพัก'!A5:E153,5,FALSE),)</f>
        <v/>
      </c>
      <c r="C11" s="25" t="str">
        <f>IFERROR(VLOOKUP(A11,'ฟอร์มทะเบียนผู้เข้าพัก'!A:L,3,FALSE),)</f>
        <v/>
      </c>
      <c r="D11" s="26" t="str">
        <f t="shared" si="2"/>
        <v/>
      </c>
      <c r="E11" s="27" t="str">
        <f t="shared" si="3"/>
        <v/>
      </c>
      <c r="F11" s="28">
        <f t="shared" si="4"/>
        <v>0</v>
      </c>
      <c r="G11" s="28">
        <f t="shared" si="5"/>
        <v>0</v>
      </c>
      <c r="H11" s="26"/>
      <c r="I11" s="29" t="str">
        <f>IFERROR(VLOOKUP(A11,'ฟอร์มทะเบียนผู้เข้าพัก'!A:L,2,FALSE),)</f>
        <v>VP01047</v>
      </c>
      <c r="K11" s="29" t="str">
        <f>IFERROR(VLOOKUP(A11,'ฟอร์มทะเบียนผู้เข้าพัก'!A:L,4,FALSE),)</f>
        <v/>
      </c>
    </row>
    <row r="12">
      <c r="A12" s="24">
        <v>4.0</v>
      </c>
      <c r="B12" s="25" t="str">
        <f>IFERROR(VLOOKUP(A12,'ฟอร์มทะเบียนผู้เข้าพัก'!A6:E153,5,FALSE),)</f>
        <v/>
      </c>
      <c r="C12" s="25" t="str">
        <f>IFERROR(VLOOKUP(A12,'ฟอร์มทะเบียนผู้เข้าพัก'!A:F,3,FALSE),)</f>
        <v/>
      </c>
      <c r="D12" s="26" t="str">
        <f t="shared" si="2"/>
        <v/>
      </c>
      <c r="E12" s="27" t="str">
        <f t="shared" si="3"/>
        <v/>
      </c>
      <c r="F12" s="28">
        <f t="shared" si="4"/>
        <v>0</v>
      </c>
      <c r="G12" s="28">
        <f t="shared" si="5"/>
        <v>0</v>
      </c>
      <c r="H12" s="26"/>
      <c r="I12" s="29" t="str">
        <f>IFERROR(VLOOKUP(A12,'ฟอร์มทะเบียนผู้เข้าพัก'!A:L,2,FALSE),)</f>
        <v>VP01048</v>
      </c>
      <c r="K12" s="29" t="str">
        <f>IFERROR(VLOOKUP(A12,'ฟอร์มทะเบียนผู้เข้าพัก'!A:L,4,FALSE),)</f>
        <v/>
      </c>
    </row>
    <row r="13">
      <c r="A13" s="24">
        <v>5.0</v>
      </c>
      <c r="B13" s="25" t="str">
        <f>IFERROR(VLOOKUP(A13,'ฟอร์มทะเบียนผู้เข้าพัก'!A7:E153,5,FALSE),)</f>
        <v/>
      </c>
      <c r="C13" s="25" t="str">
        <f>IFERROR(VLOOKUP(A13,'ฟอร์มทะเบียนผู้เข้าพัก'!A:F,3,FALSE),)</f>
        <v/>
      </c>
      <c r="D13" s="26" t="str">
        <f t="shared" si="2"/>
        <v/>
      </c>
      <c r="E13" s="27" t="str">
        <f t="shared" si="3"/>
        <v/>
      </c>
      <c r="F13" s="28">
        <f t="shared" si="4"/>
        <v>0</v>
      </c>
      <c r="G13" s="28">
        <f t="shared" si="5"/>
        <v>0</v>
      </c>
      <c r="H13" s="26"/>
      <c r="I13" s="29" t="str">
        <f>IFERROR(VLOOKUP(A13,'ฟอร์มทะเบียนผู้เข้าพัก'!A:L,2,FALSE),)</f>
        <v>VP01049</v>
      </c>
      <c r="K13" s="29" t="str">
        <f>IFERROR(VLOOKUP(A13,'ฟอร์มทะเบียนผู้เข้าพัก'!A:L,4,FALSE),)</f>
        <v/>
      </c>
    </row>
    <row r="14">
      <c r="A14" s="24">
        <v>6.0</v>
      </c>
      <c r="B14" s="25" t="str">
        <f>IFERROR(VLOOKUP(A14,'ฟอร์มทะเบียนผู้เข้าพัก'!A8:E153,5,FALSE),)</f>
        <v/>
      </c>
      <c r="C14" s="25" t="str">
        <f>IFERROR(VLOOKUP(A14,'ฟอร์มทะเบียนผู้เข้าพัก'!A:F,3,FALSE),)</f>
        <v/>
      </c>
      <c r="D14" s="26" t="str">
        <f t="shared" si="2"/>
        <v/>
      </c>
      <c r="E14" s="27" t="str">
        <f t="shared" si="3"/>
        <v/>
      </c>
      <c r="F14" s="28">
        <f t="shared" si="4"/>
        <v>0</v>
      </c>
      <c r="G14" s="28">
        <f t="shared" si="5"/>
        <v>0</v>
      </c>
      <c r="H14" s="26"/>
      <c r="I14" s="29" t="str">
        <f>IFERROR(VLOOKUP(A14,'ฟอร์มทะเบียนผู้เข้าพัก'!A:L,2,FALSE),)</f>
        <v>VP01050</v>
      </c>
      <c r="K14" s="29" t="str">
        <f>IFERROR(VLOOKUP(A14,'ฟอร์มทะเบียนผู้เข้าพัก'!A:L,4,FALSE),)</f>
        <v/>
      </c>
    </row>
    <row r="15">
      <c r="A15" s="24">
        <v>7.0</v>
      </c>
      <c r="B15" s="25" t="str">
        <f>IFERROR(VLOOKUP(A15,'ฟอร์มทะเบียนผู้เข้าพัก'!A9:E153,5,FALSE),)</f>
        <v/>
      </c>
      <c r="C15" s="25" t="str">
        <f>IFERROR(VLOOKUP(A15,'ฟอร์มทะเบียนผู้เข้าพัก'!A:F,3,FALSE),)</f>
        <v/>
      </c>
      <c r="D15" s="26" t="str">
        <f t="shared" si="2"/>
        <v/>
      </c>
      <c r="E15" s="27" t="str">
        <f t="shared" si="3"/>
        <v/>
      </c>
      <c r="F15" s="28">
        <f t="shared" si="4"/>
        <v>0</v>
      </c>
      <c r="G15" s="28">
        <f t="shared" si="5"/>
        <v>0</v>
      </c>
      <c r="H15" s="26"/>
      <c r="I15" s="29" t="str">
        <f>IFERROR(VLOOKUP(A15,'ฟอร์มทะเบียนผู้เข้าพัก'!A:L,2,FALSE),)</f>
        <v>VP01051</v>
      </c>
      <c r="K15" s="29" t="str">
        <f>IFERROR(VLOOKUP(A15,'ฟอร์มทะเบียนผู้เข้าพัก'!A:L,4,FALSE),)</f>
        <v/>
      </c>
    </row>
    <row r="16">
      <c r="A16" s="24">
        <v>8.0</v>
      </c>
      <c r="B16" s="25" t="str">
        <f>IFERROR(VLOOKUP(A16,'ฟอร์มทะเบียนผู้เข้าพัก'!A10:E153,5,FALSE),)</f>
        <v/>
      </c>
      <c r="C16" s="25" t="str">
        <f>IFERROR(VLOOKUP(A16,'ฟอร์มทะเบียนผู้เข้าพัก'!A:F,3,FALSE),)</f>
        <v/>
      </c>
      <c r="D16" s="26" t="str">
        <f t="shared" si="2"/>
        <v/>
      </c>
      <c r="E16" s="27" t="str">
        <f t="shared" si="3"/>
        <v/>
      </c>
      <c r="F16" s="28">
        <f t="shared" si="4"/>
        <v>0</v>
      </c>
      <c r="G16" s="28">
        <f t="shared" si="5"/>
        <v>0</v>
      </c>
      <c r="H16" s="26"/>
      <c r="I16" s="29" t="str">
        <f>IFERROR(VLOOKUP(A16,'ฟอร์มทะเบียนผู้เข้าพัก'!A:L,2,FALSE),)</f>
        <v>VP01052</v>
      </c>
      <c r="K16" s="29" t="str">
        <f>IFERROR(VLOOKUP(A16,'ฟอร์มทะเบียนผู้เข้าพัก'!A:L,4,FALSE),)</f>
        <v/>
      </c>
    </row>
    <row r="17">
      <c r="A17" s="24">
        <v>9.0</v>
      </c>
      <c r="B17" s="25" t="str">
        <f>IFERROR(VLOOKUP(A17,'ฟอร์มทะเบียนผู้เข้าพัก'!A11:E153,5,FALSE),)</f>
        <v/>
      </c>
      <c r="C17" s="25" t="str">
        <f>IFERROR(VLOOKUP(A17,'ฟอร์มทะเบียนผู้เข้าพัก'!A:F,3,FALSE),)</f>
        <v/>
      </c>
      <c r="D17" s="26" t="str">
        <f t="shared" si="2"/>
        <v/>
      </c>
      <c r="E17" s="27" t="str">
        <f t="shared" si="3"/>
        <v/>
      </c>
      <c r="F17" s="28">
        <f t="shared" si="4"/>
        <v>0</v>
      </c>
      <c r="G17" s="28">
        <f t="shared" si="5"/>
        <v>0</v>
      </c>
      <c r="H17" s="26"/>
      <c r="I17" s="29" t="str">
        <f>IFERROR(VLOOKUP(A17,'ฟอร์มทะเบียนผู้เข้าพัก'!A:L,2,FALSE),)</f>
        <v>VP01053</v>
      </c>
      <c r="K17" s="29" t="str">
        <f>IFERROR(VLOOKUP(A17,'ฟอร์มทะเบียนผู้เข้าพัก'!A:L,4,FALSE),)</f>
        <v/>
      </c>
    </row>
    <row r="18">
      <c r="A18" s="24">
        <v>10.0</v>
      </c>
      <c r="B18" s="25" t="str">
        <f>IFERROR(VLOOKUP(A18,'ฟอร์มทะเบียนผู้เข้าพัก'!A12:E153,5,FALSE),)</f>
        <v/>
      </c>
      <c r="C18" s="25" t="str">
        <f>IFERROR(VLOOKUP(A18,'ฟอร์มทะเบียนผู้เข้าพัก'!A:F,3,FALSE),)</f>
        <v/>
      </c>
      <c r="D18" s="26" t="str">
        <f t="shared" si="2"/>
        <v/>
      </c>
      <c r="E18" s="27" t="str">
        <f t="shared" si="3"/>
        <v/>
      </c>
      <c r="F18" s="28">
        <f t="shared" si="4"/>
        <v>0</v>
      </c>
      <c r="G18" s="28">
        <f t="shared" si="5"/>
        <v>0</v>
      </c>
      <c r="H18" s="26"/>
      <c r="I18" s="29" t="str">
        <f>IFERROR(VLOOKUP(A18,'ฟอร์มทะเบียนผู้เข้าพัก'!A:L,2,FALSE),)</f>
        <v>VP01054</v>
      </c>
      <c r="K18" s="29" t="str">
        <f>IFERROR(VLOOKUP(A18,'ฟอร์มทะเบียนผู้เข้าพัก'!A:L,4,FALSE),)</f>
        <v/>
      </c>
    </row>
    <row r="19">
      <c r="A19" s="20" t="s">
        <v>196</v>
      </c>
      <c r="B19" s="30"/>
      <c r="C19" s="30"/>
      <c r="D19" s="31">
        <f>SUM(D9:D18)</f>
        <v>0</v>
      </c>
      <c r="E19" s="21">
        <f t="shared" ref="E19:G19" si="6">SUM(E4:E18)</f>
        <v>0</v>
      </c>
      <c r="F19" s="32">
        <f t="shared" si="6"/>
        <v>0</v>
      </c>
      <c r="G19" s="32">
        <f t="shared" si="6"/>
        <v>0</v>
      </c>
      <c r="H19" s="26"/>
      <c r="I19" s="29" t="str">
        <f>IFERROR(VLOOKUP(A19,'ฟอร์มทะเบียนผู้เข้าพัก'!A:L,12,FALSE),)</f>
        <v/>
      </c>
      <c r="J19" s="29" t="str">
        <f>IFERROR(VLOOKUP(A19,'ฟอร์มทะเบียนผู้เข้าพัก'!A:L,2,FALSE),)</f>
        <v/>
      </c>
      <c r="K19" s="29" t="str">
        <f>IFERROR(VLOOKUP(A19,'ฟอร์มทะเบียนผู้เข้าพัก'!A:L,4,FALSE),)</f>
        <v/>
      </c>
    </row>
    <row r="20">
      <c r="A20" s="13"/>
      <c r="B20" s="13"/>
      <c r="C20" s="13"/>
      <c r="D20" s="13"/>
      <c r="E20" s="16"/>
      <c r="F20" s="13"/>
      <c r="G20" s="13"/>
      <c r="H20" s="13"/>
      <c r="I20" s="29" t="str">
        <f>IFERROR(VLOOKUP(A20,'ฟอร์มทะเบียนผู้เข้าพัก'!A:L,12,FALSE),)</f>
        <v/>
      </c>
      <c r="J20" s="29" t="str">
        <f>IFERROR(VLOOKUP(A20,'ฟอร์มทะเบียนผู้เข้าพัก'!A:L,2,FALSE),)</f>
        <v/>
      </c>
      <c r="K20" s="29" t="str">
        <f>IFERROR(VLOOKUP(A20,'ฟอร์มทะเบียนผู้เข้าพัก'!A:L,4,FALSE),)</f>
        <v/>
      </c>
    </row>
    <row r="21">
      <c r="A21" s="13"/>
      <c r="B21" s="13"/>
      <c r="C21" s="13"/>
      <c r="D21" s="33" t="s">
        <v>201</v>
      </c>
      <c r="G21" s="13"/>
      <c r="H21" s="13"/>
      <c r="I21" s="34">
        <v>400.0</v>
      </c>
      <c r="J21" s="34">
        <v>500.0</v>
      </c>
      <c r="K21" s="34">
        <v>600.0</v>
      </c>
    </row>
    <row r="22">
      <c r="A22" s="13"/>
      <c r="B22" s="13"/>
      <c r="C22" s="13"/>
      <c r="D22" s="33" t="s">
        <v>202</v>
      </c>
      <c r="G22" s="13"/>
      <c r="H22" s="13"/>
      <c r="I22" s="34">
        <f>SUMIF(E9:E18,I21,F9:F18)</f>
        <v>0</v>
      </c>
      <c r="J22" s="34">
        <f>SUMIF(E9:E18,J21,F9:F18)</f>
        <v>0</v>
      </c>
      <c r="K22" s="34">
        <f>SUMIF(E9:E18,K21,F9:F18)</f>
        <v>0</v>
      </c>
    </row>
    <row r="23">
      <c r="A23" s="13"/>
      <c r="B23" s="13"/>
      <c r="C23" s="13"/>
      <c r="D23" s="13"/>
      <c r="E23" s="16"/>
      <c r="F23" s="13"/>
      <c r="G23" s="13"/>
      <c r="H23" s="13"/>
      <c r="I23" s="29" t="str">
        <f>IFERROR(VLOOKUP(A23,'ฟอร์มทะเบียนผู้เข้าพัก'!A:L,12,FALSE),)</f>
        <v/>
      </c>
      <c r="J23" s="29" t="str">
        <f>IFERROR(VLOOKUP(A23,'ฟอร์มทะเบียนผู้เข้าพัก'!A:L,2,FALSE),)</f>
        <v/>
      </c>
      <c r="K23" s="29" t="str">
        <f>IFERROR(VLOOKUP(A23,'ฟอร์มทะเบียนผู้เข้าพัก'!A:L,4,FALSE),)</f>
        <v/>
      </c>
    </row>
    <row r="24">
      <c r="A24" s="13"/>
      <c r="B24" s="13"/>
      <c r="C24" s="13"/>
      <c r="D24" s="13"/>
      <c r="E24" s="16"/>
      <c r="F24" s="13"/>
      <c r="G24" s="13"/>
      <c r="H24" s="13"/>
      <c r="I24" s="29" t="str">
        <f>IFERROR(VLOOKUP(A24,'ฟอร์มทะเบียนผู้เข้าพัก'!A:L,12,FALSE),)</f>
        <v/>
      </c>
      <c r="J24" s="29" t="str">
        <f>IFERROR(VLOOKUP(A24,'ฟอร์มทะเบียนผู้เข้าพัก'!A:L,2,FALSE),)</f>
        <v/>
      </c>
      <c r="K24" s="29" t="str">
        <f>IFERROR(VLOOKUP(A24,'ฟอร์มทะเบียนผู้เข้าพัก'!A:L,4,FALSE),)</f>
        <v/>
      </c>
    </row>
    <row r="25">
      <c r="A25" s="19" t="s">
        <v>189</v>
      </c>
      <c r="B25" s="35" t="s">
        <v>190</v>
      </c>
      <c r="C25" s="19" t="s">
        <v>191</v>
      </c>
      <c r="D25" s="20" t="s">
        <v>192</v>
      </c>
      <c r="E25" s="21" t="s">
        <v>193</v>
      </c>
      <c r="F25" s="20" t="s">
        <v>194</v>
      </c>
      <c r="G25" s="20" t="s">
        <v>194</v>
      </c>
      <c r="H25" s="19" t="s">
        <v>195</v>
      </c>
      <c r="I25" s="29" t="str">
        <f>IFERROR(VLOOKUP(A25,'ฟอร์มทะเบียนผู้เข้าพัก'!A:L,12,FALSE),)</f>
        <v/>
      </c>
      <c r="J25" s="29" t="str">
        <f>IFERROR(VLOOKUP(A25,'ฟอร์มทะเบียนผู้เข้าพัก'!A:L,2,FALSE),)</f>
        <v/>
      </c>
      <c r="K25" s="29" t="str">
        <f>IFERROR(VLOOKUP(A25,'ฟอร์มทะเบียนผู้เข้าพัก'!A:L,4,FALSE),)</f>
        <v/>
      </c>
    </row>
    <row r="26">
      <c r="A26" s="23"/>
      <c r="B26" s="36"/>
      <c r="C26" s="23"/>
      <c r="D26" s="20" t="s">
        <v>197</v>
      </c>
      <c r="E26" s="21" t="s">
        <v>198</v>
      </c>
      <c r="F26" s="20" t="s">
        <v>199</v>
      </c>
      <c r="G26" s="20" t="s">
        <v>200</v>
      </c>
      <c r="H26" s="23"/>
      <c r="I26" s="29" t="str">
        <f>IFERROR(VLOOKUP(A26,'ฟอร์มทะเบียนผู้เข้าพัก'!A:L,12,FALSE),)</f>
        <v/>
      </c>
      <c r="J26" s="29" t="str">
        <f>IFERROR(VLOOKUP(A26,'ฟอร์มทะเบียนผู้เข้าพัก'!A:L,2,FALSE),)</f>
        <v/>
      </c>
      <c r="K26" s="29" t="str">
        <f>IFERROR(VLOOKUP(A26,'ฟอร์มทะเบียนผู้เข้าพัก'!A:L,4,FALSE),)</f>
        <v/>
      </c>
    </row>
    <row r="27">
      <c r="A27" s="24">
        <v>11.0</v>
      </c>
      <c r="B27" s="25" t="str">
        <f>IFERROR(VLOOKUP(A27,'ฟอร์มทะเบียนผู้เข้าพัก'!A:E,5,FALSE),)</f>
        <v/>
      </c>
      <c r="C27" s="25" t="str">
        <f>IFERROR(VLOOKUP(A27,'ฟอร์มทะเบียนผู้เข้าพัก'!A:F,3,FALSE),)</f>
        <v/>
      </c>
      <c r="D27" s="26" t="str">
        <f t="shared" ref="D27:D41" si="7">IFERROR(VLOOKUP(I27,' รายการเข้าพัก'!B:L,6,FALSE),)</f>
        <v/>
      </c>
      <c r="E27" s="27" t="str">
        <f t="shared" ref="E27:E41" si="8">IFERROR(vlookup(K27,'🛏️ รายการห้องพัก'!A:E,5,false),)</f>
        <v/>
      </c>
      <c r="F27" s="28">
        <f t="shared" ref="F27:F41" si="9">E27*D27</f>
        <v>0</v>
      </c>
      <c r="G27" s="28">
        <f t="shared" ref="G27:G41" si="10">F27*1%</f>
        <v>0</v>
      </c>
      <c r="H27" s="26"/>
      <c r="I27" s="29" t="str">
        <f>IFERROR(VLOOKUP(A27,'ฟอร์มทะเบียนผู้เข้าพัก'!A:L,2,FALSE),)</f>
        <v>VP01055</v>
      </c>
      <c r="K27" s="29" t="str">
        <f>IFERROR(VLOOKUP(A27,'ฟอร์มทะเบียนผู้เข้าพัก'!A:L,4,FALSE),)</f>
        <v/>
      </c>
    </row>
    <row r="28">
      <c r="A28" s="24">
        <v>12.0</v>
      </c>
      <c r="B28" s="25" t="str">
        <f>IFERROR(VLOOKUP(A28,'ฟอร์มทะเบียนผู้เข้าพัก'!A:E,5,FALSE),)</f>
        <v/>
      </c>
      <c r="C28" s="25" t="str">
        <f>IFERROR(VLOOKUP(A28,'ฟอร์มทะเบียนผู้เข้าพัก'!A:F,3,FALSE),)</f>
        <v/>
      </c>
      <c r="D28" s="26" t="str">
        <f t="shared" si="7"/>
        <v/>
      </c>
      <c r="E28" s="27" t="str">
        <f t="shared" si="8"/>
        <v/>
      </c>
      <c r="F28" s="28">
        <f t="shared" si="9"/>
        <v>0</v>
      </c>
      <c r="G28" s="28">
        <f t="shared" si="10"/>
        <v>0</v>
      </c>
      <c r="H28" s="26"/>
      <c r="I28" s="29" t="str">
        <f>IFERROR(VLOOKUP(A28,'ฟอร์มทะเบียนผู้เข้าพัก'!A:L,2,FALSE),)</f>
        <v>VP01056</v>
      </c>
      <c r="K28" s="29" t="str">
        <f>IFERROR(VLOOKUP(A28,'ฟอร์มทะเบียนผู้เข้าพัก'!A:L,4,FALSE),)</f>
        <v/>
      </c>
    </row>
    <row r="29">
      <c r="A29" s="24">
        <v>13.0</v>
      </c>
      <c r="B29" s="25" t="str">
        <f>IFERROR(VLOOKUP(A29,'ฟอร์มทะเบียนผู้เข้าพัก'!A:E,5,FALSE),)</f>
        <v/>
      </c>
      <c r="C29" s="25" t="str">
        <f>IFERROR(VLOOKUP(A29,'ฟอร์มทะเบียนผู้เข้าพัก'!A:F,3,FALSE),)</f>
        <v/>
      </c>
      <c r="D29" s="26" t="str">
        <f t="shared" si="7"/>
        <v/>
      </c>
      <c r="E29" s="27" t="str">
        <f t="shared" si="8"/>
        <v/>
      </c>
      <c r="F29" s="28">
        <f t="shared" si="9"/>
        <v>0</v>
      </c>
      <c r="G29" s="28">
        <f t="shared" si="10"/>
        <v>0</v>
      </c>
      <c r="H29" s="26"/>
      <c r="I29" s="29" t="str">
        <f>IFERROR(VLOOKUP(A29,'ฟอร์มทะเบียนผู้เข้าพัก'!A:L,2,FALSE),)</f>
        <v>VP01057</v>
      </c>
      <c r="K29" s="29" t="str">
        <f>IFERROR(VLOOKUP(A29,'ฟอร์มทะเบียนผู้เข้าพัก'!A:L,4,FALSE),)</f>
        <v/>
      </c>
    </row>
    <row r="30">
      <c r="A30" s="24">
        <v>14.0</v>
      </c>
      <c r="B30" s="25" t="str">
        <f>IFERROR(VLOOKUP(A30,'ฟอร์มทะเบียนผู้เข้าพัก'!A:E,5,FALSE),)</f>
        <v/>
      </c>
      <c r="C30" s="25" t="str">
        <f>IFERROR(VLOOKUP(A30,'ฟอร์มทะเบียนผู้เข้าพัก'!A:F,3,FALSE),)</f>
        <v/>
      </c>
      <c r="D30" s="26" t="str">
        <f t="shared" si="7"/>
        <v/>
      </c>
      <c r="E30" s="27" t="str">
        <f t="shared" si="8"/>
        <v/>
      </c>
      <c r="F30" s="28">
        <f t="shared" si="9"/>
        <v>0</v>
      </c>
      <c r="G30" s="28">
        <f t="shared" si="10"/>
        <v>0</v>
      </c>
      <c r="H30" s="26"/>
      <c r="I30" s="29" t="str">
        <f>IFERROR(VLOOKUP(A30,'ฟอร์มทะเบียนผู้เข้าพัก'!A:L,2,FALSE),)</f>
        <v>VP01058</v>
      </c>
      <c r="K30" s="29" t="str">
        <f>IFERROR(VLOOKUP(A30,'ฟอร์มทะเบียนผู้เข้าพัก'!A:L,4,FALSE),)</f>
        <v/>
      </c>
    </row>
    <row r="31">
      <c r="A31" s="24">
        <v>15.0</v>
      </c>
      <c r="B31" s="25" t="str">
        <f>IFERROR(VLOOKUP(A31,'ฟอร์มทะเบียนผู้เข้าพัก'!A:E,5,FALSE),)</f>
        <v/>
      </c>
      <c r="C31" s="25" t="str">
        <f>IFERROR(VLOOKUP(A31,'ฟอร์มทะเบียนผู้เข้าพัก'!A:F,3,FALSE),)</f>
        <v/>
      </c>
      <c r="D31" s="26" t="str">
        <f t="shared" si="7"/>
        <v/>
      </c>
      <c r="E31" s="27" t="str">
        <f t="shared" si="8"/>
        <v/>
      </c>
      <c r="F31" s="28">
        <f t="shared" si="9"/>
        <v>0</v>
      </c>
      <c r="G31" s="28">
        <f t="shared" si="10"/>
        <v>0</v>
      </c>
      <c r="H31" s="26"/>
      <c r="I31" s="29" t="str">
        <f>IFERROR(VLOOKUP(A31,'ฟอร์มทะเบียนผู้เข้าพัก'!A:L,2,FALSE),)</f>
        <v>VP01059</v>
      </c>
      <c r="K31" s="29" t="str">
        <f>IFERROR(VLOOKUP(A31,'ฟอร์มทะเบียนผู้เข้าพัก'!A:L,4,FALSE),)</f>
        <v/>
      </c>
    </row>
    <row r="32">
      <c r="A32" s="24">
        <v>16.0</v>
      </c>
      <c r="B32" s="25" t="str">
        <f>IFERROR(VLOOKUP(A32,'ฟอร์มทะเบียนผู้เข้าพัก'!A:E,5,FALSE),)</f>
        <v/>
      </c>
      <c r="C32" s="25" t="str">
        <f>IFERROR(VLOOKUP(A32,'ฟอร์มทะเบียนผู้เข้าพัก'!A:F,3,FALSE),)</f>
        <v/>
      </c>
      <c r="D32" s="26" t="str">
        <f t="shared" si="7"/>
        <v/>
      </c>
      <c r="E32" s="27" t="str">
        <f t="shared" si="8"/>
        <v/>
      </c>
      <c r="F32" s="28">
        <f t="shared" si="9"/>
        <v>0</v>
      </c>
      <c r="G32" s="28">
        <f t="shared" si="10"/>
        <v>0</v>
      </c>
      <c r="H32" s="26"/>
      <c r="I32" s="29" t="str">
        <f>IFERROR(VLOOKUP(A32,'ฟอร์มทะเบียนผู้เข้าพัก'!A:L,2,FALSE),)</f>
        <v>VP01060</v>
      </c>
      <c r="K32" s="29" t="str">
        <f>IFERROR(VLOOKUP(A32,'ฟอร์มทะเบียนผู้เข้าพัก'!A:L,4,FALSE),)</f>
        <v/>
      </c>
    </row>
    <row r="33">
      <c r="A33" s="24">
        <v>17.0</v>
      </c>
      <c r="B33" s="25" t="str">
        <f>IFERROR(VLOOKUP(A33,'ฟอร์มทะเบียนผู้เข้าพัก'!A:E,5,FALSE),)</f>
        <v/>
      </c>
      <c r="C33" s="25" t="str">
        <f>IFERROR(VLOOKUP(A33,'ฟอร์มทะเบียนผู้เข้าพัก'!A:F,3,FALSE),)</f>
        <v/>
      </c>
      <c r="D33" s="26" t="str">
        <f t="shared" si="7"/>
        <v/>
      </c>
      <c r="E33" s="27" t="str">
        <f t="shared" si="8"/>
        <v/>
      </c>
      <c r="F33" s="28">
        <f t="shared" si="9"/>
        <v>0</v>
      </c>
      <c r="G33" s="28">
        <f t="shared" si="10"/>
        <v>0</v>
      </c>
      <c r="H33" s="26"/>
      <c r="I33" s="29" t="str">
        <f>IFERROR(VLOOKUP(A33,'ฟอร์มทะเบียนผู้เข้าพัก'!A:L,2,FALSE),)</f>
        <v>VP01061</v>
      </c>
      <c r="K33" s="29" t="str">
        <f>IFERROR(VLOOKUP(A33,'ฟอร์มทะเบียนผู้เข้าพัก'!A:L,4,FALSE),)</f>
        <v/>
      </c>
    </row>
    <row r="34">
      <c r="A34" s="24">
        <v>18.0</v>
      </c>
      <c r="B34" s="25" t="str">
        <f>IFERROR(VLOOKUP(A34,'ฟอร์มทะเบียนผู้เข้าพัก'!A:E,5,FALSE),)</f>
        <v/>
      </c>
      <c r="C34" s="25" t="str">
        <f>IFERROR(VLOOKUP(A34,'ฟอร์มทะเบียนผู้เข้าพัก'!A:F,3,FALSE),)</f>
        <v/>
      </c>
      <c r="D34" s="26" t="str">
        <f t="shared" si="7"/>
        <v/>
      </c>
      <c r="E34" s="27" t="str">
        <f t="shared" si="8"/>
        <v/>
      </c>
      <c r="F34" s="28">
        <f t="shared" si="9"/>
        <v>0</v>
      </c>
      <c r="G34" s="28">
        <f t="shared" si="10"/>
        <v>0</v>
      </c>
      <c r="H34" s="26"/>
      <c r="I34" s="29" t="str">
        <f>IFERROR(VLOOKUP(A34,'ฟอร์มทะเบียนผู้เข้าพัก'!A:L,2,FALSE),)</f>
        <v>VP01062</v>
      </c>
      <c r="K34" s="29" t="str">
        <f>IFERROR(VLOOKUP(A34,'ฟอร์มทะเบียนผู้เข้าพัก'!A:L,4,FALSE),)</f>
        <v/>
      </c>
    </row>
    <row r="35">
      <c r="A35" s="24">
        <v>19.0</v>
      </c>
      <c r="B35" s="25" t="str">
        <f>IFERROR(VLOOKUP(A35,'ฟอร์มทะเบียนผู้เข้าพัก'!A:E,5,FALSE),)</f>
        <v/>
      </c>
      <c r="C35" s="25" t="str">
        <f>IFERROR(VLOOKUP(A35,'ฟอร์มทะเบียนผู้เข้าพัก'!A:F,3,FALSE),)</f>
        <v/>
      </c>
      <c r="D35" s="26" t="str">
        <f t="shared" si="7"/>
        <v/>
      </c>
      <c r="E35" s="27" t="str">
        <f t="shared" si="8"/>
        <v/>
      </c>
      <c r="F35" s="28">
        <f t="shared" si="9"/>
        <v>0</v>
      </c>
      <c r="G35" s="28">
        <f t="shared" si="10"/>
        <v>0</v>
      </c>
      <c r="H35" s="26"/>
      <c r="I35" s="29" t="str">
        <f>IFERROR(VLOOKUP(A35,'ฟอร์มทะเบียนผู้เข้าพัก'!A:L,2,FALSE),)</f>
        <v>VP01063</v>
      </c>
      <c r="K35" s="29" t="str">
        <f>IFERROR(VLOOKUP(A35,'ฟอร์มทะเบียนผู้เข้าพัก'!A:L,4,FALSE),)</f>
        <v/>
      </c>
    </row>
    <row r="36">
      <c r="A36" s="24">
        <v>20.0</v>
      </c>
      <c r="B36" s="25" t="str">
        <f>IFERROR(VLOOKUP(A36,'ฟอร์มทะเบียนผู้เข้าพัก'!A:E,5,FALSE),)</f>
        <v/>
      </c>
      <c r="C36" s="25" t="str">
        <f>IFERROR(VLOOKUP(A36,'ฟอร์มทะเบียนผู้เข้าพัก'!A:F,3,FALSE),)</f>
        <v/>
      </c>
      <c r="D36" s="26" t="str">
        <f t="shared" si="7"/>
        <v/>
      </c>
      <c r="E36" s="27" t="str">
        <f t="shared" si="8"/>
        <v/>
      </c>
      <c r="F36" s="28">
        <f t="shared" si="9"/>
        <v>0</v>
      </c>
      <c r="G36" s="28">
        <f t="shared" si="10"/>
        <v>0</v>
      </c>
      <c r="H36" s="26"/>
      <c r="I36" s="29" t="str">
        <f>IFERROR(VLOOKUP(A36,'ฟอร์มทะเบียนผู้เข้าพัก'!A:L,2,FALSE),)</f>
        <v>VP01064</v>
      </c>
      <c r="K36" s="29" t="str">
        <f>IFERROR(VLOOKUP(A36,'ฟอร์มทะเบียนผู้เข้าพัก'!A:L,4,FALSE),)</f>
        <v/>
      </c>
    </row>
    <row r="37">
      <c r="A37" s="24">
        <v>21.0</v>
      </c>
      <c r="B37" s="25" t="str">
        <f>IFERROR(VLOOKUP(A37,'ฟอร์มทะเบียนผู้เข้าพัก'!A:E,5,FALSE),)</f>
        <v/>
      </c>
      <c r="C37" s="25" t="str">
        <f>IFERROR(VLOOKUP(A37,'ฟอร์มทะเบียนผู้เข้าพัก'!A:F,3,FALSE),)</f>
        <v/>
      </c>
      <c r="D37" s="26" t="str">
        <f t="shared" si="7"/>
        <v/>
      </c>
      <c r="E37" s="27" t="str">
        <f t="shared" si="8"/>
        <v/>
      </c>
      <c r="F37" s="28">
        <f t="shared" si="9"/>
        <v>0</v>
      </c>
      <c r="G37" s="28">
        <f t="shared" si="10"/>
        <v>0</v>
      </c>
      <c r="H37" s="26"/>
      <c r="I37" s="29" t="str">
        <f>IFERROR(VLOOKUP(A37,'ฟอร์มทะเบียนผู้เข้าพัก'!A:L,2,FALSE),)</f>
        <v>VP01065</v>
      </c>
      <c r="K37" s="29" t="str">
        <f>IFERROR(VLOOKUP(A37,'ฟอร์มทะเบียนผู้เข้าพัก'!A:L,4,FALSE),)</f>
        <v/>
      </c>
    </row>
    <row r="38">
      <c r="A38" s="24">
        <v>22.0</v>
      </c>
      <c r="B38" s="25" t="str">
        <f>IFERROR(VLOOKUP(A38,'ฟอร์มทะเบียนผู้เข้าพัก'!A:E,5,FALSE),)</f>
        <v/>
      </c>
      <c r="C38" s="25" t="str">
        <f>IFERROR(VLOOKUP(A38,'ฟอร์มทะเบียนผู้เข้าพัก'!A:F,3,FALSE),)</f>
        <v/>
      </c>
      <c r="D38" s="26" t="str">
        <f t="shared" si="7"/>
        <v/>
      </c>
      <c r="E38" s="27" t="str">
        <f t="shared" si="8"/>
        <v/>
      </c>
      <c r="F38" s="28">
        <f t="shared" si="9"/>
        <v>0</v>
      </c>
      <c r="G38" s="28">
        <f t="shared" si="10"/>
        <v>0</v>
      </c>
      <c r="H38" s="26"/>
      <c r="I38" s="29" t="str">
        <f>IFERROR(VLOOKUP(A38,'ฟอร์มทะเบียนผู้เข้าพัก'!A:L,2,FALSE),)</f>
        <v>VP01066</v>
      </c>
      <c r="K38" s="29" t="str">
        <f>IFERROR(VLOOKUP(A38,'ฟอร์มทะเบียนผู้เข้าพัก'!A:L,4,FALSE),)</f>
        <v/>
      </c>
    </row>
    <row r="39">
      <c r="A39" s="24">
        <v>23.0</v>
      </c>
      <c r="B39" s="25" t="str">
        <f>IFERROR(VLOOKUP(A39,'ฟอร์มทะเบียนผู้เข้าพัก'!A:E,5,FALSE),)</f>
        <v/>
      </c>
      <c r="C39" s="25" t="str">
        <f>IFERROR(VLOOKUP(A39,'ฟอร์มทะเบียนผู้เข้าพัก'!A:F,3,FALSE),)</f>
        <v/>
      </c>
      <c r="D39" s="26" t="str">
        <f t="shared" si="7"/>
        <v/>
      </c>
      <c r="E39" s="27" t="str">
        <f t="shared" si="8"/>
        <v/>
      </c>
      <c r="F39" s="28">
        <f t="shared" si="9"/>
        <v>0</v>
      </c>
      <c r="G39" s="28">
        <f t="shared" si="10"/>
        <v>0</v>
      </c>
      <c r="H39" s="26"/>
      <c r="I39" s="29" t="str">
        <f>IFERROR(VLOOKUP(A39,'ฟอร์มทะเบียนผู้เข้าพัก'!A:L,2,FALSE),)</f>
        <v>VP01067</v>
      </c>
      <c r="K39" s="29" t="str">
        <f>IFERROR(VLOOKUP(A39,'ฟอร์มทะเบียนผู้เข้าพัก'!A:L,4,FALSE),)</f>
        <v/>
      </c>
    </row>
    <row r="40">
      <c r="A40" s="24">
        <v>24.0</v>
      </c>
      <c r="B40" s="25" t="str">
        <f>IFERROR(VLOOKUP(A40,'ฟอร์มทะเบียนผู้เข้าพัก'!A:E,5,FALSE),)</f>
        <v/>
      </c>
      <c r="C40" s="25" t="str">
        <f>IFERROR(VLOOKUP(A40,'ฟอร์มทะเบียนผู้เข้าพัก'!A:F,3,FALSE),)</f>
        <v/>
      </c>
      <c r="D40" s="26" t="str">
        <f t="shared" si="7"/>
        <v/>
      </c>
      <c r="E40" s="27" t="str">
        <f t="shared" si="8"/>
        <v/>
      </c>
      <c r="F40" s="28">
        <f t="shared" si="9"/>
        <v>0</v>
      </c>
      <c r="G40" s="28">
        <f t="shared" si="10"/>
        <v>0</v>
      </c>
      <c r="H40" s="26"/>
      <c r="I40" s="29" t="str">
        <f>IFERROR(VLOOKUP(A40,'ฟอร์มทะเบียนผู้เข้าพัก'!A:L,2,FALSE),)</f>
        <v>VP01068</v>
      </c>
      <c r="K40" s="29" t="str">
        <f>IFERROR(VLOOKUP(A40,'ฟอร์มทะเบียนผู้เข้าพัก'!A:L,4,FALSE),)</f>
        <v/>
      </c>
    </row>
    <row r="41">
      <c r="A41" s="24">
        <v>25.0</v>
      </c>
      <c r="B41" s="25" t="str">
        <f>IFERROR(VLOOKUP(A41,'ฟอร์มทะเบียนผู้เข้าพัก'!A:E,5,FALSE),)</f>
        <v/>
      </c>
      <c r="C41" s="25" t="str">
        <f>IFERROR(VLOOKUP(A41,'ฟอร์มทะเบียนผู้เข้าพัก'!A:F,3,FALSE),)</f>
        <v/>
      </c>
      <c r="D41" s="26" t="str">
        <f t="shared" si="7"/>
        <v/>
      </c>
      <c r="E41" s="27" t="str">
        <f t="shared" si="8"/>
        <v/>
      </c>
      <c r="F41" s="28">
        <f t="shared" si="9"/>
        <v>0</v>
      </c>
      <c r="G41" s="28">
        <f t="shared" si="10"/>
        <v>0</v>
      </c>
      <c r="H41" s="26"/>
      <c r="I41" s="29" t="str">
        <f>IFERROR(VLOOKUP(A41,'ฟอร์มทะเบียนผู้เข้าพัก'!A:L,2,FALSE),)</f>
        <v>VP01069</v>
      </c>
      <c r="K41" s="29" t="str">
        <f>IFERROR(VLOOKUP(A41,'ฟอร์มทะเบียนผู้เข้าพัก'!A:L,4,FALSE),)</f>
        <v/>
      </c>
    </row>
    <row r="42">
      <c r="A42" s="24" t="s">
        <v>196</v>
      </c>
      <c r="B42" s="30"/>
      <c r="C42" s="37"/>
      <c r="D42" s="20">
        <f t="shared" ref="D42:G42" si="11">SUM(D27:D41)</f>
        <v>0</v>
      </c>
      <c r="E42" s="21">
        <f t="shared" si="11"/>
        <v>0</v>
      </c>
      <c r="F42" s="32">
        <f t="shared" si="11"/>
        <v>0</v>
      </c>
      <c r="G42" s="32">
        <f t="shared" si="11"/>
        <v>0</v>
      </c>
      <c r="H42" s="26"/>
      <c r="I42" s="29" t="str">
        <f>IFERROR(VLOOKUP(A42,'ฟอร์มทะเบียนผู้เข้าพัก'!A:L,12,FALSE),)</f>
        <v/>
      </c>
      <c r="J42" s="29" t="str">
        <f>IFERROR(VLOOKUP(A42,'ฟอร์มทะเบียนผู้เข้าพัก'!A:L,2,FALSE),)</f>
        <v/>
      </c>
      <c r="K42" s="29" t="str">
        <f>IFERROR(VLOOKUP(A42,'ฟอร์มทะเบียนผู้เข้าพัก'!A:L,4,FALSE),)</f>
        <v/>
      </c>
    </row>
    <row r="43">
      <c r="A43" s="13"/>
      <c r="B43" s="13"/>
      <c r="C43" s="13"/>
      <c r="D43" s="13"/>
      <c r="E43" s="16"/>
      <c r="F43" s="13"/>
      <c r="G43" s="13"/>
      <c r="H43" s="13"/>
      <c r="I43" s="29" t="str">
        <f>IFERROR(VLOOKUP(A43,'ฟอร์มทะเบียนผู้เข้าพัก'!A:L,12,FALSE),)</f>
        <v/>
      </c>
      <c r="J43" s="29" t="str">
        <f>IFERROR(VLOOKUP(A43,'ฟอร์มทะเบียนผู้เข้าพัก'!A:L,2,FALSE),)</f>
        <v/>
      </c>
      <c r="K43" s="29" t="str">
        <f>IFERROR(VLOOKUP(A43,'ฟอร์มทะเบียนผู้เข้าพัก'!A:L,4,FALSE),)</f>
        <v/>
      </c>
    </row>
    <row r="44">
      <c r="A44" s="13"/>
      <c r="B44" s="13"/>
      <c r="C44" s="13"/>
      <c r="D44" s="33" t="s">
        <v>201</v>
      </c>
      <c r="G44" s="13"/>
      <c r="I44" s="34">
        <v>400.0</v>
      </c>
      <c r="J44" s="34">
        <v>500.0</v>
      </c>
      <c r="K44" s="34">
        <v>600.0</v>
      </c>
    </row>
    <row r="45">
      <c r="A45" s="13"/>
      <c r="B45" s="13"/>
      <c r="C45" s="13"/>
      <c r="D45" s="33" t="s">
        <v>202</v>
      </c>
      <c r="G45" s="13"/>
      <c r="H45" s="13"/>
      <c r="I45" s="34">
        <f>SUMIF(E27:E41,I44,F27:F41)</f>
        <v>0</v>
      </c>
      <c r="J45" s="34">
        <f>SUMIF(E27:E41,J44,F27:F41)</f>
        <v>0</v>
      </c>
      <c r="K45" s="34">
        <f>SUMIF(E27:E41,K44,F27:F41)</f>
        <v>0</v>
      </c>
    </row>
    <row r="46">
      <c r="A46" s="13"/>
      <c r="B46" s="13"/>
      <c r="C46" s="13"/>
      <c r="D46" s="13"/>
      <c r="E46" s="16"/>
      <c r="F46" s="13"/>
      <c r="G46" s="13"/>
      <c r="H46" s="13"/>
      <c r="J46" s="29" t="str">
        <f>IFERROR(VLOOKUP(A46,'ฟอร์มทะเบียนผู้เข้าพัก'!A:L,2,FALSE),)</f>
        <v/>
      </c>
      <c r="K46" s="29" t="str">
        <f>IFERROR(VLOOKUP(A46,'ฟอร์มทะเบียนผู้เข้าพัก'!A:L,4,FALSE),)</f>
        <v/>
      </c>
    </row>
    <row r="47">
      <c r="A47" s="13"/>
      <c r="B47" s="13"/>
      <c r="C47" s="13"/>
      <c r="D47" s="13"/>
      <c r="E47" s="16"/>
      <c r="F47" s="13"/>
      <c r="G47" s="13"/>
      <c r="H47" s="13"/>
      <c r="I47" s="29" t="str">
        <f>IFERROR(VLOOKUP(A47,'ฟอร์มทะเบียนผู้เข้าพัก'!A:L,12,FALSE),)</f>
        <v/>
      </c>
      <c r="J47" s="29" t="str">
        <f>IFERROR(VLOOKUP(A47,'ฟอร์มทะเบียนผู้เข้าพัก'!A:L,2,FALSE),)</f>
        <v/>
      </c>
      <c r="K47" s="29" t="str">
        <f>IFERROR(VLOOKUP(A47,'ฟอร์มทะเบียนผู้เข้าพัก'!A:L,4,FALSE),)</f>
        <v/>
      </c>
    </row>
    <row r="48">
      <c r="A48" s="19" t="s">
        <v>189</v>
      </c>
      <c r="B48" s="35" t="s">
        <v>190</v>
      </c>
      <c r="C48" s="19" t="s">
        <v>191</v>
      </c>
      <c r="D48" s="20" t="s">
        <v>192</v>
      </c>
      <c r="E48" s="21" t="s">
        <v>193</v>
      </c>
      <c r="F48" s="20" t="s">
        <v>194</v>
      </c>
      <c r="G48" s="20" t="s">
        <v>194</v>
      </c>
      <c r="H48" s="19" t="s">
        <v>195</v>
      </c>
      <c r="I48" s="29" t="str">
        <f>IFERROR(VLOOKUP(A48,'ฟอร์มทะเบียนผู้เข้าพัก'!A:L,12,FALSE),)</f>
        <v/>
      </c>
      <c r="J48" s="29" t="str">
        <f>IFERROR(VLOOKUP(A48,'ฟอร์มทะเบียนผู้เข้าพัก'!A:L,2,FALSE),)</f>
        <v/>
      </c>
      <c r="K48" s="29" t="str">
        <f>IFERROR(VLOOKUP(A48,'ฟอร์มทะเบียนผู้เข้าพัก'!A:L,4,FALSE),)</f>
        <v/>
      </c>
    </row>
    <row r="49">
      <c r="A49" s="23"/>
      <c r="B49" s="36"/>
      <c r="C49" s="23"/>
      <c r="D49" s="20" t="s">
        <v>197</v>
      </c>
      <c r="E49" s="21" t="s">
        <v>198</v>
      </c>
      <c r="F49" s="20" t="s">
        <v>199</v>
      </c>
      <c r="G49" s="20" t="s">
        <v>200</v>
      </c>
      <c r="H49" s="23"/>
      <c r="I49" s="29" t="str">
        <f>IFERROR(VLOOKUP(A49,'ฟอร์มทะเบียนผู้เข้าพัก'!A:L,12,FALSE),)</f>
        <v/>
      </c>
      <c r="J49" s="29" t="str">
        <f>IFERROR(VLOOKUP(A49,'ฟอร์มทะเบียนผู้เข้าพัก'!A:L,2,FALSE),)</f>
        <v/>
      </c>
      <c r="K49" s="29" t="str">
        <f>IFERROR(VLOOKUP(A49,'ฟอร์มทะเบียนผู้เข้าพัก'!A:L,4,FALSE),)</f>
        <v/>
      </c>
    </row>
    <row r="50">
      <c r="A50" s="24">
        <v>26.0</v>
      </c>
      <c r="B50" s="25" t="str">
        <f>IFERROR(VLOOKUP(A50,'ฟอร์มทะเบียนผู้เข้าพัก'!A:E,5,FALSE),)</f>
        <v/>
      </c>
      <c r="C50" s="25" t="str">
        <f>IFERROR(VLOOKUP(A50,'ฟอร์มทะเบียนผู้เข้าพัก'!A:F,3,FALSE),)</f>
        <v/>
      </c>
      <c r="D50" s="26" t="str">
        <f t="shared" ref="D50:D64" si="12">IFERROR(VLOOKUP(I50,' รายการเข้าพัก'!B:L,6,FALSE),)</f>
        <v/>
      </c>
      <c r="E50" s="27" t="str">
        <f t="shared" ref="E50:E64" si="13">IFERROR(vlookup(K50,'🛏️ รายการห้องพัก'!A:E,5,false),)</f>
        <v/>
      </c>
      <c r="F50" s="28">
        <f t="shared" ref="F50:F64" si="14">E50*D50</f>
        <v>0</v>
      </c>
      <c r="G50" s="28">
        <f t="shared" ref="G50:G64" si="15">F50*1%</f>
        <v>0</v>
      </c>
      <c r="H50" s="26"/>
      <c r="I50" s="29" t="str">
        <f>IFERROR(VLOOKUP(A50,'ฟอร์มทะเบียนผู้เข้าพัก'!A:L,2,FALSE),)</f>
        <v>VP01070</v>
      </c>
      <c r="K50" s="29" t="str">
        <f>IFERROR(VLOOKUP(A50,'ฟอร์มทะเบียนผู้เข้าพัก'!A:L,4,FALSE),)</f>
        <v/>
      </c>
    </row>
    <row r="51">
      <c r="A51" s="24">
        <v>27.0</v>
      </c>
      <c r="B51" s="25" t="str">
        <f>IFERROR(VLOOKUP(A51,'ฟอร์มทะเบียนผู้เข้าพัก'!A:E,5,FALSE),)</f>
        <v/>
      </c>
      <c r="C51" s="25" t="str">
        <f>IFERROR(VLOOKUP(A51,'ฟอร์มทะเบียนผู้เข้าพัก'!A:F,3,FALSE),)</f>
        <v/>
      </c>
      <c r="D51" s="26" t="str">
        <f t="shared" si="12"/>
        <v/>
      </c>
      <c r="E51" s="27" t="str">
        <f t="shared" si="13"/>
        <v/>
      </c>
      <c r="F51" s="28">
        <f t="shared" si="14"/>
        <v>0</v>
      </c>
      <c r="G51" s="28">
        <f t="shared" si="15"/>
        <v>0</v>
      </c>
      <c r="H51" s="26"/>
      <c r="I51" s="29" t="str">
        <f>IFERROR(VLOOKUP(A51,'ฟอร์มทะเบียนผู้เข้าพัก'!A:L,2,FALSE),)</f>
        <v>VP01071</v>
      </c>
      <c r="K51" s="29" t="str">
        <f>IFERROR(VLOOKUP(A51,'ฟอร์มทะเบียนผู้เข้าพัก'!A:L,4,FALSE),)</f>
        <v/>
      </c>
    </row>
    <row r="52">
      <c r="A52" s="24">
        <v>28.0</v>
      </c>
      <c r="B52" s="25" t="str">
        <f>IFERROR(VLOOKUP(A52,'ฟอร์มทะเบียนผู้เข้าพัก'!A:E,5,FALSE),)</f>
        <v/>
      </c>
      <c r="C52" s="25" t="str">
        <f>IFERROR(VLOOKUP(A52,'ฟอร์มทะเบียนผู้เข้าพัก'!A:F,3,FALSE),)</f>
        <v/>
      </c>
      <c r="D52" s="26" t="str">
        <f t="shared" si="12"/>
        <v/>
      </c>
      <c r="E52" s="27" t="str">
        <f t="shared" si="13"/>
        <v/>
      </c>
      <c r="F52" s="28">
        <f t="shared" si="14"/>
        <v>0</v>
      </c>
      <c r="G52" s="28">
        <f t="shared" si="15"/>
        <v>0</v>
      </c>
      <c r="H52" s="26"/>
      <c r="I52" s="29" t="str">
        <f>IFERROR(VLOOKUP(A52,'ฟอร์มทะเบียนผู้เข้าพัก'!A:L,2,FALSE),)</f>
        <v>VP01072</v>
      </c>
      <c r="K52" s="29" t="str">
        <f>IFERROR(VLOOKUP(A52,'ฟอร์มทะเบียนผู้เข้าพัก'!A:L,4,FALSE),)</f>
        <v/>
      </c>
    </row>
    <row r="53">
      <c r="A53" s="24">
        <v>29.0</v>
      </c>
      <c r="B53" s="25" t="str">
        <f>IFERROR(VLOOKUP(A53,'ฟอร์มทะเบียนผู้เข้าพัก'!A:E,5,FALSE),)</f>
        <v/>
      </c>
      <c r="C53" s="25" t="str">
        <f>IFERROR(VLOOKUP(A53,'ฟอร์มทะเบียนผู้เข้าพัก'!A:F,3,FALSE),)</f>
        <v/>
      </c>
      <c r="D53" s="26" t="str">
        <f t="shared" si="12"/>
        <v/>
      </c>
      <c r="E53" s="27" t="str">
        <f t="shared" si="13"/>
        <v/>
      </c>
      <c r="F53" s="28">
        <f t="shared" si="14"/>
        <v>0</v>
      </c>
      <c r="G53" s="28">
        <f t="shared" si="15"/>
        <v>0</v>
      </c>
      <c r="H53" s="26"/>
      <c r="I53" s="29" t="str">
        <f>IFERROR(VLOOKUP(A53,'ฟอร์มทะเบียนผู้เข้าพัก'!A:L,2,FALSE),)</f>
        <v>VP01073</v>
      </c>
      <c r="K53" s="29" t="str">
        <f>IFERROR(VLOOKUP(A53,'ฟอร์มทะเบียนผู้เข้าพัก'!A:L,4,FALSE),)</f>
        <v/>
      </c>
    </row>
    <row r="54">
      <c r="A54" s="24">
        <v>30.0</v>
      </c>
      <c r="B54" s="25" t="str">
        <f>IFERROR(VLOOKUP(A54,'ฟอร์มทะเบียนผู้เข้าพัก'!A:E,5,FALSE),)</f>
        <v/>
      </c>
      <c r="C54" s="25" t="str">
        <f>IFERROR(VLOOKUP(A54,'ฟอร์มทะเบียนผู้เข้าพัก'!A:F,3,FALSE),)</f>
        <v/>
      </c>
      <c r="D54" s="26" t="str">
        <f t="shared" si="12"/>
        <v/>
      </c>
      <c r="E54" s="27" t="str">
        <f t="shared" si="13"/>
        <v/>
      </c>
      <c r="F54" s="28">
        <f t="shared" si="14"/>
        <v>0</v>
      </c>
      <c r="G54" s="28">
        <f t="shared" si="15"/>
        <v>0</v>
      </c>
      <c r="H54" s="26"/>
      <c r="I54" s="29" t="str">
        <f>IFERROR(VLOOKUP(A54,'ฟอร์มทะเบียนผู้เข้าพัก'!A:L,2,FALSE),)</f>
        <v>VP01074</v>
      </c>
      <c r="K54" s="29" t="str">
        <f>IFERROR(VLOOKUP(A54,'ฟอร์มทะเบียนผู้เข้าพัก'!A:L,4,FALSE),)</f>
        <v/>
      </c>
    </row>
    <row r="55">
      <c r="A55" s="24">
        <v>31.0</v>
      </c>
      <c r="B55" s="25" t="str">
        <f>IFERROR(VLOOKUP(A55,'ฟอร์มทะเบียนผู้เข้าพัก'!A:E,5,FALSE),)</f>
        <v/>
      </c>
      <c r="C55" s="25" t="str">
        <f>IFERROR(VLOOKUP(A55,'ฟอร์มทะเบียนผู้เข้าพัก'!A:F,3,FALSE),)</f>
        <v/>
      </c>
      <c r="D55" s="26" t="str">
        <f t="shared" si="12"/>
        <v/>
      </c>
      <c r="E55" s="27" t="str">
        <f t="shared" si="13"/>
        <v/>
      </c>
      <c r="F55" s="28">
        <f t="shared" si="14"/>
        <v>0</v>
      </c>
      <c r="G55" s="28">
        <f t="shared" si="15"/>
        <v>0</v>
      </c>
      <c r="H55" s="26"/>
      <c r="I55" s="29" t="str">
        <f>IFERROR(VLOOKUP(A55,'ฟอร์มทะเบียนผู้เข้าพัก'!A:L,2,FALSE),)</f>
        <v>VP01075</v>
      </c>
      <c r="K55" s="29" t="str">
        <f>IFERROR(VLOOKUP(A55,'ฟอร์มทะเบียนผู้เข้าพัก'!A:L,4,FALSE),)</f>
        <v/>
      </c>
    </row>
    <row r="56">
      <c r="A56" s="24">
        <v>32.0</v>
      </c>
      <c r="B56" s="25" t="str">
        <f>IFERROR(VLOOKUP(A56,'ฟอร์มทะเบียนผู้เข้าพัก'!A:E,5,FALSE),)</f>
        <v/>
      </c>
      <c r="C56" s="25" t="str">
        <f>IFERROR(VLOOKUP(A56,'ฟอร์มทะเบียนผู้เข้าพัก'!A:F,3,FALSE),)</f>
        <v/>
      </c>
      <c r="D56" s="26" t="str">
        <f t="shared" si="12"/>
        <v/>
      </c>
      <c r="E56" s="27" t="str">
        <f t="shared" si="13"/>
        <v/>
      </c>
      <c r="F56" s="28">
        <f t="shared" si="14"/>
        <v>0</v>
      </c>
      <c r="G56" s="28">
        <f t="shared" si="15"/>
        <v>0</v>
      </c>
      <c r="H56" s="26"/>
      <c r="I56" s="29" t="str">
        <f>IFERROR(VLOOKUP(A56,'ฟอร์มทะเบียนผู้เข้าพัก'!A:L,2,FALSE),)</f>
        <v>VP01076</v>
      </c>
      <c r="K56" s="29" t="str">
        <f>IFERROR(VLOOKUP(A56,'ฟอร์มทะเบียนผู้เข้าพัก'!A:L,4,FALSE),)</f>
        <v/>
      </c>
    </row>
    <row r="57">
      <c r="A57" s="24">
        <v>33.0</v>
      </c>
      <c r="B57" s="25" t="str">
        <f>IFERROR(VLOOKUP(A57,'ฟอร์มทะเบียนผู้เข้าพัก'!A:E,5,FALSE),)</f>
        <v/>
      </c>
      <c r="C57" s="25" t="str">
        <f>IFERROR(VLOOKUP(A57,'ฟอร์มทะเบียนผู้เข้าพัก'!A:F,3,FALSE),)</f>
        <v/>
      </c>
      <c r="D57" s="26" t="str">
        <f t="shared" si="12"/>
        <v/>
      </c>
      <c r="E57" s="27" t="str">
        <f t="shared" si="13"/>
        <v/>
      </c>
      <c r="F57" s="28">
        <f t="shared" si="14"/>
        <v>0</v>
      </c>
      <c r="G57" s="28">
        <f t="shared" si="15"/>
        <v>0</v>
      </c>
      <c r="H57" s="26"/>
      <c r="I57" s="29" t="str">
        <f>IFERROR(VLOOKUP(A57,'ฟอร์มทะเบียนผู้เข้าพัก'!A:L,2,FALSE),)</f>
        <v>VP01077</v>
      </c>
      <c r="K57" s="29" t="str">
        <f>IFERROR(VLOOKUP(A57,'ฟอร์มทะเบียนผู้เข้าพัก'!A:L,4,FALSE),)</f>
        <v/>
      </c>
    </row>
    <row r="58">
      <c r="A58" s="24">
        <v>34.0</v>
      </c>
      <c r="B58" s="25" t="str">
        <f>IFERROR(VLOOKUP(A58,'ฟอร์มทะเบียนผู้เข้าพัก'!A:E,5,FALSE),)</f>
        <v/>
      </c>
      <c r="C58" s="25" t="str">
        <f>IFERROR(VLOOKUP(A58,'ฟอร์มทะเบียนผู้เข้าพัก'!A:F,3,FALSE),)</f>
        <v/>
      </c>
      <c r="D58" s="26" t="str">
        <f t="shared" si="12"/>
        <v/>
      </c>
      <c r="E58" s="27" t="str">
        <f t="shared" si="13"/>
        <v/>
      </c>
      <c r="F58" s="28">
        <f t="shared" si="14"/>
        <v>0</v>
      </c>
      <c r="G58" s="28">
        <f t="shared" si="15"/>
        <v>0</v>
      </c>
      <c r="H58" s="26"/>
      <c r="I58" s="29" t="str">
        <f>IFERROR(VLOOKUP(A58,'ฟอร์มทะเบียนผู้เข้าพัก'!A:L,2,FALSE),)</f>
        <v>VP01078</v>
      </c>
      <c r="K58" s="29" t="str">
        <f>IFERROR(VLOOKUP(A58,'ฟอร์มทะเบียนผู้เข้าพัก'!A:L,4,FALSE),)</f>
        <v/>
      </c>
    </row>
    <row r="59">
      <c r="A59" s="24">
        <v>35.0</v>
      </c>
      <c r="B59" s="25" t="str">
        <f>IFERROR(VLOOKUP(A59,'ฟอร์มทะเบียนผู้เข้าพัก'!A:E,5,FALSE),)</f>
        <v/>
      </c>
      <c r="C59" s="25" t="str">
        <f>IFERROR(VLOOKUP(A59,'ฟอร์มทะเบียนผู้เข้าพัก'!A:F,3,FALSE),)</f>
        <v/>
      </c>
      <c r="D59" s="26" t="str">
        <f t="shared" si="12"/>
        <v/>
      </c>
      <c r="E59" s="27" t="str">
        <f t="shared" si="13"/>
        <v/>
      </c>
      <c r="F59" s="28">
        <f t="shared" si="14"/>
        <v>0</v>
      </c>
      <c r="G59" s="28">
        <f t="shared" si="15"/>
        <v>0</v>
      </c>
      <c r="H59" s="26"/>
      <c r="I59" s="29" t="str">
        <f>IFERROR(VLOOKUP(A59,'ฟอร์มทะเบียนผู้เข้าพัก'!A:L,2,FALSE),)</f>
        <v>VP01079</v>
      </c>
      <c r="K59" s="29" t="str">
        <f>IFERROR(VLOOKUP(A59,'ฟอร์มทะเบียนผู้เข้าพัก'!A:L,4,FALSE),)</f>
        <v/>
      </c>
    </row>
    <row r="60">
      <c r="A60" s="24">
        <v>36.0</v>
      </c>
      <c r="B60" s="25" t="str">
        <f>IFERROR(VLOOKUP(A60,'ฟอร์มทะเบียนผู้เข้าพัก'!A:E,5,FALSE),)</f>
        <v/>
      </c>
      <c r="C60" s="25" t="str">
        <f>IFERROR(VLOOKUP(A60,'ฟอร์มทะเบียนผู้เข้าพัก'!A:F,3,FALSE),)</f>
        <v/>
      </c>
      <c r="D60" s="26" t="str">
        <f t="shared" si="12"/>
        <v/>
      </c>
      <c r="E60" s="27" t="str">
        <f t="shared" si="13"/>
        <v/>
      </c>
      <c r="F60" s="28">
        <f t="shared" si="14"/>
        <v>0</v>
      </c>
      <c r="G60" s="28">
        <f t="shared" si="15"/>
        <v>0</v>
      </c>
      <c r="H60" s="26"/>
      <c r="I60" s="29" t="str">
        <f>IFERROR(VLOOKUP(A60,'ฟอร์มทะเบียนผู้เข้าพัก'!A:L,2,FALSE),)</f>
        <v>VP01080</v>
      </c>
      <c r="K60" s="29" t="str">
        <f>IFERROR(VLOOKUP(A60,'ฟอร์มทะเบียนผู้เข้าพัก'!A:L,4,FALSE),)</f>
        <v/>
      </c>
    </row>
    <row r="61">
      <c r="A61" s="24">
        <v>37.0</v>
      </c>
      <c r="B61" s="25" t="str">
        <f>IFERROR(VLOOKUP(A61,'ฟอร์มทะเบียนผู้เข้าพัก'!A:E,5,FALSE),)</f>
        <v/>
      </c>
      <c r="C61" s="25" t="str">
        <f>IFERROR(VLOOKUP(A61,'ฟอร์มทะเบียนผู้เข้าพัก'!A:F,3,FALSE),)</f>
        <v/>
      </c>
      <c r="D61" s="26" t="str">
        <f t="shared" si="12"/>
        <v/>
      </c>
      <c r="E61" s="27" t="str">
        <f t="shared" si="13"/>
        <v/>
      </c>
      <c r="F61" s="28">
        <f t="shared" si="14"/>
        <v>0</v>
      </c>
      <c r="G61" s="28">
        <f t="shared" si="15"/>
        <v>0</v>
      </c>
      <c r="H61" s="26"/>
      <c r="I61" s="29" t="str">
        <f>IFERROR(VLOOKUP(A61,'ฟอร์มทะเบียนผู้เข้าพัก'!A:L,2,FALSE),)</f>
        <v>VP01081</v>
      </c>
      <c r="K61" s="29" t="str">
        <f>IFERROR(VLOOKUP(A61,'ฟอร์มทะเบียนผู้เข้าพัก'!A:L,4,FALSE),)</f>
        <v/>
      </c>
    </row>
    <row r="62">
      <c r="A62" s="24">
        <v>38.0</v>
      </c>
      <c r="B62" s="25" t="str">
        <f>IFERROR(VLOOKUP(A62,'ฟอร์มทะเบียนผู้เข้าพัก'!A:E,5,FALSE),)</f>
        <v/>
      </c>
      <c r="C62" s="25" t="str">
        <f>IFERROR(VLOOKUP(A62,'ฟอร์มทะเบียนผู้เข้าพัก'!A:F,3,FALSE),)</f>
        <v/>
      </c>
      <c r="D62" s="26" t="str">
        <f t="shared" si="12"/>
        <v/>
      </c>
      <c r="E62" s="27" t="str">
        <f t="shared" si="13"/>
        <v/>
      </c>
      <c r="F62" s="28">
        <f t="shared" si="14"/>
        <v>0</v>
      </c>
      <c r="G62" s="28">
        <f t="shared" si="15"/>
        <v>0</v>
      </c>
      <c r="H62" s="26"/>
      <c r="I62" s="29" t="str">
        <f>IFERROR(VLOOKUP(A62,'ฟอร์มทะเบียนผู้เข้าพัก'!A:L,2,FALSE),)</f>
        <v>VP01082</v>
      </c>
      <c r="K62" s="29" t="str">
        <f>IFERROR(VLOOKUP(A62,'ฟอร์มทะเบียนผู้เข้าพัก'!A:L,4,FALSE),)</f>
        <v/>
      </c>
    </row>
    <row r="63">
      <c r="A63" s="24">
        <v>39.0</v>
      </c>
      <c r="B63" s="25" t="str">
        <f>IFERROR(VLOOKUP(A63,'ฟอร์มทะเบียนผู้เข้าพัก'!A:E,5,FALSE),)</f>
        <v/>
      </c>
      <c r="C63" s="25" t="str">
        <f>IFERROR(VLOOKUP(A63,'ฟอร์มทะเบียนผู้เข้าพัก'!A:F,3,FALSE),)</f>
        <v/>
      </c>
      <c r="D63" s="26" t="str">
        <f t="shared" si="12"/>
        <v/>
      </c>
      <c r="E63" s="27" t="str">
        <f t="shared" si="13"/>
        <v/>
      </c>
      <c r="F63" s="28">
        <f t="shared" si="14"/>
        <v>0</v>
      </c>
      <c r="G63" s="28">
        <f t="shared" si="15"/>
        <v>0</v>
      </c>
      <c r="H63" s="26"/>
      <c r="I63" s="29" t="str">
        <f>IFERROR(VLOOKUP(A63,'ฟอร์มทะเบียนผู้เข้าพัก'!A:L,2,FALSE),)</f>
        <v>VP01083</v>
      </c>
      <c r="K63" s="29" t="str">
        <f>IFERROR(VLOOKUP(A63,'ฟอร์มทะเบียนผู้เข้าพัก'!A:L,4,FALSE),)</f>
        <v/>
      </c>
    </row>
    <row r="64">
      <c r="A64" s="24">
        <v>40.0</v>
      </c>
      <c r="B64" s="25" t="str">
        <f>IFERROR(VLOOKUP(A64,'ฟอร์มทะเบียนผู้เข้าพัก'!A:E,5,FALSE),)</f>
        <v/>
      </c>
      <c r="C64" s="25" t="str">
        <f>IFERROR(VLOOKUP(A64,'ฟอร์มทะเบียนผู้เข้าพัก'!A:F,3,FALSE),)</f>
        <v/>
      </c>
      <c r="D64" s="26" t="str">
        <f t="shared" si="12"/>
        <v/>
      </c>
      <c r="E64" s="27" t="str">
        <f t="shared" si="13"/>
        <v/>
      </c>
      <c r="F64" s="28">
        <f t="shared" si="14"/>
        <v>0</v>
      </c>
      <c r="G64" s="28">
        <f t="shared" si="15"/>
        <v>0</v>
      </c>
      <c r="H64" s="26"/>
      <c r="I64" s="29" t="str">
        <f>IFERROR(VLOOKUP(A64,'ฟอร์มทะเบียนผู้เข้าพัก'!A:L,2,FALSE),)</f>
        <v>VP01084</v>
      </c>
      <c r="K64" s="29" t="str">
        <f>IFERROR(VLOOKUP(A64,'ฟอร์มทะเบียนผู้เข้าพัก'!A:L,4,FALSE),)</f>
        <v/>
      </c>
    </row>
    <row r="65">
      <c r="A65" s="24" t="s">
        <v>196</v>
      </c>
      <c r="B65" s="30"/>
      <c r="C65" s="37"/>
      <c r="D65" s="20">
        <f t="shared" ref="D65:G65" si="16">SUM(D50:D64)</f>
        <v>0</v>
      </c>
      <c r="E65" s="21">
        <f t="shared" si="16"/>
        <v>0</v>
      </c>
      <c r="F65" s="32">
        <f t="shared" si="16"/>
        <v>0</v>
      </c>
      <c r="G65" s="32">
        <f t="shared" si="16"/>
        <v>0</v>
      </c>
      <c r="H65" s="26"/>
      <c r="I65" s="29" t="str">
        <f>IFERROR(VLOOKUP(A65,'ฟอร์มทะเบียนผู้เข้าพัก'!A:L,12,FALSE),)</f>
        <v/>
      </c>
      <c r="J65" s="29" t="str">
        <f>IFERROR(VLOOKUP(A65,'ฟอร์มทะเบียนผู้เข้าพัก'!A:L,2,FALSE),)</f>
        <v/>
      </c>
      <c r="K65" s="29" t="str">
        <f>IFERROR(VLOOKUP(A65,'ฟอร์มทะเบียนผู้เข้าพัก'!A:L,4,FALSE),)</f>
        <v/>
      </c>
    </row>
    <row r="66">
      <c r="A66" s="13"/>
      <c r="B66" s="13"/>
      <c r="C66" s="38"/>
      <c r="D66" s="13"/>
      <c r="E66" s="16"/>
      <c r="F66" s="13"/>
      <c r="G66" s="13"/>
      <c r="H66" s="13"/>
      <c r="I66" s="29" t="str">
        <f>IFERROR(VLOOKUP(A66,'ฟอร์มทะเบียนผู้เข้าพัก'!A:L,12,FALSE),)</f>
        <v/>
      </c>
      <c r="J66" s="29" t="str">
        <f>IFERROR(VLOOKUP(A66,'ฟอร์มทะเบียนผู้เข้าพัก'!A:L,2,FALSE),)</f>
        <v/>
      </c>
      <c r="K66" s="29" t="str">
        <f>IFERROR(VLOOKUP(A66,'ฟอร์มทะเบียนผู้เข้าพัก'!A:L,4,FALSE),)</f>
        <v/>
      </c>
    </row>
    <row r="67">
      <c r="A67" s="13"/>
      <c r="B67" s="13"/>
      <c r="C67" s="13"/>
      <c r="D67" s="33" t="s">
        <v>201</v>
      </c>
      <c r="G67" s="13"/>
      <c r="H67" s="13"/>
      <c r="I67" s="34">
        <v>400.0</v>
      </c>
      <c r="J67" s="34">
        <v>500.0</v>
      </c>
      <c r="K67" s="34">
        <v>600.0</v>
      </c>
    </row>
    <row r="68">
      <c r="A68" s="13"/>
      <c r="B68" s="13"/>
      <c r="C68" s="13"/>
      <c r="D68" s="33" t="s">
        <v>202</v>
      </c>
      <c r="G68" s="13"/>
      <c r="H68" s="13"/>
      <c r="I68" s="34">
        <f>SUMIF(E50:E64,I67,F50:F64)</f>
        <v>0</v>
      </c>
      <c r="J68" s="34">
        <f>SUMIF(E50:E64,J67,F50:F64)</f>
        <v>0</v>
      </c>
      <c r="K68" s="34">
        <f>SUMIF(E50:E64,K67,F50:F64)</f>
        <v>0</v>
      </c>
    </row>
    <row r="69">
      <c r="A69" s="13"/>
      <c r="B69" s="13"/>
      <c r="C69" s="13"/>
      <c r="D69" s="13"/>
      <c r="E69" s="16"/>
      <c r="F69" s="13"/>
      <c r="G69" s="13"/>
      <c r="H69" s="13"/>
      <c r="I69" s="29" t="str">
        <f>IFERROR(VLOOKUP(A69,'ฟอร์มทะเบียนผู้เข้าพัก'!A:L,12,FALSE),)</f>
        <v/>
      </c>
      <c r="J69" s="29" t="str">
        <f>IFERROR(VLOOKUP(A69,'ฟอร์มทะเบียนผู้เข้าพัก'!A:L,2,FALSE),)</f>
        <v/>
      </c>
      <c r="K69" s="29" t="str">
        <f>IFERROR(VLOOKUP(A69,'ฟอร์มทะเบียนผู้เข้าพัก'!A:L,4,FALSE),)</f>
        <v/>
      </c>
    </row>
    <row r="70">
      <c r="A70" s="13"/>
      <c r="B70" s="13"/>
      <c r="C70" s="13"/>
      <c r="D70" s="13"/>
      <c r="E70" s="16"/>
      <c r="F70" s="13"/>
      <c r="G70" s="13"/>
      <c r="H70" s="13"/>
      <c r="I70" s="29" t="str">
        <f>IFERROR(VLOOKUP(A70,'ฟอร์มทะเบียนผู้เข้าพัก'!A:L,12,FALSE),)</f>
        <v/>
      </c>
      <c r="J70" s="29" t="str">
        <f>IFERROR(VLOOKUP(A70,'ฟอร์มทะเบียนผู้เข้าพัก'!A:L,2,FALSE),)</f>
        <v/>
      </c>
      <c r="K70" s="29" t="str">
        <f>IFERROR(VLOOKUP(A70,'ฟอร์มทะเบียนผู้เข้าพัก'!A:L,4,FALSE),)</f>
        <v/>
      </c>
    </row>
    <row r="71">
      <c r="A71" s="19" t="s">
        <v>189</v>
      </c>
      <c r="B71" s="35" t="s">
        <v>190</v>
      </c>
      <c r="C71" s="35" t="s">
        <v>191</v>
      </c>
      <c r="D71" s="20" t="s">
        <v>192</v>
      </c>
      <c r="E71" s="21" t="s">
        <v>193</v>
      </c>
      <c r="F71" s="20" t="s">
        <v>194</v>
      </c>
      <c r="G71" s="20" t="s">
        <v>194</v>
      </c>
      <c r="H71" s="19" t="s">
        <v>195</v>
      </c>
      <c r="I71" s="29" t="str">
        <f>IFERROR(VLOOKUP(A71,'ฟอร์มทะเบียนผู้เข้าพัก'!A:L,12,FALSE),)</f>
        <v/>
      </c>
      <c r="J71" s="29" t="str">
        <f>IFERROR(VLOOKUP(A71,'ฟอร์มทะเบียนผู้เข้าพัก'!A:L,2,FALSE),)</f>
        <v/>
      </c>
      <c r="K71" s="29" t="str">
        <f>IFERROR(VLOOKUP(A71,'ฟอร์มทะเบียนผู้เข้าพัก'!A:L,4,FALSE),)</f>
        <v/>
      </c>
    </row>
    <row r="72">
      <c r="A72" s="23"/>
      <c r="B72" s="36"/>
      <c r="C72" s="36"/>
      <c r="D72" s="20" t="s">
        <v>197</v>
      </c>
      <c r="E72" s="21" t="s">
        <v>198</v>
      </c>
      <c r="F72" s="20" t="s">
        <v>199</v>
      </c>
      <c r="G72" s="20" t="s">
        <v>200</v>
      </c>
      <c r="H72" s="23"/>
      <c r="I72" s="29" t="str">
        <f>IFERROR(VLOOKUP(A72,'ฟอร์มทะเบียนผู้เข้าพัก'!A:L,12,FALSE),)</f>
        <v/>
      </c>
      <c r="J72" s="29" t="str">
        <f>IFERROR(VLOOKUP(A72,'ฟอร์มทะเบียนผู้เข้าพัก'!A:L,2,FALSE),)</f>
        <v/>
      </c>
      <c r="K72" s="29" t="str">
        <f>IFERROR(VLOOKUP(A72,'ฟอร์มทะเบียนผู้เข้าพัก'!A:L,4,FALSE),)</f>
        <v/>
      </c>
    </row>
    <row r="73">
      <c r="A73" s="24">
        <v>41.0</v>
      </c>
      <c r="B73" s="25" t="str">
        <f>IFERROR(VLOOKUP(A73,'ฟอร์มทะเบียนผู้เข้าพัก'!A:E,5,FALSE),)</f>
        <v/>
      </c>
      <c r="C73" s="25" t="str">
        <f>IFERROR(VLOOKUP(A73,'ฟอร์มทะเบียนผู้เข้าพัก'!A:F,3,FALSE),)</f>
        <v/>
      </c>
      <c r="D73" s="26" t="str">
        <f t="shared" ref="D73:D87" si="17">IFERROR(VLOOKUP(I73,' รายการเข้าพัก'!B:L,6,FALSE),)</f>
        <v/>
      </c>
      <c r="E73" s="27" t="str">
        <f t="shared" ref="E73:E87" si="18">IFERROR(vlookup(K73,'🛏️ รายการห้องพัก'!A:E,5,false),)</f>
        <v/>
      </c>
      <c r="F73" s="28">
        <f t="shared" ref="F73:F87" si="19">E73*D73</f>
        <v>0</v>
      </c>
      <c r="G73" s="28">
        <f t="shared" ref="G73:G87" si="20">F73*1%</f>
        <v>0</v>
      </c>
      <c r="H73" s="26"/>
      <c r="I73" s="29" t="str">
        <f>IFERROR(VLOOKUP(A73,'ฟอร์มทะเบียนผู้เข้าพัก'!A:L,2,FALSE),)</f>
        <v>VP01085</v>
      </c>
      <c r="K73" s="29" t="str">
        <f>IFERROR(VLOOKUP(A73,'ฟอร์มทะเบียนผู้เข้าพัก'!A:L,4,FALSE),)</f>
        <v/>
      </c>
    </row>
    <row r="74">
      <c r="A74" s="24">
        <v>42.0</v>
      </c>
      <c r="B74" s="25" t="str">
        <f>IFERROR(VLOOKUP(A74,'ฟอร์มทะเบียนผู้เข้าพัก'!A:E,5,FALSE),)</f>
        <v/>
      </c>
      <c r="C74" s="25" t="str">
        <f>IFERROR(VLOOKUP(A74,'ฟอร์มทะเบียนผู้เข้าพัก'!A:F,3,FALSE),)</f>
        <v/>
      </c>
      <c r="D74" s="26" t="str">
        <f t="shared" si="17"/>
        <v/>
      </c>
      <c r="E74" s="27" t="str">
        <f t="shared" si="18"/>
        <v/>
      </c>
      <c r="F74" s="28">
        <f t="shared" si="19"/>
        <v>0</v>
      </c>
      <c r="G74" s="28">
        <f t="shared" si="20"/>
        <v>0</v>
      </c>
      <c r="H74" s="26"/>
      <c r="I74" s="29" t="str">
        <f>IFERROR(VLOOKUP(A74,'ฟอร์มทะเบียนผู้เข้าพัก'!A:L,2,FALSE),)</f>
        <v>VP01086</v>
      </c>
      <c r="K74" s="29" t="str">
        <f>IFERROR(VLOOKUP(A74,'ฟอร์มทะเบียนผู้เข้าพัก'!A:L,4,FALSE),)</f>
        <v/>
      </c>
    </row>
    <row r="75">
      <c r="A75" s="24">
        <v>43.0</v>
      </c>
      <c r="B75" s="25" t="str">
        <f>IFERROR(VLOOKUP(A75,'ฟอร์มทะเบียนผู้เข้าพัก'!A:E,5,FALSE),)</f>
        <v/>
      </c>
      <c r="C75" s="25" t="str">
        <f>IFERROR(VLOOKUP(A75,'ฟอร์มทะเบียนผู้เข้าพัก'!A:F,3,FALSE),)</f>
        <v/>
      </c>
      <c r="D75" s="26" t="str">
        <f t="shared" si="17"/>
        <v/>
      </c>
      <c r="E75" s="27" t="str">
        <f t="shared" si="18"/>
        <v/>
      </c>
      <c r="F75" s="28">
        <f t="shared" si="19"/>
        <v>0</v>
      </c>
      <c r="G75" s="28">
        <f t="shared" si="20"/>
        <v>0</v>
      </c>
      <c r="H75" s="26"/>
      <c r="I75" s="29" t="str">
        <f>IFERROR(VLOOKUP(A75,'ฟอร์มทะเบียนผู้เข้าพัก'!A:L,2,FALSE),)</f>
        <v>VP01087</v>
      </c>
      <c r="K75" s="29" t="str">
        <f>IFERROR(VLOOKUP(A75,'ฟอร์มทะเบียนผู้เข้าพัก'!A:L,4,FALSE),)</f>
        <v/>
      </c>
    </row>
    <row r="76">
      <c r="A76" s="24">
        <v>44.0</v>
      </c>
      <c r="B76" s="25" t="str">
        <f>IFERROR(VLOOKUP(A76,'ฟอร์มทะเบียนผู้เข้าพัก'!A:E,5,FALSE),)</f>
        <v/>
      </c>
      <c r="C76" s="25" t="str">
        <f>IFERROR(VLOOKUP(A76,'ฟอร์มทะเบียนผู้เข้าพัก'!A:F,3,FALSE),)</f>
        <v/>
      </c>
      <c r="D76" s="26" t="str">
        <f t="shared" si="17"/>
        <v/>
      </c>
      <c r="E76" s="27" t="str">
        <f t="shared" si="18"/>
        <v/>
      </c>
      <c r="F76" s="28">
        <f t="shared" si="19"/>
        <v>0</v>
      </c>
      <c r="G76" s="28">
        <f t="shared" si="20"/>
        <v>0</v>
      </c>
      <c r="H76" s="26"/>
      <c r="I76" s="29" t="str">
        <f>IFERROR(VLOOKUP(A76,'ฟอร์มทะเบียนผู้เข้าพัก'!A:L,2,FALSE),)</f>
        <v>VP01088</v>
      </c>
      <c r="K76" s="29" t="str">
        <f>IFERROR(VLOOKUP(A76,'ฟอร์มทะเบียนผู้เข้าพัก'!A:L,4,FALSE),)</f>
        <v/>
      </c>
    </row>
    <row r="77">
      <c r="A77" s="24">
        <v>45.0</v>
      </c>
      <c r="B77" s="25" t="str">
        <f>IFERROR(VLOOKUP(A77,'ฟอร์มทะเบียนผู้เข้าพัก'!A:E,5,FALSE),)</f>
        <v/>
      </c>
      <c r="C77" s="25" t="str">
        <f>IFERROR(VLOOKUP(A77,'ฟอร์มทะเบียนผู้เข้าพัก'!A:F,3,FALSE),)</f>
        <v/>
      </c>
      <c r="D77" s="26" t="str">
        <f t="shared" si="17"/>
        <v/>
      </c>
      <c r="E77" s="27" t="str">
        <f t="shared" si="18"/>
        <v/>
      </c>
      <c r="F77" s="28">
        <f t="shared" si="19"/>
        <v>0</v>
      </c>
      <c r="G77" s="28">
        <f t="shared" si="20"/>
        <v>0</v>
      </c>
      <c r="H77" s="26"/>
      <c r="I77" s="29" t="str">
        <f>IFERROR(VLOOKUP(A77,'ฟอร์มทะเบียนผู้เข้าพัก'!A:L,2,FALSE),)</f>
        <v>VP01089</v>
      </c>
      <c r="K77" s="29" t="str">
        <f>IFERROR(VLOOKUP(A77,'ฟอร์มทะเบียนผู้เข้าพัก'!A:L,4,FALSE),)</f>
        <v/>
      </c>
    </row>
    <row r="78">
      <c r="A78" s="24">
        <v>46.0</v>
      </c>
      <c r="B78" s="25" t="str">
        <f>IFERROR(VLOOKUP(A78,'ฟอร์มทะเบียนผู้เข้าพัก'!A:E,5,FALSE),)</f>
        <v/>
      </c>
      <c r="C78" s="25" t="str">
        <f>IFERROR(VLOOKUP(A78,'ฟอร์มทะเบียนผู้เข้าพัก'!A:F,3,FALSE),)</f>
        <v/>
      </c>
      <c r="D78" s="26" t="str">
        <f t="shared" si="17"/>
        <v/>
      </c>
      <c r="E78" s="27" t="str">
        <f t="shared" si="18"/>
        <v/>
      </c>
      <c r="F78" s="28">
        <f t="shared" si="19"/>
        <v>0</v>
      </c>
      <c r="G78" s="28">
        <f t="shared" si="20"/>
        <v>0</v>
      </c>
      <c r="H78" s="26"/>
      <c r="I78" s="29" t="str">
        <f>IFERROR(VLOOKUP(A78,'ฟอร์มทะเบียนผู้เข้าพัก'!A:L,2,FALSE),)</f>
        <v>VP01090</v>
      </c>
      <c r="K78" s="29" t="str">
        <f>IFERROR(VLOOKUP(A78,'ฟอร์มทะเบียนผู้เข้าพัก'!A:L,4,FALSE),)</f>
        <v/>
      </c>
    </row>
    <row r="79">
      <c r="A79" s="24">
        <v>47.0</v>
      </c>
      <c r="B79" s="25" t="str">
        <f>IFERROR(VLOOKUP(A79,'ฟอร์มทะเบียนผู้เข้าพัก'!A:E,5,FALSE),)</f>
        <v/>
      </c>
      <c r="C79" s="25" t="str">
        <f>IFERROR(VLOOKUP(A79,'ฟอร์มทะเบียนผู้เข้าพัก'!A:F,3,FALSE),)</f>
        <v/>
      </c>
      <c r="D79" s="26" t="str">
        <f t="shared" si="17"/>
        <v/>
      </c>
      <c r="E79" s="27" t="str">
        <f t="shared" si="18"/>
        <v/>
      </c>
      <c r="F79" s="28">
        <f t="shared" si="19"/>
        <v>0</v>
      </c>
      <c r="G79" s="28">
        <f t="shared" si="20"/>
        <v>0</v>
      </c>
      <c r="H79" s="26"/>
      <c r="I79" s="29" t="str">
        <f>IFERROR(VLOOKUP(A79,'ฟอร์มทะเบียนผู้เข้าพัก'!A:L,2,FALSE),)</f>
        <v>VP01091</v>
      </c>
      <c r="K79" s="29" t="str">
        <f>IFERROR(VLOOKUP(A79,'ฟอร์มทะเบียนผู้เข้าพัก'!A:L,4,FALSE),)</f>
        <v/>
      </c>
    </row>
    <row r="80">
      <c r="A80" s="24">
        <v>48.0</v>
      </c>
      <c r="B80" s="25" t="str">
        <f>IFERROR(VLOOKUP(A80,'ฟอร์มทะเบียนผู้เข้าพัก'!A:E,5,FALSE),)</f>
        <v/>
      </c>
      <c r="C80" s="25" t="str">
        <f>IFERROR(VLOOKUP(A80,'ฟอร์มทะเบียนผู้เข้าพัก'!A:F,3,FALSE),)</f>
        <v/>
      </c>
      <c r="D80" s="26" t="str">
        <f t="shared" si="17"/>
        <v/>
      </c>
      <c r="E80" s="27" t="str">
        <f t="shared" si="18"/>
        <v/>
      </c>
      <c r="F80" s="28">
        <f t="shared" si="19"/>
        <v>0</v>
      </c>
      <c r="G80" s="28">
        <f t="shared" si="20"/>
        <v>0</v>
      </c>
      <c r="H80" s="26"/>
      <c r="I80" s="29" t="str">
        <f>IFERROR(VLOOKUP(A80,'ฟอร์มทะเบียนผู้เข้าพัก'!A:L,2,FALSE),)</f>
        <v>VP01092</v>
      </c>
      <c r="K80" s="29" t="str">
        <f>IFERROR(VLOOKUP(A80,'ฟอร์มทะเบียนผู้เข้าพัก'!A:L,4,FALSE),)</f>
        <v/>
      </c>
    </row>
    <row r="81">
      <c r="A81" s="24">
        <v>49.0</v>
      </c>
      <c r="B81" s="25" t="str">
        <f>IFERROR(VLOOKUP(A81,'ฟอร์มทะเบียนผู้เข้าพัก'!A:E,5,FALSE),)</f>
        <v/>
      </c>
      <c r="C81" s="25" t="str">
        <f>IFERROR(VLOOKUP(A81,'ฟอร์มทะเบียนผู้เข้าพัก'!A:F,3,FALSE),)</f>
        <v/>
      </c>
      <c r="D81" s="26" t="str">
        <f t="shared" si="17"/>
        <v/>
      </c>
      <c r="E81" s="27" t="str">
        <f t="shared" si="18"/>
        <v/>
      </c>
      <c r="F81" s="28">
        <f t="shared" si="19"/>
        <v>0</v>
      </c>
      <c r="G81" s="28">
        <f t="shared" si="20"/>
        <v>0</v>
      </c>
      <c r="H81" s="26"/>
      <c r="I81" s="29" t="str">
        <f>IFERROR(VLOOKUP(A81,'ฟอร์มทะเบียนผู้เข้าพัก'!A:L,2,FALSE),)</f>
        <v>VP01093</v>
      </c>
      <c r="K81" s="29" t="str">
        <f>IFERROR(VLOOKUP(A81,'ฟอร์มทะเบียนผู้เข้าพัก'!A:L,4,FALSE),)</f>
        <v/>
      </c>
    </row>
    <row r="82">
      <c r="A82" s="24">
        <v>50.0</v>
      </c>
      <c r="B82" s="25" t="str">
        <f>IFERROR(VLOOKUP(A82,'ฟอร์มทะเบียนผู้เข้าพัก'!A:E,5,FALSE),)</f>
        <v/>
      </c>
      <c r="C82" s="25" t="str">
        <f>IFERROR(VLOOKUP(A82,'ฟอร์มทะเบียนผู้เข้าพัก'!A:F,3,FALSE),)</f>
        <v/>
      </c>
      <c r="D82" s="26" t="str">
        <f t="shared" si="17"/>
        <v/>
      </c>
      <c r="E82" s="27" t="str">
        <f t="shared" si="18"/>
        <v/>
      </c>
      <c r="F82" s="28">
        <f t="shared" si="19"/>
        <v>0</v>
      </c>
      <c r="G82" s="28">
        <f t="shared" si="20"/>
        <v>0</v>
      </c>
      <c r="H82" s="26"/>
      <c r="I82" s="29" t="str">
        <f>IFERROR(VLOOKUP(A82,'ฟอร์มทะเบียนผู้เข้าพัก'!A:L,2,FALSE),)</f>
        <v>VP01094</v>
      </c>
      <c r="K82" s="29" t="str">
        <f>IFERROR(VLOOKUP(A82,'ฟอร์มทะเบียนผู้เข้าพัก'!A:L,4,FALSE),)</f>
        <v/>
      </c>
    </row>
    <row r="83">
      <c r="A83" s="24">
        <v>51.0</v>
      </c>
      <c r="B83" s="25" t="str">
        <f>IFERROR(VLOOKUP(A83,'ฟอร์มทะเบียนผู้เข้าพัก'!A:E,5,FALSE),)</f>
        <v/>
      </c>
      <c r="C83" s="25" t="str">
        <f>IFERROR(VLOOKUP(A83,'ฟอร์มทะเบียนผู้เข้าพัก'!A:F,3,FALSE),)</f>
        <v/>
      </c>
      <c r="D83" s="26" t="str">
        <f t="shared" si="17"/>
        <v/>
      </c>
      <c r="E83" s="27" t="str">
        <f t="shared" si="18"/>
        <v/>
      </c>
      <c r="F83" s="28">
        <f t="shared" si="19"/>
        <v>0</v>
      </c>
      <c r="G83" s="28">
        <f t="shared" si="20"/>
        <v>0</v>
      </c>
      <c r="H83" s="26"/>
      <c r="I83" s="29" t="str">
        <f>IFERROR(VLOOKUP(A83,'ฟอร์มทะเบียนผู้เข้าพัก'!A:L,2,FALSE),)</f>
        <v>VP01095</v>
      </c>
      <c r="K83" s="29" t="str">
        <f>IFERROR(VLOOKUP(A83,'ฟอร์มทะเบียนผู้เข้าพัก'!A:L,4,FALSE),)</f>
        <v/>
      </c>
    </row>
    <row r="84">
      <c r="A84" s="24">
        <v>52.0</v>
      </c>
      <c r="B84" s="25" t="str">
        <f>IFERROR(VLOOKUP(A84,'ฟอร์มทะเบียนผู้เข้าพัก'!A:E,5,FALSE),)</f>
        <v/>
      </c>
      <c r="C84" s="25" t="str">
        <f>IFERROR(VLOOKUP(A84,'ฟอร์มทะเบียนผู้เข้าพัก'!A:F,3,FALSE),)</f>
        <v/>
      </c>
      <c r="D84" s="26" t="str">
        <f t="shared" si="17"/>
        <v/>
      </c>
      <c r="E84" s="27" t="str">
        <f t="shared" si="18"/>
        <v/>
      </c>
      <c r="F84" s="28">
        <f t="shared" si="19"/>
        <v>0</v>
      </c>
      <c r="G84" s="28">
        <f t="shared" si="20"/>
        <v>0</v>
      </c>
      <c r="H84" s="26"/>
      <c r="I84" s="29" t="str">
        <f>IFERROR(VLOOKUP(A84,'ฟอร์มทะเบียนผู้เข้าพัก'!A:L,2,FALSE),)</f>
        <v>VP01096</v>
      </c>
      <c r="K84" s="29" t="str">
        <f>IFERROR(VLOOKUP(A84,'ฟอร์มทะเบียนผู้เข้าพัก'!A:L,4,FALSE),)</f>
        <v/>
      </c>
    </row>
    <row r="85">
      <c r="A85" s="24">
        <v>53.0</v>
      </c>
      <c r="B85" s="25" t="str">
        <f>IFERROR(VLOOKUP(A85,'ฟอร์มทะเบียนผู้เข้าพัก'!A:E,5,FALSE),)</f>
        <v/>
      </c>
      <c r="C85" s="25" t="str">
        <f>IFERROR(VLOOKUP(A85,'ฟอร์มทะเบียนผู้เข้าพัก'!A:F,3,FALSE),)</f>
        <v/>
      </c>
      <c r="D85" s="26" t="str">
        <f t="shared" si="17"/>
        <v/>
      </c>
      <c r="E85" s="27" t="str">
        <f t="shared" si="18"/>
        <v/>
      </c>
      <c r="F85" s="28">
        <f t="shared" si="19"/>
        <v>0</v>
      </c>
      <c r="G85" s="28">
        <f t="shared" si="20"/>
        <v>0</v>
      </c>
      <c r="H85" s="26"/>
      <c r="I85" s="29" t="str">
        <f>IFERROR(VLOOKUP(A85,'ฟอร์มทะเบียนผู้เข้าพัก'!A:L,2,FALSE),)</f>
        <v>VP01097</v>
      </c>
      <c r="K85" s="29" t="str">
        <f>IFERROR(VLOOKUP(A85,'ฟอร์มทะเบียนผู้เข้าพัก'!A:L,4,FALSE),)</f>
        <v/>
      </c>
    </row>
    <row r="86">
      <c r="A86" s="24">
        <v>54.0</v>
      </c>
      <c r="B86" s="25" t="str">
        <f>IFERROR(VLOOKUP(A86,'ฟอร์มทะเบียนผู้เข้าพัก'!A:E,5,FALSE),)</f>
        <v/>
      </c>
      <c r="C86" s="25" t="str">
        <f>IFERROR(VLOOKUP(A86,'ฟอร์มทะเบียนผู้เข้าพัก'!A:F,3,FALSE),)</f>
        <v/>
      </c>
      <c r="D86" s="26" t="str">
        <f t="shared" si="17"/>
        <v/>
      </c>
      <c r="E86" s="27" t="str">
        <f t="shared" si="18"/>
        <v/>
      </c>
      <c r="F86" s="28">
        <f t="shared" si="19"/>
        <v>0</v>
      </c>
      <c r="G86" s="28">
        <f t="shared" si="20"/>
        <v>0</v>
      </c>
      <c r="H86" s="26"/>
      <c r="I86" s="29" t="str">
        <f>IFERROR(VLOOKUP(A86,'ฟอร์มทะเบียนผู้เข้าพัก'!A:L,2,FALSE),)</f>
        <v>VP01098</v>
      </c>
      <c r="K86" s="29" t="str">
        <f>IFERROR(VLOOKUP(A86,'ฟอร์มทะเบียนผู้เข้าพัก'!A:L,4,FALSE),)</f>
        <v/>
      </c>
    </row>
    <row r="87">
      <c r="A87" s="24">
        <v>55.0</v>
      </c>
      <c r="B87" s="25" t="str">
        <f>IFERROR(VLOOKUP(A87,'ฟอร์มทะเบียนผู้เข้าพัก'!A:E,5,FALSE),)</f>
        <v/>
      </c>
      <c r="C87" s="25" t="str">
        <f>IFERROR(VLOOKUP(A87,'ฟอร์มทะเบียนผู้เข้าพัก'!A:F,3,FALSE),)</f>
        <v/>
      </c>
      <c r="D87" s="26" t="str">
        <f t="shared" si="17"/>
        <v/>
      </c>
      <c r="E87" s="27" t="str">
        <f t="shared" si="18"/>
        <v/>
      </c>
      <c r="F87" s="28">
        <f t="shared" si="19"/>
        <v>0</v>
      </c>
      <c r="G87" s="28">
        <f t="shared" si="20"/>
        <v>0</v>
      </c>
      <c r="H87" s="26"/>
      <c r="I87" s="29" t="str">
        <f>IFERROR(VLOOKUP(A87,'ฟอร์มทะเบียนผู้เข้าพัก'!A:L,2,FALSE),)</f>
        <v>VP01099</v>
      </c>
      <c r="K87" s="29" t="str">
        <f>IFERROR(VLOOKUP(A87,'ฟอร์มทะเบียนผู้เข้าพัก'!A:L,4,FALSE),)</f>
        <v/>
      </c>
    </row>
    <row r="88">
      <c r="A88" s="24" t="s">
        <v>196</v>
      </c>
      <c r="B88" s="30"/>
      <c r="C88" s="37"/>
      <c r="D88" s="20">
        <f t="shared" ref="D88:G88" si="21">SUM(D73:D87)</f>
        <v>0</v>
      </c>
      <c r="E88" s="21">
        <f t="shared" si="21"/>
        <v>0</v>
      </c>
      <c r="F88" s="32">
        <f t="shared" si="21"/>
        <v>0</v>
      </c>
      <c r="G88" s="32">
        <f t="shared" si="21"/>
        <v>0</v>
      </c>
      <c r="H88" s="26"/>
      <c r="I88" s="29" t="str">
        <f>IFERROR(VLOOKUP(A88,'ฟอร์มทะเบียนผู้เข้าพัก'!A:L,12,FALSE),)</f>
        <v/>
      </c>
      <c r="J88" s="29" t="str">
        <f>IFERROR(VLOOKUP(A88,'ฟอร์มทะเบียนผู้เข้าพัก'!A:L,2,FALSE),)</f>
        <v/>
      </c>
      <c r="K88" s="29" t="str">
        <f>IFERROR(VLOOKUP(A88,'ฟอร์มทะเบียนผู้เข้าพัก'!A:L,4,FALSE),)</f>
        <v/>
      </c>
    </row>
    <row r="89">
      <c r="A89" s="13"/>
      <c r="B89" s="13"/>
      <c r="C89" s="13"/>
      <c r="D89" s="13"/>
      <c r="E89" s="16"/>
      <c r="F89" s="13"/>
      <c r="G89" s="13"/>
      <c r="H89" s="13"/>
      <c r="I89" s="29" t="str">
        <f>IFERROR(VLOOKUP(A89,'ฟอร์มทะเบียนผู้เข้าพัก'!A:L,12,FALSE),)</f>
        <v/>
      </c>
      <c r="J89" s="29" t="str">
        <f>IFERROR(VLOOKUP(A89,'ฟอร์มทะเบียนผู้เข้าพัก'!A:L,2,FALSE),)</f>
        <v/>
      </c>
      <c r="K89" s="29" t="str">
        <f>IFERROR(VLOOKUP(A89,'ฟอร์มทะเบียนผู้เข้าพัก'!A:L,4,FALSE),)</f>
        <v/>
      </c>
    </row>
    <row r="90">
      <c r="A90" s="13"/>
      <c r="B90" s="13"/>
      <c r="C90" s="13"/>
      <c r="D90" s="33" t="s">
        <v>201</v>
      </c>
      <c r="G90" s="13"/>
      <c r="H90" s="13"/>
      <c r="I90" s="34">
        <v>400.0</v>
      </c>
      <c r="J90" s="34">
        <v>500.0</v>
      </c>
      <c r="K90" s="34">
        <v>600.0</v>
      </c>
    </row>
    <row r="91">
      <c r="A91" s="13"/>
      <c r="B91" s="13"/>
      <c r="C91" s="13"/>
      <c r="D91" s="33" t="s">
        <v>202</v>
      </c>
      <c r="G91" s="13"/>
      <c r="H91" s="13"/>
      <c r="I91" s="34">
        <f>SUMIF(E73:E87,I90,F73:F87)</f>
        <v>0</v>
      </c>
      <c r="J91" s="34">
        <f>SUMIF(E73:E87,J90,F73:F87)</f>
        <v>0</v>
      </c>
      <c r="K91" s="34">
        <f>SUMIF(E73:E87,K90,F73:F87)</f>
        <v>0</v>
      </c>
    </row>
    <row r="92">
      <c r="A92" s="13"/>
      <c r="B92" s="13"/>
      <c r="C92" s="13"/>
      <c r="D92" s="13"/>
      <c r="E92" s="16"/>
      <c r="F92" s="13"/>
      <c r="G92" s="13"/>
      <c r="H92" s="13"/>
      <c r="I92" s="29" t="str">
        <f>IFERROR(VLOOKUP(A92,'ฟอร์มทะเบียนผู้เข้าพัก'!A:L,12,FALSE),)</f>
        <v/>
      </c>
      <c r="J92" s="29" t="str">
        <f>IFERROR(VLOOKUP(A92,'ฟอร์มทะเบียนผู้เข้าพัก'!A:L,2,FALSE),)</f>
        <v/>
      </c>
      <c r="K92" s="29" t="str">
        <f>IFERROR(VLOOKUP(A92,'ฟอร์มทะเบียนผู้เข้าพัก'!A:L,4,FALSE),)</f>
        <v/>
      </c>
    </row>
    <row r="93">
      <c r="A93" s="13"/>
      <c r="B93" s="13"/>
      <c r="C93" s="13"/>
      <c r="D93" s="13"/>
      <c r="E93" s="16"/>
      <c r="F93" s="13"/>
      <c r="G93" s="13"/>
      <c r="H93" s="13"/>
      <c r="I93" s="29" t="str">
        <f>IFERROR(VLOOKUP(A93,'ฟอร์มทะเบียนผู้เข้าพัก'!A:L,12,FALSE),)</f>
        <v/>
      </c>
      <c r="J93" s="29" t="str">
        <f>IFERROR(VLOOKUP(A93,'ฟอร์มทะเบียนผู้เข้าพัก'!A:L,2,FALSE),)</f>
        <v/>
      </c>
      <c r="K93" s="29" t="str">
        <f>IFERROR(VLOOKUP(A93,'ฟอร์มทะเบียนผู้เข้าพัก'!A:L,4,FALSE),)</f>
        <v/>
      </c>
    </row>
    <row r="94">
      <c r="A94" s="19" t="s">
        <v>189</v>
      </c>
      <c r="B94" s="35" t="s">
        <v>190</v>
      </c>
      <c r="C94" s="35" t="s">
        <v>191</v>
      </c>
      <c r="D94" s="20" t="s">
        <v>192</v>
      </c>
      <c r="E94" s="21" t="s">
        <v>193</v>
      </c>
      <c r="F94" s="20" t="s">
        <v>194</v>
      </c>
      <c r="G94" s="20" t="s">
        <v>194</v>
      </c>
      <c r="H94" s="19" t="s">
        <v>195</v>
      </c>
      <c r="I94" s="29" t="str">
        <f>IFERROR(VLOOKUP(A94,'ฟอร์มทะเบียนผู้เข้าพัก'!A:L,12,FALSE),)</f>
        <v/>
      </c>
      <c r="J94" s="29" t="str">
        <f>IFERROR(VLOOKUP(A94,'ฟอร์มทะเบียนผู้เข้าพัก'!A:L,2,FALSE),)</f>
        <v/>
      </c>
      <c r="K94" s="29" t="str">
        <f>IFERROR(VLOOKUP(A94,'ฟอร์มทะเบียนผู้เข้าพัก'!A:L,4,FALSE),)</f>
        <v/>
      </c>
    </row>
    <row r="95">
      <c r="A95" s="23"/>
      <c r="B95" s="36"/>
      <c r="C95" s="36"/>
      <c r="D95" s="20" t="s">
        <v>197</v>
      </c>
      <c r="E95" s="21" t="s">
        <v>198</v>
      </c>
      <c r="F95" s="20" t="s">
        <v>199</v>
      </c>
      <c r="G95" s="20" t="s">
        <v>200</v>
      </c>
      <c r="H95" s="23"/>
      <c r="I95" s="29" t="str">
        <f>IFERROR(VLOOKUP(A95,'ฟอร์มทะเบียนผู้เข้าพัก'!A:L,12,FALSE),)</f>
        <v/>
      </c>
      <c r="J95" s="29" t="str">
        <f>IFERROR(VLOOKUP(A95,'ฟอร์มทะเบียนผู้เข้าพัก'!A:L,2,FALSE),)</f>
        <v/>
      </c>
      <c r="K95" s="29" t="str">
        <f>IFERROR(VLOOKUP(A95,'ฟอร์มทะเบียนผู้เข้าพัก'!A:L,4,FALSE),)</f>
        <v/>
      </c>
    </row>
    <row r="96">
      <c r="A96" s="24">
        <v>56.0</v>
      </c>
      <c r="B96" s="25" t="str">
        <f>IFERROR(VLOOKUP(A96,'ฟอร์มทะเบียนผู้เข้าพัก'!A:E,5,FALSE),)</f>
        <v/>
      </c>
      <c r="C96" s="25" t="str">
        <f>IFERROR(VLOOKUP(A96,'ฟอร์มทะเบียนผู้เข้าพัก'!A:F,3,FALSE),)</f>
        <v/>
      </c>
      <c r="D96" s="26" t="str">
        <f t="shared" ref="D96:D110" si="22">IFERROR(VLOOKUP(I96,' รายการเข้าพัก'!B:L,6,FALSE),)</f>
        <v/>
      </c>
      <c r="E96" s="27" t="str">
        <f t="shared" ref="E96:E110" si="23">IFERROR(vlookup(K96,'🛏️ รายการห้องพัก'!A:E,5,false),)</f>
        <v/>
      </c>
      <c r="F96" s="28">
        <f t="shared" ref="F96:F110" si="24">E96*D96</f>
        <v>0</v>
      </c>
      <c r="G96" s="28">
        <f t="shared" ref="G96:G110" si="25">F96*1%</f>
        <v>0</v>
      </c>
      <c r="H96" s="26"/>
      <c r="I96" s="29" t="str">
        <f>IFERROR(VLOOKUP(A96,'ฟอร์มทะเบียนผู้เข้าพัก'!A:L,2,FALSE),)</f>
        <v>VP01100</v>
      </c>
      <c r="K96" s="29" t="str">
        <f>IFERROR(VLOOKUP(A96,'ฟอร์มทะเบียนผู้เข้าพัก'!A:L,4,FALSE),)</f>
        <v/>
      </c>
    </row>
    <row r="97">
      <c r="A97" s="24">
        <v>57.0</v>
      </c>
      <c r="B97" s="25" t="str">
        <f>IFERROR(VLOOKUP(A97,'ฟอร์มทะเบียนผู้เข้าพัก'!A:E,5,FALSE),)</f>
        <v/>
      </c>
      <c r="C97" s="25" t="str">
        <f>IFERROR(VLOOKUP(A97,'ฟอร์มทะเบียนผู้เข้าพัก'!A:F,3,FALSE),)</f>
        <v/>
      </c>
      <c r="D97" s="26" t="str">
        <f t="shared" si="22"/>
        <v/>
      </c>
      <c r="E97" s="27" t="str">
        <f t="shared" si="23"/>
        <v/>
      </c>
      <c r="F97" s="28">
        <f t="shared" si="24"/>
        <v>0</v>
      </c>
      <c r="G97" s="28">
        <f t="shared" si="25"/>
        <v>0</v>
      </c>
      <c r="H97" s="26"/>
      <c r="I97" s="29" t="str">
        <f>IFERROR(VLOOKUP(A97,'ฟอร์มทะเบียนผู้เข้าพัก'!A:L,2,FALSE),)</f>
        <v>VP01101</v>
      </c>
      <c r="K97" s="29" t="str">
        <f>IFERROR(VLOOKUP(A97,'ฟอร์มทะเบียนผู้เข้าพัก'!A:L,4,FALSE),)</f>
        <v/>
      </c>
    </row>
    <row r="98">
      <c r="A98" s="24">
        <v>58.0</v>
      </c>
      <c r="B98" s="25" t="str">
        <f>IFERROR(VLOOKUP(A98,'ฟอร์มทะเบียนผู้เข้าพัก'!A:E,5,FALSE),)</f>
        <v/>
      </c>
      <c r="C98" s="25" t="str">
        <f>IFERROR(VLOOKUP(A98,'ฟอร์มทะเบียนผู้เข้าพัก'!A:F,3,FALSE),)</f>
        <v/>
      </c>
      <c r="D98" s="26" t="str">
        <f t="shared" si="22"/>
        <v/>
      </c>
      <c r="E98" s="27" t="str">
        <f t="shared" si="23"/>
        <v/>
      </c>
      <c r="F98" s="28">
        <f t="shared" si="24"/>
        <v>0</v>
      </c>
      <c r="G98" s="28">
        <f t="shared" si="25"/>
        <v>0</v>
      </c>
      <c r="H98" s="26"/>
      <c r="I98" s="29" t="str">
        <f>IFERROR(VLOOKUP(A98,'ฟอร์มทะเบียนผู้เข้าพัก'!A:L,2,FALSE),)</f>
        <v>VP01102</v>
      </c>
      <c r="K98" s="29" t="str">
        <f>IFERROR(VLOOKUP(A98,'ฟอร์มทะเบียนผู้เข้าพัก'!A:L,4,FALSE),)</f>
        <v/>
      </c>
    </row>
    <row r="99">
      <c r="A99" s="24">
        <v>59.0</v>
      </c>
      <c r="B99" s="25" t="str">
        <f>IFERROR(VLOOKUP(A99,'ฟอร์มทะเบียนผู้เข้าพัก'!A:E,5,FALSE),)</f>
        <v/>
      </c>
      <c r="C99" s="25" t="str">
        <f>IFERROR(VLOOKUP(A99,'ฟอร์มทะเบียนผู้เข้าพัก'!A:F,3,FALSE),)</f>
        <v/>
      </c>
      <c r="D99" s="26" t="str">
        <f t="shared" si="22"/>
        <v/>
      </c>
      <c r="E99" s="27" t="str">
        <f t="shared" si="23"/>
        <v/>
      </c>
      <c r="F99" s="28">
        <f t="shared" si="24"/>
        <v>0</v>
      </c>
      <c r="G99" s="28">
        <f t="shared" si="25"/>
        <v>0</v>
      </c>
      <c r="H99" s="26"/>
      <c r="I99" s="29" t="str">
        <f>IFERROR(VLOOKUP(A99,'ฟอร์มทะเบียนผู้เข้าพัก'!A:L,2,FALSE),)</f>
        <v>VP01103</v>
      </c>
      <c r="K99" s="29" t="str">
        <f>IFERROR(VLOOKUP(A99,'ฟอร์มทะเบียนผู้เข้าพัก'!A:L,4,FALSE),)</f>
        <v/>
      </c>
    </row>
    <row r="100">
      <c r="A100" s="24">
        <v>60.0</v>
      </c>
      <c r="B100" s="25" t="str">
        <f>IFERROR(VLOOKUP(A100,'ฟอร์มทะเบียนผู้เข้าพัก'!A:E,5,FALSE),)</f>
        <v/>
      </c>
      <c r="C100" s="25" t="str">
        <f>IFERROR(VLOOKUP(A100,'ฟอร์มทะเบียนผู้เข้าพัก'!A:F,3,FALSE),)</f>
        <v/>
      </c>
      <c r="D100" s="26" t="str">
        <f t="shared" si="22"/>
        <v/>
      </c>
      <c r="E100" s="27" t="str">
        <f t="shared" si="23"/>
        <v/>
      </c>
      <c r="F100" s="28">
        <f t="shared" si="24"/>
        <v>0</v>
      </c>
      <c r="G100" s="28">
        <f t="shared" si="25"/>
        <v>0</v>
      </c>
      <c r="H100" s="26"/>
      <c r="I100" s="29" t="str">
        <f>IFERROR(VLOOKUP(A100,'ฟอร์มทะเบียนผู้เข้าพัก'!A:L,2,FALSE),)</f>
        <v>VP01104</v>
      </c>
      <c r="K100" s="29" t="str">
        <f>IFERROR(VLOOKUP(A100,'ฟอร์มทะเบียนผู้เข้าพัก'!A:L,4,FALSE),)</f>
        <v/>
      </c>
    </row>
    <row r="101">
      <c r="A101" s="24">
        <v>61.0</v>
      </c>
      <c r="B101" s="25" t="str">
        <f>IFERROR(VLOOKUP(A101,'ฟอร์มทะเบียนผู้เข้าพัก'!A:E,5,FALSE),)</f>
        <v/>
      </c>
      <c r="C101" s="25" t="str">
        <f>IFERROR(VLOOKUP(A101,'ฟอร์มทะเบียนผู้เข้าพัก'!A:F,3,FALSE),)</f>
        <v/>
      </c>
      <c r="D101" s="26" t="str">
        <f t="shared" si="22"/>
        <v/>
      </c>
      <c r="E101" s="27" t="str">
        <f t="shared" si="23"/>
        <v/>
      </c>
      <c r="F101" s="28">
        <f t="shared" si="24"/>
        <v>0</v>
      </c>
      <c r="G101" s="28">
        <f t="shared" si="25"/>
        <v>0</v>
      </c>
      <c r="H101" s="26"/>
      <c r="I101" s="29" t="str">
        <f>IFERROR(VLOOKUP(A101,'ฟอร์มทะเบียนผู้เข้าพัก'!A:L,2,FALSE),)</f>
        <v>VP01105</v>
      </c>
      <c r="K101" s="29" t="str">
        <f>IFERROR(VLOOKUP(A101,'ฟอร์มทะเบียนผู้เข้าพัก'!A:L,4,FALSE),)</f>
        <v/>
      </c>
    </row>
    <row r="102">
      <c r="A102" s="24">
        <v>62.0</v>
      </c>
      <c r="B102" s="25" t="str">
        <f>IFERROR(VLOOKUP(A102,'ฟอร์มทะเบียนผู้เข้าพัก'!A:E,5,FALSE),)</f>
        <v/>
      </c>
      <c r="C102" s="25" t="str">
        <f>IFERROR(VLOOKUP(A102,'ฟอร์มทะเบียนผู้เข้าพัก'!A:F,3,FALSE),)</f>
        <v/>
      </c>
      <c r="D102" s="26" t="str">
        <f t="shared" si="22"/>
        <v/>
      </c>
      <c r="E102" s="27" t="str">
        <f t="shared" si="23"/>
        <v/>
      </c>
      <c r="F102" s="28">
        <f t="shared" si="24"/>
        <v>0</v>
      </c>
      <c r="G102" s="28">
        <f t="shared" si="25"/>
        <v>0</v>
      </c>
      <c r="H102" s="26"/>
      <c r="I102" s="29" t="str">
        <f>IFERROR(VLOOKUP(A102,'ฟอร์มทะเบียนผู้เข้าพัก'!A:L,2,FALSE),)</f>
        <v>VP01106</v>
      </c>
      <c r="K102" s="29" t="str">
        <f>IFERROR(VLOOKUP(A102,'ฟอร์มทะเบียนผู้เข้าพัก'!A:L,4,FALSE),)</f>
        <v/>
      </c>
    </row>
    <row r="103">
      <c r="A103" s="24">
        <v>63.0</v>
      </c>
      <c r="B103" s="25" t="str">
        <f>IFERROR(VLOOKUP(A103,'ฟอร์มทะเบียนผู้เข้าพัก'!A:E,5,FALSE),)</f>
        <v/>
      </c>
      <c r="C103" s="25" t="str">
        <f>IFERROR(VLOOKUP(A103,'ฟอร์มทะเบียนผู้เข้าพัก'!A:F,3,FALSE),)</f>
        <v/>
      </c>
      <c r="D103" s="26" t="str">
        <f t="shared" si="22"/>
        <v/>
      </c>
      <c r="E103" s="27" t="str">
        <f t="shared" si="23"/>
        <v/>
      </c>
      <c r="F103" s="28">
        <f t="shared" si="24"/>
        <v>0</v>
      </c>
      <c r="G103" s="28">
        <f t="shared" si="25"/>
        <v>0</v>
      </c>
      <c r="H103" s="26"/>
      <c r="I103" s="29" t="str">
        <f>IFERROR(VLOOKUP(A103,'ฟอร์มทะเบียนผู้เข้าพัก'!A:L,2,FALSE),)</f>
        <v>VP01107</v>
      </c>
      <c r="K103" s="29" t="str">
        <f>IFERROR(VLOOKUP(A103,'ฟอร์มทะเบียนผู้เข้าพัก'!A:L,4,FALSE),)</f>
        <v/>
      </c>
    </row>
    <row r="104">
      <c r="A104" s="24">
        <v>64.0</v>
      </c>
      <c r="B104" s="25" t="str">
        <f>IFERROR(VLOOKUP(A104,'ฟอร์มทะเบียนผู้เข้าพัก'!A:E,5,FALSE),)</f>
        <v/>
      </c>
      <c r="C104" s="25" t="str">
        <f>IFERROR(VLOOKUP(A104,'ฟอร์มทะเบียนผู้เข้าพัก'!A:F,3,FALSE),)</f>
        <v/>
      </c>
      <c r="D104" s="26" t="str">
        <f t="shared" si="22"/>
        <v/>
      </c>
      <c r="E104" s="27" t="str">
        <f t="shared" si="23"/>
        <v/>
      </c>
      <c r="F104" s="28">
        <f t="shared" si="24"/>
        <v>0</v>
      </c>
      <c r="G104" s="28">
        <f t="shared" si="25"/>
        <v>0</v>
      </c>
      <c r="H104" s="26"/>
      <c r="I104" s="29" t="str">
        <f>IFERROR(VLOOKUP(A104,'ฟอร์มทะเบียนผู้เข้าพัก'!A:L,2,FALSE),)</f>
        <v>VP01108</v>
      </c>
      <c r="K104" s="29" t="str">
        <f>IFERROR(VLOOKUP(A104,'ฟอร์มทะเบียนผู้เข้าพัก'!A:L,4,FALSE),)</f>
        <v/>
      </c>
    </row>
    <row r="105">
      <c r="A105" s="24">
        <v>65.0</v>
      </c>
      <c r="B105" s="25" t="str">
        <f>IFERROR(VLOOKUP(A105,'ฟอร์มทะเบียนผู้เข้าพัก'!A:E,5,FALSE),)</f>
        <v/>
      </c>
      <c r="C105" s="25" t="str">
        <f>IFERROR(VLOOKUP(A105,'ฟอร์มทะเบียนผู้เข้าพัก'!A:F,3,FALSE),)</f>
        <v/>
      </c>
      <c r="D105" s="26" t="str">
        <f t="shared" si="22"/>
        <v/>
      </c>
      <c r="E105" s="27" t="str">
        <f t="shared" si="23"/>
        <v/>
      </c>
      <c r="F105" s="28">
        <f t="shared" si="24"/>
        <v>0</v>
      </c>
      <c r="G105" s="28">
        <f t="shared" si="25"/>
        <v>0</v>
      </c>
      <c r="H105" s="26"/>
      <c r="I105" s="29" t="str">
        <f>IFERROR(VLOOKUP(A105,'ฟอร์มทะเบียนผู้เข้าพัก'!A:L,2,FALSE),)</f>
        <v>VP01109</v>
      </c>
      <c r="K105" s="29" t="str">
        <f>IFERROR(VLOOKUP(A105,'ฟอร์มทะเบียนผู้เข้าพัก'!A:L,4,FALSE),)</f>
        <v/>
      </c>
    </row>
    <row r="106">
      <c r="A106" s="24">
        <v>66.0</v>
      </c>
      <c r="B106" s="25" t="str">
        <f>IFERROR(VLOOKUP(A106,'ฟอร์มทะเบียนผู้เข้าพัก'!A:E,5,FALSE),)</f>
        <v/>
      </c>
      <c r="C106" s="25" t="str">
        <f>IFERROR(VLOOKUP(A106,'ฟอร์มทะเบียนผู้เข้าพัก'!A:F,3,FALSE),)</f>
        <v/>
      </c>
      <c r="D106" s="26" t="str">
        <f t="shared" si="22"/>
        <v/>
      </c>
      <c r="E106" s="27" t="str">
        <f t="shared" si="23"/>
        <v/>
      </c>
      <c r="F106" s="28">
        <f t="shared" si="24"/>
        <v>0</v>
      </c>
      <c r="G106" s="28">
        <f t="shared" si="25"/>
        <v>0</v>
      </c>
      <c r="H106" s="26"/>
      <c r="I106" s="29" t="str">
        <f>IFERROR(VLOOKUP(A106,'ฟอร์มทะเบียนผู้เข้าพัก'!A:L,2,FALSE),)</f>
        <v>VP01110</v>
      </c>
      <c r="K106" s="29" t="str">
        <f>IFERROR(VLOOKUP(A106,'ฟอร์มทะเบียนผู้เข้าพัก'!A:L,4,FALSE),)</f>
        <v/>
      </c>
    </row>
    <row r="107">
      <c r="A107" s="24">
        <v>67.0</v>
      </c>
      <c r="B107" s="25" t="str">
        <f>IFERROR(VLOOKUP(A107,'ฟอร์มทะเบียนผู้เข้าพัก'!A:E,5,FALSE),)</f>
        <v/>
      </c>
      <c r="C107" s="25" t="str">
        <f>IFERROR(VLOOKUP(A107,'ฟอร์มทะเบียนผู้เข้าพัก'!A:F,3,FALSE),)</f>
        <v/>
      </c>
      <c r="D107" s="26" t="str">
        <f t="shared" si="22"/>
        <v/>
      </c>
      <c r="E107" s="27" t="str">
        <f t="shared" si="23"/>
        <v/>
      </c>
      <c r="F107" s="28">
        <f t="shared" si="24"/>
        <v>0</v>
      </c>
      <c r="G107" s="28">
        <f t="shared" si="25"/>
        <v>0</v>
      </c>
      <c r="H107" s="26"/>
      <c r="I107" s="29" t="str">
        <f>IFERROR(VLOOKUP(A107,'ฟอร์มทะเบียนผู้เข้าพัก'!A:L,2,FALSE),)</f>
        <v>VP01111</v>
      </c>
      <c r="K107" s="29" t="str">
        <f>IFERROR(VLOOKUP(A107,'ฟอร์มทะเบียนผู้เข้าพัก'!A:L,4,FALSE),)</f>
        <v/>
      </c>
    </row>
    <row r="108">
      <c r="A108" s="24">
        <v>68.0</v>
      </c>
      <c r="B108" s="25" t="str">
        <f>IFERROR(VLOOKUP(A108,'ฟอร์มทะเบียนผู้เข้าพัก'!A:E,5,FALSE),)</f>
        <v/>
      </c>
      <c r="C108" s="25" t="str">
        <f>IFERROR(VLOOKUP(A108,'ฟอร์มทะเบียนผู้เข้าพัก'!A:F,3,FALSE),)</f>
        <v/>
      </c>
      <c r="D108" s="26" t="str">
        <f t="shared" si="22"/>
        <v/>
      </c>
      <c r="E108" s="27" t="str">
        <f t="shared" si="23"/>
        <v/>
      </c>
      <c r="F108" s="28">
        <f t="shared" si="24"/>
        <v>0</v>
      </c>
      <c r="G108" s="28">
        <f t="shared" si="25"/>
        <v>0</v>
      </c>
      <c r="H108" s="26"/>
      <c r="I108" s="29" t="str">
        <f>IFERROR(VLOOKUP(A108,'ฟอร์มทะเบียนผู้เข้าพัก'!A:L,2,FALSE),)</f>
        <v>VP01112</v>
      </c>
      <c r="K108" s="29" t="str">
        <f>IFERROR(VLOOKUP(A108,'ฟอร์มทะเบียนผู้เข้าพัก'!A:L,4,FALSE),)</f>
        <v/>
      </c>
    </row>
    <row r="109">
      <c r="A109" s="24">
        <v>69.0</v>
      </c>
      <c r="B109" s="25" t="str">
        <f>IFERROR(VLOOKUP(A109,'ฟอร์มทะเบียนผู้เข้าพัก'!A:E,5,FALSE),)</f>
        <v/>
      </c>
      <c r="C109" s="25" t="str">
        <f>IFERROR(VLOOKUP(A109,'ฟอร์มทะเบียนผู้เข้าพัก'!A:F,3,FALSE),)</f>
        <v/>
      </c>
      <c r="D109" s="26" t="str">
        <f t="shared" si="22"/>
        <v/>
      </c>
      <c r="E109" s="27" t="str">
        <f t="shared" si="23"/>
        <v/>
      </c>
      <c r="F109" s="28">
        <f t="shared" si="24"/>
        <v>0</v>
      </c>
      <c r="G109" s="28">
        <f t="shared" si="25"/>
        <v>0</v>
      </c>
      <c r="H109" s="26"/>
      <c r="I109" s="29" t="str">
        <f>IFERROR(VLOOKUP(A109,'ฟอร์มทะเบียนผู้เข้าพัก'!A:L,2,FALSE),)</f>
        <v>VP01113</v>
      </c>
      <c r="K109" s="29" t="str">
        <f>IFERROR(VLOOKUP(A109,'ฟอร์มทะเบียนผู้เข้าพัก'!A:L,4,FALSE),)</f>
        <v/>
      </c>
    </row>
    <row r="110">
      <c r="A110" s="24">
        <v>70.0</v>
      </c>
      <c r="B110" s="25" t="str">
        <f>IFERROR(VLOOKUP(A110,'ฟอร์มทะเบียนผู้เข้าพัก'!A:E,5,FALSE),)</f>
        <v/>
      </c>
      <c r="C110" s="25" t="str">
        <f>IFERROR(VLOOKUP(A110,'ฟอร์มทะเบียนผู้เข้าพัก'!A:F,3,FALSE),)</f>
        <v/>
      </c>
      <c r="D110" s="26" t="str">
        <f t="shared" si="22"/>
        <v/>
      </c>
      <c r="E110" s="27" t="str">
        <f t="shared" si="23"/>
        <v/>
      </c>
      <c r="F110" s="28">
        <f t="shared" si="24"/>
        <v>0</v>
      </c>
      <c r="G110" s="28">
        <f t="shared" si="25"/>
        <v>0</v>
      </c>
      <c r="H110" s="26"/>
      <c r="I110" s="29" t="str">
        <f>IFERROR(VLOOKUP(A110,'ฟอร์มทะเบียนผู้เข้าพัก'!A:L,2,FALSE),)</f>
        <v>VP01114</v>
      </c>
      <c r="K110" s="29" t="str">
        <f>IFERROR(VLOOKUP(A110,'ฟอร์มทะเบียนผู้เข้าพัก'!A:L,4,FALSE),)</f>
        <v/>
      </c>
    </row>
    <row r="111">
      <c r="A111" s="24" t="s">
        <v>196</v>
      </c>
      <c r="B111" s="26"/>
      <c r="C111" s="37"/>
      <c r="D111" s="20">
        <f t="shared" ref="D111:G111" si="26">SUM(D96:D110)</f>
        <v>0</v>
      </c>
      <c r="E111" s="21">
        <f t="shared" si="26"/>
        <v>0</v>
      </c>
      <c r="F111" s="32">
        <f t="shared" si="26"/>
        <v>0</v>
      </c>
      <c r="G111" s="32">
        <f t="shared" si="26"/>
        <v>0</v>
      </c>
      <c r="H111" s="26"/>
      <c r="I111" s="29" t="str">
        <f>IFERROR(VLOOKUP(A111,'ฟอร์มทะเบียนผู้เข้าพัก'!A:L,12,FALSE),)</f>
        <v/>
      </c>
      <c r="J111" s="29" t="str">
        <f>IFERROR(VLOOKUP(A111,'ฟอร์มทะเบียนผู้เข้าพัก'!A:L,2,FALSE),)</f>
        <v/>
      </c>
      <c r="K111" s="29" t="str">
        <f>IFERROR(VLOOKUP(A111,'ฟอร์มทะเบียนผู้เข้าพัก'!A:L,4,FALSE),)</f>
        <v/>
      </c>
    </row>
    <row r="112">
      <c r="A112" s="13"/>
      <c r="B112" s="13"/>
      <c r="C112" s="13"/>
      <c r="D112" s="13"/>
      <c r="E112" s="16"/>
      <c r="F112" s="13"/>
      <c r="G112" s="13"/>
      <c r="H112" s="13"/>
      <c r="I112" s="29" t="str">
        <f>IFERROR(VLOOKUP(A112,'ฟอร์มทะเบียนผู้เข้าพัก'!A:L,12,FALSE),)</f>
        <v/>
      </c>
      <c r="J112" s="29" t="str">
        <f>IFERROR(VLOOKUP(A112,'ฟอร์มทะเบียนผู้เข้าพัก'!A:L,2,FALSE),)</f>
        <v/>
      </c>
      <c r="K112" s="29" t="str">
        <f>IFERROR(VLOOKUP(A112,'ฟอร์มทะเบียนผู้เข้าพัก'!A:L,4,FALSE),)</f>
        <v/>
      </c>
    </row>
    <row r="113">
      <c r="A113" s="13"/>
      <c r="B113" s="13"/>
      <c r="C113" s="13"/>
      <c r="D113" s="33" t="s">
        <v>201</v>
      </c>
      <c r="G113" s="13"/>
      <c r="H113" s="13"/>
      <c r="I113" s="34">
        <v>400.0</v>
      </c>
      <c r="J113" s="34">
        <v>500.0</v>
      </c>
      <c r="K113" s="34">
        <v>600.0</v>
      </c>
    </row>
    <row r="114">
      <c r="A114" s="13"/>
      <c r="B114" s="13"/>
      <c r="C114" s="13"/>
      <c r="D114" s="33" t="s">
        <v>202</v>
      </c>
      <c r="G114" s="13"/>
      <c r="H114" s="13"/>
      <c r="I114" s="34">
        <f>SUMIF(E96:E110,I113,F96:F110)</f>
        <v>0</v>
      </c>
      <c r="J114" s="34">
        <f>SUMIF(E96:E110,J113,F96:F110)</f>
        <v>0</v>
      </c>
      <c r="K114" s="34">
        <f>SUMIF(E96:E110,K113,F96:F110)</f>
        <v>0</v>
      </c>
    </row>
    <row r="115">
      <c r="A115" s="13"/>
      <c r="B115" s="13"/>
      <c r="C115" s="13"/>
      <c r="D115" s="13"/>
      <c r="E115" s="16"/>
      <c r="F115" s="13"/>
      <c r="G115" s="13"/>
      <c r="H115" s="13"/>
      <c r="I115" s="29" t="str">
        <f>IFERROR(VLOOKUP(A115,'ฟอร์มทะเบียนผู้เข้าพัก'!A:L,12,FALSE),)</f>
        <v/>
      </c>
      <c r="J115" s="29" t="str">
        <f>IFERROR(VLOOKUP(A115,'ฟอร์มทะเบียนผู้เข้าพัก'!A:L,2,FALSE),)</f>
        <v/>
      </c>
      <c r="K115" s="29" t="str">
        <f>IFERROR(VLOOKUP(A115,'ฟอร์มทะเบียนผู้เข้าพัก'!A:L,4,FALSE),)</f>
        <v/>
      </c>
    </row>
    <row r="116">
      <c r="A116" s="13"/>
      <c r="B116" s="13"/>
      <c r="C116" s="13"/>
      <c r="D116" s="13"/>
      <c r="E116" s="16"/>
      <c r="F116" s="13"/>
      <c r="G116" s="13"/>
      <c r="H116" s="13"/>
      <c r="I116" s="29" t="str">
        <f>IFERROR(VLOOKUP(A116,'ฟอร์มทะเบียนผู้เข้าพัก'!A:L,12,FALSE),)</f>
        <v/>
      </c>
      <c r="J116" s="29" t="str">
        <f>IFERROR(VLOOKUP(A116,'ฟอร์มทะเบียนผู้เข้าพัก'!A:L,2,FALSE),)</f>
        <v/>
      </c>
      <c r="K116" s="29" t="str">
        <f>IFERROR(VLOOKUP(A116,'ฟอร์มทะเบียนผู้เข้าพัก'!A:L,4,FALSE),)</f>
        <v/>
      </c>
    </row>
    <row r="117">
      <c r="A117" s="19" t="s">
        <v>189</v>
      </c>
      <c r="B117" s="19" t="s">
        <v>190</v>
      </c>
      <c r="C117" s="35" t="s">
        <v>191</v>
      </c>
      <c r="D117" s="20" t="s">
        <v>192</v>
      </c>
      <c r="E117" s="21" t="s">
        <v>193</v>
      </c>
      <c r="F117" s="20" t="s">
        <v>194</v>
      </c>
      <c r="G117" s="20" t="s">
        <v>194</v>
      </c>
      <c r="H117" s="19" t="s">
        <v>195</v>
      </c>
      <c r="I117" s="29" t="str">
        <f>IFERROR(VLOOKUP(A117,'ฟอร์มทะเบียนผู้เข้าพัก'!A:L,12,FALSE),)</f>
        <v/>
      </c>
      <c r="J117" s="29" t="str">
        <f>IFERROR(VLOOKUP(A117,'ฟอร์มทะเบียนผู้เข้าพัก'!A:L,2,FALSE),)</f>
        <v/>
      </c>
      <c r="K117" s="29" t="str">
        <f>IFERROR(VLOOKUP(A117,'ฟอร์มทะเบียนผู้เข้าพัก'!A:L,4,FALSE),)</f>
        <v/>
      </c>
    </row>
    <row r="118">
      <c r="A118" s="23"/>
      <c r="B118" s="23"/>
      <c r="C118" s="36"/>
      <c r="D118" s="20" t="s">
        <v>197</v>
      </c>
      <c r="E118" s="21" t="s">
        <v>198</v>
      </c>
      <c r="F118" s="20" t="s">
        <v>199</v>
      </c>
      <c r="G118" s="20" t="s">
        <v>200</v>
      </c>
      <c r="H118" s="23"/>
      <c r="I118" s="29" t="str">
        <f>IFERROR(VLOOKUP(A118,'ฟอร์มทะเบียนผู้เข้าพัก'!A:L,12,FALSE),)</f>
        <v/>
      </c>
      <c r="J118" s="29" t="str">
        <f>IFERROR(VLOOKUP(A118,'ฟอร์มทะเบียนผู้เข้าพัก'!A:L,2,FALSE),)</f>
        <v/>
      </c>
      <c r="K118" s="29" t="str">
        <f>IFERROR(VLOOKUP(A118,'ฟอร์มทะเบียนผู้เข้าพัก'!A:L,4,FALSE),)</f>
        <v/>
      </c>
    </row>
    <row r="119">
      <c r="A119" s="24">
        <v>71.0</v>
      </c>
      <c r="B119" s="25" t="str">
        <f>IFERROR(VLOOKUP(A119,'ฟอร์มทะเบียนผู้เข้าพัก'!A:E,5,FALSE),)</f>
        <v/>
      </c>
      <c r="C119" s="25" t="str">
        <f>IFERROR(VLOOKUP(A119,'ฟอร์มทะเบียนผู้เข้าพัก'!A:F,3,FALSE),)</f>
        <v/>
      </c>
      <c r="D119" s="26" t="str">
        <f t="shared" ref="D119:D133" si="27">IFERROR(VLOOKUP(I119,' รายการเข้าพัก'!B:L,6,FALSE),)</f>
        <v/>
      </c>
      <c r="E119" s="27" t="str">
        <f t="shared" ref="E119:E133" si="28">IFERROR(vlookup(K119,'🛏️ รายการห้องพัก'!A:E,5,false),)</f>
        <v/>
      </c>
      <c r="F119" s="28">
        <f t="shared" ref="F119:F133" si="29">E119*D119</f>
        <v>0</v>
      </c>
      <c r="G119" s="28">
        <f t="shared" ref="G119:G133" si="30">F119*1%</f>
        <v>0</v>
      </c>
      <c r="H119" s="26"/>
      <c r="I119" s="29" t="str">
        <f>IFERROR(VLOOKUP(A119,'ฟอร์มทะเบียนผู้เข้าพัก'!A:L,2,FALSE),)</f>
        <v>VP01115</v>
      </c>
      <c r="K119" s="29" t="str">
        <f>IFERROR(VLOOKUP(A119,'ฟอร์มทะเบียนผู้เข้าพัก'!A:L,4,FALSE),)</f>
        <v/>
      </c>
    </row>
    <row r="120">
      <c r="A120" s="24">
        <v>72.0</v>
      </c>
      <c r="B120" s="25" t="str">
        <f>IFERROR(VLOOKUP(A120,'ฟอร์มทะเบียนผู้เข้าพัก'!A:E,5,FALSE),)</f>
        <v/>
      </c>
      <c r="C120" s="25" t="str">
        <f>IFERROR(VLOOKUP(A120,'ฟอร์มทะเบียนผู้เข้าพัก'!A:F,3,FALSE),)</f>
        <v/>
      </c>
      <c r="D120" s="26" t="str">
        <f t="shared" si="27"/>
        <v/>
      </c>
      <c r="E120" s="27" t="str">
        <f t="shared" si="28"/>
        <v/>
      </c>
      <c r="F120" s="28">
        <f t="shared" si="29"/>
        <v>0</v>
      </c>
      <c r="G120" s="28">
        <f t="shared" si="30"/>
        <v>0</v>
      </c>
      <c r="H120" s="26"/>
      <c r="I120" s="29" t="str">
        <f>IFERROR(VLOOKUP(A120,'ฟอร์มทะเบียนผู้เข้าพัก'!A:L,2,FALSE),)</f>
        <v>VP01116</v>
      </c>
      <c r="K120" s="29" t="str">
        <f>IFERROR(VLOOKUP(A120,'ฟอร์มทะเบียนผู้เข้าพัก'!A:L,4,FALSE),)</f>
        <v/>
      </c>
    </row>
    <row r="121">
      <c r="A121" s="24">
        <v>73.0</v>
      </c>
      <c r="B121" s="25" t="str">
        <f>IFERROR(VLOOKUP(A121,'ฟอร์มทะเบียนผู้เข้าพัก'!A:E,5,FALSE),)</f>
        <v/>
      </c>
      <c r="C121" s="25" t="str">
        <f>IFERROR(VLOOKUP(A121,'ฟอร์มทะเบียนผู้เข้าพัก'!A:F,3,FALSE),)</f>
        <v/>
      </c>
      <c r="D121" s="26" t="str">
        <f t="shared" si="27"/>
        <v/>
      </c>
      <c r="E121" s="27" t="str">
        <f t="shared" si="28"/>
        <v/>
      </c>
      <c r="F121" s="28">
        <f t="shared" si="29"/>
        <v>0</v>
      </c>
      <c r="G121" s="28">
        <f t="shared" si="30"/>
        <v>0</v>
      </c>
      <c r="H121" s="26"/>
      <c r="I121" s="29" t="str">
        <f>IFERROR(VLOOKUP(A121,'ฟอร์มทะเบียนผู้เข้าพัก'!A:L,2,FALSE),)</f>
        <v>VP01117</v>
      </c>
      <c r="K121" s="29" t="str">
        <f>IFERROR(VLOOKUP(A121,'ฟอร์มทะเบียนผู้เข้าพัก'!A:L,4,FALSE),)</f>
        <v/>
      </c>
    </row>
    <row r="122">
      <c r="A122" s="24">
        <v>74.0</v>
      </c>
      <c r="B122" s="25" t="str">
        <f>IFERROR(VLOOKUP(A122,'ฟอร์มทะเบียนผู้เข้าพัก'!A:E,5,FALSE),)</f>
        <v/>
      </c>
      <c r="C122" s="25" t="str">
        <f>IFERROR(VLOOKUP(A122,'ฟอร์มทะเบียนผู้เข้าพัก'!A:F,3,FALSE),)</f>
        <v/>
      </c>
      <c r="D122" s="26" t="str">
        <f t="shared" si="27"/>
        <v/>
      </c>
      <c r="E122" s="27" t="str">
        <f t="shared" si="28"/>
        <v/>
      </c>
      <c r="F122" s="28">
        <f t="shared" si="29"/>
        <v>0</v>
      </c>
      <c r="G122" s="28">
        <f t="shared" si="30"/>
        <v>0</v>
      </c>
      <c r="H122" s="26"/>
      <c r="I122" s="29" t="str">
        <f>IFERROR(VLOOKUP(A122,'ฟอร์มทะเบียนผู้เข้าพัก'!A:L,2,FALSE),)</f>
        <v>VP01118</v>
      </c>
      <c r="K122" s="29" t="str">
        <f>IFERROR(VLOOKUP(A122,'ฟอร์มทะเบียนผู้เข้าพัก'!A:L,4,FALSE),)</f>
        <v/>
      </c>
    </row>
    <row r="123">
      <c r="A123" s="24">
        <v>75.0</v>
      </c>
      <c r="B123" s="25" t="str">
        <f>IFERROR(VLOOKUP(A123,'ฟอร์มทะเบียนผู้เข้าพัก'!A:E,5,FALSE),)</f>
        <v/>
      </c>
      <c r="C123" s="25" t="str">
        <f>IFERROR(VLOOKUP(A123,'ฟอร์มทะเบียนผู้เข้าพัก'!A:F,3,FALSE),)</f>
        <v/>
      </c>
      <c r="D123" s="26" t="str">
        <f t="shared" si="27"/>
        <v/>
      </c>
      <c r="E123" s="27" t="str">
        <f t="shared" si="28"/>
        <v/>
      </c>
      <c r="F123" s="28">
        <f t="shared" si="29"/>
        <v>0</v>
      </c>
      <c r="G123" s="28">
        <f t="shared" si="30"/>
        <v>0</v>
      </c>
      <c r="H123" s="26"/>
      <c r="I123" s="29" t="str">
        <f>IFERROR(VLOOKUP(A123,'ฟอร์มทะเบียนผู้เข้าพัก'!A:L,2,FALSE),)</f>
        <v>VP01119</v>
      </c>
      <c r="K123" s="29" t="str">
        <f>IFERROR(VLOOKUP(A123,'ฟอร์มทะเบียนผู้เข้าพัก'!A:L,4,FALSE),)</f>
        <v/>
      </c>
    </row>
    <row r="124">
      <c r="A124" s="24">
        <v>76.0</v>
      </c>
      <c r="B124" s="25" t="str">
        <f>IFERROR(VLOOKUP(A124,'ฟอร์มทะเบียนผู้เข้าพัก'!A:E,5,FALSE),)</f>
        <v/>
      </c>
      <c r="C124" s="25" t="str">
        <f>IFERROR(VLOOKUP(A124,'ฟอร์มทะเบียนผู้เข้าพัก'!A:F,3,FALSE),)</f>
        <v/>
      </c>
      <c r="D124" s="26" t="str">
        <f t="shared" si="27"/>
        <v/>
      </c>
      <c r="E124" s="27" t="str">
        <f t="shared" si="28"/>
        <v/>
      </c>
      <c r="F124" s="28">
        <f t="shared" si="29"/>
        <v>0</v>
      </c>
      <c r="G124" s="28">
        <f t="shared" si="30"/>
        <v>0</v>
      </c>
      <c r="H124" s="26"/>
      <c r="I124" s="29" t="str">
        <f>IFERROR(VLOOKUP(A124,'ฟอร์มทะเบียนผู้เข้าพัก'!A:L,2,FALSE),)</f>
        <v>VP01120</v>
      </c>
      <c r="K124" s="29" t="str">
        <f>IFERROR(VLOOKUP(A124,'ฟอร์มทะเบียนผู้เข้าพัก'!A:L,4,FALSE),)</f>
        <v/>
      </c>
    </row>
    <row r="125">
      <c r="A125" s="24">
        <v>77.0</v>
      </c>
      <c r="B125" s="25" t="str">
        <f>IFERROR(VLOOKUP(A125,'ฟอร์มทะเบียนผู้เข้าพัก'!A:E,5,FALSE),)</f>
        <v/>
      </c>
      <c r="C125" s="25" t="str">
        <f>IFERROR(VLOOKUP(A125,'ฟอร์มทะเบียนผู้เข้าพัก'!A:F,3,FALSE),)</f>
        <v/>
      </c>
      <c r="D125" s="26" t="str">
        <f t="shared" si="27"/>
        <v/>
      </c>
      <c r="E125" s="27" t="str">
        <f t="shared" si="28"/>
        <v/>
      </c>
      <c r="F125" s="28">
        <f t="shared" si="29"/>
        <v>0</v>
      </c>
      <c r="G125" s="28">
        <f t="shared" si="30"/>
        <v>0</v>
      </c>
      <c r="H125" s="26"/>
      <c r="I125" s="29" t="str">
        <f>IFERROR(VLOOKUP(A125,'ฟอร์มทะเบียนผู้เข้าพัก'!A:L,2,FALSE),)</f>
        <v>VP01121</v>
      </c>
      <c r="K125" s="29" t="str">
        <f>IFERROR(VLOOKUP(A125,'ฟอร์มทะเบียนผู้เข้าพัก'!A:L,4,FALSE),)</f>
        <v/>
      </c>
    </row>
    <row r="126">
      <c r="A126" s="24">
        <v>78.0</v>
      </c>
      <c r="B126" s="25" t="str">
        <f>IFERROR(VLOOKUP(A126,'ฟอร์มทะเบียนผู้เข้าพัก'!A:E,5,FALSE),)</f>
        <v/>
      </c>
      <c r="C126" s="25" t="str">
        <f>IFERROR(VLOOKUP(A126,'ฟอร์มทะเบียนผู้เข้าพัก'!A:F,3,FALSE),)</f>
        <v/>
      </c>
      <c r="D126" s="26" t="str">
        <f t="shared" si="27"/>
        <v/>
      </c>
      <c r="E126" s="27" t="str">
        <f t="shared" si="28"/>
        <v/>
      </c>
      <c r="F126" s="28">
        <f t="shared" si="29"/>
        <v>0</v>
      </c>
      <c r="G126" s="28">
        <f t="shared" si="30"/>
        <v>0</v>
      </c>
      <c r="H126" s="26"/>
      <c r="I126" s="29" t="str">
        <f>IFERROR(VLOOKUP(A126,'ฟอร์มทะเบียนผู้เข้าพัก'!A:L,2,FALSE),)</f>
        <v>VP01122</v>
      </c>
      <c r="K126" s="29" t="str">
        <f>IFERROR(VLOOKUP(A126,'ฟอร์มทะเบียนผู้เข้าพัก'!A:L,4,FALSE),)</f>
        <v/>
      </c>
    </row>
    <row r="127">
      <c r="A127" s="24">
        <v>79.0</v>
      </c>
      <c r="B127" s="25" t="str">
        <f>IFERROR(VLOOKUP(A127,'ฟอร์มทะเบียนผู้เข้าพัก'!A:E,5,FALSE),)</f>
        <v/>
      </c>
      <c r="C127" s="25" t="str">
        <f>IFERROR(VLOOKUP(A127,'ฟอร์มทะเบียนผู้เข้าพัก'!A:F,3,FALSE),)</f>
        <v/>
      </c>
      <c r="D127" s="26" t="str">
        <f t="shared" si="27"/>
        <v/>
      </c>
      <c r="E127" s="27" t="str">
        <f t="shared" si="28"/>
        <v/>
      </c>
      <c r="F127" s="28">
        <f t="shared" si="29"/>
        <v>0</v>
      </c>
      <c r="G127" s="28">
        <f t="shared" si="30"/>
        <v>0</v>
      </c>
      <c r="H127" s="26"/>
      <c r="I127" s="29" t="str">
        <f>IFERROR(VLOOKUP(A127,'ฟอร์มทะเบียนผู้เข้าพัก'!A:L,2,FALSE),)</f>
        <v>VP01123</v>
      </c>
      <c r="K127" s="29" t="str">
        <f>IFERROR(VLOOKUP(A127,'ฟอร์มทะเบียนผู้เข้าพัก'!A:L,4,FALSE),)</f>
        <v/>
      </c>
    </row>
    <row r="128">
      <c r="A128" s="24">
        <v>80.0</v>
      </c>
      <c r="B128" s="25" t="str">
        <f>IFERROR(VLOOKUP(A128,'ฟอร์มทะเบียนผู้เข้าพัก'!A:E,5,FALSE),)</f>
        <v/>
      </c>
      <c r="C128" s="25" t="str">
        <f>IFERROR(VLOOKUP(A128,'ฟอร์มทะเบียนผู้เข้าพัก'!A:F,3,FALSE),)</f>
        <v/>
      </c>
      <c r="D128" s="26" t="str">
        <f t="shared" si="27"/>
        <v/>
      </c>
      <c r="E128" s="27" t="str">
        <f t="shared" si="28"/>
        <v/>
      </c>
      <c r="F128" s="28">
        <f t="shared" si="29"/>
        <v>0</v>
      </c>
      <c r="G128" s="28">
        <f t="shared" si="30"/>
        <v>0</v>
      </c>
      <c r="H128" s="26"/>
      <c r="I128" s="29" t="str">
        <f>IFERROR(VLOOKUP(A128,'ฟอร์มทะเบียนผู้เข้าพัก'!A:L,2,FALSE),)</f>
        <v>VP01124</v>
      </c>
      <c r="K128" s="29" t="str">
        <f>IFERROR(VLOOKUP(A128,'ฟอร์มทะเบียนผู้เข้าพัก'!A:L,4,FALSE),)</f>
        <v/>
      </c>
    </row>
    <row r="129">
      <c r="A129" s="24">
        <v>81.0</v>
      </c>
      <c r="B129" s="25" t="str">
        <f>IFERROR(VLOOKUP(A129,'ฟอร์มทะเบียนผู้เข้าพัก'!A:E,5,FALSE),)</f>
        <v/>
      </c>
      <c r="C129" s="25" t="str">
        <f>IFERROR(VLOOKUP(A129,'ฟอร์มทะเบียนผู้เข้าพัก'!A:F,3,FALSE),)</f>
        <v/>
      </c>
      <c r="D129" s="26" t="str">
        <f t="shared" si="27"/>
        <v/>
      </c>
      <c r="E129" s="27" t="str">
        <f t="shared" si="28"/>
        <v/>
      </c>
      <c r="F129" s="28">
        <f t="shared" si="29"/>
        <v>0</v>
      </c>
      <c r="G129" s="28">
        <f t="shared" si="30"/>
        <v>0</v>
      </c>
      <c r="H129" s="26"/>
      <c r="I129" s="29" t="str">
        <f>IFERROR(VLOOKUP(A129,'ฟอร์มทะเบียนผู้เข้าพัก'!A:L,2,FALSE),)</f>
        <v>VP01125</v>
      </c>
      <c r="K129" s="29" t="str">
        <f>IFERROR(VLOOKUP(A129,'ฟอร์มทะเบียนผู้เข้าพัก'!A:L,4,FALSE),)</f>
        <v/>
      </c>
    </row>
    <row r="130">
      <c r="A130" s="24">
        <v>82.0</v>
      </c>
      <c r="B130" s="25" t="str">
        <f>IFERROR(VLOOKUP(A130,'ฟอร์มทะเบียนผู้เข้าพัก'!A:E,5,FALSE),)</f>
        <v/>
      </c>
      <c r="C130" s="25" t="str">
        <f>IFERROR(VLOOKUP(A130,'ฟอร์มทะเบียนผู้เข้าพัก'!A:F,3,FALSE),)</f>
        <v/>
      </c>
      <c r="D130" s="26" t="str">
        <f t="shared" si="27"/>
        <v/>
      </c>
      <c r="E130" s="27" t="str">
        <f t="shared" si="28"/>
        <v/>
      </c>
      <c r="F130" s="28">
        <f t="shared" si="29"/>
        <v>0</v>
      </c>
      <c r="G130" s="28">
        <f t="shared" si="30"/>
        <v>0</v>
      </c>
      <c r="H130" s="26"/>
      <c r="I130" s="29" t="str">
        <f>IFERROR(VLOOKUP(A130,'ฟอร์มทะเบียนผู้เข้าพัก'!A:L,2,FALSE),)</f>
        <v>VP01126</v>
      </c>
      <c r="K130" s="29" t="str">
        <f>IFERROR(VLOOKUP(A130,'ฟอร์มทะเบียนผู้เข้าพัก'!A:L,4,FALSE),)</f>
        <v/>
      </c>
    </row>
    <row r="131">
      <c r="A131" s="24">
        <v>83.0</v>
      </c>
      <c r="B131" s="25" t="str">
        <f>IFERROR(VLOOKUP(A131,'ฟอร์มทะเบียนผู้เข้าพัก'!A:E,5,FALSE),)</f>
        <v/>
      </c>
      <c r="C131" s="25" t="str">
        <f>IFERROR(VLOOKUP(A131,'ฟอร์มทะเบียนผู้เข้าพัก'!A:F,3,FALSE),)</f>
        <v/>
      </c>
      <c r="D131" s="26" t="str">
        <f t="shared" si="27"/>
        <v/>
      </c>
      <c r="E131" s="27" t="str">
        <f t="shared" si="28"/>
        <v/>
      </c>
      <c r="F131" s="28">
        <f t="shared" si="29"/>
        <v>0</v>
      </c>
      <c r="G131" s="28">
        <f t="shared" si="30"/>
        <v>0</v>
      </c>
      <c r="H131" s="26"/>
      <c r="I131" s="29" t="str">
        <f>IFERROR(VLOOKUP(A131,'ฟอร์มทะเบียนผู้เข้าพัก'!A:L,2,FALSE),)</f>
        <v>VP01127</v>
      </c>
      <c r="K131" s="29" t="str">
        <f>IFERROR(VLOOKUP(A131,'ฟอร์มทะเบียนผู้เข้าพัก'!A:L,4,FALSE),)</f>
        <v/>
      </c>
    </row>
    <row r="132">
      <c r="A132" s="24">
        <v>84.0</v>
      </c>
      <c r="B132" s="25" t="str">
        <f>IFERROR(VLOOKUP(A132,'ฟอร์มทะเบียนผู้เข้าพัก'!A:E,5,FALSE),)</f>
        <v/>
      </c>
      <c r="C132" s="25" t="str">
        <f>IFERROR(VLOOKUP(A132,'ฟอร์มทะเบียนผู้เข้าพัก'!A:F,3,FALSE),)</f>
        <v/>
      </c>
      <c r="D132" s="26" t="str">
        <f t="shared" si="27"/>
        <v/>
      </c>
      <c r="E132" s="27" t="str">
        <f t="shared" si="28"/>
        <v/>
      </c>
      <c r="F132" s="28">
        <f t="shared" si="29"/>
        <v>0</v>
      </c>
      <c r="G132" s="28">
        <f t="shared" si="30"/>
        <v>0</v>
      </c>
      <c r="H132" s="26"/>
      <c r="I132" s="29" t="str">
        <f>IFERROR(VLOOKUP(A132,'ฟอร์มทะเบียนผู้เข้าพัก'!A:L,2,FALSE),)</f>
        <v>VP01128</v>
      </c>
      <c r="K132" s="29" t="str">
        <f>IFERROR(VLOOKUP(A132,'ฟอร์มทะเบียนผู้เข้าพัก'!A:L,4,FALSE),)</f>
        <v/>
      </c>
    </row>
    <row r="133">
      <c r="A133" s="24">
        <v>85.0</v>
      </c>
      <c r="B133" s="25" t="str">
        <f>IFERROR(VLOOKUP(A133,'ฟอร์มทะเบียนผู้เข้าพัก'!A:E,5,FALSE),)</f>
        <v/>
      </c>
      <c r="C133" s="25" t="str">
        <f>IFERROR(VLOOKUP(A133,'ฟอร์มทะเบียนผู้เข้าพัก'!A:F,3,FALSE),)</f>
        <v/>
      </c>
      <c r="D133" s="26" t="str">
        <f t="shared" si="27"/>
        <v/>
      </c>
      <c r="E133" s="27" t="str">
        <f t="shared" si="28"/>
        <v/>
      </c>
      <c r="F133" s="28">
        <f t="shared" si="29"/>
        <v>0</v>
      </c>
      <c r="G133" s="28">
        <f t="shared" si="30"/>
        <v>0</v>
      </c>
      <c r="H133" s="26"/>
      <c r="I133" s="29" t="str">
        <f>IFERROR(VLOOKUP(A133,'ฟอร์มทะเบียนผู้เข้าพัก'!A:L,2,FALSE),)</f>
        <v>VP01129</v>
      </c>
      <c r="K133" s="29" t="str">
        <f>IFERROR(VLOOKUP(A133,'ฟอร์มทะเบียนผู้เข้าพัก'!A:L,4,FALSE),)</f>
        <v/>
      </c>
    </row>
    <row r="134">
      <c r="A134" s="24" t="s">
        <v>196</v>
      </c>
      <c r="B134" s="26"/>
      <c r="C134" s="37"/>
      <c r="D134" s="20">
        <f t="shared" ref="D134:G134" si="31">SUM(D119:D133)</f>
        <v>0</v>
      </c>
      <c r="E134" s="21">
        <f t="shared" si="31"/>
        <v>0</v>
      </c>
      <c r="F134" s="32">
        <f t="shared" si="31"/>
        <v>0</v>
      </c>
      <c r="G134" s="32">
        <f t="shared" si="31"/>
        <v>0</v>
      </c>
      <c r="H134" s="39"/>
      <c r="I134" s="29" t="str">
        <f>IFERROR(VLOOKUP(A134,'ฟอร์มทะเบียนผู้เข้าพัก'!A:L,12,FALSE),)</f>
        <v/>
      </c>
      <c r="J134" s="29" t="str">
        <f>IFERROR(VLOOKUP(A134,'ฟอร์มทะเบียนผู้เข้าพัก'!A:L,2,FALSE),)</f>
        <v/>
      </c>
      <c r="K134" s="29" t="str">
        <f>IFERROR(VLOOKUP(A134,'ฟอร์มทะเบียนผู้เข้าพัก'!A:L,4,FALSE),)</f>
        <v/>
      </c>
    </row>
    <row r="135">
      <c r="A135" s="13"/>
      <c r="B135" s="13"/>
      <c r="C135" s="13"/>
      <c r="D135" s="13"/>
      <c r="E135" s="16"/>
      <c r="F135" s="13"/>
      <c r="G135" s="13"/>
      <c r="H135" s="13"/>
      <c r="I135" s="29" t="str">
        <f>IFERROR(VLOOKUP(A135,'ฟอร์มทะเบียนผู้เข้าพัก'!A:L,12,FALSE),)</f>
        <v/>
      </c>
      <c r="J135" s="29" t="str">
        <f>IFERROR(VLOOKUP(A135,'ฟอร์มทะเบียนผู้เข้าพัก'!A:L,2,FALSE),)</f>
        <v/>
      </c>
      <c r="K135" s="29" t="str">
        <f>IFERROR(VLOOKUP(A135,'ฟอร์มทะเบียนผู้เข้าพัก'!A:L,4,FALSE),)</f>
        <v/>
      </c>
    </row>
    <row r="136">
      <c r="A136" s="13"/>
      <c r="B136" s="13"/>
      <c r="C136" s="13"/>
      <c r="D136" s="33" t="s">
        <v>201</v>
      </c>
      <c r="G136" s="13"/>
      <c r="H136" s="13"/>
      <c r="I136" s="34">
        <v>400.0</v>
      </c>
      <c r="J136" s="34">
        <v>500.0</v>
      </c>
      <c r="K136" s="34">
        <v>600.0</v>
      </c>
    </row>
    <row r="137">
      <c r="A137" s="13"/>
      <c r="B137" s="13"/>
      <c r="C137" s="13"/>
      <c r="D137" s="33" t="s">
        <v>202</v>
      </c>
      <c r="G137" s="13"/>
      <c r="H137" s="13"/>
      <c r="I137" s="34">
        <f>SUMIF(E119:E133,I136,F119:F133)</f>
        <v>0</v>
      </c>
      <c r="J137" s="34">
        <f>SUMIF(E119:E133,J136,F119:F133)</f>
        <v>0</v>
      </c>
      <c r="K137" s="34">
        <f>SUMIF(E119:E133,K136,F119:F133)</f>
        <v>0</v>
      </c>
    </row>
    <row r="138">
      <c r="A138" s="13"/>
      <c r="B138" s="13"/>
      <c r="C138" s="13"/>
      <c r="D138" s="13"/>
      <c r="E138" s="16"/>
      <c r="F138" s="13"/>
      <c r="G138" s="13"/>
      <c r="H138" s="13"/>
      <c r="I138" s="29" t="str">
        <f>IFERROR(VLOOKUP(A138,'ฟอร์มทะเบียนผู้เข้าพัก'!A:L,12,FALSE),)</f>
        <v/>
      </c>
      <c r="J138" s="29" t="str">
        <f>IFERROR(VLOOKUP(A138,'ฟอร์มทะเบียนผู้เข้าพัก'!A:L,2,FALSE),)</f>
        <v/>
      </c>
      <c r="K138" s="29" t="str">
        <f>IFERROR(VLOOKUP(A138,'ฟอร์มทะเบียนผู้เข้าพัก'!A:L,4,FALSE),)</f>
        <v/>
      </c>
    </row>
    <row r="139">
      <c r="A139" s="13"/>
      <c r="B139" s="13"/>
      <c r="C139" s="13"/>
      <c r="D139" s="13"/>
      <c r="E139" s="16"/>
      <c r="F139" s="13"/>
      <c r="G139" s="13"/>
      <c r="H139" s="13"/>
      <c r="I139" s="29" t="str">
        <f>IFERROR(VLOOKUP(A139,'ฟอร์มทะเบียนผู้เข้าพัก'!A:L,12,FALSE),)</f>
        <v/>
      </c>
      <c r="J139" s="29" t="str">
        <f>IFERROR(VLOOKUP(A139,'ฟอร์มทะเบียนผู้เข้าพัก'!A:L,2,FALSE),)</f>
        <v/>
      </c>
      <c r="K139" s="29" t="str">
        <f>IFERROR(VLOOKUP(A139,'ฟอร์มทะเบียนผู้เข้าพัก'!A:L,4,FALSE),)</f>
        <v/>
      </c>
    </row>
    <row r="140">
      <c r="A140" s="19" t="s">
        <v>189</v>
      </c>
      <c r="B140" s="19" t="s">
        <v>190</v>
      </c>
      <c r="C140" s="35" t="s">
        <v>191</v>
      </c>
      <c r="D140" s="20" t="s">
        <v>192</v>
      </c>
      <c r="E140" s="21" t="s">
        <v>193</v>
      </c>
      <c r="F140" s="20" t="s">
        <v>194</v>
      </c>
      <c r="G140" s="20" t="s">
        <v>194</v>
      </c>
      <c r="H140" s="19" t="s">
        <v>195</v>
      </c>
      <c r="I140" s="29" t="str">
        <f>IFERROR(VLOOKUP(A140,'ฟอร์มทะเบียนผู้เข้าพัก'!A:L,12,FALSE),)</f>
        <v/>
      </c>
      <c r="J140" s="29" t="str">
        <f>IFERROR(VLOOKUP(A140,'ฟอร์มทะเบียนผู้เข้าพัก'!A:L,2,FALSE),)</f>
        <v/>
      </c>
      <c r="K140" s="29" t="str">
        <f>IFERROR(VLOOKUP(A140,'ฟอร์มทะเบียนผู้เข้าพัก'!A:L,4,FALSE),)</f>
        <v/>
      </c>
    </row>
    <row r="141">
      <c r="A141" s="23"/>
      <c r="B141" s="23"/>
      <c r="C141" s="36"/>
      <c r="D141" s="20" t="s">
        <v>197</v>
      </c>
      <c r="E141" s="21" t="s">
        <v>198</v>
      </c>
      <c r="F141" s="20" t="s">
        <v>199</v>
      </c>
      <c r="G141" s="20" t="s">
        <v>200</v>
      </c>
      <c r="H141" s="23"/>
      <c r="I141" s="29" t="str">
        <f>IFERROR(VLOOKUP(A141,'ฟอร์มทะเบียนผู้เข้าพัก'!A:L,12,FALSE),)</f>
        <v/>
      </c>
      <c r="J141" s="29" t="str">
        <f>IFERROR(VLOOKUP(A141,'ฟอร์มทะเบียนผู้เข้าพัก'!A:L,2,FALSE),)</f>
        <v/>
      </c>
      <c r="K141" s="29" t="str">
        <f>IFERROR(VLOOKUP(A141,'ฟอร์มทะเบียนผู้เข้าพัก'!A:L,4,FALSE),)</f>
        <v/>
      </c>
    </row>
    <row r="142">
      <c r="A142" s="24">
        <v>86.0</v>
      </c>
      <c r="B142" s="25" t="str">
        <f>IFERROR(VLOOKUP(A142,'ฟอร์มทะเบียนผู้เข้าพัก'!A:E,5,FALSE),)</f>
        <v/>
      </c>
      <c r="C142" s="25" t="str">
        <f>IFERROR(VLOOKUP(A142,'ฟอร์มทะเบียนผู้เข้าพัก'!A:F,3,FALSE),)</f>
        <v/>
      </c>
      <c r="D142" s="26" t="str">
        <f t="shared" ref="D142:D148" si="32">IFERROR(VLOOKUP(I142,' รายการเข้าพัก'!B:L,6,FALSE),)</f>
        <v/>
      </c>
      <c r="E142" s="27" t="str">
        <f t="shared" ref="E142:E156" si="33">IFERROR(vlookup(K142,'🛏️ รายการห้องพัก'!A:E,5,false),)</f>
        <v/>
      </c>
      <c r="F142" s="28">
        <f t="shared" ref="F142:F148" si="34">E142*D142</f>
        <v>0</v>
      </c>
      <c r="G142" s="28">
        <f t="shared" ref="G142:G148" si="35">F142*1%</f>
        <v>0</v>
      </c>
      <c r="H142" s="26"/>
      <c r="I142" s="29" t="str">
        <f>IFERROR(VLOOKUP(A142,'ฟอร์มทะเบียนผู้เข้าพัก'!A:L,2,FALSE),)</f>
        <v>VP01130</v>
      </c>
      <c r="K142" s="29" t="str">
        <f>IFERROR(VLOOKUP(A142,'ฟอร์มทะเบียนผู้เข้าพัก'!A:L,4,FALSE),)</f>
        <v/>
      </c>
    </row>
    <row r="143">
      <c r="A143" s="24">
        <v>87.0</v>
      </c>
      <c r="B143" s="25" t="str">
        <f>IFERROR(VLOOKUP(A143,'ฟอร์มทะเบียนผู้เข้าพัก'!A:E,5,FALSE),)</f>
        <v/>
      </c>
      <c r="C143" s="25" t="str">
        <f>IFERROR(VLOOKUP(A143,'ฟอร์มทะเบียนผู้เข้าพัก'!A:F,3,FALSE),)</f>
        <v/>
      </c>
      <c r="D143" s="26" t="str">
        <f t="shared" si="32"/>
        <v/>
      </c>
      <c r="E143" s="27" t="str">
        <f t="shared" si="33"/>
        <v/>
      </c>
      <c r="F143" s="28">
        <f t="shared" si="34"/>
        <v>0</v>
      </c>
      <c r="G143" s="28">
        <f t="shared" si="35"/>
        <v>0</v>
      </c>
      <c r="H143" s="26"/>
      <c r="I143" s="29" t="str">
        <f>IFERROR(VLOOKUP(A143,'ฟอร์มทะเบียนผู้เข้าพัก'!A:L,2,FALSE),)</f>
        <v>VP01131</v>
      </c>
      <c r="K143" s="29" t="str">
        <f>IFERROR(VLOOKUP(A143,'ฟอร์มทะเบียนผู้เข้าพัก'!A:L,4,FALSE),)</f>
        <v/>
      </c>
    </row>
    <row r="144">
      <c r="A144" s="24">
        <v>88.0</v>
      </c>
      <c r="B144" s="25" t="str">
        <f>IFERROR(VLOOKUP(A144,'ฟอร์มทะเบียนผู้เข้าพัก'!A:E,5,FALSE),)</f>
        <v/>
      </c>
      <c r="C144" s="25" t="str">
        <f>IFERROR(VLOOKUP(A144,'ฟอร์มทะเบียนผู้เข้าพัก'!A:F,3,FALSE),)</f>
        <v/>
      </c>
      <c r="D144" s="26" t="str">
        <f t="shared" si="32"/>
        <v/>
      </c>
      <c r="E144" s="27" t="str">
        <f t="shared" si="33"/>
        <v/>
      </c>
      <c r="F144" s="28">
        <f t="shared" si="34"/>
        <v>0</v>
      </c>
      <c r="G144" s="28">
        <f t="shared" si="35"/>
        <v>0</v>
      </c>
      <c r="H144" s="26"/>
      <c r="I144" s="29" t="str">
        <f>IFERROR(VLOOKUP(A144,'ฟอร์มทะเบียนผู้เข้าพัก'!A:L,2,FALSE),)</f>
        <v>VP01132</v>
      </c>
      <c r="K144" s="29" t="str">
        <f>IFERROR(VLOOKUP(A144,'ฟอร์มทะเบียนผู้เข้าพัก'!A:L,4,FALSE),)</f>
        <v/>
      </c>
    </row>
    <row r="145">
      <c r="A145" s="24">
        <v>89.0</v>
      </c>
      <c r="B145" s="25" t="str">
        <f>IFERROR(VLOOKUP(A145,'ฟอร์มทะเบียนผู้เข้าพัก'!A:E,5,FALSE),)</f>
        <v/>
      </c>
      <c r="C145" s="25" t="str">
        <f>IFERROR(VLOOKUP(A145,'ฟอร์มทะเบียนผู้เข้าพัก'!A:F,3,FALSE),)</f>
        <v/>
      </c>
      <c r="D145" s="26" t="str">
        <f t="shared" si="32"/>
        <v/>
      </c>
      <c r="E145" s="27" t="str">
        <f t="shared" si="33"/>
        <v/>
      </c>
      <c r="F145" s="28">
        <f t="shared" si="34"/>
        <v>0</v>
      </c>
      <c r="G145" s="28">
        <f t="shared" si="35"/>
        <v>0</v>
      </c>
      <c r="H145" s="26"/>
      <c r="I145" s="29" t="str">
        <f>IFERROR(VLOOKUP(A145,'ฟอร์มทะเบียนผู้เข้าพัก'!A:L,2,FALSE),)</f>
        <v>VP01133</v>
      </c>
      <c r="K145" s="29" t="str">
        <f>IFERROR(VLOOKUP(A145,'ฟอร์มทะเบียนผู้เข้าพัก'!A:L,4,FALSE),)</f>
        <v/>
      </c>
    </row>
    <row r="146">
      <c r="A146" s="24">
        <v>90.0</v>
      </c>
      <c r="B146" s="25" t="str">
        <f>IFERROR(VLOOKUP(A146,'ฟอร์มทะเบียนผู้เข้าพัก'!A:E,5,FALSE),)</f>
        <v/>
      </c>
      <c r="C146" s="25" t="str">
        <f>IFERROR(VLOOKUP(A146,'ฟอร์มทะเบียนผู้เข้าพัก'!A:F,3,FALSE),)</f>
        <v/>
      </c>
      <c r="D146" s="26" t="str">
        <f t="shared" si="32"/>
        <v/>
      </c>
      <c r="E146" s="27" t="str">
        <f t="shared" si="33"/>
        <v/>
      </c>
      <c r="F146" s="28">
        <f t="shared" si="34"/>
        <v>0</v>
      </c>
      <c r="G146" s="28">
        <f t="shared" si="35"/>
        <v>0</v>
      </c>
      <c r="H146" s="26"/>
      <c r="I146" s="29" t="str">
        <f>IFERROR(VLOOKUP(A146,'ฟอร์มทะเบียนผู้เข้าพัก'!A:L,2,FALSE),)</f>
        <v>VP01134</v>
      </c>
      <c r="K146" s="29" t="str">
        <f>IFERROR(VLOOKUP(A146,'ฟอร์มทะเบียนผู้เข้าพัก'!A:L,4,FALSE),)</f>
        <v/>
      </c>
    </row>
    <row r="147">
      <c r="A147" s="24">
        <v>91.0</v>
      </c>
      <c r="B147" s="25" t="str">
        <f>IFERROR(VLOOKUP(A147,'ฟอร์มทะเบียนผู้เข้าพัก'!A:E,5,FALSE),)</f>
        <v/>
      </c>
      <c r="C147" s="25" t="str">
        <f>IFERROR(VLOOKUP(A147,'ฟอร์มทะเบียนผู้เข้าพัก'!A:F,3,FALSE),)</f>
        <v/>
      </c>
      <c r="D147" s="26" t="str">
        <f t="shared" si="32"/>
        <v/>
      </c>
      <c r="E147" s="27" t="str">
        <f t="shared" si="33"/>
        <v/>
      </c>
      <c r="F147" s="28">
        <f t="shared" si="34"/>
        <v>0</v>
      </c>
      <c r="G147" s="28">
        <f t="shared" si="35"/>
        <v>0</v>
      </c>
      <c r="H147" s="26"/>
      <c r="I147" s="29" t="str">
        <f>IFERROR(VLOOKUP(A147,'ฟอร์มทะเบียนผู้เข้าพัก'!A:L,2,FALSE),)</f>
        <v>VP01135</v>
      </c>
      <c r="K147" s="29" t="str">
        <f>IFERROR(VLOOKUP(A147,'ฟอร์มทะเบียนผู้เข้าพัก'!A:L,4,FALSE),)</f>
        <v/>
      </c>
    </row>
    <row r="148">
      <c r="A148" s="24">
        <v>92.0</v>
      </c>
      <c r="B148" s="25" t="str">
        <f>IFERROR(VLOOKUP(A148,'ฟอร์มทะเบียนผู้เข้าพัก'!A:E,5,FALSE),)</f>
        <v/>
      </c>
      <c r="C148" s="25" t="str">
        <f>IFERROR(VLOOKUP(A148,'ฟอร์มทะเบียนผู้เข้าพัก'!A:F,3,FALSE),)</f>
        <v/>
      </c>
      <c r="D148" s="26" t="str">
        <f t="shared" si="32"/>
        <v/>
      </c>
      <c r="E148" s="27" t="str">
        <f t="shared" si="33"/>
        <v/>
      </c>
      <c r="F148" s="28">
        <f t="shared" si="34"/>
        <v>0</v>
      </c>
      <c r="G148" s="28">
        <f t="shared" si="35"/>
        <v>0</v>
      </c>
      <c r="H148" s="39"/>
      <c r="I148" s="29" t="str">
        <f>IFERROR(VLOOKUP(A148,'ฟอร์มทะเบียนผู้เข้าพัก'!A:L,2,FALSE),)</f>
        <v>VP01136</v>
      </c>
      <c r="K148" s="29" t="str">
        <f>IFERROR(VLOOKUP(A148,'ฟอร์มทะเบียนผู้เข้าพัก'!A:L,4,FALSE),)</f>
        <v/>
      </c>
    </row>
    <row r="149">
      <c r="A149" s="24">
        <v>93.0</v>
      </c>
      <c r="B149" s="25" t="str">
        <f>IFERROR(VLOOKUP(A149,'ฟอร์มทะเบียนผู้เข้าพัก'!A:E,5,FALSE),)</f>
        <v/>
      </c>
      <c r="C149" s="25" t="str">
        <f>IFERROR(VLOOKUP(A149,'ฟอร์มทะเบียนผู้เข้าพัก'!A:F,3,FALSE),)</f>
        <v/>
      </c>
      <c r="D149" s="26" t="str">
        <f t="shared" ref="D149:D156" si="36">IFERROR(VLOOKUP(J149,' รายการเข้าพัก'!B:L,6,FALSE),)</f>
        <v/>
      </c>
      <c r="E149" s="27" t="str">
        <f t="shared" si="33"/>
        <v/>
      </c>
      <c r="F149" s="28"/>
      <c r="G149" s="28"/>
      <c r="H149" s="39"/>
      <c r="I149" s="29" t="str">
        <f>IFERROR(VLOOKUP(A149,'ฟอร์มทะเบียนผู้เข้าพัก'!A:L,12,FALSE),)</f>
        <v/>
      </c>
      <c r="J149" s="29" t="str">
        <f>IFERROR(VLOOKUP(A149,'ฟอร์มทะเบียนผู้เข้าพัก'!A:L,2,FALSE),)</f>
        <v>VP01137</v>
      </c>
      <c r="K149" s="29" t="str">
        <f>IFERROR(VLOOKUP(A149,'ฟอร์มทะเบียนผู้เข้าพัก'!A:L,4,FALSE),)</f>
        <v/>
      </c>
    </row>
    <row r="150">
      <c r="A150" s="24">
        <v>94.0</v>
      </c>
      <c r="B150" s="25" t="str">
        <f>IFERROR(VLOOKUP(A150,'ฟอร์มทะเบียนผู้เข้าพัก'!A:E,5,FALSE),)</f>
        <v/>
      </c>
      <c r="C150" s="25" t="str">
        <f>IFERROR(VLOOKUP(A150,'ฟอร์มทะเบียนผู้เข้าพัก'!A:F,3,FALSE),)</f>
        <v/>
      </c>
      <c r="D150" s="26" t="str">
        <f t="shared" si="36"/>
        <v/>
      </c>
      <c r="E150" s="27" t="str">
        <f t="shared" si="33"/>
        <v/>
      </c>
      <c r="F150" s="28"/>
      <c r="G150" s="28"/>
      <c r="H150" s="39"/>
      <c r="I150" s="29" t="str">
        <f>IFERROR(VLOOKUP(A150,'ฟอร์มทะเบียนผู้เข้าพัก'!A:L,12,FALSE),)</f>
        <v/>
      </c>
      <c r="J150" s="29" t="str">
        <f>IFERROR(VLOOKUP(A150,'ฟอร์มทะเบียนผู้เข้าพัก'!A:L,2,FALSE),)</f>
        <v>VP01138</v>
      </c>
      <c r="K150" s="29" t="str">
        <f>IFERROR(VLOOKUP(A150,'ฟอร์มทะเบียนผู้เข้าพัก'!A:L,4,FALSE),)</f>
        <v/>
      </c>
    </row>
    <row r="151">
      <c r="A151" s="24">
        <v>95.0</v>
      </c>
      <c r="B151" s="25" t="str">
        <f>IFERROR(VLOOKUP(A151,'ฟอร์มทะเบียนผู้เข้าพัก'!A:E,5,FALSE),)</f>
        <v/>
      </c>
      <c r="C151" s="25" t="str">
        <f>IFERROR(VLOOKUP(A151,'ฟอร์มทะเบียนผู้เข้าพัก'!A:F,3,FALSE),)</f>
        <v/>
      </c>
      <c r="D151" s="26" t="str">
        <f t="shared" si="36"/>
        <v/>
      </c>
      <c r="E151" s="27" t="str">
        <f t="shared" si="33"/>
        <v/>
      </c>
      <c r="F151" s="28"/>
      <c r="G151" s="28"/>
      <c r="H151" s="39"/>
      <c r="I151" s="29" t="str">
        <f>IFERROR(VLOOKUP(A151,'ฟอร์มทะเบียนผู้เข้าพัก'!A:L,12,FALSE),)</f>
        <v/>
      </c>
      <c r="J151" s="29" t="str">
        <f>IFERROR(VLOOKUP(A151,'ฟอร์มทะเบียนผู้เข้าพัก'!A:L,2,FALSE),)</f>
        <v>VP01139</v>
      </c>
      <c r="K151" s="29" t="str">
        <f>IFERROR(VLOOKUP(A151,'ฟอร์มทะเบียนผู้เข้าพัก'!A:L,4,FALSE),)</f>
        <v/>
      </c>
    </row>
    <row r="152">
      <c r="A152" s="24">
        <v>96.0</v>
      </c>
      <c r="B152" s="25" t="str">
        <f>IFERROR(VLOOKUP(A152,'ฟอร์มทะเบียนผู้เข้าพัก'!A:E,5,FALSE),)</f>
        <v/>
      </c>
      <c r="C152" s="25" t="str">
        <f>IFERROR(VLOOKUP(A152,'ฟอร์มทะเบียนผู้เข้าพัก'!A:F,3,FALSE),)</f>
        <v/>
      </c>
      <c r="D152" s="26" t="str">
        <f t="shared" si="36"/>
        <v/>
      </c>
      <c r="E152" s="27" t="str">
        <f t="shared" si="33"/>
        <v/>
      </c>
      <c r="F152" s="28"/>
      <c r="G152" s="28"/>
      <c r="H152" s="39"/>
      <c r="I152" s="29" t="str">
        <f>IFERROR(VLOOKUP(A152,'ฟอร์มทะเบียนผู้เข้าพัก'!A:L,12,FALSE),)</f>
        <v/>
      </c>
      <c r="J152" s="29" t="str">
        <f>IFERROR(VLOOKUP(A152,'ฟอร์มทะเบียนผู้เข้าพัก'!A:L,2,FALSE),)</f>
        <v>VP01140</v>
      </c>
      <c r="K152" s="29" t="str">
        <f>IFERROR(VLOOKUP(A152,'ฟอร์มทะเบียนผู้เข้าพัก'!A:L,4,FALSE),)</f>
        <v/>
      </c>
    </row>
    <row r="153">
      <c r="A153" s="24">
        <v>97.0</v>
      </c>
      <c r="B153" s="25" t="str">
        <f>IFERROR(VLOOKUP(A153,'ฟอร์มทะเบียนผู้เข้าพัก'!A:E,5,FALSE),)</f>
        <v/>
      </c>
      <c r="C153" s="25" t="str">
        <f>IFERROR(VLOOKUP(A153,'ฟอร์มทะเบียนผู้เข้าพัก'!A:F,3,FALSE),)</f>
        <v/>
      </c>
      <c r="D153" s="26" t="str">
        <f t="shared" si="36"/>
        <v/>
      </c>
      <c r="E153" s="27" t="str">
        <f t="shared" si="33"/>
        <v/>
      </c>
      <c r="F153" s="28"/>
      <c r="G153" s="28"/>
      <c r="H153" s="39"/>
      <c r="I153" s="29" t="str">
        <f>IFERROR(VLOOKUP(A153,'ฟอร์มทะเบียนผู้เข้าพัก'!A:L,12,FALSE),)</f>
        <v/>
      </c>
      <c r="J153" s="29" t="str">
        <f>IFERROR(VLOOKUP(A153,'ฟอร์มทะเบียนผู้เข้าพัก'!A:L,2,FALSE),)</f>
        <v>VP01141</v>
      </c>
      <c r="K153" s="29" t="str">
        <f>IFERROR(VLOOKUP(A153,'ฟอร์มทะเบียนผู้เข้าพัก'!A:L,4,FALSE),)</f>
        <v/>
      </c>
    </row>
    <row r="154">
      <c r="A154" s="24">
        <v>98.0</v>
      </c>
      <c r="B154" s="25" t="str">
        <f>IFERROR(VLOOKUP(A154,'ฟอร์มทะเบียนผู้เข้าพัก'!A:E,5,FALSE),)</f>
        <v/>
      </c>
      <c r="C154" s="25" t="str">
        <f>IFERROR(VLOOKUP(A154,'ฟอร์มทะเบียนผู้เข้าพัก'!A:F,3,FALSE),)</f>
        <v/>
      </c>
      <c r="D154" s="26" t="str">
        <f t="shared" si="36"/>
        <v/>
      </c>
      <c r="E154" s="27" t="str">
        <f t="shared" si="33"/>
        <v/>
      </c>
      <c r="F154" s="28"/>
      <c r="G154" s="28"/>
      <c r="H154" s="39"/>
      <c r="I154" s="29" t="str">
        <f>IFERROR(VLOOKUP(A154,'ฟอร์มทะเบียนผู้เข้าพัก'!A:L,12,FALSE),)</f>
        <v/>
      </c>
      <c r="J154" s="29" t="str">
        <f>IFERROR(VLOOKUP(A154,'ฟอร์มทะเบียนผู้เข้าพัก'!A:L,2,FALSE),)</f>
        <v>VP01142</v>
      </c>
      <c r="K154" s="29" t="str">
        <f>IFERROR(VLOOKUP(A154,'ฟอร์มทะเบียนผู้เข้าพัก'!A:L,4,FALSE),)</f>
        <v/>
      </c>
    </row>
    <row r="155">
      <c r="A155" s="24">
        <v>99.0</v>
      </c>
      <c r="B155" s="25" t="str">
        <f>IFERROR(VLOOKUP(A155,'ฟอร์มทะเบียนผู้เข้าพัก'!A:E,5,FALSE),)</f>
        <v/>
      </c>
      <c r="C155" s="25" t="str">
        <f>IFERROR(VLOOKUP(A155,'ฟอร์มทะเบียนผู้เข้าพัก'!A:F,3,FALSE),)</f>
        <v/>
      </c>
      <c r="D155" s="26" t="str">
        <f t="shared" si="36"/>
        <v/>
      </c>
      <c r="E155" s="27" t="str">
        <f t="shared" si="33"/>
        <v/>
      </c>
      <c r="F155" s="28"/>
      <c r="G155" s="28"/>
      <c r="H155" s="39"/>
      <c r="I155" s="29" t="str">
        <f>IFERROR(VLOOKUP(A155,'ฟอร์มทะเบียนผู้เข้าพัก'!A:L,12,FALSE),)</f>
        <v/>
      </c>
      <c r="J155" s="29" t="str">
        <f>IFERROR(VLOOKUP(A155,'ฟอร์มทะเบียนผู้เข้าพัก'!A:L,2,FALSE),)</f>
        <v>VP01143</v>
      </c>
      <c r="K155" s="29" t="str">
        <f>IFERROR(VLOOKUP(A155,'ฟอร์มทะเบียนผู้เข้าพัก'!A:L,4,FALSE),)</f>
        <v/>
      </c>
    </row>
    <row r="156">
      <c r="A156" s="24">
        <v>100.0</v>
      </c>
      <c r="B156" s="25" t="str">
        <f>IFERROR(VLOOKUP(A156,'ฟอร์มทะเบียนผู้เข้าพัก'!A:E,5,FALSE),)</f>
        <v/>
      </c>
      <c r="C156" s="25" t="str">
        <f>IFERROR(VLOOKUP(A156,'ฟอร์มทะเบียนผู้เข้าพัก'!A:F,3,FALSE),)</f>
        <v/>
      </c>
      <c r="D156" s="26" t="str">
        <f t="shared" si="36"/>
        <v/>
      </c>
      <c r="E156" s="27" t="str">
        <f t="shared" si="33"/>
        <v/>
      </c>
      <c r="F156" s="28"/>
      <c r="G156" s="28"/>
      <c r="H156" s="26"/>
      <c r="I156" s="29" t="str">
        <f>IFERROR(VLOOKUP(A156,'ฟอร์มทะเบียนผู้เข้าพัก'!A:L,12,FALSE),)</f>
        <v/>
      </c>
      <c r="J156" s="29" t="str">
        <f>IFERROR(VLOOKUP(A156,'ฟอร์มทะเบียนผู้เข้าพัก'!A:L,2,FALSE),)</f>
        <v/>
      </c>
      <c r="K156" s="29" t="str">
        <f>IFERROR(VLOOKUP(A156,'ฟอร์มทะเบียนผู้เข้าพัก'!A:L,4,FALSE),)</f>
        <v/>
      </c>
    </row>
    <row r="157">
      <c r="A157" s="24" t="s">
        <v>196</v>
      </c>
      <c r="B157" s="26"/>
      <c r="C157" s="37"/>
      <c r="D157" s="20">
        <f t="shared" ref="D157:G157" si="37">SUM(D142:D156)</f>
        <v>0</v>
      </c>
      <c r="E157" s="21">
        <f t="shared" si="37"/>
        <v>0</v>
      </c>
      <c r="F157" s="32">
        <f t="shared" si="37"/>
        <v>0</v>
      </c>
      <c r="G157" s="32">
        <f t="shared" si="37"/>
        <v>0</v>
      </c>
      <c r="H157" s="26"/>
      <c r="I157" s="29" t="str">
        <f>IFERROR(VLOOKUP(A157,'ฟอร์มทะเบียนผู้เข้าพัก'!A:L,12,FALSE),)</f>
        <v/>
      </c>
      <c r="J157" s="29" t="str">
        <f>IFERROR(VLOOKUP(A157,'ฟอร์มทะเบียนผู้เข้าพัก'!A:L,2,FALSE),)</f>
        <v/>
      </c>
      <c r="K157" s="29" t="str">
        <f>IFERROR(VLOOKUP(A157,'ฟอร์มทะเบียนผู้เข้าพัก'!A:L,4,FALSE),)</f>
        <v/>
      </c>
    </row>
    <row r="158">
      <c r="A158" s="13"/>
      <c r="B158" s="13"/>
      <c r="C158" s="13"/>
      <c r="D158" s="13"/>
      <c r="E158" s="16"/>
      <c r="F158" s="40"/>
      <c r="G158" s="13"/>
      <c r="H158" s="13"/>
      <c r="I158" s="29" t="str">
        <f>IFERROR(VLOOKUP(A158,'ฟอร์มทะเบียนผู้เข้าพัก'!A:L,12,FALSE),)</f>
        <v/>
      </c>
      <c r="J158" s="29" t="str">
        <f>IFERROR(VLOOKUP(A158,'ฟอร์มทะเบียนผู้เข้าพัก'!A:L,2,FALSE),)</f>
        <v/>
      </c>
      <c r="K158" s="29" t="str">
        <f>IFERROR(VLOOKUP(A158,'ฟอร์มทะเบียนผู้เข้าพัก'!A:L,4,FALSE),)</f>
        <v/>
      </c>
    </row>
    <row r="159">
      <c r="A159" s="13"/>
      <c r="B159" s="13"/>
      <c r="C159" s="13"/>
      <c r="D159" s="33" t="s">
        <v>201</v>
      </c>
      <c r="G159" s="13"/>
      <c r="H159" s="13"/>
      <c r="I159" s="34">
        <v>400.0</v>
      </c>
      <c r="J159" s="34">
        <v>500.0</v>
      </c>
      <c r="K159" s="34">
        <v>600.0</v>
      </c>
    </row>
    <row r="160">
      <c r="A160" s="13"/>
      <c r="B160" s="13"/>
      <c r="C160" s="13"/>
      <c r="D160" s="33" t="s">
        <v>202</v>
      </c>
      <c r="G160" s="13"/>
      <c r="H160" s="13"/>
      <c r="I160" s="34">
        <f>SUMIF(E142:E156,I159,F142:F156)</f>
        <v>0</v>
      </c>
      <c r="J160" s="34">
        <f>SUMIF(E142:E156,J159,F142:F156)</f>
        <v>0</v>
      </c>
      <c r="K160" s="34">
        <f>SUMIF(E142:E156,K159,F142:F156)</f>
        <v>0</v>
      </c>
    </row>
    <row r="161">
      <c r="A161" s="13"/>
      <c r="B161" s="13"/>
      <c r="C161" s="13"/>
      <c r="D161" s="13"/>
      <c r="E161" s="16"/>
      <c r="F161" s="13"/>
      <c r="G161" s="13"/>
      <c r="H161" s="13"/>
      <c r="I161" s="29" t="str">
        <f>IFERROR(VLOOKUP(A161,'ฟอร์มทะเบียนผู้เข้าพัก'!A:L,12,FALSE),)</f>
        <v/>
      </c>
      <c r="J161" s="29" t="str">
        <f>IFERROR(VLOOKUP(A161,'ฟอร์มทะเบียนผู้เข้าพัก'!A:L,2,FALSE),)</f>
        <v/>
      </c>
      <c r="K161" s="29" t="str">
        <f>IFERROR(VLOOKUP(A161,'ฟอร์มทะเบียนผู้เข้าพัก'!A:L,4,FALSE),)</f>
        <v/>
      </c>
    </row>
    <row r="162">
      <c r="A162" s="13"/>
      <c r="B162" s="13"/>
      <c r="C162" s="13"/>
      <c r="D162" s="13"/>
      <c r="E162" s="16"/>
      <c r="F162" s="13"/>
      <c r="G162" s="13"/>
      <c r="H162" s="13"/>
      <c r="I162" s="29" t="str">
        <f>IFERROR(VLOOKUP(A162,'ฟอร์มทะเบียนผู้เข้าพัก'!A:L,12,FALSE),)</f>
        <v/>
      </c>
      <c r="J162" s="29" t="str">
        <f>IFERROR(VLOOKUP(A162,'ฟอร์มทะเบียนผู้เข้าพัก'!A:L,2,FALSE),)</f>
        <v/>
      </c>
      <c r="K162" s="29" t="str">
        <f>IFERROR(VLOOKUP(A162,'ฟอร์มทะเบียนผู้เข้าพัก'!A:L,4,FALSE),)</f>
        <v/>
      </c>
    </row>
    <row r="163">
      <c r="A163" s="19" t="s">
        <v>189</v>
      </c>
      <c r="B163" s="19" t="s">
        <v>190</v>
      </c>
      <c r="C163" s="35" t="s">
        <v>191</v>
      </c>
      <c r="D163" s="20" t="s">
        <v>192</v>
      </c>
      <c r="E163" s="21" t="s">
        <v>193</v>
      </c>
      <c r="F163" s="20" t="s">
        <v>194</v>
      </c>
      <c r="G163" s="20" t="s">
        <v>194</v>
      </c>
      <c r="H163" s="19" t="s">
        <v>195</v>
      </c>
      <c r="I163" s="29" t="str">
        <f>IFERROR(VLOOKUP(A163,'ฟอร์มทะเบียนผู้เข้าพัก'!A:L,12,FALSE),)</f>
        <v/>
      </c>
      <c r="J163" s="29" t="str">
        <f>IFERROR(VLOOKUP(A163,'ฟอร์มทะเบียนผู้เข้าพัก'!A:L,2,FALSE),)</f>
        <v/>
      </c>
      <c r="K163" s="29" t="str">
        <f>IFERROR(VLOOKUP(A163,'ฟอร์มทะเบียนผู้เข้าพัก'!A:L,4,FALSE),)</f>
        <v/>
      </c>
    </row>
    <row r="164">
      <c r="A164" s="23"/>
      <c r="B164" s="23"/>
      <c r="C164" s="36"/>
      <c r="D164" s="20" t="s">
        <v>197</v>
      </c>
      <c r="E164" s="21" t="s">
        <v>198</v>
      </c>
      <c r="F164" s="20" t="s">
        <v>199</v>
      </c>
      <c r="G164" s="20" t="s">
        <v>200</v>
      </c>
      <c r="H164" s="23"/>
      <c r="I164" s="29" t="str">
        <f>IFERROR(VLOOKUP(A164,'ฟอร์มทะเบียนผู้เข้าพัก'!A:L,12,FALSE),)</f>
        <v/>
      </c>
      <c r="J164" s="29" t="str">
        <f>IFERROR(VLOOKUP(A164,'ฟอร์มทะเบียนผู้เข้าพัก'!A:L,2,FALSE),)</f>
        <v/>
      </c>
      <c r="K164" s="29" t="str">
        <f>IFERROR(VLOOKUP(A164,'ฟอร์มทะเบียนผู้เข้าพัก'!A:L,4,FALSE),)</f>
        <v/>
      </c>
    </row>
    <row r="165">
      <c r="A165" s="24">
        <v>101.0</v>
      </c>
      <c r="B165" s="25" t="str">
        <f>IFERROR(VLOOKUP(A165,'ฟอร์มทะเบียนผู้เข้าพัก'!A:E,5,FALSE),)</f>
        <v/>
      </c>
      <c r="C165" s="25" t="str">
        <f>IFERROR(VLOOKUP(A165,'ฟอร์มทะเบียนผู้เข้าพัก'!A:F,3,FALSE),)</f>
        <v/>
      </c>
      <c r="D165" s="26" t="str">
        <f t="shared" ref="D165:D179" si="38">IFERROR(VLOOKUP(J165,' รายการเข้าพัก'!B:L,6,FALSE),)</f>
        <v/>
      </c>
      <c r="E165" s="27" t="str">
        <f t="shared" ref="E165:E179" si="39">IFERROR(vlookup(K165,'🛏️ รายการห้องพัก'!A:E,5,false),)</f>
        <v/>
      </c>
      <c r="F165" s="28">
        <f t="shared" ref="F165:F179" si="40">E165*D165</f>
        <v>0</v>
      </c>
      <c r="G165" s="28">
        <f t="shared" ref="G165:G179" si="41">F165*1%</f>
        <v>0</v>
      </c>
      <c r="H165" s="39"/>
      <c r="I165" s="29" t="str">
        <f>IFERROR(VLOOKUP(A165,'ฟอร์มทะเบียนผู้เข้าพัก'!A:L,12,FALSE),)</f>
        <v/>
      </c>
      <c r="J165" s="29" t="str">
        <f>IFERROR(VLOOKUP(A165,'ฟอร์มทะเบียนผู้เข้าพัก'!A:L,2,FALSE),)</f>
        <v/>
      </c>
      <c r="K165" s="29" t="str">
        <f>IFERROR(VLOOKUP(A165,'ฟอร์มทะเบียนผู้เข้าพัก'!A:L,4,FALSE),)</f>
        <v/>
      </c>
    </row>
    <row r="166">
      <c r="A166" s="24">
        <v>102.0</v>
      </c>
      <c r="B166" s="25" t="str">
        <f>IFERROR(VLOOKUP(A166,'ฟอร์มทะเบียนผู้เข้าพัก'!A:E,5,FALSE),)</f>
        <v/>
      </c>
      <c r="C166" s="25" t="str">
        <f>IFERROR(VLOOKUP(A166,'ฟอร์มทะเบียนผู้เข้าพัก'!A:F,3,FALSE),)</f>
        <v/>
      </c>
      <c r="D166" s="26" t="str">
        <f t="shared" si="38"/>
        <v/>
      </c>
      <c r="E166" s="27" t="str">
        <f t="shared" si="39"/>
        <v/>
      </c>
      <c r="F166" s="28">
        <f t="shared" si="40"/>
        <v>0</v>
      </c>
      <c r="G166" s="28">
        <f t="shared" si="41"/>
        <v>0</v>
      </c>
      <c r="H166" s="39"/>
      <c r="I166" s="29" t="str">
        <f>IFERROR(VLOOKUP(A166,'ฟอร์มทะเบียนผู้เข้าพัก'!A:L,12,FALSE),)</f>
        <v/>
      </c>
      <c r="J166" s="29" t="str">
        <f>IFERROR(VLOOKUP(A166,'ฟอร์มทะเบียนผู้เข้าพัก'!A:L,2,FALSE),)</f>
        <v/>
      </c>
      <c r="K166" s="29" t="str">
        <f>IFERROR(VLOOKUP(A166,'ฟอร์มทะเบียนผู้เข้าพัก'!A:L,4,FALSE),)</f>
        <v/>
      </c>
    </row>
    <row r="167">
      <c r="A167" s="24">
        <v>103.0</v>
      </c>
      <c r="B167" s="25" t="str">
        <f>IFERROR(VLOOKUP(A167,'ฟอร์มทะเบียนผู้เข้าพัก'!A:E,5,FALSE),)</f>
        <v/>
      </c>
      <c r="C167" s="25" t="str">
        <f>IFERROR(VLOOKUP(A167,'ฟอร์มทะเบียนผู้เข้าพัก'!A:F,3,FALSE),)</f>
        <v/>
      </c>
      <c r="D167" s="26" t="str">
        <f t="shared" si="38"/>
        <v/>
      </c>
      <c r="E167" s="27" t="str">
        <f t="shared" si="39"/>
        <v/>
      </c>
      <c r="F167" s="28">
        <f t="shared" si="40"/>
        <v>0</v>
      </c>
      <c r="G167" s="28">
        <f t="shared" si="41"/>
        <v>0</v>
      </c>
      <c r="H167" s="39"/>
      <c r="I167" s="29" t="str">
        <f>IFERROR(VLOOKUP(A167,'ฟอร์มทะเบียนผู้เข้าพัก'!A:L,12,FALSE),)</f>
        <v/>
      </c>
      <c r="J167" s="29" t="str">
        <f>IFERROR(VLOOKUP(A167,'ฟอร์มทะเบียนผู้เข้าพัก'!A:L,2,FALSE),)</f>
        <v/>
      </c>
      <c r="K167" s="29" t="str">
        <f>IFERROR(VLOOKUP(A167,'ฟอร์มทะเบียนผู้เข้าพัก'!A:L,4,FALSE),)</f>
        <v/>
      </c>
    </row>
    <row r="168">
      <c r="A168" s="24">
        <v>104.0</v>
      </c>
      <c r="B168" s="25" t="str">
        <f>IFERROR(VLOOKUP(A168,'ฟอร์มทะเบียนผู้เข้าพัก'!A:E,5,FALSE),)</f>
        <v/>
      </c>
      <c r="C168" s="25" t="str">
        <f>IFERROR(VLOOKUP(A168,'ฟอร์มทะเบียนผู้เข้าพัก'!A:F,3,FALSE),)</f>
        <v/>
      </c>
      <c r="D168" s="26" t="str">
        <f t="shared" si="38"/>
        <v/>
      </c>
      <c r="E168" s="27" t="str">
        <f t="shared" si="39"/>
        <v/>
      </c>
      <c r="F168" s="28">
        <f t="shared" si="40"/>
        <v>0</v>
      </c>
      <c r="G168" s="28">
        <f t="shared" si="41"/>
        <v>0</v>
      </c>
      <c r="H168" s="39"/>
      <c r="I168" s="29" t="str">
        <f>IFERROR(VLOOKUP(A168,'ฟอร์มทะเบียนผู้เข้าพัก'!A:L,12,FALSE),)</f>
        <v/>
      </c>
      <c r="J168" s="29" t="str">
        <f>IFERROR(VLOOKUP(A168,'ฟอร์มทะเบียนผู้เข้าพัก'!A:L,2,FALSE),)</f>
        <v/>
      </c>
      <c r="K168" s="29" t="str">
        <f>IFERROR(VLOOKUP(A168,'ฟอร์มทะเบียนผู้เข้าพัก'!A:L,4,FALSE),)</f>
        <v/>
      </c>
    </row>
    <row r="169">
      <c r="A169" s="24">
        <v>105.0</v>
      </c>
      <c r="B169" s="25" t="str">
        <f>IFERROR(VLOOKUP(A169,'ฟอร์มทะเบียนผู้เข้าพัก'!A:E,5,FALSE),)</f>
        <v/>
      </c>
      <c r="C169" s="25" t="str">
        <f>IFERROR(VLOOKUP(A169,'ฟอร์มทะเบียนผู้เข้าพัก'!A:F,3,FALSE),)</f>
        <v/>
      </c>
      <c r="D169" s="26" t="str">
        <f t="shared" si="38"/>
        <v/>
      </c>
      <c r="E169" s="27" t="str">
        <f t="shared" si="39"/>
        <v/>
      </c>
      <c r="F169" s="28">
        <f t="shared" si="40"/>
        <v>0</v>
      </c>
      <c r="G169" s="28">
        <f t="shared" si="41"/>
        <v>0</v>
      </c>
      <c r="H169" s="39"/>
      <c r="I169" s="29" t="str">
        <f>IFERROR(VLOOKUP(A169,'ฟอร์มทะเบียนผู้เข้าพัก'!A:L,12,FALSE),)</f>
        <v/>
      </c>
      <c r="J169" s="29" t="str">
        <f>IFERROR(VLOOKUP(A169,'ฟอร์มทะเบียนผู้เข้าพัก'!A:L,2,FALSE),)</f>
        <v/>
      </c>
      <c r="K169" s="29" t="str">
        <f>IFERROR(VLOOKUP(A169,'ฟอร์มทะเบียนผู้เข้าพัก'!A:L,4,FALSE),)</f>
        <v/>
      </c>
    </row>
    <row r="170">
      <c r="A170" s="24">
        <v>106.0</v>
      </c>
      <c r="B170" s="25" t="str">
        <f>IFERROR(VLOOKUP(A170,'ฟอร์มทะเบียนผู้เข้าพัก'!A:E,5,FALSE),)</f>
        <v/>
      </c>
      <c r="C170" s="25" t="str">
        <f>IFERROR(VLOOKUP(A170,'ฟอร์มทะเบียนผู้เข้าพัก'!A:F,3,FALSE),)</f>
        <v/>
      </c>
      <c r="D170" s="26" t="str">
        <f t="shared" si="38"/>
        <v/>
      </c>
      <c r="E170" s="27" t="str">
        <f t="shared" si="39"/>
        <v/>
      </c>
      <c r="F170" s="28">
        <f t="shared" si="40"/>
        <v>0</v>
      </c>
      <c r="G170" s="28">
        <f t="shared" si="41"/>
        <v>0</v>
      </c>
      <c r="H170" s="39"/>
      <c r="I170" s="29" t="str">
        <f>IFERROR(VLOOKUP(A170,'ฟอร์มทะเบียนผู้เข้าพัก'!A:L,12,FALSE),)</f>
        <v/>
      </c>
      <c r="J170" s="29" t="str">
        <f>IFERROR(VLOOKUP(A170,'ฟอร์มทะเบียนผู้เข้าพัก'!A:L,2,FALSE),)</f>
        <v/>
      </c>
      <c r="K170" s="29" t="str">
        <f>IFERROR(VLOOKUP(A170,'ฟอร์มทะเบียนผู้เข้าพัก'!A:L,4,FALSE),)</f>
        <v/>
      </c>
    </row>
    <row r="171">
      <c r="A171" s="24">
        <v>107.0</v>
      </c>
      <c r="B171" s="25" t="str">
        <f>IFERROR(VLOOKUP(A171,'ฟอร์มทะเบียนผู้เข้าพัก'!A:E,5,FALSE),)</f>
        <v/>
      </c>
      <c r="C171" s="25" t="str">
        <f>IFERROR(VLOOKUP(A171,'ฟอร์มทะเบียนผู้เข้าพัก'!A:F,3,FALSE),)</f>
        <v/>
      </c>
      <c r="D171" s="26" t="str">
        <f t="shared" si="38"/>
        <v/>
      </c>
      <c r="E171" s="27" t="str">
        <f t="shared" si="39"/>
        <v/>
      </c>
      <c r="F171" s="28">
        <f t="shared" si="40"/>
        <v>0</v>
      </c>
      <c r="G171" s="28">
        <f t="shared" si="41"/>
        <v>0</v>
      </c>
      <c r="H171" s="39"/>
      <c r="I171" s="29" t="str">
        <f>IFERROR(VLOOKUP(A171,'ฟอร์มทะเบียนผู้เข้าพัก'!A:L,12,FALSE),)</f>
        <v/>
      </c>
      <c r="J171" s="29" t="str">
        <f>IFERROR(VLOOKUP(A171,'ฟอร์มทะเบียนผู้เข้าพัก'!A:L,2,FALSE),)</f>
        <v/>
      </c>
      <c r="K171" s="29" t="str">
        <f>IFERROR(VLOOKUP(A171,'ฟอร์มทะเบียนผู้เข้าพัก'!A:L,4,FALSE),)</f>
        <v/>
      </c>
    </row>
    <row r="172">
      <c r="A172" s="24">
        <v>108.0</v>
      </c>
      <c r="B172" s="25" t="str">
        <f>IFERROR(VLOOKUP(A172,'ฟอร์มทะเบียนผู้เข้าพัก'!A:E,5,FALSE),)</f>
        <v/>
      </c>
      <c r="C172" s="25" t="str">
        <f>IFERROR(VLOOKUP(A172,'ฟอร์มทะเบียนผู้เข้าพัก'!A:F,3,FALSE),)</f>
        <v/>
      </c>
      <c r="D172" s="26" t="str">
        <f t="shared" si="38"/>
        <v/>
      </c>
      <c r="E172" s="27" t="str">
        <f t="shared" si="39"/>
        <v/>
      </c>
      <c r="F172" s="28">
        <f t="shared" si="40"/>
        <v>0</v>
      </c>
      <c r="G172" s="28">
        <f t="shared" si="41"/>
        <v>0</v>
      </c>
      <c r="H172" s="39"/>
      <c r="I172" s="29" t="str">
        <f>IFERROR(VLOOKUP(A172,'ฟอร์มทะเบียนผู้เข้าพัก'!A:L,12,FALSE),)</f>
        <v/>
      </c>
      <c r="J172" s="29" t="str">
        <f>IFERROR(VLOOKUP(A172,'ฟอร์มทะเบียนผู้เข้าพัก'!A:L,2,FALSE),)</f>
        <v/>
      </c>
      <c r="K172" s="29" t="str">
        <f>IFERROR(VLOOKUP(A172,'ฟอร์มทะเบียนผู้เข้าพัก'!A:L,4,FALSE),)</f>
        <v/>
      </c>
    </row>
    <row r="173">
      <c r="A173" s="24">
        <v>109.0</v>
      </c>
      <c r="B173" s="25" t="str">
        <f>IFERROR(VLOOKUP(A173,'ฟอร์มทะเบียนผู้เข้าพัก'!A:E,5,FALSE),)</f>
        <v/>
      </c>
      <c r="C173" s="25" t="str">
        <f>IFERROR(VLOOKUP(A173,'ฟอร์มทะเบียนผู้เข้าพัก'!A:F,3,FALSE),)</f>
        <v/>
      </c>
      <c r="D173" s="26" t="str">
        <f t="shared" si="38"/>
        <v/>
      </c>
      <c r="E173" s="27" t="str">
        <f t="shared" si="39"/>
        <v/>
      </c>
      <c r="F173" s="28">
        <f t="shared" si="40"/>
        <v>0</v>
      </c>
      <c r="G173" s="28">
        <f t="shared" si="41"/>
        <v>0</v>
      </c>
      <c r="H173" s="39"/>
      <c r="I173" s="29" t="str">
        <f>IFERROR(VLOOKUP(A173,'ฟอร์มทะเบียนผู้เข้าพัก'!A:L,12,FALSE),)</f>
        <v/>
      </c>
      <c r="J173" s="29" t="str">
        <f>IFERROR(VLOOKUP(A173,'ฟอร์มทะเบียนผู้เข้าพัก'!A:L,2,FALSE),)</f>
        <v/>
      </c>
      <c r="K173" s="29" t="str">
        <f>IFERROR(VLOOKUP(A173,'ฟอร์มทะเบียนผู้เข้าพัก'!A:L,4,FALSE),)</f>
        <v/>
      </c>
    </row>
    <row r="174">
      <c r="A174" s="24">
        <v>110.0</v>
      </c>
      <c r="B174" s="25" t="str">
        <f>IFERROR(VLOOKUP(A174,'ฟอร์มทะเบียนผู้เข้าพัก'!A:E,5,FALSE),)</f>
        <v/>
      </c>
      <c r="C174" s="25" t="str">
        <f>IFERROR(VLOOKUP(A174,'ฟอร์มทะเบียนผู้เข้าพัก'!A:F,3,FALSE),)</f>
        <v/>
      </c>
      <c r="D174" s="26" t="str">
        <f t="shared" si="38"/>
        <v/>
      </c>
      <c r="E174" s="27" t="str">
        <f t="shared" si="39"/>
        <v/>
      </c>
      <c r="F174" s="28">
        <f t="shared" si="40"/>
        <v>0</v>
      </c>
      <c r="G174" s="28">
        <f t="shared" si="41"/>
        <v>0</v>
      </c>
      <c r="H174" s="39"/>
      <c r="I174" s="29" t="str">
        <f>IFERROR(VLOOKUP(A174,'ฟอร์มทะเบียนผู้เข้าพัก'!A:L,12,FALSE),)</f>
        <v/>
      </c>
      <c r="J174" s="29" t="str">
        <f>IFERROR(VLOOKUP(A174,'ฟอร์มทะเบียนผู้เข้าพัก'!A:L,2,FALSE),)</f>
        <v/>
      </c>
      <c r="K174" s="29" t="str">
        <f>IFERROR(VLOOKUP(A174,'ฟอร์มทะเบียนผู้เข้าพัก'!A:L,4,FALSE),)</f>
        <v/>
      </c>
    </row>
    <row r="175">
      <c r="A175" s="24">
        <v>111.0</v>
      </c>
      <c r="B175" s="25" t="str">
        <f>IFERROR(VLOOKUP(A175,'ฟอร์มทะเบียนผู้เข้าพัก'!A:E,5,FALSE),)</f>
        <v/>
      </c>
      <c r="C175" s="25" t="str">
        <f>IFERROR(VLOOKUP(A175,'ฟอร์มทะเบียนผู้เข้าพัก'!A:F,3,FALSE),)</f>
        <v/>
      </c>
      <c r="D175" s="26" t="str">
        <f t="shared" si="38"/>
        <v/>
      </c>
      <c r="E175" s="27" t="str">
        <f t="shared" si="39"/>
        <v/>
      </c>
      <c r="F175" s="28">
        <f t="shared" si="40"/>
        <v>0</v>
      </c>
      <c r="G175" s="28">
        <f t="shared" si="41"/>
        <v>0</v>
      </c>
      <c r="H175" s="39"/>
      <c r="I175" s="29" t="str">
        <f>IFERROR(VLOOKUP(A175,'ฟอร์มทะเบียนผู้เข้าพัก'!A:L,12,FALSE),)</f>
        <v/>
      </c>
      <c r="J175" s="29" t="str">
        <f>IFERROR(VLOOKUP(A175,'ฟอร์มทะเบียนผู้เข้าพัก'!A:L,2,FALSE),)</f>
        <v/>
      </c>
      <c r="K175" s="29" t="str">
        <f>IFERROR(VLOOKUP(A175,'ฟอร์มทะเบียนผู้เข้าพัก'!A:L,4,FALSE),)</f>
        <v/>
      </c>
    </row>
    <row r="176">
      <c r="A176" s="24">
        <v>112.0</v>
      </c>
      <c r="B176" s="25" t="str">
        <f>IFERROR(VLOOKUP(A176,'ฟอร์มทะเบียนผู้เข้าพัก'!A:E,5,FALSE),)</f>
        <v/>
      </c>
      <c r="C176" s="25" t="str">
        <f>IFERROR(VLOOKUP(A176,'ฟอร์มทะเบียนผู้เข้าพัก'!A:F,3,FALSE),)</f>
        <v/>
      </c>
      <c r="D176" s="26" t="str">
        <f t="shared" si="38"/>
        <v/>
      </c>
      <c r="E176" s="27" t="str">
        <f t="shared" si="39"/>
        <v/>
      </c>
      <c r="F176" s="28">
        <f t="shared" si="40"/>
        <v>0</v>
      </c>
      <c r="G176" s="28">
        <f t="shared" si="41"/>
        <v>0</v>
      </c>
      <c r="H176" s="39"/>
      <c r="I176" s="29" t="str">
        <f>IFERROR(VLOOKUP(A176,'ฟอร์มทะเบียนผู้เข้าพัก'!A:L,12,FALSE),)</f>
        <v/>
      </c>
      <c r="J176" s="29" t="str">
        <f>IFERROR(VLOOKUP(A176,'ฟอร์มทะเบียนผู้เข้าพัก'!A:L,2,FALSE),)</f>
        <v/>
      </c>
      <c r="K176" s="29" t="str">
        <f>IFERROR(VLOOKUP(A176,'ฟอร์มทะเบียนผู้เข้าพัก'!A:L,4,FALSE),)</f>
        <v/>
      </c>
    </row>
    <row r="177">
      <c r="A177" s="24">
        <v>113.0</v>
      </c>
      <c r="B177" s="25" t="str">
        <f>IFERROR(VLOOKUP(A177,'ฟอร์มทะเบียนผู้เข้าพัก'!A:E,5,FALSE),)</f>
        <v/>
      </c>
      <c r="C177" s="25" t="str">
        <f>IFERROR(VLOOKUP(A177,'ฟอร์มทะเบียนผู้เข้าพัก'!A:F,3,FALSE),)</f>
        <v/>
      </c>
      <c r="D177" s="26" t="str">
        <f t="shared" si="38"/>
        <v/>
      </c>
      <c r="E177" s="27" t="str">
        <f t="shared" si="39"/>
        <v/>
      </c>
      <c r="F177" s="28">
        <f t="shared" si="40"/>
        <v>0</v>
      </c>
      <c r="G177" s="28">
        <f t="shared" si="41"/>
        <v>0</v>
      </c>
      <c r="H177" s="39"/>
      <c r="I177" s="29" t="str">
        <f>IFERROR(VLOOKUP(A177,'ฟอร์มทะเบียนผู้เข้าพัก'!A:L,12,FALSE),)</f>
        <v/>
      </c>
      <c r="J177" s="29" t="str">
        <f>IFERROR(VLOOKUP(A177,'ฟอร์มทะเบียนผู้เข้าพัก'!A:L,2,FALSE),)</f>
        <v/>
      </c>
      <c r="K177" s="29" t="str">
        <f>IFERROR(VLOOKUP(A177,'ฟอร์มทะเบียนผู้เข้าพัก'!A:L,4,FALSE),)</f>
        <v/>
      </c>
    </row>
    <row r="178">
      <c r="A178" s="24">
        <v>114.0</v>
      </c>
      <c r="B178" s="25" t="str">
        <f>IFERROR(VLOOKUP(A178,'ฟอร์มทะเบียนผู้เข้าพัก'!A:E,5,FALSE),)</f>
        <v/>
      </c>
      <c r="C178" s="25" t="str">
        <f>IFERROR(VLOOKUP(A178,'ฟอร์มทะเบียนผู้เข้าพัก'!A:F,3,FALSE),)</f>
        <v/>
      </c>
      <c r="D178" s="26" t="str">
        <f t="shared" si="38"/>
        <v/>
      </c>
      <c r="E178" s="27" t="str">
        <f t="shared" si="39"/>
        <v/>
      </c>
      <c r="F178" s="28">
        <f t="shared" si="40"/>
        <v>0</v>
      </c>
      <c r="G178" s="28">
        <f t="shared" si="41"/>
        <v>0</v>
      </c>
      <c r="H178" s="39"/>
      <c r="I178" s="29" t="str">
        <f>IFERROR(VLOOKUP(A178,'ฟอร์มทะเบียนผู้เข้าพัก'!A:L,12,FALSE),)</f>
        <v/>
      </c>
      <c r="J178" s="29" t="str">
        <f>IFERROR(VLOOKUP(A178,'ฟอร์มทะเบียนผู้เข้าพัก'!A:L,2,FALSE),)</f>
        <v/>
      </c>
      <c r="K178" s="29" t="str">
        <f>IFERROR(VLOOKUP(A178,'ฟอร์มทะเบียนผู้เข้าพัก'!A:L,4,FALSE),)</f>
        <v/>
      </c>
    </row>
    <row r="179">
      <c r="A179" s="24">
        <v>115.0</v>
      </c>
      <c r="B179" s="25" t="str">
        <f>IFERROR(VLOOKUP(A179,'ฟอร์มทะเบียนผู้เข้าพัก'!A:E,5,FALSE),)</f>
        <v/>
      </c>
      <c r="C179" s="25" t="str">
        <f>IFERROR(VLOOKUP(A179,'ฟอร์มทะเบียนผู้เข้าพัก'!A:F,3,FALSE),)</f>
        <v/>
      </c>
      <c r="D179" s="26" t="str">
        <f t="shared" si="38"/>
        <v/>
      </c>
      <c r="E179" s="27" t="str">
        <f t="shared" si="39"/>
        <v/>
      </c>
      <c r="F179" s="28">
        <f t="shared" si="40"/>
        <v>0</v>
      </c>
      <c r="G179" s="28">
        <f t="shared" si="41"/>
        <v>0</v>
      </c>
      <c r="H179" s="39"/>
      <c r="I179" s="29" t="str">
        <f>IFERROR(VLOOKUP(A179,'ฟอร์มทะเบียนผู้เข้าพัก'!A:L,12,FALSE),)</f>
        <v/>
      </c>
      <c r="J179" s="29" t="str">
        <f>IFERROR(VLOOKUP(A179,'ฟอร์มทะเบียนผู้เข้าพัก'!A:L,2,FALSE),)</f>
        <v/>
      </c>
      <c r="K179" s="29" t="str">
        <f>IFERROR(VLOOKUP(A179,'ฟอร์มทะเบียนผู้เข้าพัก'!A:L,4,FALSE),)</f>
        <v/>
      </c>
    </row>
    <row r="180">
      <c r="A180" s="24" t="s">
        <v>196</v>
      </c>
      <c r="B180" s="26"/>
      <c r="C180" s="37"/>
      <c r="D180" s="20">
        <f t="shared" ref="D180:G180" si="42">SUM(D165:D179)</f>
        <v>0</v>
      </c>
      <c r="E180" s="21">
        <f t="shared" si="42"/>
        <v>0</v>
      </c>
      <c r="F180" s="32">
        <f t="shared" si="42"/>
        <v>0</v>
      </c>
      <c r="G180" s="32">
        <f t="shared" si="42"/>
        <v>0</v>
      </c>
      <c r="H180" s="26"/>
      <c r="I180" s="29" t="str">
        <f>IFERROR(VLOOKUP(A180,'ฟอร์มทะเบียนผู้เข้าพัก'!A:L,12,FALSE),)</f>
        <v/>
      </c>
      <c r="J180" s="29" t="str">
        <f>IFERROR(VLOOKUP(A180,'ฟอร์มทะเบียนผู้เข้าพัก'!A:L,2,FALSE),)</f>
        <v/>
      </c>
      <c r="K180" s="29" t="str">
        <f>IFERROR(VLOOKUP(A180,'ฟอร์มทะเบียนผู้เข้าพัก'!A:L,4,FALSE),)</f>
        <v/>
      </c>
    </row>
    <row r="181">
      <c r="A181" s="13"/>
      <c r="B181" s="13"/>
      <c r="C181" s="13"/>
      <c r="D181" s="13"/>
      <c r="E181" s="16"/>
      <c r="F181" s="40"/>
      <c r="G181" s="13"/>
      <c r="H181" s="13"/>
      <c r="I181" s="29" t="str">
        <f>IFERROR(VLOOKUP(A181,'ฟอร์มทะเบียนผู้เข้าพัก'!A:L,12,FALSE),)</f>
        <v/>
      </c>
      <c r="J181" s="29" t="str">
        <f>IFERROR(VLOOKUP(A181,'ฟอร์มทะเบียนผู้เข้าพัก'!A:L,2,FALSE),)</f>
        <v/>
      </c>
      <c r="K181" s="29" t="str">
        <f>IFERROR(VLOOKUP(A181,'ฟอร์มทะเบียนผู้เข้าพัก'!A:L,4,FALSE),)</f>
        <v/>
      </c>
    </row>
    <row r="182">
      <c r="A182" s="13"/>
      <c r="B182" s="13"/>
      <c r="C182" s="13"/>
      <c r="D182" s="33" t="s">
        <v>201</v>
      </c>
      <c r="G182" s="13"/>
      <c r="H182" s="13"/>
      <c r="I182" s="34">
        <v>400.0</v>
      </c>
      <c r="J182" s="34">
        <v>500.0</v>
      </c>
      <c r="K182" s="34">
        <v>600.0</v>
      </c>
    </row>
    <row r="183">
      <c r="A183" s="13"/>
      <c r="B183" s="13"/>
      <c r="C183" s="13"/>
      <c r="D183" s="33" t="s">
        <v>202</v>
      </c>
      <c r="G183" s="13"/>
      <c r="H183" s="13"/>
      <c r="I183" s="34">
        <f>SUMIF(E165:E179,I182,F165:F179)</f>
        <v>0</v>
      </c>
      <c r="J183" s="34">
        <f>SUMIF(E165:E179,J182,F165:F179)</f>
        <v>0</v>
      </c>
      <c r="K183" s="34">
        <f>SUMIF(E165:E179,K182,F165:F179)</f>
        <v>0</v>
      </c>
    </row>
    <row r="184">
      <c r="A184" s="13"/>
      <c r="B184" s="13"/>
      <c r="C184" s="13"/>
      <c r="D184" s="13"/>
      <c r="E184" s="16"/>
      <c r="F184" s="13"/>
      <c r="G184" s="13"/>
      <c r="H184" s="13"/>
      <c r="I184" s="29" t="str">
        <f>IFERROR(VLOOKUP(A184,'ฟอร์มทะเบียนผู้เข้าพัก'!A:L,12,FALSE),)</f>
        <v/>
      </c>
      <c r="J184" s="29" t="str">
        <f>IFERROR(VLOOKUP(A184,'ฟอร์มทะเบียนผู้เข้าพัก'!A:L,2,FALSE),)</f>
        <v/>
      </c>
      <c r="K184" s="29" t="str">
        <f>IFERROR(VLOOKUP(A184,'ฟอร์มทะเบียนผู้เข้าพัก'!A:L,4,FALSE),)</f>
        <v/>
      </c>
    </row>
    <row r="185">
      <c r="A185" s="13"/>
      <c r="B185" s="13"/>
      <c r="C185" s="13"/>
      <c r="D185" s="13"/>
      <c r="E185" s="16"/>
      <c r="F185" s="13"/>
      <c r="G185" s="13"/>
      <c r="H185" s="13"/>
      <c r="I185" s="29" t="str">
        <f>IFERROR(VLOOKUP(A185,'ฟอร์มทะเบียนผู้เข้าพัก'!A:L,12,FALSE),)</f>
        <v/>
      </c>
      <c r="J185" s="29" t="str">
        <f>IFERROR(VLOOKUP(A185,'ฟอร์มทะเบียนผู้เข้าพัก'!A:L,2,FALSE),)</f>
        <v/>
      </c>
      <c r="K185" s="29" t="str">
        <f>IFERROR(VLOOKUP(A185,'ฟอร์มทะเบียนผู้เข้าพัก'!A:L,4,FALSE),)</f>
        <v/>
      </c>
    </row>
    <row r="186">
      <c r="A186" s="19" t="s">
        <v>189</v>
      </c>
      <c r="B186" s="19" t="s">
        <v>190</v>
      </c>
      <c r="C186" s="35" t="s">
        <v>191</v>
      </c>
      <c r="D186" s="20" t="s">
        <v>192</v>
      </c>
      <c r="E186" s="21" t="s">
        <v>193</v>
      </c>
      <c r="F186" s="20" t="s">
        <v>194</v>
      </c>
      <c r="G186" s="20" t="s">
        <v>194</v>
      </c>
      <c r="H186" s="19" t="s">
        <v>195</v>
      </c>
      <c r="I186" s="29" t="str">
        <f>IFERROR(VLOOKUP(A186,'ฟอร์มทะเบียนผู้เข้าพัก'!A:L,12,FALSE),)</f>
        <v/>
      </c>
      <c r="J186" s="29" t="str">
        <f>IFERROR(VLOOKUP(A186,'ฟอร์มทะเบียนผู้เข้าพัก'!A:L,2,FALSE),)</f>
        <v/>
      </c>
      <c r="K186" s="29" t="str">
        <f>IFERROR(VLOOKUP(A186,'ฟอร์มทะเบียนผู้เข้าพัก'!A:L,4,FALSE),)</f>
        <v/>
      </c>
    </row>
    <row r="187">
      <c r="A187" s="23"/>
      <c r="B187" s="23"/>
      <c r="C187" s="36"/>
      <c r="D187" s="20" t="s">
        <v>197</v>
      </c>
      <c r="E187" s="21" t="s">
        <v>198</v>
      </c>
      <c r="F187" s="20" t="s">
        <v>199</v>
      </c>
      <c r="G187" s="20" t="s">
        <v>200</v>
      </c>
      <c r="H187" s="23"/>
      <c r="I187" s="29" t="str">
        <f>IFERROR(VLOOKUP(A187,'ฟอร์มทะเบียนผู้เข้าพัก'!A:L,12,FALSE),)</f>
        <v/>
      </c>
      <c r="J187" s="29" t="str">
        <f>IFERROR(VLOOKUP(A187,'ฟอร์มทะเบียนผู้เข้าพัก'!A:L,2,FALSE),)</f>
        <v/>
      </c>
      <c r="K187" s="29" t="str">
        <f>IFERROR(VLOOKUP(A187,'ฟอร์มทะเบียนผู้เข้าพัก'!A:L,4,FALSE),)</f>
        <v/>
      </c>
    </row>
    <row r="188">
      <c r="A188" s="24">
        <v>116.0</v>
      </c>
      <c r="B188" s="25" t="str">
        <f>IFERROR(VLOOKUP(A188,'ฟอร์มทะเบียนผู้เข้าพัก'!A:E,5,FALSE),)</f>
        <v/>
      </c>
      <c r="C188" s="25" t="str">
        <f>IFERROR(VLOOKUP(A188,'ฟอร์มทะเบียนผู้เข้าพัก'!A:F,3,FALSE),)</f>
        <v/>
      </c>
      <c r="D188" s="26" t="str">
        <f t="shared" ref="D188:D202" si="43">IFERROR(VLOOKUP(J188,' รายการเข้าพัก'!B:L,6,FALSE),)</f>
        <v/>
      </c>
      <c r="E188" s="27" t="str">
        <f t="shared" ref="E188:E202" si="44">IFERROR(vlookup(K188,'🛏️ รายการห้องพัก'!A:E,5,false),)</f>
        <v/>
      </c>
      <c r="F188" s="28">
        <f t="shared" ref="F188:F202" si="45">E188*D188</f>
        <v>0</v>
      </c>
      <c r="G188" s="28">
        <f t="shared" ref="G188:G202" si="46">F188*1%</f>
        <v>0</v>
      </c>
      <c r="H188" s="39"/>
      <c r="I188" s="29" t="str">
        <f>IFERROR(VLOOKUP(A188,'ฟอร์มทะเบียนผู้เข้าพัก'!A:L,12,FALSE),)</f>
        <v/>
      </c>
      <c r="J188" s="29" t="str">
        <f>IFERROR(VLOOKUP(A188,'ฟอร์มทะเบียนผู้เข้าพัก'!A:L,2,FALSE),)</f>
        <v/>
      </c>
      <c r="K188" s="29" t="str">
        <f>IFERROR(VLOOKUP(A188,'ฟอร์มทะเบียนผู้เข้าพัก'!A:L,4,FALSE),)</f>
        <v/>
      </c>
    </row>
    <row r="189">
      <c r="A189" s="24">
        <v>117.0</v>
      </c>
      <c r="B189" s="25" t="str">
        <f>IFERROR(VLOOKUP(A189,'ฟอร์มทะเบียนผู้เข้าพัก'!A:E,5,FALSE),)</f>
        <v/>
      </c>
      <c r="C189" s="25" t="str">
        <f>IFERROR(VLOOKUP(A189,'ฟอร์มทะเบียนผู้เข้าพัก'!A:F,3,FALSE),)</f>
        <v/>
      </c>
      <c r="D189" s="26" t="str">
        <f t="shared" si="43"/>
        <v/>
      </c>
      <c r="E189" s="27" t="str">
        <f t="shared" si="44"/>
        <v/>
      </c>
      <c r="F189" s="28">
        <f t="shared" si="45"/>
        <v>0</v>
      </c>
      <c r="G189" s="28">
        <f t="shared" si="46"/>
        <v>0</v>
      </c>
      <c r="H189" s="39"/>
      <c r="I189" s="29" t="str">
        <f>IFERROR(VLOOKUP(A189,'ฟอร์มทะเบียนผู้เข้าพัก'!A:L,12,FALSE),)</f>
        <v/>
      </c>
      <c r="J189" s="29" t="str">
        <f>IFERROR(VLOOKUP(A189,'ฟอร์มทะเบียนผู้เข้าพัก'!A:L,2,FALSE),)</f>
        <v/>
      </c>
      <c r="K189" s="29" t="str">
        <f>IFERROR(VLOOKUP(A189,'ฟอร์มทะเบียนผู้เข้าพัก'!A:L,4,FALSE),)</f>
        <v/>
      </c>
    </row>
    <row r="190">
      <c r="A190" s="24">
        <v>118.0</v>
      </c>
      <c r="B190" s="25" t="str">
        <f>IFERROR(VLOOKUP(A190,'ฟอร์มทะเบียนผู้เข้าพัก'!A:E,5,FALSE),)</f>
        <v/>
      </c>
      <c r="C190" s="25" t="str">
        <f>IFERROR(VLOOKUP(A190,'ฟอร์มทะเบียนผู้เข้าพัก'!A:F,3,FALSE),)</f>
        <v/>
      </c>
      <c r="D190" s="26" t="str">
        <f t="shared" si="43"/>
        <v/>
      </c>
      <c r="E190" s="27" t="str">
        <f t="shared" si="44"/>
        <v/>
      </c>
      <c r="F190" s="28">
        <f t="shared" si="45"/>
        <v>0</v>
      </c>
      <c r="G190" s="28">
        <f t="shared" si="46"/>
        <v>0</v>
      </c>
      <c r="H190" s="39"/>
      <c r="I190" s="29" t="str">
        <f>IFERROR(VLOOKUP(A190,'ฟอร์มทะเบียนผู้เข้าพัก'!A:L,12,FALSE),)</f>
        <v/>
      </c>
      <c r="J190" s="29" t="str">
        <f>IFERROR(VLOOKUP(A190,'ฟอร์มทะเบียนผู้เข้าพัก'!A:L,2,FALSE),)</f>
        <v/>
      </c>
      <c r="K190" s="29" t="str">
        <f>IFERROR(VLOOKUP(A190,'ฟอร์มทะเบียนผู้เข้าพัก'!A:L,4,FALSE),)</f>
        <v/>
      </c>
    </row>
    <row r="191">
      <c r="A191" s="24">
        <v>119.0</v>
      </c>
      <c r="B191" s="25" t="str">
        <f>IFERROR(VLOOKUP(A191,'ฟอร์มทะเบียนผู้เข้าพัก'!A:E,5,FALSE),)</f>
        <v/>
      </c>
      <c r="C191" s="25" t="str">
        <f>IFERROR(VLOOKUP(A191,'ฟอร์มทะเบียนผู้เข้าพัก'!A:F,3,FALSE),)</f>
        <v/>
      </c>
      <c r="D191" s="26" t="str">
        <f t="shared" si="43"/>
        <v/>
      </c>
      <c r="E191" s="27" t="str">
        <f t="shared" si="44"/>
        <v/>
      </c>
      <c r="F191" s="28">
        <f t="shared" si="45"/>
        <v>0</v>
      </c>
      <c r="G191" s="28">
        <f t="shared" si="46"/>
        <v>0</v>
      </c>
      <c r="H191" s="39"/>
      <c r="I191" s="29" t="str">
        <f>IFERROR(VLOOKUP(A191,'ฟอร์มทะเบียนผู้เข้าพัก'!A:L,12,FALSE),)</f>
        <v/>
      </c>
      <c r="J191" s="29" t="str">
        <f>IFERROR(VLOOKUP(A191,'ฟอร์มทะเบียนผู้เข้าพัก'!A:L,2,FALSE),)</f>
        <v/>
      </c>
      <c r="K191" s="29" t="str">
        <f>IFERROR(VLOOKUP(A191,'ฟอร์มทะเบียนผู้เข้าพัก'!A:L,4,FALSE),)</f>
        <v/>
      </c>
    </row>
    <row r="192">
      <c r="A192" s="24">
        <v>120.0</v>
      </c>
      <c r="B192" s="25" t="str">
        <f>IFERROR(VLOOKUP(A192,'ฟอร์มทะเบียนผู้เข้าพัก'!A:E,5,FALSE),)</f>
        <v/>
      </c>
      <c r="C192" s="25" t="str">
        <f>IFERROR(VLOOKUP(A192,'ฟอร์มทะเบียนผู้เข้าพัก'!A:F,3,FALSE),)</f>
        <v/>
      </c>
      <c r="D192" s="26" t="str">
        <f t="shared" si="43"/>
        <v/>
      </c>
      <c r="E192" s="27" t="str">
        <f t="shared" si="44"/>
        <v/>
      </c>
      <c r="F192" s="28">
        <f t="shared" si="45"/>
        <v>0</v>
      </c>
      <c r="G192" s="28">
        <f t="shared" si="46"/>
        <v>0</v>
      </c>
      <c r="H192" s="39"/>
      <c r="I192" s="29" t="str">
        <f>IFERROR(VLOOKUP(A192,'ฟอร์มทะเบียนผู้เข้าพัก'!A:L,12,FALSE),)</f>
        <v/>
      </c>
      <c r="J192" s="29" t="str">
        <f>IFERROR(VLOOKUP(A192,'ฟอร์มทะเบียนผู้เข้าพัก'!A:L,2,FALSE),)</f>
        <v/>
      </c>
      <c r="K192" s="29" t="str">
        <f>IFERROR(VLOOKUP(A192,'ฟอร์มทะเบียนผู้เข้าพัก'!A:L,4,FALSE),)</f>
        <v/>
      </c>
    </row>
    <row r="193">
      <c r="A193" s="24">
        <v>121.0</v>
      </c>
      <c r="B193" s="25" t="str">
        <f>IFERROR(VLOOKUP(A193,'ฟอร์มทะเบียนผู้เข้าพัก'!A:E,5,FALSE),)</f>
        <v/>
      </c>
      <c r="C193" s="25" t="str">
        <f>IFERROR(VLOOKUP(A193,'ฟอร์มทะเบียนผู้เข้าพัก'!A:F,3,FALSE),)</f>
        <v/>
      </c>
      <c r="D193" s="26" t="str">
        <f t="shared" si="43"/>
        <v/>
      </c>
      <c r="E193" s="27" t="str">
        <f t="shared" si="44"/>
        <v/>
      </c>
      <c r="F193" s="28">
        <f t="shared" si="45"/>
        <v>0</v>
      </c>
      <c r="G193" s="28">
        <f t="shared" si="46"/>
        <v>0</v>
      </c>
      <c r="H193" s="39"/>
      <c r="I193" s="29" t="str">
        <f>IFERROR(VLOOKUP(A193,'ฟอร์มทะเบียนผู้เข้าพัก'!A:L,12,FALSE),)</f>
        <v/>
      </c>
      <c r="J193" s="29" t="str">
        <f>IFERROR(VLOOKUP(A193,'ฟอร์มทะเบียนผู้เข้าพัก'!A:L,2,FALSE),)</f>
        <v/>
      </c>
      <c r="K193" s="29" t="str">
        <f>IFERROR(VLOOKUP(A193,'ฟอร์มทะเบียนผู้เข้าพัก'!A:L,4,FALSE),)</f>
        <v/>
      </c>
    </row>
    <row r="194">
      <c r="A194" s="24">
        <v>122.0</v>
      </c>
      <c r="B194" s="25" t="str">
        <f>IFERROR(VLOOKUP(A194,'ฟอร์มทะเบียนผู้เข้าพัก'!A:E,5,FALSE),)</f>
        <v/>
      </c>
      <c r="C194" s="25" t="str">
        <f>IFERROR(VLOOKUP(A194,'ฟอร์มทะเบียนผู้เข้าพัก'!A:F,3,FALSE),)</f>
        <v/>
      </c>
      <c r="D194" s="26" t="str">
        <f t="shared" si="43"/>
        <v/>
      </c>
      <c r="E194" s="27" t="str">
        <f t="shared" si="44"/>
        <v/>
      </c>
      <c r="F194" s="28">
        <f t="shared" si="45"/>
        <v>0</v>
      </c>
      <c r="G194" s="28">
        <f t="shared" si="46"/>
        <v>0</v>
      </c>
      <c r="H194" s="39"/>
      <c r="I194" s="29" t="str">
        <f>IFERROR(VLOOKUP(A194,'ฟอร์มทะเบียนผู้เข้าพัก'!A:L,12,FALSE),)</f>
        <v/>
      </c>
      <c r="J194" s="29" t="str">
        <f>IFERROR(VLOOKUP(A194,'ฟอร์มทะเบียนผู้เข้าพัก'!A:L,2,FALSE),)</f>
        <v/>
      </c>
      <c r="K194" s="29" t="str">
        <f>IFERROR(VLOOKUP(A194,'ฟอร์มทะเบียนผู้เข้าพัก'!A:L,4,FALSE),)</f>
        <v/>
      </c>
    </row>
    <row r="195">
      <c r="A195" s="24">
        <v>123.0</v>
      </c>
      <c r="B195" s="25" t="str">
        <f>IFERROR(VLOOKUP(A195,'ฟอร์มทะเบียนผู้เข้าพัก'!A:E,5,FALSE),)</f>
        <v/>
      </c>
      <c r="C195" s="25" t="str">
        <f>IFERROR(VLOOKUP(A195,'ฟอร์มทะเบียนผู้เข้าพัก'!A:F,3,FALSE),)</f>
        <v/>
      </c>
      <c r="D195" s="26" t="str">
        <f t="shared" si="43"/>
        <v/>
      </c>
      <c r="E195" s="27" t="str">
        <f t="shared" si="44"/>
        <v/>
      </c>
      <c r="F195" s="28">
        <f t="shared" si="45"/>
        <v>0</v>
      </c>
      <c r="G195" s="28">
        <f t="shared" si="46"/>
        <v>0</v>
      </c>
      <c r="H195" s="39"/>
      <c r="I195" s="29" t="str">
        <f>IFERROR(VLOOKUP(A195,'ฟอร์มทะเบียนผู้เข้าพัก'!A:L,12,FALSE),)</f>
        <v/>
      </c>
      <c r="J195" s="29" t="str">
        <f>IFERROR(VLOOKUP(A195,'ฟอร์มทะเบียนผู้เข้าพัก'!A:L,2,FALSE),)</f>
        <v/>
      </c>
      <c r="K195" s="29" t="str">
        <f>IFERROR(VLOOKUP(A195,'ฟอร์มทะเบียนผู้เข้าพัก'!A:L,4,FALSE),)</f>
        <v/>
      </c>
    </row>
    <row r="196">
      <c r="A196" s="24">
        <v>124.0</v>
      </c>
      <c r="B196" s="25" t="str">
        <f>IFERROR(VLOOKUP(A196,'ฟอร์มทะเบียนผู้เข้าพัก'!A:E,5,FALSE),)</f>
        <v/>
      </c>
      <c r="C196" s="25" t="str">
        <f>IFERROR(VLOOKUP(A196,'ฟอร์มทะเบียนผู้เข้าพัก'!A:F,3,FALSE),)</f>
        <v/>
      </c>
      <c r="D196" s="26" t="str">
        <f t="shared" si="43"/>
        <v/>
      </c>
      <c r="E196" s="27" t="str">
        <f t="shared" si="44"/>
        <v/>
      </c>
      <c r="F196" s="28">
        <f t="shared" si="45"/>
        <v>0</v>
      </c>
      <c r="G196" s="28">
        <f t="shared" si="46"/>
        <v>0</v>
      </c>
      <c r="H196" s="39"/>
      <c r="I196" s="29" t="str">
        <f>IFERROR(VLOOKUP(A196,'ฟอร์มทะเบียนผู้เข้าพัก'!A:L,12,FALSE),)</f>
        <v/>
      </c>
      <c r="J196" s="29" t="str">
        <f>IFERROR(VLOOKUP(A196,'ฟอร์มทะเบียนผู้เข้าพัก'!A:L,2,FALSE),)</f>
        <v/>
      </c>
      <c r="K196" s="29" t="str">
        <f>IFERROR(VLOOKUP(A196,'ฟอร์มทะเบียนผู้เข้าพัก'!A:L,4,FALSE),)</f>
        <v/>
      </c>
    </row>
    <row r="197">
      <c r="A197" s="24">
        <v>125.0</v>
      </c>
      <c r="B197" s="25" t="str">
        <f>IFERROR(VLOOKUP(A197,'ฟอร์มทะเบียนผู้เข้าพัก'!A:E,5,FALSE),)</f>
        <v/>
      </c>
      <c r="C197" s="25" t="str">
        <f>IFERROR(VLOOKUP(A197,'ฟอร์มทะเบียนผู้เข้าพัก'!A:F,3,FALSE),)</f>
        <v/>
      </c>
      <c r="D197" s="26" t="str">
        <f t="shared" si="43"/>
        <v/>
      </c>
      <c r="E197" s="27" t="str">
        <f t="shared" si="44"/>
        <v/>
      </c>
      <c r="F197" s="28">
        <f t="shared" si="45"/>
        <v>0</v>
      </c>
      <c r="G197" s="28">
        <f t="shared" si="46"/>
        <v>0</v>
      </c>
      <c r="H197" s="39"/>
      <c r="I197" s="29" t="str">
        <f>IFERROR(VLOOKUP(A197,'ฟอร์มทะเบียนผู้เข้าพัก'!A:L,12,FALSE),)</f>
        <v/>
      </c>
      <c r="J197" s="29" t="str">
        <f>IFERROR(VLOOKUP(A197,'ฟอร์มทะเบียนผู้เข้าพัก'!A:L,2,FALSE),)</f>
        <v/>
      </c>
      <c r="K197" s="29" t="str">
        <f>IFERROR(VLOOKUP(A197,'ฟอร์มทะเบียนผู้เข้าพัก'!A:L,4,FALSE),)</f>
        <v/>
      </c>
    </row>
    <row r="198">
      <c r="A198" s="24">
        <v>126.0</v>
      </c>
      <c r="B198" s="25" t="str">
        <f>IFERROR(VLOOKUP(A198,'ฟอร์มทะเบียนผู้เข้าพัก'!A:E,5,FALSE),)</f>
        <v/>
      </c>
      <c r="C198" s="25" t="str">
        <f>IFERROR(VLOOKUP(A198,'ฟอร์มทะเบียนผู้เข้าพัก'!A:F,3,FALSE),)</f>
        <v/>
      </c>
      <c r="D198" s="26" t="str">
        <f t="shared" si="43"/>
        <v/>
      </c>
      <c r="E198" s="27" t="str">
        <f t="shared" si="44"/>
        <v/>
      </c>
      <c r="F198" s="28">
        <f t="shared" si="45"/>
        <v>0</v>
      </c>
      <c r="G198" s="28">
        <f t="shared" si="46"/>
        <v>0</v>
      </c>
      <c r="H198" s="39"/>
      <c r="I198" s="29" t="str">
        <f>IFERROR(VLOOKUP(A198,'ฟอร์มทะเบียนผู้เข้าพัก'!A:L,12,FALSE),)</f>
        <v/>
      </c>
      <c r="J198" s="29" t="str">
        <f>IFERROR(VLOOKUP(A198,'ฟอร์มทะเบียนผู้เข้าพัก'!A:L,2,FALSE),)</f>
        <v/>
      </c>
      <c r="K198" s="29" t="str">
        <f>IFERROR(VLOOKUP(A198,'ฟอร์มทะเบียนผู้เข้าพัก'!A:L,4,FALSE),)</f>
        <v/>
      </c>
    </row>
    <row r="199">
      <c r="A199" s="24">
        <v>127.0</v>
      </c>
      <c r="B199" s="25" t="str">
        <f>IFERROR(VLOOKUP(A199,'ฟอร์มทะเบียนผู้เข้าพัก'!A:E,5,FALSE),)</f>
        <v/>
      </c>
      <c r="C199" s="25" t="str">
        <f>IFERROR(VLOOKUP(A199,'ฟอร์มทะเบียนผู้เข้าพัก'!A:F,3,FALSE),)</f>
        <v/>
      </c>
      <c r="D199" s="26" t="str">
        <f t="shared" si="43"/>
        <v/>
      </c>
      <c r="E199" s="27" t="str">
        <f t="shared" si="44"/>
        <v/>
      </c>
      <c r="F199" s="28">
        <f t="shared" si="45"/>
        <v>0</v>
      </c>
      <c r="G199" s="28">
        <f t="shared" si="46"/>
        <v>0</v>
      </c>
      <c r="H199" s="39"/>
      <c r="I199" s="29" t="str">
        <f>IFERROR(VLOOKUP(A199,'ฟอร์มทะเบียนผู้เข้าพัก'!A:L,12,FALSE),)</f>
        <v/>
      </c>
      <c r="J199" s="29" t="str">
        <f>IFERROR(VLOOKUP(A199,'ฟอร์มทะเบียนผู้เข้าพัก'!A:L,2,FALSE),)</f>
        <v/>
      </c>
      <c r="K199" s="29" t="str">
        <f>IFERROR(VLOOKUP(A199,'ฟอร์มทะเบียนผู้เข้าพัก'!A:L,4,FALSE),)</f>
        <v/>
      </c>
    </row>
    <row r="200">
      <c r="A200" s="24">
        <v>128.0</v>
      </c>
      <c r="B200" s="25" t="str">
        <f>IFERROR(VLOOKUP(A200,'ฟอร์มทะเบียนผู้เข้าพัก'!A:E,5,FALSE),)</f>
        <v/>
      </c>
      <c r="C200" s="25" t="str">
        <f>IFERROR(VLOOKUP(A200,'ฟอร์มทะเบียนผู้เข้าพัก'!A:F,3,FALSE),)</f>
        <v/>
      </c>
      <c r="D200" s="26" t="str">
        <f t="shared" si="43"/>
        <v/>
      </c>
      <c r="E200" s="27" t="str">
        <f t="shared" si="44"/>
        <v/>
      </c>
      <c r="F200" s="28">
        <f t="shared" si="45"/>
        <v>0</v>
      </c>
      <c r="G200" s="28">
        <f t="shared" si="46"/>
        <v>0</v>
      </c>
      <c r="H200" s="39"/>
      <c r="I200" s="29" t="str">
        <f>IFERROR(VLOOKUP(A200,'ฟอร์มทะเบียนผู้เข้าพัก'!A:L,12,FALSE),)</f>
        <v/>
      </c>
      <c r="J200" s="29" t="str">
        <f>IFERROR(VLOOKUP(A200,'ฟอร์มทะเบียนผู้เข้าพัก'!A:L,2,FALSE),)</f>
        <v/>
      </c>
      <c r="K200" s="29" t="str">
        <f>IFERROR(VLOOKUP(A200,'ฟอร์มทะเบียนผู้เข้าพัก'!A:L,4,FALSE),)</f>
        <v/>
      </c>
    </row>
    <row r="201">
      <c r="A201" s="24">
        <v>129.0</v>
      </c>
      <c r="B201" s="25" t="str">
        <f>IFERROR(VLOOKUP(A201,'ฟอร์มทะเบียนผู้เข้าพัก'!A:E,5,FALSE),)</f>
        <v/>
      </c>
      <c r="C201" s="25" t="str">
        <f>IFERROR(VLOOKUP(A201,'ฟอร์มทะเบียนผู้เข้าพัก'!A:F,3,FALSE),)</f>
        <v/>
      </c>
      <c r="D201" s="26" t="str">
        <f t="shared" si="43"/>
        <v/>
      </c>
      <c r="E201" s="27" t="str">
        <f t="shared" si="44"/>
        <v/>
      </c>
      <c r="F201" s="28">
        <f t="shared" si="45"/>
        <v>0</v>
      </c>
      <c r="G201" s="28">
        <f t="shared" si="46"/>
        <v>0</v>
      </c>
      <c r="H201" s="39"/>
      <c r="I201" s="29" t="str">
        <f>IFERROR(VLOOKUP(A201,'ฟอร์มทะเบียนผู้เข้าพัก'!A:L,12,FALSE),)</f>
        <v/>
      </c>
      <c r="J201" s="29" t="str">
        <f>IFERROR(VLOOKUP(A201,'ฟอร์มทะเบียนผู้เข้าพัก'!A:L,2,FALSE),)</f>
        <v/>
      </c>
      <c r="K201" s="29" t="str">
        <f>IFERROR(VLOOKUP(A201,'ฟอร์มทะเบียนผู้เข้าพัก'!A:L,4,FALSE),)</f>
        <v/>
      </c>
    </row>
    <row r="202">
      <c r="A202" s="24">
        <v>130.0</v>
      </c>
      <c r="B202" s="25" t="str">
        <f>IFERROR(VLOOKUP(A202,'ฟอร์มทะเบียนผู้เข้าพัก'!A:E,5,FALSE),)</f>
        <v/>
      </c>
      <c r="C202" s="25" t="str">
        <f>IFERROR(VLOOKUP(A202,'ฟอร์มทะเบียนผู้เข้าพัก'!A:F,3,FALSE),)</f>
        <v/>
      </c>
      <c r="D202" s="26" t="str">
        <f t="shared" si="43"/>
        <v/>
      </c>
      <c r="E202" s="27" t="str">
        <f t="shared" si="44"/>
        <v/>
      </c>
      <c r="F202" s="28">
        <f t="shared" si="45"/>
        <v>0</v>
      </c>
      <c r="G202" s="28">
        <f t="shared" si="46"/>
        <v>0</v>
      </c>
      <c r="H202" s="39"/>
      <c r="I202" s="29" t="str">
        <f>IFERROR(VLOOKUP(A202,'ฟอร์มทะเบียนผู้เข้าพัก'!A:L,12,FALSE),)</f>
        <v/>
      </c>
      <c r="J202" s="29" t="str">
        <f>IFERROR(VLOOKUP(A202,'ฟอร์มทะเบียนผู้เข้าพัก'!A:L,2,FALSE),)</f>
        <v/>
      </c>
      <c r="K202" s="29" t="str">
        <f>IFERROR(VLOOKUP(A202,'ฟอร์มทะเบียนผู้เข้าพัก'!A:L,4,FALSE),)</f>
        <v/>
      </c>
    </row>
    <row r="203">
      <c r="A203" s="41" t="s">
        <v>196</v>
      </c>
      <c r="B203" s="26"/>
      <c r="C203" s="39"/>
      <c r="D203" s="20">
        <f t="shared" ref="D203:G203" si="47">SUM(D188:D202)</f>
        <v>0</v>
      </c>
      <c r="E203" s="21">
        <f t="shared" si="47"/>
        <v>0</v>
      </c>
      <c r="F203" s="32">
        <f t="shared" si="47"/>
        <v>0</v>
      </c>
      <c r="G203" s="32">
        <f t="shared" si="47"/>
        <v>0</v>
      </c>
      <c r="H203" s="26"/>
      <c r="I203" s="29" t="str">
        <f>IFERROR(VLOOKUP(A203,'ฟอร์มทะเบียนผู้เข้าพัก'!A:L,12,FALSE),)</f>
        <v/>
      </c>
      <c r="J203" s="29" t="str">
        <f>IFERROR(VLOOKUP(A203,'ฟอร์มทะเบียนผู้เข้าพัก'!A:L,2,FALSE),)</f>
        <v/>
      </c>
      <c r="K203" s="29" t="str">
        <f>IFERROR(VLOOKUP(A203,'ฟอร์มทะเบียนผู้เข้าพัก'!A:L,4,FALSE),)</f>
        <v/>
      </c>
    </row>
    <row r="204">
      <c r="A204" s="13"/>
      <c r="B204" s="13"/>
      <c r="C204" s="13"/>
      <c r="D204" s="13"/>
      <c r="E204" s="16"/>
      <c r="F204" s="40"/>
      <c r="G204" s="13"/>
      <c r="H204" s="13"/>
      <c r="I204" s="29" t="str">
        <f>IFERROR(VLOOKUP(A204,'ฟอร์มทะเบียนผู้เข้าพัก'!A:L,12,FALSE),)</f>
        <v/>
      </c>
      <c r="J204" s="29" t="str">
        <f>IFERROR(VLOOKUP(A204,'ฟอร์มทะเบียนผู้เข้าพัก'!A:L,2,FALSE),)</f>
        <v/>
      </c>
      <c r="K204" s="29" t="str">
        <f>IFERROR(VLOOKUP(A204,'ฟอร์มทะเบียนผู้เข้าพัก'!A:L,4,FALSE),)</f>
        <v/>
      </c>
    </row>
    <row r="205">
      <c r="A205" s="13"/>
      <c r="B205" s="13"/>
      <c r="C205" s="13"/>
      <c r="D205" s="33" t="s">
        <v>201</v>
      </c>
      <c r="G205" s="13"/>
      <c r="H205" s="13"/>
      <c r="I205" s="34">
        <v>400.0</v>
      </c>
      <c r="J205" s="34">
        <v>500.0</v>
      </c>
      <c r="K205" s="34">
        <v>600.0</v>
      </c>
    </row>
    <row r="206">
      <c r="A206" s="13"/>
      <c r="B206" s="13"/>
      <c r="C206" s="13"/>
      <c r="D206" s="33" t="s">
        <v>202</v>
      </c>
      <c r="G206" s="13"/>
      <c r="H206" s="13"/>
      <c r="I206" s="34">
        <f>SUMIF(E188:E202,I205,F188:F202)</f>
        <v>0</v>
      </c>
      <c r="J206" s="34">
        <f>SUMIF(E188:E202,J205,F188:F202)</f>
        <v>0</v>
      </c>
      <c r="K206" s="34">
        <f>SUMIF(E188:E202,K205,F188:F202)</f>
        <v>0</v>
      </c>
    </row>
    <row r="207">
      <c r="A207" s="13"/>
      <c r="B207" s="13"/>
      <c r="C207" s="13"/>
      <c r="D207" s="13"/>
      <c r="E207" s="16"/>
      <c r="F207" s="13"/>
      <c r="G207" s="13"/>
      <c r="H207" s="13"/>
      <c r="I207" s="29" t="str">
        <f>IFERROR(VLOOKUP(A207,'ฟอร์มทะเบียนผู้เข้าพัก'!A:L,12,FALSE),)</f>
        <v/>
      </c>
      <c r="J207" s="29" t="str">
        <f>IFERROR(VLOOKUP(A207,'ฟอร์มทะเบียนผู้เข้าพัก'!A:L,2,FALSE),)</f>
        <v/>
      </c>
      <c r="K207" s="29" t="str">
        <f>IFERROR(VLOOKUP(A207,'ฟอร์มทะเบียนผู้เข้าพัก'!A:L,4,FALSE),)</f>
        <v/>
      </c>
    </row>
    <row r="208">
      <c r="A208" s="13"/>
      <c r="B208" s="13"/>
      <c r="C208" s="13"/>
      <c r="D208" s="13"/>
      <c r="E208" s="16"/>
      <c r="F208" s="13"/>
      <c r="G208" s="13"/>
      <c r="H208" s="13"/>
      <c r="I208" s="29" t="str">
        <f>IFERROR(VLOOKUP(A208,'ฟอร์มทะเบียนผู้เข้าพัก'!A:L,12,FALSE),)</f>
        <v/>
      </c>
      <c r="J208" s="29" t="str">
        <f>IFERROR(VLOOKUP(A208,'ฟอร์มทะเบียนผู้เข้าพัก'!A:L,2,FALSE),)</f>
        <v/>
      </c>
      <c r="K208" s="29" t="str">
        <f>IFERROR(VLOOKUP(A208,'ฟอร์มทะเบียนผู้เข้าพัก'!A:L,4,FALSE),)</f>
        <v/>
      </c>
    </row>
    <row r="209">
      <c r="A209" s="19" t="s">
        <v>189</v>
      </c>
      <c r="B209" s="19" t="s">
        <v>190</v>
      </c>
      <c r="C209" s="35" t="s">
        <v>191</v>
      </c>
      <c r="D209" s="20" t="s">
        <v>192</v>
      </c>
      <c r="E209" s="21" t="s">
        <v>193</v>
      </c>
      <c r="F209" s="20" t="s">
        <v>194</v>
      </c>
      <c r="G209" s="20" t="s">
        <v>194</v>
      </c>
      <c r="H209" s="19" t="s">
        <v>195</v>
      </c>
      <c r="I209" s="29" t="str">
        <f>IFERROR(VLOOKUP(A209,'ฟอร์มทะเบียนผู้เข้าพัก'!A:L,12,FALSE),)</f>
        <v/>
      </c>
      <c r="J209" s="29" t="str">
        <f>IFERROR(VLOOKUP(A209,'ฟอร์มทะเบียนผู้เข้าพัก'!A:L,2,FALSE),)</f>
        <v/>
      </c>
      <c r="K209" s="29" t="str">
        <f>IFERROR(VLOOKUP(A209,'ฟอร์มทะเบียนผู้เข้าพัก'!A:L,4,FALSE),)</f>
        <v/>
      </c>
    </row>
    <row r="210">
      <c r="A210" s="23"/>
      <c r="B210" s="23"/>
      <c r="C210" s="36"/>
      <c r="D210" s="20" t="s">
        <v>197</v>
      </c>
      <c r="E210" s="21" t="s">
        <v>198</v>
      </c>
      <c r="F210" s="20" t="s">
        <v>199</v>
      </c>
      <c r="G210" s="20" t="s">
        <v>200</v>
      </c>
      <c r="H210" s="23"/>
      <c r="I210" s="29" t="str">
        <f>IFERROR(VLOOKUP(A210,'ฟอร์มทะเบียนผู้เข้าพัก'!A:L,12,FALSE),)</f>
        <v/>
      </c>
      <c r="J210" s="29" t="str">
        <f>IFERROR(VLOOKUP(A210,'ฟอร์มทะเบียนผู้เข้าพัก'!A:L,2,FALSE),)</f>
        <v/>
      </c>
      <c r="K210" s="29" t="str">
        <f>IFERROR(VLOOKUP(A210,'ฟอร์มทะเบียนผู้เข้าพัก'!A:L,4,FALSE),)</f>
        <v/>
      </c>
    </row>
    <row r="211">
      <c r="A211" s="24">
        <v>131.0</v>
      </c>
      <c r="B211" s="25" t="str">
        <f>IFERROR(VLOOKUP(A211,'ฟอร์มทะเบียนผู้เข้าพัก'!A:E,5,FALSE),)</f>
        <v/>
      </c>
      <c r="C211" s="25" t="str">
        <f>IFERROR(VLOOKUP(A211,'ฟอร์มทะเบียนผู้เข้าพัก'!A:F,3,FALSE),)</f>
        <v/>
      </c>
      <c r="D211" s="26" t="str">
        <f t="shared" ref="D211:D225" si="48">IFERROR(VLOOKUP(J211,' รายการเข้าพัก'!B:L,6,FALSE),)</f>
        <v/>
      </c>
      <c r="E211" s="27" t="str">
        <f t="shared" ref="E211:E225" si="49">IFERROR(vlookup(K211,'🛏️ รายการห้องพัก'!A:E,5,false),)</f>
        <v/>
      </c>
      <c r="F211" s="28">
        <f t="shared" ref="F211:F225" si="50">E211*D211</f>
        <v>0</v>
      </c>
      <c r="G211" s="28">
        <f t="shared" ref="G211:G225" si="51">F211*1%</f>
        <v>0</v>
      </c>
      <c r="H211" s="26"/>
      <c r="I211" s="29" t="str">
        <f>IFERROR(VLOOKUP(A211,'ฟอร์มทะเบียนผู้เข้าพัก'!A:L,12,FALSE),)</f>
        <v/>
      </c>
      <c r="J211" s="29" t="str">
        <f>IFERROR(VLOOKUP(A211,'ฟอร์มทะเบียนผู้เข้าพัก'!A:L,2,FALSE),)</f>
        <v/>
      </c>
      <c r="K211" s="29" t="str">
        <f>IFERROR(VLOOKUP(A211,'ฟอร์มทะเบียนผู้เข้าพัก'!A:L,4,FALSE),)</f>
        <v/>
      </c>
    </row>
    <row r="212">
      <c r="A212" s="24">
        <v>132.0</v>
      </c>
      <c r="B212" s="25" t="str">
        <f>IFERROR(VLOOKUP(A212,'ฟอร์มทะเบียนผู้เข้าพัก'!A:E,5,FALSE),)</f>
        <v/>
      </c>
      <c r="C212" s="25" t="str">
        <f>IFERROR(VLOOKUP(A212,'ฟอร์มทะเบียนผู้เข้าพัก'!A:F,3,FALSE),)</f>
        <v/>
      </c>
      <c r="D212" s="26" t="str">
        <f t="shared" si="48"/>
        <v/>
      </c>
      <c r="E212" s="27" t="str">
        <f t="shared" si="49"/>
        <v/>
      </c>
      <c r="F212" s="28">
        <f t="shared" si="50"/>
        <v>0</v>
      </c>
      <c r="G212" s="28">
        <f t="shared" si="51"/>
        <v>0</v>
      </c>
      <c r="H212" s="26"/>
      <c r="I212" s="29" t="str">
        <f>IFERROR(VLOOKUP(A212,'ฟอร์มทะเบียนผู้เข้าพัก'!A:L,12,FALSE),)</f>
        <v/>
      </c>
      <c r="J212" s="29" t="str">
        <f>IFERROR(VLOOKUP(A212,'ฟอร์มทะเบียนผู้เข้าพัก'!A:L,2,FALSE),)</f>
        <v/>
      </c>
      <c r="K212" s="29" t="str">
        <f>IFERROR(VLOOKUP(A212,'ฟอร์มทะเบียนผู้เข้าพัก'!A:L,4,FALSE),)</f>
        <v/>
      </c>
    </row>
    <row r="213">
      <c r="A213" s="24">
        <v>133.0</v>
      </c>
      <c r="B213" s="25" t="str">
        <f>IFERROR(VLOOKUP(A213,'ฟอร์มทะเบียนผู้เข้าพัก'!A:E,5,FALSE),)</f>
        <v/>
      </c>
      <c r="C213" s="25" t="str">
        <f>IFERROR(VLOOKUP(A213,'ฟอร์มทะเบียนผู้เข้าพัก'!A:F,3,FALSE),)</f>
        <v/>
      </c>
      <c r="D213" s="26" t="str">
        <f t="shared" si="48"/>
        <v/>
      </c>
      <c r="E213" s="27" t="str">
        <f t="shared" si="49"/>
        <v/>
      </c>
      <c r="F213" s="28">
        <f t="shared" si="50"/>
        <v>0</v>
      </c>
      <c r="G213" s="28">
        <f t="shared" si="51"/>
        <v>0</v>
      </c>
      <c r="H213" s="26"/>
      <c r="I213" s="29" t="str">
        <f>IFERROR(VLOOKUP(A213,'ฟอร์มทะเบียนผู้เข้าพัก'!A:L,12,FALSE),)</f>
        <v/>
      </c>
      <c r="J213" s="29" t="str">
        <f>IFERROR(VLOOKUP(A213,'ฟอร์มทะเบียนผู้เข้าพัก'!A:L,2,FALSE),)</f>
        <v/>
      </c>
      <c r="K213" s="29" t="str">
        <f>IFERROR(VLOOKUP(A213,'ฟอร์มทะเบียนผู้เข้าพัก'!A:L,4,FALSE),)</f>
        <v/>
      </c>
    </row>
    <row r="214">
      <c r="A214" s="24">
        <v>134.0</v>
      </c>
      <c r="B214" s="25" t="str">
        <f>IFERROR(VLOOKUP(A214,'ฟอร์มทะเบียนผู้เข้าพัก'!A:E,5,FALSE),)</f>
        <v/>
      </c>
      <c r="C214" s="25" t="str">
        <f>IFERROR(VLOOKUP(A214,'ฟอร์มทะเบียนผู้เข้าพัก'!A:F,3,FALSE),)</f>
        <v/>
      </c>
      <c r="D214" s="26" t="str">
        <f t="shared" si="48"/>
        <v/>
      </c>
      <c r="E214" s="27" t="str">
        <f t="shared" si="49"/>
        <v/>
      </c>
      <c r="F214" s="28">
        <f t="shared" si="50"/>
        <v>0</v>
      </c>
      <c r="G214" s="28">
        <f t="shared" si="51"/>
        <v>0</v>
      </c>
      <c r="H214" s="26"/>
      <c r="I214" s="29" t="str">
        <f>IFERROR(VLOOKUP(A214,'ฟอร์มทะเบียนผู้เข้าพัก'!A:L,12,FALSE),)</f>
        <v/>
      </c>
      <c r="J214" s="29" t="str">
        <f>IFERROR(VLOOKUP(A214,'ฟอร์มทะเบียนผู้เข้าพัก'!A:L,2,FALSE),)</f>
        <v/>
      </c>
      <c r="K214" s="29" t="str">
        <f>IFERROR(VLOOKUP(A214,'ฟอร์มทะเบียนผู้เข้าพัก'!A:L,4,FALSE),)</f>
        <v/>
      </c>
    </row>
    <row r="215">
      <c r="A215" s="24">
        <v>135.0</v>
      </c>
      <c r="B215" s="25" t="str">
        <f>IFERROR(VLOOKUP(A215,'ฟอร์มทะเบียนผู้เข้าพัก'!A:E,5,FALSE),)</f>
        <v/>
      </c>
      <c r="C215" s="25" t="str">
        <f>IFERROR(VLOOKUP(A215,'ฟอร์มทะเบียนผู้เข้าพัก'!A:F,3,FALSE),)</f>
        <v/>
      </c>
      <c r="D215" s="26" t="str">
        <f t="shared" si="48"/>
        <v/>
      </c>
      <c r="E215" s="27" t="str">
        <f t="shared" si="49"/>
        <v/>
      </c>
      <c r="F215" s="28">
        <f t="shared" si="50"/>
        <v>0</v>
      </c>
      <c r="G215" s="28">
        <f t="shared" si="51"/>
        <v>0</v>
      </c>
      <c r="H215" s="26"/>
      <c r="I215" s="29" t="str">
        <f>IFERROR(VLOOKUP(A215,'ฟอร์มทะเบียนผู้เข้าพัก'!A:L,12,FALSE),)</f>
        <v/>
      </c>
      <c r="J215" s="29" t="str">
        <f>IFERROR(VLOOKUP(A215,'ฟอร์มทะเบียนผู้เข้าพัก'!A:L,2,FALSE),)</f>
        <v/>
      </c>
      <c r="K215" s="29" t="str">
        <f>IFERROR(VLOOKUP(A215,'ฟอร์มทะเบียนผู้เข้าพัก'!A:L,4,FALSE),)</f>
        <v/>
      </c>
    </row>
    <row r="216">
      <c r="A216" s="24">
        <v>136.0</v>
      </c>
      <c r="B216" s="25" t="str">
        <f>IFERROR(VLOOKUP(A216,'ฟอร์มทะเบียนผู้เข้าพัก'!A:E,5,FALSE),)</f>
        <v/>
      </c>
      <c r="C216" s="25" t="str">
        <f>IFERROR(VLOOKUP(A216,'ฟอร์มทะเบียนผู้เข้าพัก'!A:F,3,FALSE),)</f>
        <v/>
      </c>
      <c r="D216" s="26" t="str">
        <f t="shared" si="48"/>
        <v/>
      </c>
      <c r="E216" s="27" t="str">
        <f t="shared" si="49"/>
        <v/>
      </c>
      <c r="F216" s="28">
        <f t="shared" si="50"/>
        <v>0</v>
      </c>
      <c r="G216" s="28">
        <f t="shared" si="51"/>
        <v>0</v>
      </c>
      <c r="H216" s="26"/>
      <c r="I216" s="29" t="str">
        <f>IFERROR(VLOOKUP(A216,'ฟอร์มทะเบียนผู้เข้าพัก'!A:L,12,FALSE),)</f>
        <v/>
      </c>
      <c r="J216" s="29" t="str">
        <f>IFERROR(VLOOKUP(A216,'ฟอร์มทะเบียนผู้เข้าพัก'!A:L,2,FALSE),)</f>
        <v/>
      </c>
      <c r="K216" s="29" t="str">
        <f>IFERROR(VLOOKUP(A216,'ฟอร์มทะเบียนผู้เข้าพัก'!A:L,4,FALSE),)</f>
        <v/>
      </c>
    </row>
    <row r="217">
      <c r="A217" s="24">
        <v>137.0</v>
      </c>
      <c r="B217" s="25" t="str">
        <f>IFERROR(VLOOKUP(A217,'ฟอร์มทะเบียนผู้เข้าพัก'!A:E,5,FALSE),)</f>
        <v/>
      </c>
      <c r="C217" s="25" t="str">
        <f>IFERROR(VLOOKUP(A217,'ฟอร์มทะเบียนผู้เข้าพัก'!A:F,3,FALSE),)</f>
        <v/>
      </c>
      <c r="D217" s="26" t="str">
        <f t="shared" si="48"/>
        <v/>
      </c>
      <c r="E217" s="27" t="str">
        <f t="shared" si="49"/>
        <v/>
      </c>
      <c r="F217" s="28">
        <f t="shared" si="50"/>
        <v>0</v>
      </c>
      <c r="G217" s="28">
        <f t="shared" si="51"/>
        <v>0</v>
      </c>
      <c r="H217" s="26"/>
      <c r="I217" s="29" t="str">
        <f>IFERROR(VLOOKUP(A217,'ฟอร์มทะเบียนผู้เข้าพัก'!A:L,12,FALSE),)</f>
        <v/>
      </c>
      <c r="J217" s="29" t="str">
        <f>IFERROR(VLOOKUP(A217,'ฟอร์มทะเบียนผู้เข้าพัก'!A:L,2,FALSE),)</f>
        <v/>
      </c>
      <c r="K217" s="29" t="str">
        <f>IFERROR(VLOOKUP(A217,'ฟอร์มทะเบียนผู้เข้าพัก'!A:L,4,FALSE),)</f>
        <v/>
      </c>
    </row>
    <row r="218">
      <c r="A218" s="24">
        <v>138.0</v>
      </c>
      <c r="B218" s="25" t="str">
        <f>IFERROR(VLOOKUP(A218,'ฟอร์มทะเบียนผู้เข้าพัก'!A:E,5,FALSE),)</f>
        <v/>
      </c>
      <c r="C218" s="25" t="str">
        <f>IFERROR(VLOOKUP(A218,'ฟอร์มทะเบียนผู้เข้าพัก'!A:F,3,FALSE),)</f>
        <v/>
      </c>
      <c r="D218" s="26" t="str">
        <f t="shared" si="48"/>
        <v/>
      </c>
      <c r="E218" s="27" t="str">
        <f t="shared" si="49"/>
        <v/>
      </c>
      <c r="F218" s="28">
        <f t="shared" si="50"/>
        <v>0</v>
      </c>
      <c r="G218" s="28">
        <f t="shared" si="51"/>
        <v>0</v>
      </c>
      <c r="H218" s="26"/>
      <c r="I218" s="29" t="str">
        <f>IFERROR(VLOOKUP(A218,'ฟอร์มทะเบียนผู้เข้าพัก'!A:L,12,FALSE),)</f>
        <v/>
      </c>
      <c r="J218" s="29" t="str">
        <f>IFERROR(VLOOKUP(A218,'ฟอร์มทะเบียนผู้เข้าพัก'!A:L,2,FALSE),)</f>
        <v/>
      </c>
      <c r="K218" s="29" t="str">
        <f>IFERROR(VLOOKUP(A218,'ฟอร์มทะเบียนผู้เข้าพัก'!A:L,4,FALSE),)</f>
        <v/>
      </c>
    </row>
    <row r="219">
      <c r="A219" s="24">
        <v>139.0</v>
      </c>
      <c r="B219" s="25" t="str">
        <f>IFERROR(VLOOKUP(A219,'ฟอร์มทะเบียนผู้เข้าพัก'!A:E,5,FALSE),)</f>
        <v/>
      </c>
      <c r="C219" s="25" t="str">
        <f>IFERROR(VLOOKUP(A219,'ฟอร์มทะเบียนผู้เข้าพัก'!A:F,3,FALSE),)</f>
        <v/>
      </c>
      <c r="D219" s="26" t="str">
        <f t="shared" si="48"/>
        <v/>
      </c>
      <c r="E219" s="27" t="str">
        <f t="shared" si="49"/>
        <v/>
      </c>
      <c r="F219" s="28">
        <f t="shared" si="50"/>
        <v>0</v>
      </c>
      <c r="G219" s="28">
        <f t="shared" si="51"/>
        <v>0</v>
      </c>
      <c r="H219" s="26"/>
      <c r="I219" s="29" t="str">
        <f>IFERROR(VLOOKUP(A219,'ฟอร์มทะเบียนผู้เข้าพัก'!A:L,12,FALSE),)</f>
        <v/>
      </c>
      <c r="J219" s="29" t="str">
        <f>IFERROR(VLOOKUP(A219,'ฟอร์มทะเบียนผู้เข้าพัก'!A:L,2,FALSE),)</f>
        <v/>
      </c>
      <c r="K219" s="29" t="str">
        <f>IFERROR(VLOOKUP(A219,'ฟอร์มทะเบียนผู้เข้าพัก'!A:L,4,FALSE),)</f>
        <v/>
      </c>
    </row>
    <row r="220">
      <c r="A220" s="24">
        <v>140.0</v>
      </c>
      <c r="B220" s="25" t="str">
        <f>IFERROR(VLOOKUP(A220,'ฟอร์มทะเบียนผู้เข้าพัก'!A:E,5,FALSE),)</f>
        <v/>
      </c>
      <c r="C220" s="25" t="str">
        <f>IFERROR(VLOOKUP(A220,'ฟอร์มทะเบียนผู้เข้าพัก'!A:F,3,FALSE),)</f>
        <v/>
      </c>
      <c r="D220" s="26" t="str">
        <f t="shared" si="48"/>
        <v/>
      </c>
      <c r="E220" s="27" t="str">
        <f t="shared" si="49"/>
        <v/>
      </c>
      <c r="F220" s="28">
        <f t="shared" si="50"/>
        <v>0</v>
      </c>
      <c r="G220" s="28">
        <f t="shared" si="51"/>
        <v>0</v>
      </c>
      <c r="H220" s="26"/>
      <c r="I220" s="29" t="str">
        <f>IFERROR(VLOOKUP(A220,'ฟอร์มทะเบียนผู้เข้าพัก'!A:L,12,FALSE),)</f>
        <v/>
      </c>
      <c r="J220" s="29">
        <f>IFERROR(VLOOKUP(A220,'ฟอร์มทะเบียนผู้เข้าพัก'!A:L,2,FALSE),)</f>
        <v>93</v>
      </c>
      <c r="K220" s="29" t="str">
        <f>IFERROR(VLOOKUP(A220,'ฟอร์มทะเบียนผู้เข้าพัก'!A:L,4,FALSE),)</f>
        <v/>
      </c>
    </row>
    <row r="221">
      <c r="A221" s="24">
        <v>141.0</v>
      </c>
      <c r="B221" s="25" t="str">
        <f>IFERROR(VLOOKUP(A221,'ฟอร์มทะเบียนผู้เข้าพัก'!A:E,5,FALSE),)</f>
        <v/>
      </c>
      <c r="C221" s="25" t="str">
        <f>IFERROR(VLOOKUP(A221,'ฟอร์มทะเบียนผู้เข้าพัก'!A:F,3,FALSE),)</f>
        <v/>
      </c>
      <c r="D221" s="26" t="str">
        <f t="shared" si="48"/>
        <v/>
      </c>
      <c r="E221" s="27" t="str">
        <f t="shared" si="49"/>
        <v/>
      </c>
      <c r="F221" s="28">
        <f t="shared" si="50"/>
        <v>0</v>
      </c>
      <c r="G221" s="28">
        <f t="shared" si="51"/>
        <v>0</v>
      </c>
      <c r="H221" s="26"/>
      <c r="I221" s="29" t="str">
        <f>IFERROR(VLOOKUP(A221,'ฟอร์มทะเบียนผู้เข้าพัก'!A:L,12,FALSE),)</f>
        <v/>
      </c>
      <c r="J221" s="29" t="str">
        <f>IFERROR(VLOOKUP(A221,'ฟอร์มทะเบียนผู้เข้าพัก'!A:L,2,FALSE),)</f>
        <v/>
      </c>
      <c r="K221" s="29" t="str">
        <f>IFERROR(VLOOKUP(A221,'ฟอร์มทะเบียนผู้เข้าพัก'!A:L,4,FALSE),)</f>
        <v/>
      </c>
    </row>
    <row r="222">
      <c r="A222" s="24">
        <v>142.0</v>
      </c>
      <c r="B222" s="25" t="str">
        <f>IFERROR(VLOOKUP(A222,'ฟอร์มทะเบียนผู้เข้าพัก'!A:E,5,FALSE),)</f>
        <v/>
      </c>
      <c r="C222" s="25" t="str">
        <f>IFERROR(VLOOKUP(A222,'ฟอร์มทะเบียนผู้เข้าพัก'!A:F,3,FALSE),)</f>
        <v/>
      </c>
      <c r="D222" s="26" t="str">
        <f t="shared" si="48"/>
        <v/>
      </c>
      <c r="E222" s="27" t="str">
        <f t="shared" si="49"/>
        <v/>
      </c>
      <c r="F222" s="28">
        <f t="shared" si="50"/>
        <v>0</v>
      </c>
      <c r="G222" s="28">
        <f t="shared" si="51"/>
        <v>0</v>
      </c>
      <c r="H222" s="26"/>
      <c r="I222" s="29" t="str">
        <f>IFERROR(VLOOKUP(A222,'ฟอร์มทะเบียนผู้เข้าพัก'!A:L,12,FALSE),)</f>
        <v/>
      </c>
      <c r="J222" s="29" t="str">
        <f>IFERROR(VLOOKUP(A222,'ฟอร์มทะเบียนผู้เข้าพัก'!A:L,2,FALSE),)</f>
        <v/>
      </c>
      <c r="K222" s="29" t="str">
        <f>IFERROR(VLOOKUP(A222,'ฟอร์มทะเบียนผู้เข้าพัก'!A:L,4,FALSE),)</f>
        <v/>
      </c>
    </row>
    <row r="223">
      <c r="A223" s="24">
        <v>143.0</v>
      </c>
      <c r="B223" s="25" t="str">
        <f>IFERROR(VLOOKUP(A223,'ฟอร์มทะเบียนผู้เข้าพัก'!A:E,5,FALSE),)</f>
        <v/>
      </c>
      <c r="C223" s="25" t="str">
        <f>IFERROR(VLOOKUP(A223,'ฟอร์มทะเบียนผู้เข้าพัก'!A:F,3,FALSE),)</f>
        <v/>
      </c>
      <c r="D223" s="26" t="str">
        <f t="shared" si="48"/>
        <v/>
      </c>
      <c r="E223" s="27" t="str">
        <f t="shared" si="49"/>
        <v/>
      </c>
      <c r="F223" s="28">
        <f t="shared" si="50"/>
        <v>0</v>
      </c>
      <c r="G223" s="28">
        <f t="shared" si="51"/>
        <v>0</v>
      </c>
      <c r="H223" s="26"/>
      <c r="I223" s="29" t="str">
        <f>IFERROR(VLOOKUP(A223,'ฟอร์มทะเบียนผู้เข้าพัก'!A:L,12,FALSE),)</f>
        <v/>
      </c>
      <c r="J223" s="29" t="str">
        <f>IFERROR(VLOOKUP(A223,'ฟอร์มทะเบียนผู้เข้าพัก'!A:L,2,FALSE),)</f>
        <v/>
      </c>
      <c r="K223" s="29" t="str">
        <f>IFERROR(VLOOKUP(A223,'ฟอร์มทะเบียนผู้เข้าพัก'!A:L,4,FALSE),)</f>
        <v/>
      </c>
    </row>
    <row r="224">
      <c r="A224" s="24">
        <v>144.0</v>
      </c>
      <c r="B224" s="25" t="str">
        <f>IFERROR(VLOOKUP(A224,'ฟอร์มทะเบียนผู้เข้าพัก'!A:E,5,FALSE),)</f>
        <v/>
      </c>
      <c r="C224" s="25" t="str">
        <f>IFERROR(VLOOKUP(A224,'ฟอร์มทะเบียนผู้เข้าพัก'!A:F,3,FALSE),)</f>
        <v/>
      </c>
      <c r="D224" s="26" t="str">
        <f t="shared" si="48"/>
        <v/>
      </c>
      <c r="E224" s="27" t="str">
        <f t="shared" si="49"/>
        <v/>
      </c>
      <c r="F224" s="28">
        <f t="shared" si="50"/>
        <v>0</v>
      </c>
      <c r="G224" s="28">
        <f t="shared" si="51"/>
        <v>0</v>
      </c>
      <c r="H224" s="26"/>
      <c r="I224" s="29" t="str">
        <f>IFERROR(VLOOKUP(A224,'ฟอร์มทะเบียนผู้เข้าพัก'!A:L,12,FALSE),)</f>
        <v/>
      </c>
      <c r="J224" s="29" t="str">
        <f>IFERROR(VLOOKUP(A224,'ฟอร์มทะเบียนผู้เข้าพัก'!A:L,2,FALSE),)</f>
        <v/>
      </c>
      <c r="K224" s="29" t="str">
        <f>IFERROR(VLOOKUP(A224,'ฟอร์มทะเบียนผู้เข้าพัก'!A:L,4,FALSE),)</f>
        <v/>
      </c>
    </row>
    <row r="225">
      <c r="A225" s="24">
        <v>145.0</v>
      </c>
      <c r="B225" s="25" t="str">
        <f>IFERROR(VLOOKUP(A225,'ฟอร์มทะเบียนผู้เข้าพัก'!A:E,5,FALSE),)</f>
        <v/>
      </c>
      <c r="C225" s="25" t="str">
        <f>IFERROR(VLOOKUP(A225,'ฟอร์มทะเบียนผู้เข้าพัก'!A:F,3,FALSE),)</f>
        <v/>
      </c>
      <c r="D225" s="26" t="str">
        <f t="shared" si="48"/>
        <v/>
      </c>
      <c r="E225" s="27" t="str">
        <f t="shared" si="49"/>
        <v/>
      </c>
      <c r="F225" s="28">
        <f t="shared" si="50"/>
        <v>0</v>
      </c>
      <c r="G225" s="28">
        <f t="shared" si="51"/>
        <v>0</v>
      </c>
      <c r="H225" s="26"/>
      <c r="I225" s="29" t="str">
        <f>IFERROR(VLOOKUP(A225,'ฟอร์มทะเบียนผู้เข้าพัก'!A:L,12,FALSE),)</f>
        <v/>
      </c>
      <c r="J225" s="29" t="str">
        <f>IFERROR(VLOOKUP(A225,'ฟอร์มทะเบียนผู้เข้าพัก'!A:L,2,FALSE),)</f>
        <v/>
      </c>
      <c r="K225" s="29" t="str">
        <f>IFERROR(VLOOKUP(A225,'ฟอร์มทะเบียนผู้เข้าพัก'!A:L,4,FALSE),)</f>
        <v/>
      </c>
    </row>
    <row r="226">
      <c r="A226" s="24" t="s">
        <v>196</v>
      </c>
      <c r="B226" s="26"/>
      <c r="C226" s="37"/>
      <c r="D226" s="20">
        <f t="shared" ref="D226:G226" si="52">SUM(D211:D225)</f>
        <v>0</v>
      </c>
      <c r="E226" s="21">
        <f t="shared" si="52"/>
        <v>0</v>
      </c>
      <c r="F226" s="32">
        <f t="shared" si="52"/>
        <v>0</v>
      </c>
      <c r="G226" s="32">
        <f t="shared" si="52"/>
        <v>0</v>
      </c>
      <c r="H226" s="26"/>
      <c r="I226" s="29" t="str">
        <f>IFERROR(VLOOKUP(A226,'ฟอร์มทะเบียนผู้เข้าพัก'!A:L,12,FALSE),)</f>
        <v/>
      </c>
      <c r="J226" s="29" t="str">
        <f>IFERROR(VLOOKUP(A226,'ฟอร์มทะเบียนผู้เข้าพัก'!A:L,2,FALSE),)</f>
        <v/>
      </c>
      <c r="K226" s="29" t="str">
        <f>IFERROR(VLOOKUP(A226,'ฟอร์มทะเบียนผู้เข้าพัก'!A:L,4,FALSE),)</f>
        <v/>
      </c>
    </row>
    <row r="227">
      <c r="A227" s="13"/>
      <c r="B227" s="13"/>
      <c r="C227" s="13"/>
      <c r="D227" s="13"/>
      <c r="E227" s="16"/>
      <c r="F227" s="40"/>
      <c r="G227" s="13"/>
      <c r="H227" s="13"/>
      <c r="I227" s="29" t="str">
        <f>IFERROR(VLOOKUP(A227,'ฟอร์มทะเบียนผู้เข้าพัก'!A:L,12,FALSE),)</f>
        <v/>
      </c>
      <c r="J227" s="29" t="str">
        <f>IFERROR(VLOOKUP(A227,'ฟอร์มทะเบียนผู้เข้าพัก'!A:L,2,FALSE),)</f>
        <v/>
      </c>
      <c r="K227" s="29" t="str">
        <f>IFERROR(VLOOKUP(A227,'ฟอร์มทะเบียนผู้เข้าพัก'!A:L,4,FALSE),)</f>
        <v/>
      </c>
    </row>
    <row r="228">
      <c r="A228" s="13"/>
      <c r="B228" s="13"/>
      <c r="C228" s="13"/>
      <c r="D228" s="33" t="s">
        <v>201</v>
      </c>
      <c r="G228" s="13"/>
      <c r="H228" s="13"/>
      <c r="I228" s="34">
        <v>400.0</v>
      </c>
      <c r="J228" s="34">
        <v>500.0</v>
      </c>
      <c r="K228" s="34">
        <v>600.0</v>
      </c>
    </row>
    <row r="229">
      <c r="A229" s="13"/>
      <c r="B229" s="13"/>
      <c r="C229" s="13"/>
      <c r="D229" s="33" t="s">
        <v>202</v>
      </c>
      <c r="G229" s="13"/>
      <c r="H229" s="13"/>
      <c r="I229" s="34">
        <f>SUMIF(E211:E225,I228,F211:F225)</f>
        <v>0</v>
      </c>
      <c r="J229" s="34">
        <f>SUMIF(E211:E225,J228,F211:F225)</f>
        <v>0</v>
      </c>
      <c r="K229" s="34">
        <f>SUMIF(E211:E225,K228,F211:F225)</f>
        <v>0</v>
      </c>
    </row>
    <row r="230">
      <c r="A230" s="13"/>
      <c r="B230" s="13"/>
      <c r="C230" s="13"/>
      <c r="D230" s="13"/>
      <c r="E230" s="16"/>
      <c r="F230" s="13"/>
      <c r="G230" s="13"/>
      <c r="H230" s="13"/>
      <c r="I230" s="29" t="str">
        <f>IFERROR(VLOOKUP(A230,'ฟอร์มทะเบียนผู้เข้าพัก'!A:L,12,FALSE),)</f>
        <v/>
      </c>
      <c r="J230" s="29" t="str">
        <f>IFERROR(VLOOKUP(A230,'ฟอร์มทะเบียนผู้เข้าพัก'!A:L,2,FALSE),)</f>
        <v/>
      </c>
      <c r="K230" s="29" t="str">
        <f>IFERROR(VLOOKUP(A230,'ฟอร์มทะเบียนผู้เข้าพัก'!A:L,4,FALSE),)</f>
        <v/>
      </c>
    </row>
    <row r="231">
      <c r="A231" s="13"/>
      <c r="B231" s="13"/>
      <c r="C231" s="13"/>
      <c r="D231" s="13"/>
      <c r="E231" s="16"/>
      <c r="F231" s="13"/>
      <c r="G231" s="13"/>
      <c r="H231" s="13"/>
      <c r="I231" s="29" t="str">
        <f>IFERROR(VLOOKUP(A231,'ฟอร์มทะเบียนผู้เข้าพัก'!A:L,12,FALSE),)</f>
        <v/>
      </c>
      <c r="J231" s="29" t="str">
        <f>IFERROR(VLOOKUP(A231,'ฟอร์มทะเบียนผู้เข้าพัก'!A:L,2,FALSE),)</f>
        <v/>
      </c>
      <c r="K231" s="29" t="str">
        <f>IFERROR(VLOOKUP(A231,'ฟอร์มทะเบียนผู้เข้าพัก'!A:L,4,FALSE),)</f>
        <v/>
      </c>
    </row>
    <row r="232">
      <c r="A232" s="19" t="s">
        <v>189</v>
      </c>
      <c r="B232" s="19" t="s">
        <v>190</v>
      </c>
      <c r="C232" s="35" t="s">
        <v>191</v>
      </c>
      <c r="D232" s="20" t="s">
        <v>192</v>
      </c>
      <c r="E232" s="21" t="s">
        <v>193</v>
      </c>
      <c r="F232" s="20" t="s">
        <v>194</v>
      </c>
      <c r="G232" s="20" t="s">
        <v>194</v>
      </c>
      <c r="H232" s="19" t="s">
        <v>195</v>
      </c>
      <c r="I232" s="29" t="str">
        <f>IFERROR(VLOOKUP(A232,'ฟอร์มทะเบียนผู้เข้าพัก'!A:L,12,FALSE),)</f>
        <v/>
      </c>
      <c r="J232" s="29" t="str">
        <f>IFERROR(VLOOKUP(A232,'ฟอร์มทะเบียนผู้เข้าพัก'!A:L,2,FALSE),)</f>
        <v/>
      </c>
      <c r="K232" s="29" t="str">
        <f>IFERROR(VLOOKUP(A232,'ฟอร์มทะเบียนผู้เข้าพัก'!A:L,4,FALSE),)</f>
        <v/>
      </c>
    </row>
    <row r="233">
      <c r="A233" s="23"/>
      <c r="B233" s="23"/>
      <c r="C233" s="36"/>
      <c r="D233" s="20" t="s">
        <v>197</v>
      </c>
      <c r="E233" s="21" t="s">
        <v>198</v>
      </c>
      <c r="F233" s="20" t="s">
        <v>199</v>
      </c>
      <c r="G233" s="20" t="s">
        <v>200</v>
      </c>
      <c r="H233" s="23"/>
      <c r="I233" s="29" t="str">
        <f>IFERROR(VLOOKUP(A233,'ฟอร์มทะเบียนผู้เข้าพัก'!A:L,12,FALSE),)</f>
        <v/>
      </c>
      <c r="J233" s="29" t="str">
        <f>IFERROR(VLOOKUP(A233,'ฟอร์มทะเบียนผู้เข้าพัก'!A:L,2,FALSE),)</f>
        <v/>
      </c>
      <c r="K233" s="29" t="str">
        <f>IFERROR(VLOOKUP(A233,'ฟอร์มทะเบียนผู้เข้าพัก'!A:L,4,FALSE),)</f>
        <v/>
      </c>
    </row>
    <row r="234">
      <c r="A234" s="24">
        <v>146.0</v>
      </c>
      <c r="B234" s="25" t="str">
        <f>IFERROR(VLOOKUP(A234,'ฟอร์มทะเบียนผู้เข้าพัก'!A:E,5,FALSE),)</f>
        <v/>
      </c>
      <c r="C234" s="25" t="str">
        <f>IFERROR(VLOOKUP(A234,'ฟอร์มทะเบียนผู้เข้าพัก'!A:F,3,FALSE),)</f>
        <v/>
      </c>
      <c r="D234" s="26" t="str">
        <f t="shared" ref="D234:D240" si="53">IFERROR(VLOOKUP(J234,' รายการเข้าพัก'!B:L,6,FALSE),)</f>
        <v/>
      </c>
      <c r="E234" s="27" t="str">
        <f t="shared" ref="E234:E239" si="54">IFERROR(vlookup(K234,'🛏️ รายการห้องพัก'!A:E,5,false),)</f>
        <v/>
      </c>
      <c r="F234" s="28">
        <f t="shared" ref="F234:F239" si="55">E234*D234</f>
        <v>0</v>
      </c>
      <c r="G234" s="28">
        <f t="shared" ref="G234:G239" si="56">F234*1%</f>
        <v>0</v>
      </c>
      <c r="H234" s="26"/>
      <c r="I234" s="29" t="str">
        <f>IFERROR(VLOOKUP(A234,'ฟอร์มทะเบียนผู้เข้าพัก'!A:L,12,FALSE),)</f>
        <v/>
      </c>
      <c r="J234" s="29" t="str">
        <f>IFERROR(VLOOKUP(A234,'ฟอร์มทะเบียนผู้เข้าพัก'!A:L,2,FALSE),)</f>
        <v/>
      </c>
      <c r="K234" s="29" t="str">
        <f>IFERROR(VLOOKUP(A234,'ฟอร์มทะเบียนผู้เข้าพัก'!A:L,4,FALSE),)</f>
        <v/>
      </c>
    </row>
    <row r="235">
      <c r="A235" s="24">
        <v>147.0</v>
      </c>
      <c r="B235" s="25" t="str">
        <f>IFERROR(VLOOKUP(A235,'ฟอร์มทะเบียนผู้เข้าพัก'!A:E,5,FALSE),)</f>
        <v/>
      </c>
      <c r="C235" s="25" t="str">
        <f>IFERROR(VLOOKUP(A235,'ฟอร์มทะเบียนผู้เข้าพัก'!A:F,3,FALSE),)</f>
        <v/>
      </c>
      <c r="D235" s="26" t="str">
        <f t="shared" si="53"/>
        <v/>
      </c>
      <c r="E235" s="27" t="str">
        <f t="shared" si="54"/>
        <v/>
      </c>
      <c r="F235" s="28">
        <f t="shared" si="55"/>
        <v>0</v>
      </c>
      <c r="G235" s="28">
        <f t="shared" si="56"/>
        <v>0</v>
      </c>
      <c r="H235" s="26"/>
      <c r="I235" s="29" t="str">
        <f>IFERROR(VLOOKUP(A235,'ฟอร์มทะเบียนผู้เข้าพัก'!A:L,12,FALSE),)</f>
        <v/>
      </c>
      <c r="J235" s="29" t="str">
        <f>IFERROR(VLOOKUP(A235,'ฟอร์มทะเบียนผู้เข้าพัก'!A:L,2,FALSE),)</f>
        <v/>
      </c>
      <c r="K235" s="29" t="str">
        <f>IFERROR(VLOOKUP(A235,'ฟอร์มทะเบียนผู้เข้าพัก'!A:L,4,FALSE),)</f>
        <v/>
      </c>
    </row>
    <row r="236">
      <c r="A236" s="24">
        <v>148.0</v>
      </c>
      <c r="B236" s="25" t="str">
        <f>IFERROR(VLOOKUP(A236,'ฟอร์มทะเบียนผู้เข้าพัก'!A:E,5,FALSE),)</f>
        <v/>
      </c>
      <c r="C236" s="25" t="str">
        <f>IFERROR(VLOOKUP(A236,'ฟอร์มทะเบียนผู้เข้าพัก'!A:F,3,FALSE),)</f>
        <v/>
      </c>
      <c r="D236" s="26" t="str">
        <f t="shared" si="53"/>
        <v/>
      </c>
      <c r="E236" s="27" t="str">
        <f t="shared" si="54"/>
        <v/>
      </c>
      <c r="F236" s="28">
        <f t="shared" si="55"/>
        <v>0</v>
      </c>
      <c r="G236" s="28">
        <f t="shared" si="56"/>
        <v>0</v>
      </c>
      <c r="H236" s="26"/>
      <c r="I236" s="29" t="str">
        <f>IFERROR(VLOOKUP(A236,'ฟอร์มทะเบียนผู้เข้าพัก'!A:L,12,FALSE),)</f>
        <v/>
      </c>
      <c r="J236" s="29" t="str">
        <f>IFERROR(VLOOKUP(A236,'ฟอร์มทะเบียนผู้เข้าพัก'!A:L,2,FALSE),)</f>
        <v/>
      </c>
      <c r="K236" s="29" t="str">
        <f>IFERROR(VLOOKUP(A236,'ฟอร์มทะเบียนผู้เข้าพัก'!A:L,4,FALSE),)</f>
        <v/>
      </c>
    </row>
    <row r="237">
      <c r="A237" s="24">
        <v>149.0</v>
      </c>
      <c r="B237" s="25" t="str">
        <f>IFERROR(VLOOKUP(A237,'ฟอร์มทะเบียนผู้เข้าพัก'!A:E,5,FALSE),)</f>
        <v/>
      </c>
      <c r="C237" s="25" t="str">
        <f>IFERROR(VLOOKUP(A237,'ฟอร์มทะเบียนผู้เข้าพัก'!A:F,3,FALSE),)</f>
        <v/>
      </c>
      <c r="D237" s="26" t="str">
        <f t="shared" si="53"/>
        <v/>
      </c>
      <c r="E237" s="27" t="str">
        <f t="shared" si="54"/>
        <v/>
      </c>
      <c r="F237" s="28">
        <f t="shared" si="55"/>
        <v>0</v>
      </c>
      <c r="G237" s="28">
        <f t="shared" si="56"/>
        <v>0</v>
      </c>
      <c r="H237" s="26"/>
      <c r="I237" s="29" t="str">
        <f>IFERROR(VLOOKUP(A237,'ฟอร์มทะเบียนผู้เข้าพัก'!A:L,12,FALSE),)</f>
        <v/>
      </c>
      <c r="J237" s="29" t="str">
        <f>IFERROR(VLOOKUP(A237,'ฟอร์มทะเบียนผู้เข้าพัก'!A:L,2,FALSE),)</f>
        <v/>
      </c>
      <c r="K237" s="29" t="str">
        <f>IFERROR(VLOOKUP(A237,'ฟอร์มทะเบียนผู้เข้าพัก'!A:L,4,FALSE),)</f>
        <v/>
      </c>
    </row>
    <row r="238">
      <c r="A238" s="24">
        <v>150.0</v>
      </c>
      <c r="B238" s="25" t="str">
        <f>IFERROR(VLOOKUP(A238,'ฟอร์มทะเบียนผู้เข้าพัก'!A:E,5,FALSE),)</f>
        <v/>
      </c>
      <c r="C238" s="25" t="str">
        <f>IFERROR(VLOOKUP(A238,'ฟอร์มทะเบียนผู้เข้าพัก'!A:F,3,FALSE),)</f>
        <v/>
      </c>
      <c r="D238" s="26" t="str">
        <f t="shared" si="53"/>
        <v/>
      </c>
      <c r="E238" s="27" t="str">
        <f t="shared" si="54"/>
        <v/>
      </c>
      <c r="F238" s="28">
        <f t="shared" si="55"/>
        <v>0</v>
      </c>
      <c r="G238" s="28">
        <f t="shared" si="56"/>
        <v>0</v>
      </c>
      <c r="H238" s="26"/>
      <c r="I238" s="29" t="str">
        <f>IFERROR(VLOOKUP(A238,'ฟอร์มทะเบียนผู้เข้าพัก'!A:L,12,FALSE),)</f>
        <v/>
      </c>
      <c r="J238" s="29" t="str">
        <f>IFERROR(VLOOKUP(A238,'ฟอร์มทะเบียนผู้เข้าพัก'!A:L,2,FALSE),)</f>
        <v/>
      </c>
      <c r="K238" s="29" t="str">
        <f>IFERROR(VLOOKUP(A238,'ฟอร์มทะเบียนผู้เข้าพัก'!A:L,4,FALSE),)</f>
        <v/>
      </c>
    </row>
    <row r="239">
      <c r="A239" s="24">
        <v>151.0</v>
      </c>
      <c r="B239" s="25" t="str">
        <f>IFERROR(VLOOKUP(A239,'ฟอร์มทะเบียนผู้เข้าพัก'!A:E,5,FALSE),)</f>
        <v/>
      </c>
      <c r="C239" s="25" t="str">
        <f>IFERROR(VLOOKUP(A239,'ฟอร์มทะเบียนผู้เข้าพัก'!A:F,3,FALSE),)</f>
        <v/>
      </c>
      <c r="D239" s="26" t="str">
        <f t="shared" si="53"/>
        <v/>
      </c>
      <c r="E239" s="27" t="str">
        <f t="shared" si="54"/>
        <v/>
      </c>
      <c r="F239" s="28">
        <f t="shared" si="55"/>
        <v>0</v>
      </c>
      <c r="G239" s="28">
        <f t="shared" si="56"/>
        <v>0</v>
      </c>
      <c r="H239" s="26"/>
      <c r="I239" s="29" t="str">
        <f>IFERROR(VLOOKUP(A239,'ฟอร์มทะเบียนผู้เข้าพัก'!A:L,12,FALSE),)</f>
        <v/>
      </c>
      <c r="J239" s="29" t="str">
        <f>IFERROR(VLOOKUP(A239,'ฟอร์มทะเบียนผู้เข้าพัก'!A:L,2,FALSE),)</f>
        <v/>
      </c>
      <c r="K239" s="29" t="str">
        <f>IFERROR(VLOOKUP(A239,'ฟอร์มทะเบียนผู้เข้าพัก'!A:L,4,FALSE),)</f>
        <v/>
      </c>
    </row>
    <row r="240">
      <c r="A240" s="24">
        <v>152.0</v>
      </c>
      <c r="B240" s="25" t="str">
        <f>IFERROR(VLOOKUP(A240,'ฟอร์มทะเบียนผู้เข้าพัก'!A:E,5,FALSE),)</f>
        <v/>
      </c>
      <c r="C240" s="39"/>
      <c r="D240" s="26" t="str">
        <f t="shared" si="53"/>
        <v/>
      </c>
      <c r="E240" s="42"/>
      <c r="F240" s="28"/>
      <c r="G240" s="28"/>
      <c r="H240" s="26"/>
      <c r="I240" s="29" t="str">
        <f>IFERROR(VLOOKUP(A240,'ฟอร์มทะเบียนผู้เข้าพัก'!A:L,12,FALSE),)</f>
        <v/>
      </c>
      <c r="J240" s="29" t="str">
        <f>IFERROR(VLOOKUP(A240,'ฟอร์มทะเบียนผู้เข้าพัก'!A:L,2,FALSE),)</f>
        <v/>
      </c>
      <c r="K240" s="29" t="str">
        <f>IFERROR(VLOOKUP(A240,'ฟอร์มทะเบียนผู้เข้าพัก'!A:L,4,FALSE),)</f>
        <v/>
      </c>
    </row>
    <row r="241">
      <c r="A241" s="24">
        <v>153.0</v>
      </c>
      <c r="B241" s="25" t="str">
        <f>IFERROR(VLOOKUP(A241,'ฟอร์มทะเบียนผู้เข้าพัก'!A:E,5,FALSE),)</f>
        <v/>
      </c>
      <c r="C241" s="39"/>
      <c r="D241" s="26"/>
      <c r="E241" s="42"/>
      <c r="F241" s="28"/>
      <c r="G241" s="28"/>
      <c r="H241" s="26"/>
      <c r="I241" s="29" t="str">
        <f>IFERROR(VLOOKUP(A241,'ฟอร์มทะเบียนผู้เข้าพัก'!A:L,12,FALSE),)</f>
        <v/>
      </c>
      <c r="J241" s="29" t="str">
        <f>IFERROR(VLOOKUP(A241,'ฟอร์มทะเบียนผู้เข้าพัก'!A:L,2,FALSE),)</f>
        <v/>
      </c>
      <c r="K241" s="29" t="str">
        <f>IFERROR(VLOOKUP(A241,'ฟอร์มทะเบียนผู้เข้าพัก'!A:L,4,FALSE),)</f>
        <v/>
      </c>
    </row>
    <row r="242">
      <c r="A242" s="24">
        <v>154.0</v>
      </c>
      <c r="B242" s="25" t="str">
        <f>IFERROR(VLOOKUP(A242,'ฟอร์มทะเบียนผู้เข้าพัก'!A:E,5,FALSE),)</f>
        <v/>
      </c>
      <c r="C242" s="39"/>
      <c r="D242" s="26"/>
      <c r="E242" s="42"/>
      <c r="F242" s="28"/>
      <c r="G242" s="28"/>
      <c r="H242" s="26"/>
      <c r="I242" s="29" t="str">
        <f>IFERROR(VLOOKUP(A242,'ฟอร์มทะเบียนผู้เข้าพัก'!A:L,12,FALSE),)</f>
        <v/>
      </c>
      <c r="J242" s="29" t="str">
        <f>IFERROR(VLOOKUP(A242,'ฟอร์มทะเบียนผู้เข้าพัก'!A:L,2,FALSE),)</f>
        <v/>
      </c>
      <c r="K242" s="29" t="str">
        <f>IFERROR(VLOOKUP(A242,'ฟอร์มทะเบียนผู้เข้าพัก'!A:L,4,FALSE),)</f>
        <v/>
      </c>
    </row>
    <row r="243">
      <c r="A243" s="24">
        <v>155.0</v>
      </c>
      <c r="B243" s="25" t="str">
        <f>IFERROR(VLOOKUP(A243,'ฟอร์มทะเบียนผู้เข้าพัก'!A:E,5,FALSE),)</f>
        <v/>
      </c>
      <c r="C243" s="39"/>
      <c r="D243" s="26"/>
      <c r="E243" s="42"/>
      <c r="F243" s="28"/>
      <c r="G243" s="28"/>
      <c r="H243" s="26"/>
      <c r="I243" s="29" t="str">
        <f>IFERROR(VLOOKUP(A243,'ฟอร์มทะเบียนผู้เข้าพัก'!A:L,12,FALSE),)</f>
        <v/>
      </c>
      <c r="J243" s="29" t="str">
        <f>IFERROR(VLOOKUP(A243,'ฟอร์มทะเบียนผู้เข้าพัก'!A:L,2,FALSE),)</f>
        <v/>
      </c>
      <c r="K243" s="29" t="str">
        <f>IFERROR(VLOOKUP(A243,'ฟอร์มทะเบียนผู้เข้าพัก'!A:L,4,FALSE),)</f>
        <v/>
      </c>
    </row>
    <row r="244">
      <c r="A244" s="24">
        <v>156.0</v>
      </c>
      <c r="B244" s="25" t="str">
        <f>IFERROR(VLOOKUP(A244,'ฟอร์มทะเบียนผู้เข้าพัก'!A:E,5,FALSE),)</f>
        <v/>
      </c>
      <c r="C244" s="39"/>
      <c r="D244" s="26"/>
      <c r="E244" s="42"/>
      <c r="F244" s="28"/>
      <c r="G244" s="28"/>
      <c r="H244" s="26"/>
      <c r="I244" s="29" t="str">
        <f>IFERROR(VLOOKUP(A244,'ฟอร์มทะเบียนผู้เข้าพัก'!A:L,12,FALSE),)</f>
        <v/>
      </c>
      <c r="J244" s="29" t="str">
        <f>IFERROR(VLOOKUP(A244,'ฟอร์มทะเบียนผู้เข้าพัก'!A:L,2,FALSE),)</f>
        <v/>
      </c>
      <c r="K244" s="29" t="str">
        <f>IFERROR(VLOOKUP(A244,'ฟอร์มทะเบียนผู้เข้าพัก'!A:L,4,FALSE),)</f>
        <v/>
      </c>
    </row>
    <row r="245">
      <c r="A245" s="24">
        <v>157.0</v>
      </c>
      <c r="B245" s="25" t="str">
        <f>IFERROR(VLOOKUP(A245,'ฟอร์มทะเบียนผู้เข้าพัก'!A:E,5,FALSE),)</f>
        <v/>
      </c>
      <c r="C245" s="39"/>
      <c r="D245" s="26"/>
      <c r="E245" s="42"/>
      <c r="F245" s="28"/>
      <c r="G245" s="28"/>
      <c r="H245" s="26"/>
      <c r="I245" s="29" t="str">
        <f>IFERROR(VLOOKUP(A245,'ฟอร์มทะเบียนผู้เข้าพัก'!A:L,12,FALSE),)</f>
        <v/>
      </c>
      <c r="J245" s="29" t="str">
        <f>IFERROR(VLOOKUP(A245,'ฟอร์มทะเบียนผู้เข้าพัก'!A:L,2,FALSE),)</f>
        <v/>
      </c>
      <c r="K245" s="15"/>
    </row>
    <row r="246">
      <c r="A246" s="24">
        <v>158.0</v>
      </c>
      <c r="B246" s="25" t="str">
        <f>IFERROR(VLOOKUP(A246,'ฟอร์มทะเบียนผู้เข้าพัก'!A:E,5,FALSE),)</f>
        <v/>
      </c>
      <c r="C246" s="39"/>
      <c r="D246" s="26"/>
      <c r="E246" s="42"/>
      <c r="F246" s="28"/>
      <c r="G246" s="28"/>
      <c r="H246" s="26"/>
      <c r="I246" s="29" t="str">
        <f>IFERROR(VLOOKUP(A246,'ฟอร์มทะเบียนผู้เข้าพัก'!A:L,12,FALSE),)</f>
        <v/>
      </c>
      <c r="J246" s="29" t="str">
        <f>IFERROR(VLOOKUP(A246,'ฟอร์มทะเบียนผู้เข้าพัก'!A:L,2,FALSE),)</f>
        <v/>
      </c>
      <c r="K246" s="15"/>
    </row>
    <row r="247">
      <c r="A247" s="24">
        <v>159.0</v>
      </c>
      <c r="B247" s="25" t="str">
        <f>IFERROR(VLOOKUP(A247,'ฟอร์มทะเบียนผู้เข้าพัก'!A:E,5,FALSE),)</f>
        <v/>
      </c>
      <c r="C247" s="39"/>
      <c r="D247" s="26"/>
      <c r="E247" s="42"/>
      <c r="F247" s="28"/>
      <c r="G247" s="28"/>
      <c r="H247" s="26"/>
      <c r="I247" s="29" t="str">
        <f>IFERROR(VLOOKUP(A247,'ฟอร์มทะเบียนผู้เข้าพัก'!A:L,12,FALSE),)</f>
        <v/>
      </c>
      <c r="J247" s="29" t="str">
        <f>IFERROR(VLOOKUP(A247,'ฟอร์มทะเบียนผู้เข้าพัก'!A:L,2,FALSE),)</f>
        <v/>
      </c>
      <c r="K247" s="15"/>
    </row>
    <row r="248">
      <c r="A248" s="24">
        <v>160.0</v>
      </c>
      <c r="B248" s="25" t="str">
        <f>IFERROR(VLOOKUP(A248,'ฟอร์มทะเบียนผู้เข้าพัก'!A:E,5,FALSE),)</f>
        <v/>
      </c>
      <c r="C248" s="39"/>
      <c r="D248" s="26"/>
      <c r="E248" s="42"/>
      <c r="F248" s="28"/>
      <c r="G248" s="28"/>
      <c r="H248" s="26"/>
      <c r="I248" s="29" t="str">
        <f>IFERROR(VLOOKUP(A248,'ฟอร์มทะเบียนผู้เข้าพัก'!A:L,12,FALSE),)</f>
        <v/>
      </c>
      <c r="J248" s="29" t="str">
        <f>IFERROR(VLOOKUP(A248,'ฟอร์มทะเบียนผู้เข้าพัก'!A:L,2,FALSE),)</f>
        <v/>
      </c>
      <c r="K248" s="15"/>
    </row>
    <row r="249">
      <c r="A249" s="24" t="s">
        <v>196</v>
      </c>
      <c r="B249" s="26"/>
      <c r="C249" s="37"/>
      <c r="D249" s="20">
        <f t="shared" ref="D249:G249" si="57">SUM(D234:D248)</f>
        <v>0</v>
      </c>
      <c r="E249" s="21">
        <f t="shared" si="57"/>
        <v>0</v>
      </c>
      <c r="F249" s="32">
        <f t="shared" si="57"/>
        <v>0</v>
      </c>
      <c r="G249" s="32">
        <f t="shared" si="57"/>
        <v>0</v>
      </c>
      <c r="H249" s="26"/>
      <c r="I249" s="29" t="str">
        <f>IFERROR(VLOOKUP(A249,'ฟอร์มทะเบียนผู้เข้าพัก'!A:L,12,FALSE),)</f>
        <v/>
      </c>
      <c r="J249" s="29" t="str">
        <f>IFERROR(VLOOKUP(A249,'ฟอร์มทะเบียนผู้เข้าพัก'!A:L,2,FALSE),)</f>
        <v/>
      </c>
      <c r="K249" s="15"/>
    </row>
    <row r="250">
      <c r="A250" s="13"/>
      <c r="B250" s="13"/>
      <c r="C250" s="13"/>
      <c r="D250" s="13"/>
      <c r="E250" s="16"/>
      <c r="F250" s="40"/>
      <c r="G250" s="13"/>
      <c r="H250" s="13"/>
      <c r="I250" s="15"/>
      <c r="J250" s="15"/>
      <c r="K250" s="15"/>
    </row>
    <row r="251">
      <c r="A251" s="13"/>
      <c r="B251" s="13"/>
      <c r="C251" s="13"/>
      <c r="D251" s="13"/>
      <c r="E251" s="43" t="s">
        <v>203</v>
      </c>
      <c r="F251" s="13"/>
      <c r="G251" s="13"/>
      <c r="H251" s="13"/>
      <c r="I251" s="34">
        <v>400.0</v>
      </c>
      <c r="J251" s="34">
        <v>500.0</v>
      </c>
      <c r="K251" s="34">
        <v>600.0</v>
      </c>
    </row>
    <row r="252">
      <c r="A252" s="13"/>
      <c r="B252" s="13"/>
      <c r="C252" s="13"/>
      <c r="D252" s="43" t="s">
        <v>204</v>
      </c>
      <c r="G252" s="13"/>
      <c r="H252" s="13"/>
      <c r="I252" s="34">
        <f>SUMIF(E234:E248,I251,F234:F248)</f>
        <v>0</v>
      </c>
      <c r="J252" s="34">
        <f>SUMIF(E234:E248,J251,F234:F248)</f>
        <v>0</v>
      </c>
      <c r="K252" s="34">
        <f>SUMIF(E234:E248,K251,F234:F248)</f>
        <v>0</v>
      </c>
    </row>
    <row r="253">
      <c r="A253" s="13"/>
      <c r="B253" s="13"/>
      <c r="C253" s="13"/>
      <c r="D253" s="13"/>
      <c r="E253" s="16"/>
      <c r="F253" s="13"/>
      <c r="H253" s="13"/>
      <c r="I253" s="15"/>
      <c r="J253" s="15"/>
      <c r="K253" s="15"/>
    </row>
    <row r="254">
      <c r="B254" s="13"/>
      <c r="C254" s="44" t="s">
        <v>70</v>
      </c>
      <c r="D254" s="45">
        <v>400.0</v>
      </c>
      <c r="E254" s="45">
        <v>500.0</v>
      </c>
      <c r="F254" s="45">
        <v>600.0</v>
      </c>
      <c r="G254" s="46" t="s">
        <v>200</v>
      </c>
      <c r="H254" s="15"/>
    </row>
    <row r="255">
      <c r="B255" s="13"/>
      <c r="C255" s="13">
        <v>1.0</v>
      </c>
      <c r="D255" s="10">
        <f t="shared" ref="D255:F255" si="58">I22</f>
        <v>0</v>
      </c>
      <c r="E255" s="47">
        <f t="shared" si="58"/>
        <v>0</v>
      </c>
      <c r="F255" s="48">
        <f t="shared" si="58"/>
        <v>0</v>
      </c>
      <c r="G255" s="15">
        <f t="shared" ref="G255:G261" si="60">(D255+E255+F255)*1%</f>
        <v>0</v>
      </c>
      <c r="H255" s="15"/>
    </row>
    <row r="256">
      <c r="B256" s="13"/>
      <c r="C256" s="13">
        <v>2.0</v>
      </c>
      <c r="D256" s="10">
        <f t="shared" ref="D256:F256" si="59">I45</f>
        <v>0</v>
      </c>
      <c r="E256" s="10">
        <f t="shared" si="59"/>
        <v>0</v>
      </c>
      <c r="F256" s="49">
        <f t="shared" si="59"/>
        <v>0</v>
      </c>
      <c r="G256" s="15">
        <f t="shared" si="60"/>
        <v>0</v>
      </c>
      <c r="H256" s="15"/>
    </row>
    <row r="257">
      <c r="B257" s="13"/>
      <c r="C257" s="13">
        <v>3.0</v>
      </c>
      <c r="D257" s="10">
        <f t="shared" ref="D257:F257" si="61">I68</f>
        <v>0</v>
      </c>
      <c r="E257" s="10">
        <f t="shared" si="61"/>
        <v>0</v>
      </c>
      <c r="F257" s="10">
        <f t="shared" si="61"/>
        <v>0</v>
      </c>
      <c r="G257" s="15">
        <f t="shared" si="60"/>
        <v>0</v>
      </c>
      <c r="H257" s="15"/>
    </row>
    <row r="258">
      <c r="B258" s="13"/>
      <c r="C258" s="13">
        <v>4.0</v>
      </c>
      <c r="D258" s="10">
        <f t="shared" ref="D258:F258" si="62">I91</f>
        <v>0</v>
      </c>
      <c r="E258" s="10">
        <f t="shared" si="62"/>
        <v>0</v>
      </c>
      <c r="F258" s="10">
        <f t="shared" si="62"/>
        <v>0</v>
      </c>
      <c r="G258" s="15">
        <f t="shared" si="60"/>
        <v>0</v>
      </c>
      <c r="H258" s="15"/>
    </row>
    <row r="259">
      <c r="B259" s="13"/>
      <c r="C259" s="13">
        <v>5.0</v>
      </c>
      <c r="D259" s="10">
        <f t="shared" ref="D259:F259" si="63">I114</f>
        <v>0</v>
      </c>
      <c r="E259" s="10">
        <f t="shared" si="63"/>
        <v>0</v>
      </c>
      <c r="F259" s="10">
        <f t="shared" si="63"/>
        <v>0</v>
      </c>
      <c r="G259" s="15">
        <f t="shared" si="60"/>
        <v>0</v>
      </c>
      <c r="H259" s="15"/>
    </row>
    <row r="260">
      <c r="B260" s="13"/>
      <c r="C260" s="13">
        <v>6.0</v>
      </c>
      <c r="D260" s="10">
        <f t="shared" ref="D260:F260" si="64">I137</f>
        <v>0</v>
      </c>
      <c r="E260" s="10">
        <f t="shared" si="64"/>
        <v>0</v>
      </c>
      <c r="F260" s="10">
        <f t="shared" si="64"/>
        <v>0</v>
      </c>
      <c r="G260" s="15">
        <f t="shared" si="60"/>
        <v>0</v>
      </c>
      <c r="H260" s="15"/>
    </row>
    <row r="261">
      <c r="B261" s="13"/>
      <c r="C261" s="13">
        <v>7.0</v>
      </c>
      <c r="D261" s="50">
        <f t="shared" ref="D261:F261" si="65">I160</f>
        <v>0</v>
      </c>
      <c r="E261" s="50">
        <f t="shared" si="65"/>
        <v>0</v>
      </c>
      <c r="F261" s="50">
        <f t="shared" si="65"/>
        <v>0</v>
      </c>
      <c r="G261" s="15">
        <f t="shared" si="60"/>
        <v>0</v>
      </c>
      <c r="H261" s="15"/>
    </row>
    <row r="262">
      <c r="A262" s="13"/>
      <c r="B262" s="13"/>
      <c r="C262" s="13"/>
      <c r="D262" s="13"/>
      <c r="E262" s="13"/>
      <c r="F262" s="15"/>
      <c r="G262" s="15"/>
      <c r="H262" s="15"/>
    </row>
    <row r="263">
      <c r="A263" s="13"/>
      <c r="B263" s="13"/>
      <c r="C263" s="13"/>
      <c r="D263" s="51" t="s">
        <v>205</v>
      </c>
      <c r="E263" s="52">
        <f>SUM(D255:F261)</f>
        <v>0</v>
      </c>
      <c r="F263" s="53" t="s">
        <v>198</v>
      </c>
      <c r="H263" s="15"/>
    </row>
    <row r="264">
      <c r="A264" s="13"/>
      <c r="B264" s="13"/>
      <c r="C264" s="13"/>
      <c r="D264" s="54" t="s">
        <v>206</v>
      </c>
      <c r="E264" s="55">
        <f>SUM(G255:G261)</f>
        <v>0</v>
      </c>
      <c r="F264" s="53" t="s">
        <v>198</v>
      </c>
      <c r="G264" s="15"/>
      <c r="H264" s="15"/>
    </row>
  </sheetData>
  <mergeCells count="69">
    <mergeCell ref="A140:A141"/>
    <mergeCell ref="B140:B141"/>
    <mergeCell ref="C140:C141"/>
    <mergeCell ref="H140:H141"/>
    <mergeCell ref="D137:F137"/>
    <mergeCell ref="D159:F159"/>
    <mergeCell ref="D160:F160"/>
    <mergeCell ref="A163:A164"/>
    <mergeCell ref="B163:B164"/>
    <mergeCell ref="C163:C164"/>
    <mergeCell ref="H163:H164"/>
    <mergeCell ref="A186:A187"/>
    <mergeCell ref="A209:A210"/>
    <mergeCell ref="B209:B210"/>
    <mergeCell ref="C209:C210"/>
    <mergeCell ref="D182:F182"/>
    <mergeCell ref="D183:F183"/>
    <mergeCell ref="B186:B187"/>
    <mergeCell ref="C186:C187"/>
    <mergeCell ref="H186:H187"/>
    <mergeCell ref="D205:F205"/>
    <mergeCell ref="H209:H210"/>
    <mergeCell ref="A1:E1"/>
    <mergeCell ref="G1:H1"/>
    <mergeCell ref="A4:E4"/>
    <mergeCell ref="A5:B5"/>
    <mergeCell ref="A7:A8"/>
    <mergeCell ref="B7:B8"/>
    <mergeCell ref="H7:H8"/>
    <mergeCell ref="C7:C8"/>
    <mergeCell ref="D21:F21"/>
    <mergeCell ref="D22:F22"/>
    <mergeCell ref="A25:A26"/>
    <mergeCell ref="B25:B26"/>
    <mergeCell ref="C25:C26"/>
    <mergeCell ref="H25:H26"/>
    <mergeCell ref="D44:F44"/>
    <mergeCell ref="D45:F45"/>
    <mergeCell ref="B48:B49"/>
    <mergeCell ref="C48:C49"/>
    <mergeCell ref="H48:H49"/>
    <mergeCell ref="D67:F67"/>
    <mergeCell ref="H71:H72"/>
    <mergeCell ref="A117:A118"/>
    <mergeCell ref="B117:B118"/>
    <mergeCell ref="C117:C118"/>
    <mergeCell ref="H117:H118"/>
    <mergeCell ref="A48:A49"/>
    <mergeCell ref="A71:A72"/>
    <mergeCell ref="B71:B72"/>
    <mergeCell ref="C71:C72"/>
    <mergeCell ref="A94:A95"/>
    <mergeCell ref="B94:B95"/>
    <mergeCell ref="C94:C95"/>
    <mergeCell ref="D68:F68"/>
    <mergeCell ref="D90:F90"/>
    <mergeCell ref="D91:F91"/>
    <mergeCell ref="H94:H95"/>
    <mergeCell ref="D113:F113"/>
    <mergeCell ref="D114:F114"/>
    <mergeCell ref="D136:F136"/>
    <mergeCell ref="D206:F206"/>
    <mergeCell ref="D228:F228"/>
    <mergeCell ref="D229:F229"/>
    <mergeCell ref="A232:A233"/>
    <mergeCell ref="B232:B233"/>
    <mergeCell ref="C232:C233"/>
    <mergeCell ref="H232:H233"/>
    <mergeCell ref="D252:F252"/>
  </mergeCells>
  <printOptions horizontalCentered="1" vertic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 fitToPage="1"/>
  </sheetPr>
  <sheetViews>
    <sheetView workbookViewId="0"/>
  </sheetViews>
  <sheetFormatPr customHeight="1" defaultColWidth="12.63" defaultRowHeight="15.0"/>
  <cols>
    <col customWidth="1" min="1" max="1" width="7.5"/>
    <col customWidth="1" min="2" max="2" width="16.38"/>
    <col customWidth="1" min="3" max="3" width="17.38"/>
    <col customWidth="1" min="4" max="4" width="15.25"/>
    <col customWidth="1" min="5" max="5" width="34.5"/>
    <col customWidth="1" min="6" max="6" width="8.13"/>
    <col customWidth="1" min="7" max="7" width="22.88"/>
    <col customWidth="1" min="8" max="8" width="23.88"/>
    <col customWidth="1" min="9" max="9" width="8.63"/>
    <col customWidth="1" min="10" max="10" width="15.38"/>
    <col customWidth="1" min="11" max="11" width="14.63"/>
    <col customWidth="1" min="12" max="12" width="13.38"/>
  </cols>
  <sheetData>
    <row r="1" ht="29.25" customHeight="1">
      <c r="A1" s="56" t="s">
        <v>207</v>
      </c>
      <c r="G1" s="57" t="s">
        <v>208</v>
      </c>
      <c r="H1" s="58">
        <v>244016.0</v>
      </c>
      <c r="I1" s="59"/>
    </row>
    <row r="2" ht="29.25" customHeight="1">
      <c r="A2" s="60" t="s">
        <v>209</v>
      </c>
      <c r="B2" s="61" t="s">
        <v>67</v>
      </c>
      <c r="C2" s="62" t="s">
        <v>210</v>
      </c>
      <c r="D2" s="60" t="s">
        <v>211</v>
      </c>
      <c r="E2" s="60" t="s">
        <v>212</v>
      </c>
      <c r="F2" s="60" t="s">
        <v>213</v>
      </c>
      <c r="G2" s="60" t="s">
        <v>214</v>
      </c>
      <c r="H2" s="60" t="s">
        <v>215</v>
      </c>
      <c r="I2" s="60" t="s">
        <v>216</v>
      </c>
      <c r="J2" s="60" t="s">
        <v>217</v>
      </c>
      <c r="K2" s="60" t="s">
        <v>218</v>
      </c>
      <c r="L2" s="63" t="s">
        <v>219</v>
      </c>
    </row>
    <row r="3" ht="29.25" customHeight="1">
      <c r="A3" s="64">
        <v>1.0</v>
      </c>
      <c r="B3" s="64" t="s">
        <v>220</v>
      </c>
      <c r="C3" s="25" t="str">
        <f>IFERROR(VLOOKUP(B3,' '!B:L,8,FALSE),)</f>
        <v/>
      </c>
      <c r="D3" s="25" t="str">
        <f t="shared" ref="D3:D94" si="1">IFERROR(VLOOKUP(B3,' รายการเข้าพัก'!B:C,2,FALSE),)</f>
        <v/>
      </c>
      <c r="E3" s="25" t="str">
        <f t="shared" ref="E3:E94" si="2">IFERROR(VLOOKUP(B3,' รายการเข้าพัก'!B:F,5,FALSE),)</f>
        <v/>
      </c>
      <c r="F3" s="65" t="s">
        <v>221</v>
      </c>
      <c r="G3" s="66" t="str">
        <f t="shared" ref="G3:G94" si="3">IFERROR(VLOOKUP(E3,'รายชื่อลูกค้า'!A:F,5,FALSE),)</f>
        <v/>
      </c>
      <c r="H3" s="67" t="str">
        <f t="shared" ref="H3:H94" si="4">IFERROR(VLOOKUP(E3,'รายชื่อลูกค้า'!A:F,4,false),)</f>
        <v/>
      </c>
      <c r="I3" s="68" t="s">
        <v>222</v>
      </c>
      <c r="J3" s="64" t="s">
        <v>223</v>
      </c>
      <c r="K3" s="64" t="s">
        <v>223</v>
      </c>
      <c r="L3" s="25" t="str">
        <f t="shared" ref="L3:L94" si="5">IFERROR(VLOOKUP(B3,' รายการเข้าพัก'!B:L,9,FALSE),)</f>
        <v/>
      </c>
    </row>
    <row r="4" ht="29.25" customHeight="1">
      <c r="A4" s="64">
        <v>2.0</v>
      </c>
      <c r="B4" s="64" t="s">
        <v>224</v>
      </c>
      <c r="C4" s="25" t="str">
        <f t="shared" ref="C4:C94" si="6">IFERROR(VLOOKUP(B4,' รายการเข้าพัก'!B:L,8,FALSE),)</f>
        <v/>
      </c>
      <c r="D4" s="25" t="str">
        <f t="shared" si="1"/>
        <v/>
      </c>
      <c r="E4" s="25" t="str">
        <f t="shared" si="2"/>
        <v/>
      </c>
      <c r="F4" s="65" t="s">
        <v>221</v>
      </c>
      <c r="G4" s="66" t="str">
        <f t="shared" si="3"/>
        <v/>
      </c>
      <c r="H4" s="67" t="str">
        <f t="shared" si="4"/>
        <v/>
      </c>
      <c r="I4" s="68" t="s">
        <v>222</v>
      </c>
      <c r="J4" s="64" t="s">
        <v>223</v>
      </c>
      <c r="K4" s="64" t="s">
        <v>223</v>
      </c>
      <c r="L4" s="25" t="str">
        <f t="shared" si="5"/>
        <v/>
      </c>
    </row>
    <row r="5" ht="29.25" customHeight="1">
      <c r="A5" s="64">
        <v>3.0</v>
      </c>
      <c r="B5" s="64" t="s">
        <v>225</v>
      </c>
      <c r="C5" s="25" t="str">
        <f t="shared" si="6"/>
        <v/>
      </c>
      <c r="D5" s="25" t="str">
        <f t="shared" si="1"/>
        <v/>
      </c>
      <c r="E5" s="25" t="str">
        <f t="shared" si="2"/>
        <v/>
      </c>
      <c r="F5" s="65" t="s">
        <v>221</v>
      </c>
      <c r="G5" s="66" t="str">
        <f t="shared" si="3"/>
        <v/>
      </c>
      <c r="H5" s="67" t="str">
        <f t="shared" si="4"/>
        <v/>
      </c>
      <c r="I5" s="68" t="s">
        <v>222</v>
      </c>
      <c r="J5" s="64" t="s">
        <v>223</v>
      </c>
      <c r="K5" s="64" t="s">
        <v>223</v>
      </c>
      <c r="L5" s="25" t="str">
        <f t="shared" si="5"/>
        <v/>
      </c>
    </row>
    <row r="6" ht="29.25" customHeight="1">
      <c r="A6" s="64">
        <v>4.0</v>
      </c>
      <c r="B6" s="64" t="s">
        <v>226</v>
      </c>
      <c r="C6" s="25" t="str">
        <f t="shared" si="6"/>
        <v/>
      </c>
      <c r="D6" s="25" t="str">
        <f t="shared" si="1"/>
        <v/>
      </c>
      <c r="E6" s="25" t="str">
        <f t="shared" si="2"/>
        <v/>
      </c>
      <c r="F6" s="65" t="s">
        <v>221</v>
      </c>
      <c r="G6" s="66" t="str">
        <f t="shared" si="3"/>
        <v/>
      </c>
      <c r="H6" s="67" t="str">
        <f t="shared" si="4"/>
        <v/>
      </c>
      <c r="I6" s="68" t="s">
        <v>222</v>
      </c>
      <c r="J6" s="64" t="s">
        <v>223</v>
      </c>
      <c r="K6" s="64" t="s">
        <v>223</v>
      </c>
      <c r="L6" s="25" t="str">
        <f t="shared" si="5"/>
        <v/>
      </c>
    </row>
    <row r="7" ht="29.25" customHeight="1">
      <c r="A7" s="64">
        <v>5.0</v>
      </c>
      <c r="B7" s="64" t="s">
        <v>227</v>
      </c>
      <c r="C7" s="25" t="str">
        <f t="shared" si="6"/>
        <v/>
      </c>
      <c r="D7" s="25" t="str">
        <f t="shared" si="1"/>
        <v/>
      </c>
      <c r="E7" s="25" t="str">
        <f t="shared" si="2"/>
        <v/>
      </c>
      <c r="F7" s="65" t="s">
        <v>221</v>
      </c>
      <c r="G7" s="66" t="str">
        <f t="shared" si="3"/>
        <v/>
      </c>
      <c r="H7" s="67" t="str">
        <f t="shared" si="4"/>
        <v/>
      </c>
      <c r="I7" s="68" t="s">
        <v>222</v>
      </c>
      <c r="J7" s="64" t="s">
        <v>223</v>
      </c>
      <c r="K7" s="64" t="s">
        <v>223</v>
      </c>
      <c r="L7" s="25" t="str">
        <f t="shared" si="5"/>
        <v/>
      </c>
    </row>
    <row r="8" ht="29.25" customHeight="1">
      <c r="A8" s="64">
        <v>6.0</v>
      </c>
      <c r="B8" s="64" t="s">
        <v>228</v>
      </c>
      <c r="C8" s="25" t="str">
        <f t="shared" si="6"/>
        <v/>
      </c>
      <c r="D8" s="25" t="str">
        <f t="shared" si="1"/>
        <v/>
      </c>
      <c r="E8" s="25" t="str">
        <f t="shared" si="2"/>
        <v/>
      </c>
      <c r="F8" s="65" t="s">
        <v>221</v>
      </c>
      <c r="G8" s="66" t="str">
        <f t="shared" si="3"/>
        <v/>
      </c>
      <c r="H8" s="67" t="str">
        <f t="shared" si="4"/>
        <v/>
      </c>
      <c r="I8" s="68" t="s">
        <v>222</v>
      </c>
      <c r="J8" s="64" t="s">
        <v>223</v>
      </c>
      <c r="K8" s="64" t="s">
        <v>223</v>
      </c>
      <c r="L8" s="25" t="str">
        <f t="shared" si="5"/>
        <v/>
      </c>
    </row>
    <row r="9" ht="29.25" customHeight="1">
      <c r="A9" s="64">
        <v>7.0</v>
      </c>
      <c r="B9" s="64" t="s">
        <v>229</v>
      </c>
      <c r="C9" s="25" t="str">
        <f t="shared" si="6"/>
        <v/>
      </c>
      <c r="D9" s="25" t="str">
        <f t="shared" si="1"/>
        <v/>
      </c>
      <c r="E9" s="25" t="str">
        <f t="shared" si="2"/>
        <v/>
      </c>
      <c r="F9" s="65" t="s">
        <v>221</v>
      </c>
      <c r="G9" s="66" t="str">
        <f t="shared" si="3"/>
        <v/>
      </c>
      <c r="H9" s="67" t="str">
        <f t="shared" si="4"/>
        <v/>
      </c>
      <c r="I9" s="68" t="s">
        <v>222</v>
      </c>
      <c r="J9" s="64" t="s">
        <v>223</v>
      </c>
      <c r="K9" s="64" t="s">
        <v>223</v>
      </c>
      <c r="L9" s="25" t="str">
        <f t="shared" si="5"/>
        <v/>
      </c>
    </row>
    <row r="10" ht="29.25" customHeight="1">
      <c r="A10" s="64">
        <v>8.0</v>
      </c>
      <c r="B10" s="64" t="s">
        <v>230</v>
      </c>
      <c r="C10" s="25" t="str">
        <f t="shared" si="6"/>
        <v/>
      </c>
      <c r="D10" s="25" t="str">
        <f t="shared" si="1"/>
        <v/>
      </c>
      <c r="E10" s="25" t="str">
        <f t="shared" si="2"/>
        <v/>
      </c>
      <c r="F10" s="65" t="s">
        <v>221</v>
      </c>
      <c r="G10" s="66" t="str">
        <f t="shared" si="3"/>
        <v/>
      </c>
      <c r="H10" s="67" t="str">
        <f t="shared" si="4"/>
        <v/>
      </c>
      <c r="I10" s="68" t="s">
        <v>222</v>
      </c>
      <c r="J10" s="64" t="s">
        <v>223</v>
      </c>
      <c r="K10" s="64" t="s">
        <v>223</v>
      </c>
      <c r="L10" s="25" t="str">
        <f t="shared" si="5"/>
        <v/>
      </c>
    </row>
    <row r="11" ht="29.25" customHeight="1">
      <c r="A11" s="64">
        <v>9.0</v>
      </c>
      <c r="B11" s="64" t="s">
        <v>231</v>
      </c>
      <c r="C11" s="25" t="str">
        <f t="shared" si="6"/>
        <v/>
      </c>
      <c r="D11" s="25" t="str">
        <f t="shared" si="1"/>
        <v/>
      </c>
      <c r="E11" s="25" t="str">
        <f t="shared" si="2"/>
        <v/>
      </c>
      <c r="F11" s="65" t="s">
        <v>221</v>
      </c>
      <c r="G11" s="66" t="str">
        <f t="shared" si="3"/>
        <v/>
      </c>
      <c r="H11" s="67" t="str">
        <f t="shared" si="4"/>
        <v/>
      </c>
      <c r="I11" s="68" t="s">
        <v>222</v>
      </c>
      <c r="J11" s="64" t="s">
        <v>223</v>
      </c>
      <c r="K11" s="64" t="s">
        <v>223</v>
      </c>
      <c r="L11" s="25" t="str">
        <f t="shared" si="5"/>
        <v/>
      </c>
    </row>
    <row r="12" ht="29.25" customHeight="1">
      <c r="A12" s="64">
        <v>10.0</v>
      </c>
      <c r="B12" s="64" t="s">
        <v>232</v>
      </c>
      <c r="C12" s="25" t="str">
        <f t="shared" si="6"/>
        <v/>
      </c>
      <c r="D12" s="25" t="str">
        <f t="shared" si="1"/>
        <v/>
      </c>
      <c r="E12" s="25" t="str">
        <f t="shared" si="2"/>
        <v/>
      </c>
      <c r="F12" s="65" t="s">
        <v>221</v>
      </c>
      <c r="G12" s="66" t="str">
        <f t="shared" si="3"/>
        <v/>
      </c>
      <c r="H12" s="67" t="str">
        <f t="shared" si="4"/>
        <v/>
      </c>
      <c r="I12" s="68" t="s">
        <v>222</v>
      </c>
      <c r="J12" s="64" t="s">
        <v>223</v>
      </c>
      <c r="K12" s="64" t="s">
        <v>223</v>
      </c>
      <c r="L12" s="25" t="str">
        <f t="shared" si="5"/>
        <v/>
      </c>
    </row>
    <row r="13" ht="29.25" customHeight="1">
      <c r="A13" s="64">
        <v>11.0</v>
      </c>
      <c r="B13" s="64" t="s">
        <v>233</v>
      </c>
      <c r="C13" s="25" t="str">
        <f t="shared" si="6"/>
        <v/>
      </c>
      <c r="D13" s="25" t="str">
        <f t="shared" si="1"/>
        <v/>
      </c>
      <c r="E13" s="25" t="str">
        <f t="shared" si="2"/>
        <v/>
      </c>
      <c r="F13" s="65" t="s">
        <v>221</v>
      </c>
      <c r="G13" s="66" t="str">
        <f t="shared" si="3"/>
        <v/>
      </c>
      <c r="H13" s="67" t="str">
        <f t="shared" si="4"/>
        <v/>
      </c>
      <c r="I13" s="68" t="s">
        <v>222</v>
      </c>
      <c r="J13" s="64" t="s">
        <v>223</v>
      </c>
      <c r="K13" s="64" t="s">
        <v>223</v>
      </c>
      <c r="L13" s="25" t="str">
        <f t="shared" si="5"/>
        <v/>
      </c>
    </row>
    <row r="14" ht="29.25" customHeight="1">
      <c r="A14" s="64">
        <v>12.0</v>
      </c>
      <c r="B14" s="64" t="s">
        <v>234</v>
      </c>
      <c r="C14" s="25" t="str">
        <f t="shared" si="6"/>
        <v/>
      </c>
      <c r="D14" s="25" t="str">
        <f t="shared" si="1"/>
        <v/>
      </c>
      <c r="E14" s="25" t="str">
        <f t="shared" si="2"/>
        <v/>
      </c>
      <c r="F14" s="65" t="s">
        <v>221</v>
      </c>
      <c r="G14" s="66" t="str">
        <f t="shared" si="3"/>
        <v/>
      </c>
      <c r="H14" s="67" t="str">
        <f t="shared" si="4"/>
        <v/>
      </c>
      <c r="I14" s="68" t="s">
        <v>222</v>
      </c>
      <c r="J14" s="64" t="s">
        <v>223</v>
      </c>
      <c r="K14" s="64" t="s">
        <v>223</v>
      </c>
      <c r="L14" s="25" t="str">
        <f t="shared" si="5"/>
        <v/>
      </c>
    </row>
    <row r="15" ht="29.25" customHeight="1">
      <c r="A15" s="64">
        <v>13.0</v>
      </c>
      <c r="B15" s="64" t="s">
        <v>235</v>
      </c>
      <c r="C15" s="25" t="str">
        <f t="shared" si="6"/>
        <v/>
      </c>
      <c r="D15" s="25" t="str">
        <f t="shared" si="1"/>
        <v/>
      </c>
      <c r="E15" s="25" t="str">
        <f t="shared" si="2"/>
        <v/>
      </c>
      <c r="F15" s="65" t="s">
        <v>221</v>
      </c>
      <c r="G15" s="66" t="str">
        <f t="shared" si="3"/>
        <v/>
      </c>
      <c r="H15" s="67" t="str">
        <f t="shared" si="4"/>
        <v/>
      </c>
      <c r="I15" s="68" t="s">
        <v>222</v>
      </c>
      <c r="J15" s="64" t="s">
        <v>223</v>
      </c>
      <c r="K15" s="64" t="s">
        <v>223</v>
      </c>
      <c r="L15" s="25" t="str">
        <f t="shared" si="5"/>
        <v/>
      </c>
    </row>
    <row r="16" ht="29.25" customHeight="1">
      <c r="A16" s="64">
        <v>14.0</v>
      </c>
      <c r="B16" s="64" t="s">
        <v>236</v>
      </c>
      <c r="C16" s="25" t="str">
        <f t="shared" si="6"/>
        <v/>
      </c>
      <c r="D16" s="25" t="str">
        <f t="shared" si="1"/>
        <v/>
      </c>
      <c r="E16" s="25" t="str">
        <f t="shared" si="2"/>
        <v/>
      </c>
      <c r="F16" s="65" t="s">
        <v>221</v>
      </c>
      <c r="G16" s="66" t="str">
        <f t="shared" si="3"/>
        <v/>
      </c>
      <c r="H16" s="67" t="str">
        <f t="shared" si="4"/>
        <v/>
      </c>
      <c r="I16" s="68" t="s">
        <v>222</v>
      </c>
      <c r="J16" s="64" t="s">
        <v>223</v>
      </c>
      <c r="K16" s="64" t="s">
        <v>223</v>
      </c>
      <c r="L16" s="25" t="str">
        <f t="shared" si="5"/>
        <v/>
      </c>
    </row>
    <row r="17" ht="29.25" customHeight="1">
      <c r="A17" s="64">
        <v>15.0</v>
      </c>
      <c r="B17" s="64" t="s">
        <v>237</v>
      </c>
      <c r="C17" s="25" t="str">
        <f t="shared" si="6"/>
        <v/>
      </c>
      <c r="D17" s="25" t="str">
        <f t="shared" si="1"/>
        <v/>
      </c>
      <c r="E17" s="25" t="str">
        <f t="shared" si="2"/>
        <v/>
      </c>
      <c r="F17" s="65" t="s">
        <v>221</v>
      </c>
      <c r="G17" s="66" t="str">
        <f t="shared" si="3"/>
        <v/>
      </c>
      <c r="H17" s="67" t="str">
        <f t="shared" si="4"/>
        <v/>
      </c>
      <c r="I17" s="68" t="s">
        <v>222</v>
      </c>
      <c r="J17" s="64" t="s">
        <v>223</v>
      </c>
      <c r="K17" s="64" t="s">
        <v>223</v>
      </c>
      <c r="L17" s="25" t="str">
        <f t="shared" si="5"/>
        <v/>
      </c>
    </row>
    <row r="18" ht="29.25" customHeight="1">
      <c r="A18" s="64">
        <v>16.0</v>
      </c>
      <c r="B18" s="64" t="s">
        <v>238</v>
      </c>
      <c r="C18" s="25" t="str">
        <f t="shared" si="6"/>
        <v/>
      </c>
      <c r="D18" s="25" t="str">
        <f t="shared" si="1"/>
        <v/>
      </c>
      <c r="E18" s="25" t="str">
        <f t="shared" si="2"/>
        <v/>
      </c>
      <c r="F18" s="65" t="s">
        <v>221</v>
      </c>
      <c r="G18" s="66" t="str">
        <f t="shared" si="3"/>
        <v/>
      </c>
      <c r="H18" s="67" t="str">
        <f t="shared" si="4"/>
        <v/>
      </c>
      <c r="I18" s="68" t="s">
        <v>222</v>
      </c>
      <c r="J18" s="64" t="s">
        <v>223</v>
      </c>
      <c r="K18" s="64" t="s">
        <v>223</v>
      </c>
      <c r="L18" s="25" t="str">
        <f t="shared" si="5"/>
        <v/>
      </c>
    </row>
    <row r="19" ht="29.25" customHeight="1">
      <c r="A19" s="64">
        <v>17.0</v>
      </c>
      <c r="B19" s="64" t="s">
        <v>239</v>
      </c>
      <c r="C19" s="25" t="str">
        <f t="shared" si="6"/>
        <v/>
      </c>
      <c r="D19" s="25" t="str">
        <f t="shared" si="1"/>
        <v/>
      </c>
      <c r="E19" s="25" t="str">
        <f t="shared" si="2"/>
        <v/>
      </c>
      <c r="F19" s="65" t="s">
        <v>221</v>
      </c>
      <c r="G19" s="66" t="str">
        <f t="shared" si="3"/>
        <v/>
      </c>
      <c r="H19" s="67" t="str">
        <f t="shared" si="4"/>
        <v/>
      </c>
      <c r="I19" s="68" t="s">
        <v>222</v>
      </c>
      <c r="J19" s="64" t="s">
        <v>223</v>
      </c>
      <c r="K19" s="64" t="s">
        <v>223</v>
      </c>
      <c r="L19" s="25" t="str">
        <f t="shared" si="5"/>
        <v/>
      </c>
    </row>
    <row r="20" ht="29.25" customHeight="1">
      <c r="A20" s="64">
        <v>18.0</v>
      </c>
      <c r="B20" s="64" t="s">
        <v>240</v>
      </c>
      <c r="C20" s="25" t="str">
        <f t="shared" si="6"/>
        <v/>
      </c>
      <c r="D20" s="25" t="str">
        <f t="shared" si="1"/>
        <v/>
      </c>
      <c r="E20" s="25" t="str">
        <f t="shared" si="2"/>
        <v/>
      </c>
      <c r="F20" s="65" t="s">
        <v>221</v>
      </c>
      <c r="G20" s="66" t="str">
        <f t="shared" si="3"/>
        <v/>
      </c>
      <c r="H20" s="67" t="str">
        <f t="shared" si="4"/>
        <v/>
      </c>
      <c r="I20" s="68" t="s">
        <v>222</v>
      </c>
      <c r="J20" s="64" t="s">
        <v>223</v>
      </c>
      <c r="K20" s="64" t="s">
        <v>223</v>
      </c>
      <c r="L20" s="25" t="str">
        <f t="shared" si="5"/>
        <v/>
      </c>
    </row>
    <row r="21" ht="29.25" customHeight="1">
      <c r="A21" s="64">
        <v>19.0</v>
      </c>
      <c r="B21" s="64" t="s">
        <v>241</v>
      </c>
      <c r="C21" s="25" t="str">
        <f t="shared" si="6"/>
        <v/>
      </c>
      <c r="D21" s="25" t="str">
        <f t="shared" si="1"/>
        <v/>
      </c>
      <c r="E21" s="25" t="str">
        <f t="shared" si="2"/>
        <v/>
      </c>
      <c r="F21" s="65" t="s">
        <v>221</v>
      </c>
      <c r="G21" s="66" t="str">
        <f t="shared" si="3"/>
        <v/>
      </c>
      <c r="H21" s="67" t="str">
        <f t="shared" si="4"/>
        <v/>
      </c>
      <c r="I21" s="68" t="s">
        <v>222</v>
      </c>
      <c r="J21" s="64" t="s">
        <v>223</v>
      </c>
      <c r="K21" s="64" t="s">
        <v>223</v>
      </c>
      <c r="L21" s="25" t="str">
        <f t="shared" si="5"/>
        <v/>
      </c>
    </row>
    <row r="22" ht="29.25" customHeight="1">
      <c r="A22" s="64">
        <v>20.0</v>
      </c>
      <c r="B22" s="64" t="s">
        <v>242</v>
      </c>
      <c r="C22" s="25" t="str">
        <f t="shared" si="6"/>
        <v/>
      </c>
      <c r="D22" s="25" t="str">
        <f t="shared" si="1"/>
        <v/>
      </c>
      <c r="E22" s="25" t="str">
        <f t="shared" si="2"/>
        <v/>
      </c>
      <c r="F22" s="65" t="s">
        <v>221</v>
      </c>
      <c r="G22" s="66" t="str">
        <f t="shared" si="3"/>
        <v/>
      </c>
      <c r="H22" s="67" t="str">
        <f t="shared" si="4"/>
        <v/>
      </c>
      <c r="I22" s="68" t="s">
        <v>222</v>
      </c>
      <c r="J22" s="64" t="s">
        <v>223</v>
      </c>
      <c r="K22" s="64" t="s">
        <v>223</v>
      </c>
      <c r="L22" s="25" t="str">
        <f t="shared" si="5"/>
        <v/>
      </c>
    </row>
    <row r="23" ht="29.25" customHeight="1">
      <c r="A23" s="64">
        <v>21.0</v>
      </c>
      <c r="B23" s="64" t="s">
        <v>243</v>
      </c>
      <c r="C23" s="25" t="str">
        <f t="shared" si="6"/>
        <v/>
      </c>
      <c r="D23" s="25" t="str">
        <f t="shared" si="1"/>
        <v/>
      </c>
      <c r="E23" s="25" t="str">
        <f t="shared" si="2"/>
        <v/>
      </c>
      <c r="F23" s="65" t="s">
        <v>221</v>
      </c>
      <c r="G23" s="66" t="str">
        <f t="shared" si="3"/>
        <v/>
      </c>
      <c r="H23" s="67" t="str">
        <f t="shared" si="4"/>
        <v/>
      </c>
      <c r="I23" s="68" t="s">
        <v>222</v>
      </c>
      <c r="J23" s="64" t="s">
        <v>223</v>
      </c>
      <c r="K23" s="64" t="s">
        <v>223</v>
      </c>
      <c r="L23" s="25" t="str">
        <f t="shared" si="5"/>
        <v/>
      </c>
    </row>
    <row r="24" ht="29.25" customHeight="1">
      <c r="A24" s="64">
        <v>22.0</v>
      </c>
      <c r="B24" s="64" t="s">
        <v>244</v>
      </c>
      <c r="C24" s="25" t="str">
        <f t="shared" si="6"/>
        <v/>
      </c>
      <c r="D24" s="25" t="str">
        <f t="shared" si="1"/>
        <v/>
      </c>
      <c r="E24" s="25" t="str">
        <f t="shared" si="2"/>
        <v/>
      </c>
      <c r="F24" s="65" t="s">
        <v>221</v>
      </c>
      <c r="G24" s="66" t="str">
        <f t="shared" si="3"/>
        <v/>
      </c>
      <c r="H24" s="67" t="str">
        <f t="shared" si="4"/>
        <v/>
      </c>
      <c r="I24" s="68" t="s">
        <v>222</v>
      </c>
      <c r="J24" s="64" t="s">
        <v>223</v>
      </c>
      <c r="K24" s="64" t="s">
        <v>223</v>
      </c>
      <c r="L24" s="25" t="str">
        <f t="shared" si="5"/>
        <v/>
      </c>
    </row>
    <row r="25" ht="29.25" customHeight="1">
      <c r="A25" s="64">
        <v>23.0</v>
      </c>
      <c r="B25" s="64" t="s">
        <v>245</v>
      </c>
      <c r="C25" s="25" t="str">
        <f t="shared" si="6"/>
        <v/>
      </c>
      <c r="D25" s="25" t="str">
        <f t="shared" si="1"/>
        <v/>
      </c>
      <c r="E25" s="25" t="str">
        <f t="shared" si="2"/>
        <v/>
      </c>
      <c r="F25" s="65" t="s">
        <v>221</v>
      </c>
      <c r="G25" s="66" t="str">
        <f t="shared" si="3"/>
        <v/>
      </c>
      <c r="H25" s="67" t="str">
        <f t="shared" si="4"/>
        <v/>
      </c>
      <c r="I25" s="68" t="s">
        <v>222</v>
      </c>
      <c r="J25" s="64" t="s">
        <v>223</v>
      </c>
      <c r="K25" s="64" t="s">
        <v>223</v>
      </c>
      <c r="L25" s="25" t="str">
        <f t="shared" si="5"/>
        <v/>
      </c>
    </row>
    <row r="26" ht="29.25" customHeight="1">
      <c r="A26" s="64">
        <v>24.0</v>
      </c>
      <c r="B26" s="64" t="s">
        <v>246</v>
      </c>
      <c r="C26" s="25" t="str">
        <f t="shared" si="6"/>
        <v/>
      </c>
      <c r="D26" s="25" t="str">
        <f t="shared" si="1"/>
        <v/>
      </c>
      <c r="E26" s="25" t="str">
        <f t="shared" si="2"/>
        <v/>
      </c>
      <c r="F26" s="65" t="s">
        <v>221</v>
      </c>
      <c r="G26" s="66" t="str">
        <f t="shared" si="3"/>
        <v/>
      </c>
      <c r="H26" s="67" t="str">
        <f t="shared" si="4"/>
        <v/>
      </c>
      <c r="I26" s="68" t="s">
        <v>222</v>
      </c>
      <c r="J26" s="64" t="s">
        <v>223</v>
      </c>
      <c r="K26" s="64" t="s">
        <v>223</v>
      </c>
      <c r="L26" s="25" t="str">
        <f t="shared" si="5"/>
        <v/>
      </c>
    </row>
    <row r="27" ht="29.25" customHeight="1">
      <c r="A27" s="64">
        <v>25.0</v>
      </c>
      <c r="B27" s="64" t="s">
        <v>247</v>
      </c>
      <c r="C27" s="25" t="str">
        <f t="shared" si="6"/>
        <v/>
      </c>
      <c r="D27" s="25" t="str">
        <f t="shared" si="1"/>
        <v/>
      </c>
      <c r="E27" s="25" t="str">
        <f t="shared" si="2"/>
        <v/>
      </c>
      <c r="F27" s="65" t="s">
        <v>221</v>
      </c>
      <c r="G27" s="66" t="str">
        <f t="shared" si="3"/>
        <v/>
      </c>
      <c r="H27" s="67" t="str">
        <f t="shared" si="4"/>
        <v/>
      </c>
      <c r="I27" s="68" t="s">
        <v>222</v>
      </c>
      <c r="J27" s="64" t="s">
        <v>223</v>
      </c>
      <c r="K27" s="64" t="s">
        <v>223</v>
      </c>
      <c r="L27" s="25" t="str">
        <f t="shared" si="5"/>
        <v/>
      </c>
    </row>
    <row r="28" ht="29.25" customHeight="1">
      <c r="A28" s="64">
        <v>26.0</v>
      </c>
      <c r="B28" s="64" t="s">
        <v>248</v>
      </c>
      <c r="C28" s="25" t="str">
        <f t="shared" si="6"/>
        <v/>
      </c>
      <c r="D28" s="25" t="str">
        <f t="shared" si="1"/>
        <v/>
      </c>
      <c r="E28" s="25" t="str">
        <f t="shared" si="2"/>
        <v/>
      </c>
      <c r="F28" s="65" t="s">
        <v>221</v>
      </c>
      <c r="G28" s="66" t="str">
        <f t="shared" si="3"/>
        <v/>
      </c>
      <c r="H28" s="67" t="str">
        <f t="shared" si="4"/>
        <v/>
      </c>
      <c r="I28" s="68" t="s">
        <v>222</v>
      </c>
      <c r="J28" s="64" t="s">
        <v>249</v>
      </c>
      <c r="K28" s="64" t="s">
        <v>223</v>
      </c>
      <c r="L28" s="25" t="str">
        <f t="shared" si="5"/>
        <v/>
      </c>
    </row>
    <row r="29" ht="29.25" customHeight="1">
      <c r="A29" s="64">
        <v>27.0</v>
      </c>
      <c r="B29" s="64" t="s">
        <v>250</v>
      </c>
      <c r="C29" s="25" t="str">
        <f t="shared" si="6"/>
        <v/>
      </c>
      <c r="D29" s="25" t="str">
        <f t="shared" si="1"/>
        <v/>
      </c>
      <c r="E29" s="25" t="str">
        <f t="shared" si="2"/>
        <v/>
      </c>
      <c r="F29" s="65" t="s">
        <v>221</v>
      </c>
      <c r="G29" s="66" t="str">
        <f t="shared" si="3"/>
        <v/>
      </c>
      <c r="H29" s="67" t="str">
        <f t="shared" si="4"/>
        <v/>
      </c>
      <c r="I29" s="68" t="s">
        <v>222</v>
      </c>
      <c r="J29" s="64" t="s">
        <v>223</v>
      </c>
      <c r="K29" s="64" t="s">
        <v>223</v>
      </c>
      <c r="L29" s="25" t="str">
        <f t="shared" si="5"/>
        <v/>
      </c>
    </row>
    <row r="30" ht="29.25" customHeight="1">
      <c r="A30" s="64">
        <v>28.0</v>
      </c>
      <c r="B30" s="64" t="s">
        <v>251</v>
      </c>
      <c r="C30" s="25" t="str">
        <f t="shared" si="6"/>
        <v/>
      </c>
      <c r="D30" s="25" t="str">
        <f t="shared" si="1"/>
        <v/>
      </c>
      <c r="E30" s="25" t="str">
        <f t="shared" si="2"/>
        <v/>
      </c>
      <c r="F30" s="65" t="s">
        <v>221</v>
      </c>
      <c r="G30" s="66" t="str">
        <f t="shared" si="3"/>
        <v/>
      </c>
      <c r="H30" s="67" t="str">
        <f t="shared" si="4"/>
        <v/>
      </c>
      <c r="I30" s="68" t="s">
        <v>222</v>
      </c>
      <c r="J30" s="64" t="s">
        <v>223</v>
      </c>
      <c r="K30" s="64" t="s">
        <v>223</v>
      </c>
      <c r="L30" s="25" t="str">
        <f t="shared" si="5"/>
        <v/>
      </c>
    </row>
    <row r="31" ht="29.25" customHeight="1">
      <c r="A31" s="64">
        <v>29.0</v>
      </c>
      <c r="B31" s="64" t="s">
        <v>252</v>
      </c>
      <c r="C31" s="25" t="str">
        <f t="shared" si="6"/>
        <v/>
      </c>
      <c r="D31" s="25" t="str">
        <f t="shared" si="1"/>
        <v/>
      </c>
      <c r="E31" s="25" t="str">
        <f t="shared" si="2"/>
        <v/>
      </c>
      <c r="F31" s="65" t="s">
        <v>221</v>
      </c>
      <c r="G31" s="66" t="str">
        <f t="shared" si="3"/>
        <v/>
      </c>
      <c r="H31" s="67" t="str">
        <f t="shared" si="4"/>
        <v/>
      </c>
      <c r="I31" s="68" t="s">
        <v>222</v>
      </c>
      <c r="J31" s="64" t="s">
        <v>223</v>
      </c>
      <c r="K31" s="64" t="s">
        <v>223</v>
      </c>
      <c r="L31" s="25" t="str">
        <f t="shared" si="5"/>
        <v/>
      </c>
    </row>
    <row r="32" ht="29.25" customHeight="1">
      <c r="A32" s="64">
        <v>30.0</v>
      </c>
      <c r="B32" s="64" t="s">
        <v>253</v>
      </c>
      <c r="C32" s="25" t="str">
        <f t="shared" si="6"/>
        <v/>
      </c>
      <c r="D32" s="25" t="str">
        <f t="shared" si="1"/>
        <v/>
      </c>
      <c r="E32" s="25" t="str">
        <f t="shared" si="2"/>
        <v/>
      </c>
      <c r="F32" s="65" t="s">
        <v>221</v>
      </c>
      <c r="G32" s="66" t="str">
        <f t="shared" si="3"/>
        <v/>
      </c>
      <c r="H32" s="67" t="str">
        <f t="shared" si="4"/>
        <v/>
      </c>
      <c r="I32" s="68" t="s">
        <v>222</v>
      </c>
      <c r="J32" s="64" t="s">
        <v>223</v>
      </c>
      <c r="K32" s="64" t="s">
        <v>223</v>
      </c>
      <c r="L32" s="25" t="str">
        <f t="shared" si="5"/>
        <v/>
      </c>
    </row>
    <row r="33" ht="29.25" customHeight="1">
      <c r="A33" s="64">
        <v>31.0</v>
      </c>
      <c r="B33" s="64" t="s">
        <v>254</v>
      </c>
      <c r="C33" s="25" t="str">
        <f t="shared" si="6"/>
        <v/>
      </c>
      <c r="D33" s="25" t="str">
        <f t="shared" si="1"/>
        <v/>
      </c>
      <c r="E33" s="25" t="str">
        <f t="shared" si="2"/>
        <v/>
      </c>
      <c r="F33" s="65" t="s">
        <v>221</v>
      </c>
      <c r="G33" s="66" t="str">
        <f t="shared" si="3"/>
        <v/>
      </c>
      <c r="H33" s="67" t="str">
        <f t="shared" si="4"/>
        <v/>
      </c>
      <c r="I33" s="68" t="s">
        <v>222</v>
      </c>
      <c r="J33" s="64" t="s">
        <v>255</v>
      </c>
      <c r="K33" s="64" t="s">
        <v>223</v>
      </c>
      <c r="L33" s="25" t="str">
        <f t="shared" si="5"/>
        <v/>
      </c>
    </row>
    <row r="34" ht="29.25" customHeight="1">
      <c r="A34" s="64">
        <v>32.0</v>
      </c>
      <c r="B34" s="64" t="s">
        <v>256</v>
      </c>
      <c r="C34" s="25" t="str">
        <f t="shared" si="6"/>
        <v/>
      </c>
      <c r="D34" s="25" t="str">
        <f t="shared" si="1"/>
        <v/>
      </c>
      <c r="E34" s="25" t="str">
        <f t="shared" si="2"/>
        <v/>
      </c>
      <c r="F34" s="65" t="s">
        <v>221</v>
      </c>
      <c r="G34" s="66" t="str">
        <f t="shared" si="3"/>
        <v/>
      </c>
      <c r="H34" s="67" t="str">
        <f t="shared" si="4"/>
        <v/>
      </c>
      <c r="I34" s="68" t="s">
        <v>222</v>
      </c>
      <c r="J34" s="64" t="s">
        <v>223</v>
      </c>
      <c r="K34" s="64" t="s">
        <v>223</v>
      </c>
      <c r="L34" s="25" t="str">
        <f t="shared" si="5"/>
        <v/>
      </c>
    </row>
    <row r="35" ht="29.25" customHeight="1">
      <c r="A35" s="64">
        <v>33.0</v>
      </c>
      <c r="B35" s="64" t="s">
        <v>257</v>
      </c>
      <c r="C35" s="25" t="str">
        <f t="shared" si="6"/>
        <v/>
      </c>
      <c r="D35" s="25" t="str">
        <f t="shared" si="1"/>
        <v/>
      </c>
      <c r="E35" s="25" t="str">
        <f t="shared" si="2"/>
        <v/>
      </c>
      <c r="F35" s="65" t="s">
        <v>221</v>
      </c>
      <c r="G35" s="66" t="str">
        <f t="shared" si="3"/>
        <v/>
      </c>
      <c r="H35" s="67" t="str">
        <f t="shared" si="4"/>
        <v/>
      </c>
      <c r="I35" s="68" t="s">
        <v>222</v>
      </c>
      <c r="J35" s="64" t="s">
        <v>223</v>
      </c>
      <c r="K35" s="64" t="s">
        <v>223</v>
      </c>
      <c r="L35" s="25" t="str">
        <f t="shared" si="5"/>
        <v/>
      </c>
    </row>
    <row r="36" ht="29.25" customHeight="1">
      <c r="A36" s="64">
        <v>34.0</v>
      </c>
      <c r="B36" s="64" t="s">
        <v>258</v>
      </c>
      <c r="C36" s="25" t="str">
        <f t="shared" si="6"/>
        <v/>
      </c>
      <c r="D36" s="25" t="str">
        <f t="shared" si="1"/>
        <v/>
      </c>
      <c r="E36" s="25" t="str">
        <f t="shared" si="2"/>
        <v/>
      </c>
      <c r="F36" s="65" t="s">
        <v>221</v>
      </c>
      <c r="G36" s="66" t="str">
        <f t="shared" si="3"/>
        <v/>
      </c>
      <c r="H36" s="67" t="str">
        <f t="shared" si="4"/>
        <v/>
      </c>
      <c r="I36" s="68" t="s">
        <v>222</v>
      </c>
      <c r="J36" s="64" t="s">
        <v>223</v>
      </c>
      <c r="K36" s="64" t="s">
        <v>223</v>
      </c>
      <c r="L36" s="25" t="str">
        <f t="shared" si="5"/>
        <v/>
      </c>
    </row>
    <row r="37" ht="29.25" customHeight="1">
      <c r="A37" s="64">
        <v>35.0</v>
      </c>
      <c r="B37" s="64" t="s">
        <v>259</v>
      </c>
      <c r="C37" s="25" t="str">
        <f t="shared" si="6"/>
        <v/>
      </c>
      <c r="D37" s="25" t="str">
        <f t="shared" si="1"/>
        <v/>
      </c>
      <c r="E37" s="25" t="str">
        <f t="shared" si="2"/>
        <v/>
      </c>
      <c r="F37" s="65" t="s">
        <v>221</v>
      </c>
      <c r="G37" s="66" t="str">
        <f t="shared" si="3"/>
        <v/>
      </c>
      <c r="H37" s="67" t="str">
        <f t="shared" si="4"/>
        <v/>
      </c>
      <c r="I37" s="68" t="s">
        <v>222</v>
      </c>
      <c r="J37" s="64" t="s">
        <v>223</v>
      </c>
      <c r="K37" s="64" t="s">
        <v>223</v>
      </c>
      <c r="L37" s="25" t="str">
        <f t="shared" si="5"/>
        <v/>
      </c>
    </row>
    <row r="38" ht="29.25" customHeight="1">
      <c r="A38" s="64">
        <v>36.0</v>
      </c>
      <c r="B38" s="64" t="s">
        <v>260</v>
      </c>
      <c r="C38" s="25" t="str">
        <f t="shared" si="6"/>
        <v/>
      </c>
      <c r="D38" s="25" t="str">
        <f t="shared" si="1"/>
        <v/>
      </c>
      <c r="E38" s="25" t="str">
        <f t="shared" si="2"/>
        <v/>
      </c>
      <c r="F38" s="65" t="s">
        <v>221</v>
      </c>
      <c r="G38" s="66" t="str">
        <f t="shared" si="3"/>
        <v/>
      </c>
      <c r="H38" s="67" t="str">
        <f t="shared" si="4"/>
        <v/>
      </c>
      <c r="I38" s="68" t="s">
        <v>222</v>
      </c>
      <c r="J38" s="64" t="s">
        <v>223</v>
      </c>
      <c r="K38" s="64" t="s">
        <v>223</v>
      </c>
      <c r="L38" s="25" t="str">
        <f t="shared" si="5"/>
        <v/>
      </c>
    </row>
    <row r="39" ht="29.25" customHeight="1">
      <c r="A39" s="64">
        <v>37.0</v>
      </c>
      <c r="B39" s="64" t="s">
        <v>261</v>
      </c>
      <c r="C39" s="25" t="str">
        <f t="shared" si="6"/>
        <v/>
      </c>
      <c r="D39" s="25" t="str">
        <f t="shared" si="1"/>
        <v/>
      </c>
      <c r="E39" s="25" t="str">
        <f t="shared" si="2"/>
        <v/>
      </c>
      <c r="F39" s="65" t="s">
        <v>221</v>
      </c>
      <c r="G39" s="66" t="str">
        <f t="shared" si="3"/>
        <v/>
      </c>
      <c r="H39" s="67" t="str">
        <f t="shared" si="4"/>
        <v/>
      </c>
      <c r="I39" s="68" t="s">
        <v>222</v>
      </c>
      <c r="J39" s="64" t="s">
        <v>223</v>
      </c>
      <c r="K39" s="64" t="s">
        <v>223</v>
      </c>
      <c r="L39" s="25" t="str">
        <f t="shared" si="5"/>
        <v/>
      </c>
    </row>
    <row r="40" ht="29.25" customHeight="1">
      <c r="A40" s="64">
        <v>38.0</v>
      </c>
      <c r="B40" s="64" t="s">
        <v>262</v>
      </c>
      <c r="C40" s="25" t="str">
        <f t="shared" si="6"/>
        <v/>
      </c>
      <c r="D40" s="25" t="str">
        <f t="shared" si="1"/>
        <v/>
      </c>
      <c r="E40" s="25" t="str">
        <f t="shared" si="2"/>
        <v/>
      </c>
      <c r="F40" s="65" t="s">
        <v>221</v>
      </c>
      <c r="G40" s="66" t="str">
        <f t="shared" si="3"/>
        <v/>
      </c>
      <c r="H40" s="67" t="str">
        <f t="shared" si="4"/>
        <v/>
      </c>
      <c r="I40" s="68" t="s">
        <v>222</v>
      </c>
      <c r="J40" s="64" t="s">
        <v>223</v>
      </c>
      <c r="K40" s="64" t="s">
        <v>223</v>
      </c>
      <c r="L40" s="25" t="str">
        <f t="shared" si="5"/>
        <v/>
      </c>
    </row>
    <row r="41" ht="29.25" customHeight="1">
      <c r="A41" s="64">
        <v>39.0</v>
      </c>
      <c r="B41" s="64" t="s">
        <v>263</v>
      </c>
      <c r="C41" s="25" t="str">
        <f t="shared" si="6"/>
        <v/>
      </c>
      <c r="D41" s="25" t="str">
        <f t="shared" si="1"/>
        <v/>
      </c>
      <c r="E41" s="25" t="str">
        <f t="shared" si="2"/>
        <v/>
      </c>
      <c r="F41" s="65" t="s">
        <v>221</v>
      </c>
      <c r="G41" s="66" t="str">
        <f t="shared" si="3"/>
        <v/>
      </c>
      <c r="H41" s="67" t="str">
        <f t="shared" si="4"/>
        <v/>
      </c>
      <c r="I41" s="68" t="s">
        <v>222</v>
      </c>
      <c r="J41" s="64" t="s">
        <v>264</v>
      </c>
      <c r="K41" s="64" t="s">
        <v>223</v>
      </c>
      <c r="L41" s="25" t="str">
        <f t="shared" si="5"/>
        <v/>
      </c>
    </row>
    <row r="42" ht="29.25" customHeight="1">
      <c r="A42" s="64">
        <v>40.0</v>
      </c>
      <c r="B42" s="64" t="s">
        <v>265</v>
      </c>
      <c r="C42" s="25" t="str">
        <f t="shared" si="6"/>
        <v/>
      </c>
      <c r="D42" s="25" t="str">
        <f t="shared" si="1"/>
        <v/>
      </c>
      <c r="E42" s="25" t="str">
        <f t="shared" si="2"/>
        <v/>
      </c>
      <c r="F42" s="65" t="s">
        <v>221</v>
      </c>
      <c r="G42" s="66" t="str">
        <f t="shared" si="3"/>
        <v/>
      </c>
      <c r="H42" s="67" t="str">
        <f t="shared" si="4"/>
        <v/>
      </c>
      <c r="I42" s="68" t="s">
        <v>222</v>
      </c>
      <c r="J42" s="64" t="s">
        <v>266</v>
      </c>
      <c r="K42" s="64" t="s">
        <v>223</v>
      </c>
      <c r="L42" s="25" t="str">
        <f t="shared" si="5"/>
        <v/>
      </c>
    </row>
    <row r="43" ht="29.25" customHeight="1">
      <c r="A43" s="64">
        <v>41.0</v>
      </c>
      <c r="B43" s="64" t="s">
        <v>267</v>
      </c>
      <c r="C43" s="25" t="str">
        <f t="shared" si="6"/>
        <v/>
      </c>
      <c r="D43" s="25" t="str">
        <f t="shared" si="1"/>
        <v/>
      </c>
      <c r="E43" s="25" t="str">
        <f t="shared" si="2"/>
        <v/>
      </c>
      <c r="F43" s="65" t="s">
        <v>221</v>
      </c>
      <c r="G43" s="66" t="str">
        <f t="shared" si="3"/>
        <v/>
      </c>
      <c r="H43" s="67" t="str">
        <f t="shared" si="4"/>
        <v/>
      </c>
      <c r="I43" s="68" t="s">
        <v>222</v>
      </c>
      <c r="J43" s="64" t="s">
        <v>223</v>
      </c>
      <c r="K43" s="64" t="s">
        <v>223</v>
      </c>
      <c r="L43" s="25" t="str">
        <f t="shared" si="5"/>
        <v/>
      </c>
    </row>
    <row r="44" ht="15.75" customHeight="1">
      <c r="A44" s="64">
        <v>42.0</v>
      </c>
      <c r="B44" s="64" t="s">
        <v>268</v>
      </c>
      <c r="C44" s="25" t="str">
        <f t="shared" si="6"/>
        <v/>
      </c>
      <c r="D44" s="25" t="str">
        <f t="shared" si="1"/>
        <v/>
      </c>
      <c r="E44" s="25" t="str">
        <f t="shared" si="2"/>
        <v/>
      </c>
      <c r="F44" s="65" t="s">
        <v>221</v>
      </c>
      <c r="G44" s="66" t="str">
        <f t="shared" si="3"/>
        <v/>
      </c>
      <c r="H44" s="67" t="str">
        <f t="shared" si="4"/>
        <v/>
      </c>
      <c r="I44" s="68" t="s">
        <v>222</v>
      </c>
      <c r="J44" s="64" t="s">
        <v>269</v>
      </c>
      <c r="K44" s="64" t="s">
        <v>223</v>
      </c>
      <c r="L44" s="25" t="str">
        <f t="shared" si="5"/>
        <v/>
      </c>
    </row>
    <row r="45" ht="29.25" customHeight="1">
      <c r="A45" s="64">
        <v>43.0</v>
      </c>
      <c r="B45" s="64" t="s">
        <v>270</v>
      </c>
      <c r="C45" s="25" t="str">
        <f t="shared" si="6"/>
        <v/>
      </c>
      <c r="D45" s="25" t="str">
        <f t="shared" si="1"/>
        <v/>
      </c>
      <c r="E45" s="25" t="str">
        <f t="shared" si="2"/>
        <v/>
      </c>
      <c r="F45" s="65" t="s">
        <v>221</v>
      </c>
      <c r="G45" s="66" t="str">
        <f t="shared" si="3"/>
        <v/>
      </c>
      <c r="H45" s="67" t="str">
        <f t="shared" si="4"/>
        <v/>
      </c>
      <c r="I45" s="68" t="s">
        <v>222</v>
      </c>
      <c r="J45" s="64" t="s">
        <v>223</v>
      </c>
      <c r="K45" s="64" t="s">
        <v>223</v>
      </c>
      <c r="L45" s="25" t="str">
        <f t="shared" si="5"/>
        <v/>
      </c>
    </row>
    <row r="46" ht="29.25" customHeight="1">
      <c r="A46" s="64">
        <v>44.0</v>
      </c>
      <c r="B46" s="64" t="s">
        <v>271</v>
      </c>
      <c r="C46" s="25" t="str">
        <f t="shared" si="6"/>
        <v/>
      </c>
      <c r="D46" s="25" t="str">
        <f t="shared" si="1"/>
        <v/>
      </c>
      <c r="E46" s="25" t="str">
        <f t="shared" si="2"/>
        <v/>
      </c>
      <c r="F46" s="65" t="s">
        <v>221</v>
      </c>
      <c r="G46" s="66" t="str">
        <f t="shared" si="3"/>
        <v/>
      </c>
      <c r="H46" s="67" t="str">
        <f t="shared" si="4"/>
        <v/>
      </c>
      <c r="I46" s="68" t="s">
        <v>222</v>
      </c>
      <c r="J46" s="64" t="s">
        <v>269</v>
      </c>
      <c r="K46" s="64" t="s">
        <v>223</v>
      </c>
      <c r="L46" s="25" t="str">
        <f t="shared" si="5"/>
        <v/>
      </c>
    </row>
    <row r="47" ht="29.25" customHeight="1">
      <c r="A47" s="64">
        <v>45.0</v>
      </c>
      <c r="B47" s="64" t="s">
        <v>272</v>
      </c>
      <c r="C47" s="25" t="str">
        <f t="shared" si="6"/>
        <v/>
      </c>
      <c r="D47" s="25" t="str">
        <f t="shared" si="1"/>
        <v/>
      </c>
      <c r="E47" s="25" t="str">
        <f t="shared" si="2"/>
        <v/>
      </c>
      <c r="F47" s="65" t="s">
        <v>221</v>
      </c>
      <c r="G47" s="66" t="str">
        <f t="shared" si="3"/>
        <v/>
      </c>
      <c r="H47" s="67" t="str">
        <f t="shared" si="4"/>
        <v/>
      </c>
      <c r="I47" s="68" t="s">
        <v>222</v>
      </c>
      <c r="J47" s="64" t="s">
        <v>223</v>
      </c>
      <c r="K47" s="64" t="s">
        <v>223</v>
      </c>
      <c r="L47" s="25" t="str">
        <f t="shared" si="5"/>
        <v/>
      </c>
    </row>
    <row r="48" ht="29.25" customHeight="1">
      <c r="A48" s="64">
        <v>46.0</v>
      </c>
      <c r="B48" s="64" t="s">
        <v>273</v>
      </c>
      <c r="C48" s="25" t="str">
        <f t="shared" si="6"/>
        <v/>
      </c>
      <c r="D48" s="25" t="str">
        <f t="shared" si="1"/>
        <v/>
      </c>
      <c r="E48" s="25" t="str">
        <f t="shared" si="2"/>
        <v/>
      </c>
      <c r="F48" s="65" t="s">
        <v>221</v>
      </c>
      <c r="G48" s="66" t="str">
        <f t="shared" si="3"/>
        <v/>
      </c>
      <c r="H48" s="67" t="str">
        <f t="shared" si="4"/>
        <v/>
      </c>
      <c r="I48" s="68" t="s">
        <v>222</v>
      </c>
      <c r="J48" s="64" t="s">
        <v>269</v>
      </c>
      <c r="K48" s="64" t="s">
        <v>223</v>
      </c>
      <c r="L48" s="25" t="str">
        <f t="shared" si="5"/>
        <v/>
      </c>
    </row>
    <row r="49" ht="29.25" customHeight="1">
      <c r="A49" s="64">
        <v>47.0</v>
      </c>
      <c r="B49" s="64" t="s">
        <v>274</v>
      </c>
      <c r="C49" s="25" t="str">
        <f t="shared" si="6"/>
        <v/>
      </c>
      <c r="D49" s="25" t="str">
        <f t="shared" si="1"/>
        <v/>
      </c>
      <c r="E49" s="25" t="str">
        <f t="shared" si="2"/>
        <v/>
      </c>
      <c r="F49" s="65" t="s">
        <v>221</v>
      </c>
      <c r="G49" s="66" t="str">
        <f t="shared" si="3"/>
        <v/>
      </c>
      <c r="H49" s="67" t="str">
        <f t="shared" si="4"/>
        <v/>
      </c>
      <c r="I49" s="68" t="s">
        <v>222</v>
      </c>
      <c r="J49" s="64" t="s">
        <v>223</v>
      </c>
      <c r="K49" s="64" t="s">
        <v>223</v>
      </c>
      <c r="L49" s="25" t="str">
        <f t="shared" si="5"/>
        <v/>
      </c>
    </row>
    <row r="50" ht="29.25" customHeight="1">
      <c r="A50" s="64">
        <v>48.0</v>
      </c>
      <c r="B50" s="64" t="s">
        <v>275</v>
      </c>
      <c r="C50" s="25" t="str">
        <f t="shared" si="6"/>
        <v/>
      </c>
      <c r="D50" s="25" t="str">
        <f t="shared" si="1"/>
        <v/>
      </c>
      <c r="E50" s="25" t="str">
        <f t="shared" si="2"/>
        <v/>
      </c>
      <c r="F50" s="65" t="s">
        <v>221</v>
      </c>
      <c r="G50" s="66" t="str">
        <f t="shared" si="3"/>
        <v/>
      </c>
      <c r="H50" s="67" t="str">
        <f t="shared" si="4"/>
        <v/>
      </c>
      <c r="I50" s="68" t="s">
        <v>222</v>
      </c>
      <c r="J50" s="64" t="s">
        <v>269</v>
      </c>
      <c r="K50" s="64" t="s">
        <v>223</v>
      </c>
      <c r="L50" s="25" t="str">
        <f t="shared" si="5"/>
        <v/>
      </c>
    </row>
    <row r="51" ht="29.25" customHeight="1">
      <c r="A51" s="64">
        <v>49.0</v>
      </c>
      <c r="B51" s="64" t="s">
        <v>276</v>
      </c>
      <c r="C51" s="25" t="str">
        <f t="shared" si="6"/>
        <v/>
      </c>
      <c r="D51" s="25" t="str">
        <f t="shared" si="1"/>
        <v/>
      </c>
      <c r="E51" s="25" t="str">
        <f t="shared" si="2"/>
        <v/>
      </c>
      <c r="F51" s="65" t="s">
        <v>221</v>
      </c>
      <c r="G51" s="66" t="str">
        <f t="shared" si="3"/>
        <v/>
      </c>
      <c r="H51" s="67" t="str">
        <f t="shared" si="4"/>
        <v/>
      </c>
      <c r="I51" s="68" t="s">
        <v>222</v>
      </c>
      <c r="J51" s="64" t="s">
        <v>269</v>
      </c>
      <c r="K51" s="64" t="s">
        <v>223</v>
      </c>
      <c r="L51" s="25" t="str">
        <f t="shared" si="5"/>
        <v/>
      </c>
    </row>
    <row r="52" ht="29.25" customHeight="1">
      <c r="A52" s="64">
        <v>50.0</v>
      </c>
      <c r="B52" s="64" t="s">
        <v>277</v>
      </c>
      <c r="C52" s="25" t="str">
        <f t="shared" si="6"/>
        <v/>
      </c>
      <c r="D52" s="25" t="str">
        <f t="shared" si="1"/>
        <v/>
      </c>
      <c r="E52" s="25" t="str">
        <f t="shared" si="2"/>
        <v/>
      </c>
      <c r="F52" s="65" t="s">
        <v>221</v>
      </c>
      <c r="G52" s="66" t="str">
        <f t="shared" si="3"/>
        <v/>
      </c>
      <c r="H52" s="67" t="str">
        <f t="shared" si="4"/>
        <v/>
      </c>
      <c r="I52" s="68" t="s">
        <v>222</v>
      </c>
      <c r="J52" s="64" t="s">
        <v>278</v>
      </c>
      <c r="K52" s="64" t="s">
        <v>223</v>
      </c>
      <c r="L52" s="25" t="str">
        <f t="shared" si="5"/>
        <v/>
      </c>
    </row>
    <row r="53" ht="29.25" customHeight="1">
      <c r="A53" s="64">
        <v>51.0</v>
      </c>
      <c r="B53" s="64" t="s">
        <v>279</v>
      </c>
      <c r="C53" s="25" t="str">
        <f t="shared" si="6"/>
        <v/>
      </c>
      <c r="D53" s="25" t="str">
        <f t="shared" si="1"/>
        <v/>
      </c>
      <c r="E53" s="25" t="str">
        <f t="shared" si="2"/>
        <v/>
      </c>
      <c r="F53" s="65" t="s">
        <v>221</v>
      </c>
      <c r="G53" s="66" t="str">
        <f t="shared" si="3"/>
        <v/>
      </c>
      <c r="H53" s="67" t="str">
        <f t="shared" si="4"/>
        <v/>
      </c>
      <c r="I53" s="68" t="s">
        <v>222</v>
      </c>
      <c r="J53" s="64" t="s">
        <v>269</v>
      </c>
      <c r="K53" s="64" t="s">
        <v>223</v>
      </c>
      <c r="L53" s="25" t="str">
        <f t="shared" si="5"/>
        <v/>
      </c>
    </row>
    <row r="54" ht="29.25" customHeight="1">
      <c r="A54" s="64">
        <v>52.0</v>
      </c>
      <c r="B54" s="64" t="s">
        <v>280</v>
      </c>
      <c r="C54" s="25" t="str">
        <f t="shared" si="6"/>
        <v/>
      </c>
      <c r="D54" s="25" t="str">
        <f t="shared" si="1"/>
        <v/>
      </c>
      <c r="E54" s="25" t="str">
        <f t="shared" si="2"/>
        <v/>
      </c>
      <c r="F54" s="65" t="s">
        <v>221</v>
      </c>
      <c r="G54" s="66" t="str">
        <f t="shared" si="3"/>
        <v/>
      </c>
      <c r="H54" s="67" t="str">
        <f t="shared" si="4"/>
        <v/>
      </c>
      <c r="I54" s="68" t="s">
        <v>222</v>
      </c>
      <c r="J54" s="64" t="s">
        <v>223</v>
      </c>
      <c r="K54" s="64" t="s">
        <v>223</v>
      </c>
      <c r="L54" s="25" t="str">
        <f t="shared" si="5"/>
        <v/>
      </c>
    </row>
    <row r="55" ht="29.25" customHeight="1">
      <c r="A55" s="64">
        <v>53.0</v>
      </c>
      <c r="B55" s="64" t="s">
        <v>281</v>
      </c>
      <c r="C55" s="25" t="str">
        <f t="shared" si="6"/>
        <v/>
      </c>
      <c r="D55" s="25" t="str">
        <f t="shared" si="1"/>
        <v/>
      </c>
      <c r="E55" s="25" t="str">
        <f t="shared" si="2"/>
        <v/>
      </c>
      <c r="F55" s="65" t="s">
        <v>221</v>
      </c>
      <c r="G55" s="66" t="str">
        <f t="shared" si="3"/>
        <v/>
      </c>
      <c r="H55" s="67" t="str">
        <f t="shared" si="4"/>
        <v/>
      </c>
      <c r="I55" s="68" t="s">
        <v>222</v>
      </c>
      <c r="J55" s="64" t="s">
        <v>223</v>
      </c>
      <c r="K55" s="64" t="s">
        <v>223</v>
      </c>
      <c r="L55" s="25" t="str">
        <f t="shared" si="5"/>
        <v/>
      </c>
    </row>
    <row r="56" ht="29.25" customHeight="1">
      <c r="A56" s="64">
        <v>54.0</v>
      </c>
      <c r="B56" s="64" t="s">
        <v>282</v>
      </c>
      <c r="C56" s="25" t="str">
        <f t="shared" si="6"/>
        <v/>
      </c>
      <c r="D56" s="25" t="str">
        <f t="shared" si="1"/>
        <v/>
      </c>
      <c r="E56" s="25" t="str">
        <f t="shared" si="2"/>
        <v/>
      </c>
      <c r="F56" s="65" t="s">
        <v>221</v>
      </c>
      <c r="G56" s="66" t="str">
        <f t="shared" si="3"/>
        <v/>
      </c>
      <c r="H56" s="67" t="str">
        <f t="shared" si="4"/>
        <v/>
      </c>
      <c r="I56" s="68" t="s">
        <v>222</v>
      </c>
      <c r="J56" s="64" t="s">
        <v>269</v>
      </c>
      <c r="K56" s="64" t="s">
        <v>223</v>
      </c>
      <c r="L56" s="25" t="str">
        <f t="shared" si="5"/>
        <v/>
      </c>
    </row>
    <row r="57" ht="29.25" customHeight="1">
      <c r="A57" s="64">
        <v>55.0</v>
      </c>
      <c r="B57" s="64" t="s">
        <v>283</v>
      </c>
      <c r="C57" s="25" t="str">
        <f t="shared" si="6"/>
        <v/>
      </c>
      <c r="D57" s="25" t="str">
        <f t="shared" si="1"/>
        <v/>
      </c>
      <c r="E57" s="25" t="str">
        <f t="shared" si="2"/>
        <v/>
      </c>
      <c r="F57" s="65" t="s">
        <v>221</v>
      </c>
      <c r="G57" s="66" t="str">
        <f t="shared" si="3"/>
        <v/>
      </c>
      <c r="H57" s="67" t="str">
        <f t="shared" si="4"/>
        <v/>
      </c>
      <c r="I57" s="68" t="s">
        <v>222</v>
      </c>
      <c r="J57" s="64" t="s">
        <v>269</v>
      </c>
      <c r="K57" s="64" t="s">
        <v>223</v>
      </c>
      <c r="L57" s="25" t="str">
        <f t="shared" si="5"/>
        <v/>
      </c>
    </row>
    <row r="58" ht="29.25" customHeight="1">
      <c r="A58" s="64">
        <v>56.0</v>
      </c>
      <c r="B58" s="64" t="s">
        <v>284</v>
      </c>
      <c r="C58" s="25" t="str">
        <f t="shared" si="6"/>
        <v/>
      </c>
      <c r="D58" s="25" t="str">
        <f t="shared" si="1"/>
        <v/>
      </c>
      <c r="E58" s="25" t="str">
        <f t="shared" si="2"/>
        <v/>
      </c>
      <c r="F58" s="65" t="s">
        <v>221</v>
      </c>
      <c r="G58" s="66" t="str">
        <f t="shared" si="3"/>
        <v/>
      </c>
      <c r="H58" s="67" t="str">
        <f t="shared" si="4"/>
        <v/>
      </c>
      <c r="I58" s="68" t="s">
        <v>222</v>
      </c>
      <c r="J58" s="64" t="s">
        <v>223</v>
      </c>
      <c r="K58" s="64" t="s">
        <v>223</v>
      </c>
      <c r="L58" s="25" t="str">
        <f t="shared" si="5"/>
        <v/>
      </c>
    </row>
    <row r="59" ht="29.25" customHeight="1">
      <c r="A59" s="64">
        <v>57.0</v>
      </c>
      <c r="B59" s="64" t="s">
        <v>285</v>
      </c>
      <c r="C59" s="25" t="str">
        <f t="shared" si="6"/>
        <v/>
      </c>
      <c r="D59" s="25" t="str">
        <f t="shared" si="1"/>
        <v/>
      </c>
      <c r="E59" s="25" t="str">
        <f t="shared" si="2"/>
        <v/>
      </c>
      <c r="F59" s="65" t="s">
        <v>221</v>
      </c>
      <c r="G59" s="66" t="str">
        <f t="shared" si="3"/>
        <v/>
      </c>
      <c r="H59" s="67" t="str">
        <f t="shared" si="4"/>
        <v/>
      </c>
      <c r="I59" s="68" t="s">
        <v>222</v>
      </c>
      <c r="J59" s="64" t="s">
        <v>223</v>
      </c>
      <c r="K59" s="64" t="s">
        <v>223</v>
      </c>
      <c r="L59" s="25" t="str">
        <f t="shared" si="5"/>
        <v/>
      </c>
    </row>
    <row r="60" ht="29.25" customHeight="1">
      <c r="A60" s="64">
        <v>58.0</v>
      </c>
      <c r="B60" s="64" t="s">
        <v>286</v>
      </c>
      <c r="C60" s="25" t="str">
        <f t="shared" si="6"/>
        <v/>
      </c>
      <c r="D60" s="25" t="str">
        <f t="shared" si="1"/>
        <v/>
      </c>
      <c r="E60" s="25" t="str">
        <f t="shared" si="2"/>
        <v/>
      </c>
      <c r="F60" s="65" t="s">
        <v>221</v>
      </c>
      <c r="G60" s="66" t="str">
        <f t="shared" si="3"/>
        <v/>
      </c>
      <c r="H60" s="67" t="str">
        <f t="shared" si="4"/>
        <v/>
      </c>
      <c r="I60" s="68" t="s">
        <v>222</v>
      </c>
      <c r="J60" s="64" t="s">
        <v>223</v>
      </c>
      <c r="K60" s="64" t="s">
        <v>223</v>
      </c>
      <c r="L60" s="25" t="str">
        <f t="shared" si="5"/>
        <v/>
      </c>
    </row>
    <row r="61" ht="29.25" customHeight="1">
      <c r="A61" s="64">
        <v>59.0</v>
      </c>
      <c r="B61" s="64" t="s">
        <v>287</v>
      </c>
      <c r="C61" s="25" t="str">
        <f t="shared" si="6"/>
        <v/>
      </c>
      <c r="D61" s="25" t="str">
        <f t="shared" si="1"/>
        <v/>
      </c>
      <c r="E61" s="25" t="str">
        <f t="shared" si="2"/>
        <v/>
      </c>
      <c r="F61" s="65" t="s">
        <v>221</v>
      </c>
      <c r="G61" s="66" t="str">
        <f t="shared" si="3"/>
        <v/>
      </c>
      <c r="H61" s="67" t="str">
        <f t="shared" si="4"/>
        <v/>
      </c>
      <c r="I61" s="68" t="s">
        <v>222</v>
      </c>
      <c r="J61" s="64" t="s">
        <v>288</v>
      </c>
      <c r="K61" s="64" t="s">
        <v>223</v>
      </c>
      <c r="L61" s="25" t="str">
        <f t="shared" si="5"/>
        <v/>
      </c>
    </row>
    <row r="62" ht="29.25" customHeight="1">
      <c r="A62" s="64">
        <v>60.0</v>
      </c>
      <c r="B62" s="64" t="s">
        <v>289</v>
      </c>
      <c r="C62" s="25" t="str">
        <f t="shared" si="6"/>
        <v/>
      </c>
      <c r="D62" s="25" t="str">
        <f t="shared" si="1"/>
        <v/>
      </c>
      <c r="E62" s="25" t="str">
        <f t="shared" si="2"/>
        <v/>
      </c>
      <c r="F62" s="65" t="s">
        <v>221</v>
      </c>
      <c r="G62" s="66" t="str">
        <f t="shared" si="3"/>
        <v/>
      </c>
      <c r="H62" s="67" t="str">
        <f t="shared" si="4"/>
        <v/>
      </c>
      <c r="I62" s="68" t="s">
        <v>222</v>
      </c>
      <c r="J62" s="64" t="s">
        <v>290</v>
      </c>
      <c r="K62" s="64" t="s">
        <v>223</v>
      </c>
      <c r="L62" s="25" t="str">
        <f t="shared" si="5"/>
        <v/>
      </c>
    </row>
    <row r="63" ht="29.25" customHeight="1">
      <c r="A63" s="64">
        <v>61.0</v>
      </c>
      <c r="B63" s="64" t="s">
        <v>291</v>
      </c>
      <c r="C63" s="25" t="str">
        <f t="shared" si="6"/>
        <v/>
      </c>
      <c r="D63" s="25" t="str">
        <f t="shared" si="1"/>
        <v/>
      </c>
      <c r="E63" s="25" t="str">
        <f t="shared" si="2"/>
        <v/>
      </c>
      <c r="F63" s="65" t="s">
        <v>221</v>
      </c>
      <c r="G63" s="66" t="str">
        <f t="shared" si="3"/>
        <v/>
      </c>
      <c r="H63" s="67" t="str">
        <f t="shared" si="4"/>
        <v/>
      </c>
      <c r="I63" s="68" t="s">
        <v>222</v>
      </c>
      <c r="J63" s="64" t="s">
        <v>223</v>
      </c>
      <c r="K63" s="64" t="s">
        <v>223</v>
      </c>
      <c r="L63" s="25" t="str">
        <f t="shared" si="5"/>
        <v/>
      </c>
    </row>
    <row r="64" ht="29.25" customHeight="1">
      <c r="A64" s="64">
        <v>62.0</v>
      </c>
      <c r="B64" s="64" t="s">
        <v>292</v>
      </c>
      <c r="C64" s="25" t="str">
        <f t="shared" si="6"/>
        <v/>
      </c>
      <c r="D64" s="25" t="str">
        <f t="shared" si="1"/>
        <v/>
      </c>
      <c r="E64" s="25" t="str">
        <f t="shared" si="2"/>
        <v/>
      </c>
      <c r="F64" s="65" t="s">
        <v>221</v>
      </c>
      <c r="G64" s="66" t="str">
        <f t="shared" si="3"/>
        <v/>
      </c>
      <c r="H64" s="67" t="str">
        <f t="shared" si="4"/>
        <v/>
      </c>
      <c r="I64" s="68" t="s">
        <v>222</v>
      </c>
      <c r="J64" s="64" t="s">
        <v>223</v>
      </c>
      <c r="K64" s="64" t="s">
        <v>223</v>
      </c>
      <c r="L64" s="25" t="str">
        <f t="shared" si="5"/>
        <v/>
      </c>
    </row>
    <row r="65" ht="29.25" customHeight="1">
      <c r="A65" s="64">
        <v>63.0</v>
      </c>
      <c r="B65" s="64" t="s">
        <v>293</v>
      </c>
      <c r="C65" s="25" t="str">
        <f t="shared" si="6"/>
        <v/>
      </c>
      <c r="D65" s="25" t="str">
        <f t="shared" si="1"/>
        <v/>
      </c>
      <c r="E65" s="25" t="str">
        <f t="shared" si="2"/>
        <v/>
      </c>
      <c r="F65" s="65" t="s">
        <v>221</v>
      </c>
      <c r="G65" s="66" t="str">
        <f t="shared" si="3"/>
        <v/>
      </c>
      <c r="H65" s="67" t="str">
        <f t="shared" si="4"/>
        <v/>
      </c>
      <c r="I65" s="68" t="s">
        <v>222</v>
      </c>
      <c r="J65" s="64" t="s">
        <v>223</v>
      </c>
      <c r="K65" s="64" t="s">
        <v>223</v>
      </c>
      <c r="L65" s="25" t="str">
        <f t="shared" si="5"/>
        <v/>
      </c>
    </row>
    <row r="66" ht="29.25" customHeight="1">
      <c r="A66" s="64">
        <v>64.0</v>
      </c>
      <c r="B66" s="64" t="s">
        <v>294</v>
      </c>
      <c r="C66" s="25" t="str">
        <f t="shared" si="6"/>
        <v/>
      </c>
      <c r="D66" s="25" t="str">
        <f t="shared" si="1"/>
        <v/>
      </c>
      <c r="E66" s="25" t="str">
        <f t="shared" si="2"/>
        <v/>
      </c>
      <c r="F66" s="65" t="s">
        <v>221</v>
      </c>
      <c r="G66" s="66" t="str">
        <f t="shared" si="3"/>
        <v/>
      </c>
      <c r="H66" s="67" t="str">
        <f t="shared" si="4"/>
        <v/>
      </c>
      <c r="I66" s="68" t="s">
        <v>222</v>
      </c>
      <c r="J66" s="64" t="s">
        <v>223</v>
      </c>
      <c r="K66" s="64" t="s">
        <v>223</v>
      </c>
      <c r="L66" s="25" t="str">
        <f t="shared" si="5"/>
        <v/>
      </c>
    </row>
    <row r="67" ht="29.25" customHeight="1">
      <c r="A67" s="64">
        <v>65.0</v>
      </c>
      <c r="B67" s="64" t="s">
        <v>295</v>
      </c>
      <c r="C67" s="25" t="str">
        <f t="shared" si="6"/>
        <v/>
      </c>
      <c r="D67" s="25" t="str">
        <f t="shared" si="1"/>
        <v/>
      </c>
      <c r="E67" s="25" t="str">
        <f t="shared" si="2"/>
        <v/>
      </c>
      <c r="F67" s="65" t="s">
        <v>221</v>
      </c>
      <c r="G67" s="66" t="str">
        <f t="shared" si="3"/>
        <v/>
      </c>
      <c r="H67" s="67" t="str">
        <f t="shared" si="4"/>
        <v/>
      </c>
      <c r="I67" s="68" t="s">
        <v>222</v>
      </c>
      <c r="J67" s="64" t="s">
        <v>223</v>
      </c>
      <c r="K67" s="64" t="s">
        <v>223</v>
      </c>
      <c r="L67" s="25" t="str">
        <f t="shared" si="5"/>
        <v/>
      </c>
    </row>
    <row r="68" ht="29.25" customHeight="1">
      <c r="A68" s="64">
        <v>66.0</v>
      </c>
      <c r="B68" s="64" t="s">
        <v>296</v>
      </c>
      <c r="C68" s="25" t="str">
        <f t="shared" si="6"/>
        <v/>
      </c>
      <c r="D68" s="25" t="str">
        <f t="shared" si="1"/>
        <v/>
      </c>
      <c r="E68" s="25" t="str">
        <f t="shared" si="2"/>
        <v/>
      </c>
      <c r="F68" s="65" t="s">
        <v>221</v>
      </c>
      <c r="G68" s="66" t="str">
        <f t="shared" si="3"/>
        <v/>
      </c>
      <c r="H68" s="67" t="str">
        <f t="shared" si="4"/>
        <v/>
      </c>
      <c r="I68" s="68" t="s">
        <v>222</v>
      </c>
      <c r="J68" s="64" t="s">
        <v>223</v>
      </c>
      <c r="K68" s="64" t="s">
        <v>223</v>
      </c>
      <c r="L68" s="25" t="str">
        <f t="shared" si="5"/>
        <v/>
      </c>
    </row>
    <row r="69" ht="29.25" customHeight="1">
      <c r="A69" s="64">
        <v>67.0</v>
      </c>
      <c r="B69" s="64" t="s">
        <v>297</v>
      </c>
      <c r="C69" s="25" t="str">
        <f t="shared" si="6"/>
        <v/>
      </c>
      <c r="D69" s="25" t="str">
        <f t="shared" si="1"/>
        <v/>
      </c>
      <c r="E69" s="25" t="str">
        <f t="shared" si="2"/>
        <v/>
      </c>
      <c r="F69" s="65" t="s">
        <v>221</v>
      </c>
      <c r="G69" s="66" t="str">
        <f t="shared" si="3"/>
        <v/>
      </c>
      <c r="H69" s="67" t="str">
        <f t="shared" si="4"/>
        <v/>
      </c>
      <c r="I69" s="68" t="s">
        <v>222</v>
      </c>
      <c r="J69" s="64" t="s">
        <v>223</v>
      </c>
      <c r="K69" s="64" t="s">
        <v>223</v>
      </c>
      <c r="L69" s="25" t="str">
        <f t="shared" si="5"/>
        <v/>
      </c>
    </row>
    <row r="70" ht="29.25" customHeight="1">
      <c r="A70" s="64">
        <v>68.0</v>
      </c>
      <c r="B70" s="64" t="s">
        <v>298</v>
      </c>
      <c r="C70" s="25" t="str">
        <f t="shared" si="6"/>
        <v/>
      </c>
      <c r="D70" s="25" t="str">
        <f t="shared" si="1"/>
        <v/>
      </c>
      <c r="E70" s="25" t="str">
        <f t="shared" si="2"/>
        <v/>
      </c>
      <c r="F70" s="65" t="s">
        <v>221</v>
      </c>
      <c r="G70" s="66" t="str">
        <f t="shared" si="3"/>
        <v/>
      </c>
      <c r="H70" s="67" t="str">
        <f t="shared" si="4"/>
        <v/>
      </c>
      <c r="I70" s="68" t="s">
        <v>222</v>
      </c>
      <c r="J70" s="64" t="s">
        <v>223</v>
      </c>
      <c r="K70" s="64" t="s">
        <v>223</v>
      </c>
      <c r="L70" s="25" t="str">
        <f t="shared" si="5"/>
        <v/>
      </c>
    </row>
    <row r="71" ht="29.25" customHeight="1">
      <c r="A71" s="64">
        <v>69.0</v>
      </c>
      <c r="B71" s="64" t="s">
        <v>299</v>
      </c>
      <c r="C71" s="25" t="str">
        <f t="shared" si="6"/>
        <v/>
      </c>
      <c r="D71" s="25" t="str">
        <f t="shared" si="1"/>
        <v/>
      </c>
      <c r="E71" s="25" t="str">
        <f t="shared" si="2"/>
        <v/>
      </c>
      <c r="F71" s="65" t="s">
        <v>221</v>
      </c>
      <c r="G71" s="66" t="str">
        <f t="shared" si="3"/>
        <v/>
      </c>
      <c r="H71" s="67" t="str">
        <f t="shared" si="4"/>
        <v/>
      </c>
      <c r="I71" s="68" t="s">
        <v>222</v>
      </c>
      <c r="J71" s="64" t="s">
        <v>269</v>
      </c>
      <c r="K71" s="64" t="s">
        <v>223</v>
      </c>
      <c r="L71" s="25" t="str">
        <f t="shared" si="5"/>
        <v/>
      </c>
    </row>
    <row r="72" ht="29.25" customHeight="1">
      <c r="A72" s="64">
        <v>70.0</v>
      </c>
      <c r="B72" s="64" t="s">
        <v>300</v>
      </c>
      <c r="C72" s="25" t="str">
        <f t="shared" si="6"/>
        <v/>
      </c>
      <c r="D72" s="25" t="str">
        <f t="shared" si="1"/>
        <v/>
      </c>
      <c r="E72" s="25" t="str">
        <f t="shared" si="2"/>
        <v/>
      </c>
      <c r="F72" s="65" t="s">
        <v>221</v>
      </c>
      <c r="G72" s="66" t="str">
        <f t="shared" si="3"/>
        <v/>
      </c>
      <c r="H72" s="67" t="str">
        <f t="shared" si="4"/>
        <v/>
      </c>
      <c r="I72" s="68" t="s">
        <v>222</v>
      </c>
      <c r="J72" s="64" t="s">
        <v>223</v>
      </c>
      <c r="K72" s="64" t="s">
        <v>223</v>
      </c>
      <c r="L72" s="25" t="str">
        <f t="shared" si="5"/>
        <v/>
      </c>
    </row>
    <row r="73" ht="29.25" customHeight="1">
      <c r="A73" s="64">
        <v>71.0</v>
      </c>
      <c r="B73" s="64" t="s">
        <v>301</v>
      </c>
      <c r="C73" s="25" t="str">
        <f t="shared" si="6"/>
        <v/>
      </c>
      <c r="D73" s="25" t="str">
        <f t="shared" si="1"/>
        <v/>
      </c>
      <c r="E73" s="25" t="str">
        <f t="shared" si="2"/>
        <v/>
      </c>
      <c r="F73" s="65" t="s">
        <v>221</v>
      </c>
      <c r="G73" s="66" t="str">
        <f t="shared" si="3"/>
        <v/>
      </c>
      <c r="H73" s="67" t="str">
        <f t="shared" si="4"/>
        <v/>
      </c>
      <c r="I73" s="68" t="s">
        <v>222</v>
      </c>
      <c r="J73" s="64" t="s">
        <v>223</v>
      </c>
      <c r="K73" s="64" t="s">
        <v>223</v>
      </c>
      <c r="L73" s="25" t="str">
        <f t="shared" si="5"/>
        <v/>
      </c>
    </row>
    <row r="74" ht="29.25" customHeight="1">
      <c r="A74" s="64">
        <v>72.0</v>
      </c>
      <c r="B74" s="64" t="s">
        <v>302</v>
      </c>
      <c r="C74" s="25" t="str">
        <f t="shared" si="6"/>
        <v/>
      </c>
      <c r="D74" s="25" t="str">
        <f t="shared" si="1"/>
        <v/>
      </c>
      <c r="E74" s="25" t="str">
        <f t="shared" si="2"/>
        <v/>
      </c>
      <c r="F74" s="65" t="s">
        <v>221</v>
      </c>
      <c r="G74" s="66" t="str">
        <f t="shared" si="3"/>
        <v/>
      </c>
      <c r="H74" s="67" t="str">
        <f t="shared" si="4"/>
        <v/>
      </c>
      <c r="I74" s="68" t="s">
        <v>222</v>
      </c>
      <c r="J74" s="64" t="s">
        <v>223</v>
      </c>
      <c r="K74" s="64" t="s">
        <v>223</v>
      </c>
      <c r="L74" s="25" t="str">
        <f t="shared" si="5"/>
        <v/>
      </c>
    </row>
    <row r="75" ht="29.25" customHeight="1">
      <c r="A75" s="64">
        <v>73.0</v>
      </c>
      <c r="B75" s="64" t="s">
        <v>303</v>
      </c>
      <c r="C75" s="25" t="str">
        <f t="shared" si="6"/>
        <v/>
      </c>
      <c r="D75" s="25" t="str">
        <f t="shared" si="1"/>
        <v/>
      </c>
      <c r="E75" s="25" t="str">
        <f t="shared" si="2"/>
        <v/>
      </c>
      <c r="F75" s="65" t="s">
        <v>221</v>
      </c>
      <c r="G75" s="66" t="str">
        <f t="shared" si="3"/>
        <v/>
      </c>
      <c r="H75" s="67" t="str">
        <f t="shared" si="4"/>
        <v/>
      </c>
      <c r="I75" s="68" t="s">
        <v>222</v>
      </c>
      <c r="J75" s="64" t="s">
        <v>304</v>
      </c>
      <c r="K75" s="64" t="s">
        <v>223</v>
      </c>
      <c r="L75" s="25" t="str">
        <f t="shared" si="5"/>
        <v/>
      </c>
    </row>
    <row r="76" ht="29.25" customHeight="1">
      <c r="A76" s="64">
        <v>74.0</v>
      </c>
      <c r="B76" s="64" t="s">
        <v>305</v>
      </c>
      <c r="C76" s="25" t="str">
        <f t="shared" si="6"/>
        <v/>
      </c>
      <c r="D76" s="25" t="str">
        <f t="shared" si="1"/>
        <v/>
      </c>
      <c r="E76" s="25" t="str">
        <f t="shared" si="2"/>
        <v/>
      </c>
      <c r="F76" s="65" t="s">
        <v>221</v>
      </c>
      <c r="G76" s="66" t="str">
        <f t="shared" si="3"/>
        <v/>
      </c>
      <c r="H76" s="67" t="str">
        <f t="shared" si="4"/>
        <v/>
      </c>
      <c r="I76" s="68" t="s">
        <v>222</v>
      </c>
      <c r="J76" s="64" t="s">
        <v>223</v>
      </c>
      <c r="K76" s="64" t="s">
        <v>223</v>
      </c>
      <c r="L76" s="25" t="str">
        <f t="shared" si="5"/>
        <v/>
      </c>
    </row>
    <row r="77" ht="29.25" customHeight="1">
      <c r="A77" s="64">
        <v>75.0</v>
      </c>
      <c r="B77" s="64" t="s">
        <v>306</v>
      </c>
      <c r="C77" s="25" t="str">
        <f t="shared" si="6"/>
        <v/>
      </c>
      <c r="D77" s="25" t="str">
        <f t="shared" si="1"/>
        <v/>
      </c>
      <c r="E77" s="25" t="str">
        <f t="shared" si="2"/>
        <v/>
      </c>
      <c r="F77" s="65" t="s">
        <v>221</v>
      </c>
      <c r="G77" s="66" t="str">
        <f t="shared" si="3"/>
        <v/>
      </c>
      <c r="H77" s="67" t="str">
        <f t="shared" si="4"/>
        <v/>
      </c>
      <c r="I77" s="68" t="s">
        <v>222</v>
      </c>
      <c r="J77" s="64" t="s">
        <v>223</v>
      </c>
      <c r="K77" s="64" t="s">
        <v>223</v>
      </c>
      <c r="L77" s="25" t="str">
        <f t="shared" si="5"/>
        <v/>
      </c>
    </row>
    <row r="78" ht="29.25" customHeight="1">
      <c r="A78" s="64">
        <v>76.0</v>
      </c>
      <c r="B78" s="64" t="s">
        <v>307</v>
      </c>
      <c r="C78" s="25" t="str">
        <f t="shared" si="6"/>
        <v/>
      </c>
      <c r="D78" s="25" t="str">
        <f t="shared" si="1"/>
        <v/>
      </c>
      <c r="E78" s="25" t="str">
        <f t="shared" si="2"/>
        <v/>
      </c>
      <c r="F78" s="65" t="s">
        <v>221</v>
      </c>
      <c r="G78" s="66" t="str">
        <f t="shared" si="3"/>
        <v/>
      </c>
      <c r="H78" s="67" t="str">
        <f t="shared" si="4"/>
        <v/>
      </c>
      <c r="I78" s="68" t="s">
        <v>222</v>
      </c>
      <c r="J78" s="64" t="s">
        <v>223</v>
      </c>
      <c r="K78" s="64" t="s">
        <v>223</v>
      </c>
      <c r="L78" s="25" t="str">
        <f t="shared" si="5"/>
        <v/>
      </c>
    </row>
    <row r="79" ht="29.25" customHeight="1">
      <c r="A79" s="64">
        <v>77.0</v>
      </c>
      <c r="B79" s="64" t="s">
        <v>308</v>
      </c>
      <c r="C79" s="25" t="str">
        <f t="shared" si="6"/>
        <v/>
      </c>
      <c r="D79" s="25" t="str">
        <f t="shared" si="1"/>
        <v/>
      </c>
      <c r="E79" s="25" t="str">
        <f t="shared" si="2"/>
        <v/>
      </c>
      <c r="F79" s="65" t="s">
        <v>221</v>
      </c>
      <c r="G79" s="66" t="str">
        <f t="shared" si="3"/>
        <v/>
      </c>
      <c r="H79" s="67" t="str">
        <f t="shared" si="4"/>
        <v/>
      </c>
      <c r="I79" s="68" t="s">
        <v>222</v>
      </c>
      <c r="J79" s="64" t="s">
        <v>269</v>
      </c>
      <c r="K79" s="64" t="s">
        <v>223</v>
      </c>
      <c r="L79" s="25" t="str">
        <f t="shared" si="5"/>
        <v/>
      </c>
    </row>
    <row r="80" ht="29.25" customHeight="1">
      <c r="A80" s="64">
        <v>78.0</v>
      </c>
      <c r="B80" s="64" t="s">
        <v>309</v>
      </c>
      <c r="C80" s="25" t="str">
        <f t="shared" si="6"/>
        <v/>
      </c>
      <c r="D80" s="25" t="str">
        <f t="shared" si="1"/>
        <v/>
      </c>
      <c r="E80" s="25" t="str">
        <f t="shared" si="2"/>
        <v/>
      </c>
      <c r="F80" s="65" t="s">
        <v>221</v>
      </c>
      <c r="G80" s="66" t="str">
        <f t="shared" si="3"/>
        <v/>
      </c>
      <c r="H80" s="67" t="str">
        <f t="shared" si="4"/>
        <v/>
      </c>
      <c r="I80" s="68" t="s">
        <v>222</v>
      </c>
      <c r="J80" s="64" t="s">
        <v>223</v>
      </c>
      <c r="K80" s="64" t="s">
        <v>223</v>
      </c>
      <c r="L80" s="25" t="str">
        <f t="shared" si="5"/>
        <v/>
      </c>
    </row>
    <row r="81" ht="29.25" customHeight="1">
      <c r="A81" s="64">
        <v>79.0</v>
      </c>
      <c r="B81" s="64" t="s">
        <v>310</v>
      </c>
      <c r="C81" s="25" t="str">
        <f t="shared" si="6"/>
        <v/>
      </c>
      <c r="D81" s="25" t="str">
        <f t="shared" si="1"/>
        <v/>
      </c>
      <c r="E81" s="25" t="str">
        <f t="shared" si="2"/>
        <v/>
      </c>
      <c r="F81" s="65" t="s">
        <v>221</v>
      </c>
      <c r="G81" s="66" t="str">
        <f t="shared" si="3"/>
        <v/>
      </c>
      <c r="H81" s="67" t="str">
        <f t="shared" si="4"/>
        <v/>
      </c>
      <c r="I81" s="68" t="s">
        <v>222</v>
      </c>
      <c r="J81" s="64" t="s">
        <v>223</v>
      </c>
      <c r="K81" s="64" t="s">
        <v>223</v>
      </c>
      <c r="L81" s="25" t="str">
        <f t="shared" si="5"/>
        <v/>
      </c>
    </row>
    <row r="82" ht="29.25" customHeight="1">
      <c r="A82" s="64">
        <v>80.0</v>
      </c>
      <c r="B82" s="64" t="s">
        <v>311</v>
      </c>
      <c r="C82" s="25" t="str">
        <f t="shared" si="6"/>
        <v/>
      </c>
      <c r="D82" s="25" t="str">
        <f t="shared" si="1"/>
        <v/>
      </c>
      <c r="E82" s="25" t="str">
        <f t="shared" si="2"/>
        <v/>
      </c>
      <c r="F82" s="65" t="s">
        <v>221</v>
      </c>
      <c r="G82" s="66" t="str">
        <f t="shared" si="3"/>
        <v/>
      </c>
      <c r="H82" s="67" t="str">
        <f t="shared" si="4"/>
        <v/>
      </c>
      <c r="I82" s="68" t="s">
        <v>222</v>
      </c>
      <c r="J82" s="64" t="s">
        <v>223</v>
      </c>
      <c r="K82" s="64" t="s">
        <v>223</v>
      </c>
      <c r="L82" s="25" t="str">
        <f t="shared" si="5"/>
        <v/>
      </c>
    </row>
    <row r="83" ht="29.25" customHeight="1">
      <c r="A83" s="64">
        <v>81.0</v>
      </c>
      <c r="B83" s="64" t="s">
        <v>312</v>
      </c>
      <c r="C83" s="25" t="str">
        <f t="shared" si="6"/>
        <v/>
      </c>
      <c r="D83" s="25" t="str">
        <f t="shared" si="1"/>
        <v/>
      </c>
      <c r="E83" s="25" t="str">
        <f t="shared" si="2"/>
        <v/>
      </c>
      <c r="F83" s="65" t="s">
        <v>221</v>
      </c>
      <c r="G83" s="66" t="str">
        <f t="shared" si="3"/>
        <v/>
      </c>
      <c r="H83" s="67" t="str">
        <f t="shared" si="4"/>
        <v/>
      </c>
      <c r="I83" s="68" t="s">
        <v>222</v>
      </c>
      <c r="J83" s="64" t="s">
        <v>223</v>
      </c>
      <c r="K83" s="64" t="s">
        <v>223</v>
      </c>
      <c r="L83" s="25" t="str">
        <f t="shared" si="5"/>
        <v/>
      </c>
    </row>
    <row r="84" ht="29.25" customHeight="1">
      <c r="A84" s="64">
        <v>82.0</v>
      </c>
      <c r="B84" s="64" t="s">
        <v>313</v>
      </c>
      <c r="C84" s="25" t="str">
        <f t="shared" si="6"/>
        <v/>
      </c>
      <c r="D84" s="25" t="str">
        <f t="shared" si="1"/>
        <v/>
      </c>
      <c r="E84" s="25" t="str">
        <f t="shared" si="2"/>
        <v/>
      </c>
      <c r="F84" s="65" t="s">
        <v>221</v>
      </c>
      <c r="G84" s="66" t="str">
        <f t="shared" si="3"/>
        <v/>
      </c>
      <c r="H84" s="67" t="str">
        <f t="shared" si="4"/>
        <v/>
      </c>
      <c r="I84" s="68" t="s">
        <v>222</v>
      </c>
      <c r="J84" s="64" t="s">
        <v>223</v>
      </c>
      <c r="K84" s="64" t="s">
        <v>223</v>
      </c>
      <c r="L84" s="25" t="str">
        <f t="shared" si="5"/>
        <v/>
      </c>
    </row>
    <row r="85" ht="29.25" customHeight="1">
      <c r="A85" s="64">
        <v>83.0</v>
      </c>
      <c r="B85" s="64" t="s">
        <v>314</v>
      </c>
      <c r="C85" s="25" t="str">
        <f t="shared" si="6"/>
        <v/>
      </c>
      <c r="D85" s="25" t="str">
        <f t="shared" si="1"/>
        <v/>
      </c>
      <c r="E85" s="25" t="str">
        <f t="shared" si="2"/>
        <v/>
      </c>
      <c r="F85" s="65" t="s">
        <v>221</v>
      </c>
      <c r="G85" s="66" t="str">
        <f t="shared" si="3"/>
        <v/>
      </c>
      <c r="H85" s="67" t="str">
        <f t="shared" si="4"/>
        <v/>
      </c>
      <c r="I85" s="68" t="s">
        <v>222</v>
      </c>
      <c r="J85" s="64" t="s">
        <v>223</v>
      </c>
      <c r="K85" s="64" t="s">
        <v>223</v>
      </c>
      <c r="L85" s="25" t="str">
        <f t="shared" si="5"/>
        <v/>
      </c>
    </row>
    <row r="86" ht="29.25" customHeight="1">
      <c r="A86" s="64">
        <v>84.0</v>
      </c>
      <c r="B86" s="64" t="s">
        <v>315</v>
      </c>
      <c r="C86" s="25" t="str">
        <f t="shared" si="6"/>
        <v/>
      </c>
      <c r="D86" s="25" t="str">
        <f t="shared" si="1"/>
        <v/>
      </c>
      <c r="E86" s="25" t="str">
        <f t="shared" si="2"/>
        <v/>
      </c>
      <c r="F86" s="65" t="s">
        <v>221</v>
      </c>
      <c r="G86" s="66" t="str">
        <f t="shared" si="3"/>
        <v/>
      </c>
      <c r="H86" s="67" t="str">
        <f t="shared" si="4"/>
        <v/>
      </c>
      <c r="I86" s="68" t="s">
        <v>222</v>
      </c>
      <c r="J86" s="64" t="s">
        <v>223</v>
      </c>
      <c r="K86" s="64" t="s">
        <v>223</v>
      </c>
      <c r="L86" s="25" t="str">
        <f t="shared" si="5"/>
        <v/>
      </c>
    </row>
    <row r="87" ht="29.25" customHeight="1">
      <c r="A87" s="64">
        <v>85.0</v>
      </c>
      <c r="B87" s="64" t="s">
        <v>316</v>
      </c>
      <c r="C87" s="25" t="str">
        <f t="shared" si="6"/>
        <v/>
      </c>
      <c r="D87" s="25" t="str">
        <f t="shared" si="1"/>
        <v/>
      </c>
      <c r="E87" s="25" t="str">
        <f t="shared" si="2"/>
        <v/>
      </c>
      <c r="F87" s="65" t="s">
        <v>221</v>
      </c>
      <c r="G87" s="66" t="str">
        <f t="shared" si="3"/>
        <v/>
      </c>
      <c r="H87" s="67" t="str">
        <f t="shared" si="4"/>
        <v/>
      </c>
      <c r="I87" s="68" t="s">
        <v>222</v>
      </c>
      <c r="J87" s="64" t="s">
        <v>223</v>
      </c>
      <c r="K87" s="64" t="s">
        <v>223</v>
      </c>
      <c r="L87" s="25" t="str">
        <f t="shared" si="5"/>
        <v/>
      </c>
    </row>
    <row r="88" ht="29.25" customHeight="1">
      <c r="A88" s="64">
        <v>86.0</v>
      </c>
      <c r="B88" s="64" t="s">
        <v>317</v>
      </c>
      <c r="C88" s="25" t="str">
        <f t="shared" si="6"/>
        <v/>
      </c>
      <c r="D88" s="25" t="str">
        <f t="shared" si="1"/>
        <v/>
      </c>
      <c r="E88" s="25" t="str">
        <f t="shared" si="2"/>
        <v/>
      </c>
      <c r="F88" s="65" t="s">
        <v>221</v>
      </c>
      <c r="G88" s="66" t="str">
        <f t="shared" si="3"/>
        <v/>
      </c>
      <c r="H88" s="67" t="str">
        <f t="shared" si="4"/>
        <v/>
      </c>
      <c r="I88" s="68" t="s">
        <v>222</v>
      </c>
      <c r="J88" s="64" t="s">
        <v>223</v>
      </c>
      <c r="K88" s="64" t="s">
        <v>223</v>
      </c>
      <c r="L88" s="25" t="str">
        <f t="shared" si="5"/>
        <v/>
      </c>
    </row>
    <row r="89" ht="29.25" customHeight="1">
      <c r="A89" s="64">
        <v>87.0</v>
      </c>
      <c r="B89" s="64" t="s">
        <v>318</v>
      </c>
      <c r="C89" s="25" t="str">
        <f t="shared" si="6"/>
        <v/>
      </c>
      <c r="D89" s="25" t="str">
        <f t="shared" si="1"/>
        <v/>
      </c>
      <c r="E89" s="25" t="str">
        <f t="shared" si="2"/>
        <v/>
      </c>
      <c r="F89" s="65" t="s">
        <v>221</v>
      </c>
      <c r="G89" s="66" t="str">
        <f t="shared" si="3"/>
        <v/>
      </c>
      <c r="H89" s="67" t="str">
        <f t="shared" si="4"/>
        <v/>
      </c>
      <c r="I89" s="68" t="s">
        <v>222</v>
      </c>
      <c r="J89" s="64" t="s">
        <v>223</v>
      </c>
      <c r="K89" s="64" t="s">
        <v>223</v>
      </c>
      <c r="L89" s="25" t="str">
        <f t="shared" si="5"/>
        <v/>
      </c>
    </row>
    <row r="90" ht="29.25" customHeight="1">
      <c r="A90" s="64">
        <v>88.0</v>
      </c>
      <c r="B90" s="64" t="s">
        <v>319</v>
      </c>
      <c r="C90" s="25" t="str">
        <f t="shared" si="6"/>
        <v/>
      </c>
      <c r="D90" s="25" t="str">
        <f t="shared" si="1"/>
        <v/>
      </c>
      <c r="E90" s="25" t="str">
        <f t="shared" si="2"/>
        <v/>
      </c>
      <c r="F90" s="65" t="s">
        <v>221</v>
      </c>
      <c r="G90" s="66" t="str">
        <f t="shared" si="3"/>
        <v/>
      </c>
      <c r="H90" s="67" t="str">
        <f t="shared" si="4"/>
        <v/>
      </c>
      <c r="I90" s="68" t="s">
        <v>222</v>
      </c>
      <c r="J90" s="64" t="s">
        <v>223</v>
      </c>
      <c r="K90" s="64" t="s">
        <v>223</v>
      </c>
      <c r="L90" s="25" t="str">
        <f t="shared" si="5"/>
        <v/>
      </c>
    </row>
    <row r="91" ht="29.25" customHeight="1">
      <c r="A91" s="64">
        <v>89.0</v>
      </c>
      <c r="B91" s="64" t="s">
        <v>320</v>
      </c>
      <c r="C91" s="25" t="str">
        <f t="shared" si="6"/>
        <v/>
      </c>
      <c r="D91" s="25" t="str">
        <f t="shared" si="1"/>
        <v/>
      </c>
      <c r="E91" s="25" t="str">
        <f t="shared" si="2"/>
        <v/>
      </c>
      <c r="F91" s="65" t="s">
        <v>221</v>
      </c>
      <c r="G91" s="66" t="str">
        <f t="shared" si="3"/>
        <v/>
      </c>
      <c r="H91" s="67" t="str">
        <f t="shared" si="4"/>
        <v/>
      </c>
      <c r="I91" s="68" t="s">
        <v>222</v>
      </c>
      <c r="J91" s="64" t="s">
        <v>223</v>
      </c>
      <c r="K91" s="64" t="s">
        <v>223</v>
      </c>
      <c r="L91" s="25" t="str">
        <f t="shared" si="5"/>
        <v/>
      </c>
    </row>
    <row r="92" ht="29.25" customHeight="1">
      <c r="A92" s="64">
        <v>90.0</v>
      </c>
      <c r="B92" s="64" t="s">
        <v>321</v>
      </c>
      <c r="C92" s="25" t="str">
        <f t="shared" si="6"/>
        <v/>
      </c>
      <c r="D92" s="25" t="str">
        <f t="shared" si="1"/>
        <v/>
      </c>
      <c r="E92" s="25" t="str">
        <f t="shared" si="2"/>
        <v/>
      </c>
      <c r="F92" s="65" t="s">
        <v>221</v>
      </c>
      <c r="G92" s="66" t="str">
        <f t="shared" si="3"/>
        <v/>
      </c>
      <c r="H92" s="67" t="str">
        <f t="shared" si="4"/>
        <v/>
      </c>
      <c r="I92" s="68" t="s">
        <v>222</v>
      </c>
      <c r="J92" s="64" t="s">
        <v>223</v>
      </c>
      <c r="K92" s="64" t="s">
        <v>223</v>
      </c>
      <c r="L92" s="25" t="str">
        <f t="shared" si="5"/>
        <v/>
      </c>
    </row>
    <row r="93" ht="29.25" customHeight="1">
      <c r="A93" s="64">
        <v>91.0</v>
      </c>
      <c r="B93" s="64" t="s">
        <v>322</v>
      </c>
      <c r="C93" s="25" t="str">
        <f t="shared" si="6"/>
        <v/>
      </c>
      <c r="D93" s="25" t="str">
        <f t="shared" si="1"/>
        <v/>
      </c>
      <c r="E93" s="25" t="str">
        <f t="shared" si="2"/>
        <v/>
      </c>
      <c r="F93" s="65" t="s">
        <v>221</v>
      </c>
      <c r="G93" s="66" t="str">
        <f t="shared" si="3"/>
        <v/>
      </c>
      <c r="H93" s="67" t="str">
        <f t="shared" si="4"/>
        <v/>
      </c>
      <c r="I93" s="68" t="s">
        <v>222</v>
      </c>
      <c r="J93" s="64" t="s">
        <v>223</v>
      </c>
      <c r="K93" s="64" t="s">
        <v>223</v>
      </c>
      <c r="L93" s="25" t="str">
        <f t="shared" si="5"/>
        <v/>
      </c>
    </row>
    <row r="94" ht="29.25" customHeight="1">
      <c r="A94" s="64">
        <v>92.0</v>
      </c>
      <c r="B94" s="64" t="s">
        <v>323</v>
      </c>
      <c r="C94" s="25" t="str">
        <f t="shared" si="6"/>
        <v/>
      </c>
      <c r="D94" s="25" t="str">
        <f t="shared" si="1"/>
        <v/>
      </c>
      <c r="E94" s="25" t="str">
        <f t="shared" si="2"/>
        <v/>
      </c>
      <c r="F94" s="65" t="s">
        <v>221</v>
      </c>
      <c r="G94" s="66" t="str">
        <f t="shared" si="3"/>
        <v/>
      </c>
      <c r="H94" s="67" t="str">
        <f t="shared" si="4"/>
        <v/>
      </c>
      <c r="I94" s="68" t="s">
        <v>222</v>
      </c>
      <c r="J94" s="64" t="s">
        <v>223</v>
      </c>
      <c r="K94" s="64" t="s">
        <v>223</v>
      </c>
      <c r="L94" s="25" t="str">
        <f t="shared" si="5"/>
        <v/>
      </c>
    </row>
    <row r="95" ht="29.25" customHeight="1">
      <c r="A95" s="64">
        <v>93.0</v>
      </c>
      <c r="B95" s="64" t="s">
        <v>324</v>
      </c>
      <c r="C95" s="25"/>
      <c r="D95" s="25"/>
      <c r="E95" s="25"/>
      <c r="F95" s="65"/>
      <c r="G95" s="66"/>
      <c r="H95" s="67"/>
      <c r="I95" s="68"/>
      <c r="J95" s="64"/>
      <c r="K95" s="64"/>
      <c r="L95" s="25"/>
    </row>
    <row r="96" ht="29.25" customHeight="1">
      <c r="A96" s="64">
        <v>94.0</v>
      </c>
      <c r="B96" s="64" t="s">
        <v>325</v>
      </c>
      <c r="C96" s="25"/>
      <c r="D96" s="25"/>
      <c r="E96" s="25"/>
      <c r="F96" s="65"/>
      <c r="G96" s="66"/>
      <c r="H96" s="67"/>
      <c r="I96" s="68"/>
      <c r="J96" s="64"/>
      <c r="K96" s="64"/>
      <c r="L96" s="25"/>
    </row>
    <row r="97" ht="29.25" customHeight="1">
      <c r="A97" s="64">
        <v>95.0</v>
      </c>
      <c r="B97" s="64" t="s">
        <v>326</v>
      </c>
      <c r="C97" s="64"/>
      <c r="D97" s="25"/>
      <c r="E97" s="25"/>
      <c r="F97" s="65"/>
      <c r="G97" s="66"/>
      <c r="H97" s="67"/>
      <c r="I97" s="68"/>
      <c r="J97" s="64"/>
      <c r="K97" s="64"/>
      <c r="L97" s="25"/>
    </row>
    <row r="98" ht="29.25" customHeight="1">
      <c r="A98" s="64">
        <v>96.0</v>
      </c>
      <c r="B98" s="64" t="s">
        <v>327</v>
      </c>
      <c r="C98" s="25"/>
      <c r="D98" s="25"/>
      <c r="E98" s="25"/>
      <c r="F98" s="65"/>
      <c r="G98" s="66"/>
      <c r="H98" s="67"/>
      <c r="I98" s="68"/>
      <c r="J98" s="64"/>
      <c r="K98" s="64"/>
      <c r="L98" s="25"/>
    </row>
    <row r="99" ht="29.25" customHeight="1">
      <c r="A99" s="64">
        <v>97.0</v>
      </c>
      <c r="B99" s="64" t="s">
        <v>328</v>
      </c>
      <c r="C99" s="25"/>
      <c r="D99" s="25"/>
      <c r="E99" s="25"/>
      <c r="F99" s="65"/>
      <c r="G99" s="66"/>
      <c r="H99" s="67"/>
      <c r="I99" s="68"/>
      <c r="J99" s="64"/>
      <c r="K99" s="64"/>
      <c r="L99" s="25"/>
    </row>
    <row r="100" ht="29.25" customHeight="1">
      <c r="A100" s="64">
        <v>98.0</v>
      </c>
      <c r="B100" s="64" t="s">
        <v>329</v>
      </c>
      <c r="C100" s="25"/>
      <c r="D100" s="25"/>
      <c r="E100" s="25"/>
      <c r="F100" s="65"/>
      <c r="G100" s="66"/>
      <c r="H100" s="67"/>
      <c r="I100" s="68"/>
      <c r="J100" s="64"/>
      <c r="K100" s="64"/>
      <c r="L100" s="25"/>
    </row>
    <row r="101" ht="29.25" customHeight="1">
      <c r="A101" s="64">
        <v>99.0</v>
      </c>
      <c r="B101" s="64" t="s">
        <v>330</v>
      </c>
      <c r="C101" s="25"/>
      <c r="D101" s="25"/>
      <c r="E101" s="25"/>
      <c r="F101" s="65"/>
      <c r="G101" s="66"/>
      <c r="H101" s="67"/>
      <c r="I101" s="68"/>
      <c r="J101" s="64"/>
      <c r="K101" s="64"/>
      <c r="L101" s="25"/>
    </row>
    <row r="102" ht="29.25" customHeight="1">
      <c r="A102" s="64">
        <v>100.0</v>
      </c>
      <c r="B102" s="64"/>
      <c r="C102" s="25"/>
      <c r="D102" s="25"/>
      <c r="E102" s="25"/>
      <c r="F102" s="65"/>
      <c r="G102" s="66"/>
      <c r="H102" s="67"/>
      <c r="I102" s="68"/>
      <c r="J102" s="64"/>
      <c r="K102" s="64"/>
      <c r="L102" s="25"/>
    </row>
    <row r="103" ht="29.25" customHeight="1">
      <c r="A103" s="64">
        <v>101.0</v>
      </c>
      <c r="B103" s="64"/>
      <c r="C103" s="25"/>
      <c r="D103" s="25"/>
      <c r="E103" s="25"/>
      <c r="F103" s="65"/>
      <c r="G103" s="66"/>
      <c r="H103" s="67"/>
      <c r="I103" s="68"/>
      <c r="J103" s="64"/>
      <c r="K103" s="64"/>
      <c r="L103" s="25"/>
    </row>
    <row r="104" ht="29.25" customHeight="1">
      <c r="A104" s="64">
        <v>102.0</v>
      </c>
      <c r="B104" s="64"/>
      <c r="C104" s="25"/>
      <c r="D104" s="25"/>
      <c r="E104" s="25"/>
      <c r="F104" s="65"/>
      <c r="G104" s="66"/>
      <c r="H104" s="67"/>
      <c r="I104" s="68"/>
      <c r="J104" s="64"/>
      <c r="K104" s="64"/>
      <c r="L104" s="25"/>
    </row>
    <row r="105" ht="29.25" customHeight="1">
      <c r="A105" s="64">
        <v>103.0</v>
      </c>
      <c r="B105" s="64"/>
      <c r="C105" s="25"/>
      <c r="D105" s="25"/>
      <c r="E105" s="25"/>
      <c r="F105" s="65"/>
      <c r="G105" s="66"/>
      <c r="H105" s="67"/>
      <c r="I105" s="68"/>
      <c r="J105" s="64"/>
      <c r="K105" s="64"/>
      <c r="L105" s="25"/>
    </row>
    <row r="106" ht="29.25" customHeight="1">
      <c r="A106" s="64">
        <v>92.0</v>
      </c>
      <c r="B106" s="64"/>
      <c r="C106" s="25"/>
      <c r="D106" s="25"/>
      <c r="E106" s="25"/>
      <c r="F106" s="65"/>
      <c r="G106" s="66"/>
      <c r="H106" s="67"/>
      <c r="I106" s="68"/>
      <c r="J106" s="64"/>
      <c r="K106" s="64"/>
      <c r="L106" s="25"/>
    </row>
    <row r="107" ht="29.25" customHeight="1">
      <c r="A107" s="64">
        <v>93.0</v>
      </c>
      <c r="B107" s="64"/>
      <c r="C107" s="25"/>
      <c r="D107" s="25"/>
      <c r="E107" s="25"/>
      <c r="F107" s="65"/>
      <c r="G107" s="66"/>
      <c r="H107" s="67"/>
      <c r="I107" s="68"/>
      <c r="J107" s="64"/>
      <c r="K107" s="64"/>
      <c r="L107" s="25"/>
    </row>
    <row r="108" ht="29.25" customHeight="1">
      <c r="A108" s="64">
        <v>94.0</v>
      </c>
      <c r="B108" s="64"/>
      <c r="C108" s="25"/>
      <c r="D108" s="25"/>
      <c r="E108" s="25"/>
      <c r="F108" s="65"/>
      <c r="G108" s="66"/>
      <c r="H108" s="67"/>
      <c r="I108" s="68"/>
      <c r="J108" s="64"/>
      <c r="K108" s="64"/>
      <c r="L108" s="25"/>
    </row>
    <row r="109" ht="29.25" customHeight="1">
      <c r="A109" s="64">
        <v>95.0</v>
      </c>
      <c r="B109" s="64"/>
      <c r="C109" s="25"/>
      <c r="D109" s="25"/>
      <c r="E109" s="25"/>
      <c r="F109" s="65"/>
      <c r="G109" s="66"/>
      <c r="H109" s="67"/>
      <c r="I109" s="68"/>
      <c r="J109" s="64"/>
      <c r="K109" s="64"/>
      <c r="L109" s="25"/>
    </row>
    <row r="110" ht="29.25" customHeight="1">
      <c r="A110" s="64">
        <v>96.0</v>
      </c>
      <c r="B110" s="64"/>
      <c r="C110" s="25"/>
      <c r="D110" s="25"/>
      <c r="E110" s="25"/>
      <c r="F110" s="65"/>
      <c r="G110" s="66"/>
      <c r="H110" s="67"/>
      <c r="I110" s="68"/>
      <c r="J110" s="64"/>
      <c r="K110" s="64"/>
      <c r="L110" s="25"/>
    </row>
    <row r="111" ht="29.25" customHeight="1">
      <c r="A111" s="64">
        <v>97.0</v>
      </c>
      <c r="B111" s="64"/>
      <c r="C111" s="25"/>
      <c r="D111" s="25"/>
      <c r="E111" s="25"/>
      <c r="F111" s="65"/>
      <c r="G111" s="66"/>
      <c r="H111" s="67"/>
      <c r="I111" s="68"/>
      <c r="J111" s="64"/>
      <c r="K111" s="64"/>
      <c r="L111" s="25"/>
    </row>
    <row r="112" ht="29.25" customHeight="1">
      <c r="A112" s="64">
        <v>98.0</v>
      </c>
      <c r="B112" s="64"/>
      <c r="C112" s="25"/>
      <c r="D112" s="25"/>
      <c r="E112" s="25"/>
      <c r="F112" s="65"/>
      <c r="G112" s="66"/>
      <c r="H112" s="67"/>
      <c r="I112" s="68"/>
      <c r="J112" s="64"/>
      <c r="K112" s="64"/>
      <c r="L112" s="25"/>
    </row>
    <row r="113" ht="29.25" customHeight="1">
      <c r="A113" s="64">
        <v>111.0</v>
      </c>
      <c r="B113" s="64"/>
      <c r="C113" s="25"/>
      <c r="D113" s="25"/>
      <c r="E113" s="25"/>
      <c r="F113" s="65"/>
      <c r="G113" s="66"/>
      <c r="H113" s="67"/>
      <c r="I113" s="68"/>
      <c r="J113" s="64"/>
      <c r="K113" s="64"/>
      <c r="L113" s="25"/>
    </row>
    <row r="114" ht="29.25" customHeight="1">
      <c r="A114" s="64">
        <v>112.0</v>
      </c>
      <c r="B114" s="64"/>
      <c r="C114" s="25"/>
      <c r="D114" s="25"/>
      <c r="E114" s="25"/>
      <c r="F114" s="65"/>
      <c r="G114" s="66"/>
      <c r="H114" s="67"/>
      <c r="I114" s="68"/>
      <c r="J114" s="64"/>
      <c r="K114" s="64"/>
      <c r="L114" s="25"/>
    </row>
    <row r="115" ht="29.25" customHeight="1">
      <c r="A115" s="64">
        <v>113.0</v>
      </c>
      <c r="B115" s="64"/>
      <c r="C115" s="25"/>
      <c r="D115" s="25"/>
      <c r="E115" s="25"/>
      <c r="F115" s="65"/>
      <c r="G115" s="66"/>
      <c r="H115" s="67"/>
      <c r="I115" s="68"/>
      <c r="J115" s="64"/>
      <c r="K115" s="64"/>
      <c r="L115" s="25"/>
    </row>
    <row r="116" ht="29.25" customHeight="1">
      <c r="A116" s="64">
        <v>114.0</v>
      </c>
      <c r="B116" s="64"/>
      <c r="C116" s="25"/>
      <c r="D116" s="25"/>
      <c r="E116" s="25"/>
      <c r="F116" s="65"/>
      <c r="G116" s="66"/>
      <c r="H116" s="67"/>
      <c r="I116" s="68"/>
      <c r="J116" s="64"/>
      <c r="K116" s="64"/>
      <c r="L116" s="25"/>
    </row>
    <row r="117" ht="29.25" customHeight="1">
      <c r="A117" s="64">
        <v>115.0</v>
      </c>
      <c r="B117" s="64"/>
      <c r="C117" s="25"/>
      <c r="D117" s="25"/>
      <c r="E117" s="25"/>
      <c r="F117" s="65"/>
      <c r="G117" s="66"/>
      <c r="H117" s="67"/>
      <c r="I117" s="68"/>
      <c r="J117" s="64"/>
      <c r="K117" s="64"/>
      <c r="L117" s="25"/>
    </row>
    <row r="118" ht="29.25" customHeight="1">
      <c r="A118" s="64">
        <v>116.0</v>
      </c>
      <c r="B118" s="64"/>
      <c r="C118" s="25"/>
      <c r="D118" s="25"/>
      <c r="E118" s="25"/>
      <c r="F118" s="65"/>
      <c r="G118" s="66"/>
      <c r="H118" s="67"/>
      <c r="I118" s="68"/>
      <c r="J118" s="64"/>
      <c r="K118" s="64"/>
      <c r="L118" s="25"/>
    </row>
    <row r="119" ht="29.25" customHeight="1">
      <c r="A119" s="64">
        <v>117.0</v>
      </c>
      <c r="B119" s="64"/>
      <c r="C119" s="25"/>
      <c r="D119" s="25"/>
      <c r="E119" s="25"/>
      <c r="F119" s="65"/>
      <c r="G119" s="66"/>
      <c r="H119" s="67"/>
      <c r="I119" s="68"/>
      <c r="J119" s="64"/>
      <c r="K119" s="64"/>
      <c r="L119" s="25"/>
    </row>
    <row r="120" ht="29.25" customHeight="1">
      <c r="A120" s="64">
        <v>118.0</v>
      </c>
      <c r="B120" s="64"/>
      <c r="C120" s="25"/>
      <c r="D120" s="25"/>
      <c r="E120" s="25"/>
      <c r="F120" s="65"/>
      <c r="G120" s="66"/>
      <c r="H120" s="67"/>
      <c r="I120" s="68"/>
      <c r="J120" s="64"/>
      <c r="K120" s="64"/>
      <c r="L120" s="25"/>
    </row>
    <row r="121" ht="29.25" customHeight="1">
      <c r="A121" s="64">
        <v>119.0</v>
      </c>
      <c r="B121" s="64"/>
      <c r="C121" s="25"/>
      <c r="D121" s="25"/>
      <c r="E121" s="25"/>
      <c r="F121" s="65"/>
      <c r="G121" s="66"/>
      <c r="H121" s="67"/>
      <c r="I121" s="68"/>
      <c r="J121" s="64"/>
      <c r="K121" s="64"/>
      <c r="L121" s="25"/>
    </row>
    <row r="122" ht="29.25" customHeight="1">
      <c r="A122" s="64">
        <v>120.0</v>
      </c>
      <c r="B122" s="64"/>
      <c r="C122" s="25"/>
      <c r="D122" s="25"/>
      <c r="E122" s="25"/>
      <c r="F122" s="65"/>
      <c r="G122" s="66"/>
      <c r="H122" s="67"/>
      <c r="I122" s="68"/>
      <c r="J122" s="64"/>
      <c r="K122" s="64"/>
      <c r="L122" s="25"/>
    </row>
    <row r="123" ht="29.25" customHeight="1">
      <c r="A123" s="64">
        <v>121.0</v>
      </c>
      <c r="B123" s="64"/>
      <c r="C123" s="25"/>
      <c r="D123" s="25"/>
      <c r="E123" s="25"/>
      <c r="F123" s="65"/>
      <c r="G123" s="66"/>
      <c r="H123" s="67"/>
      <c r="I123" s="68"/>
      <c r="J123" s="64"/>
      <c r="K123" s="64"/>
      <c r="L123" s="25"/>
    </row>
    <row r="124" ht="29.25" customHeight="1">
      <c r="A124" s="64">
        <v>122.0</v>
      </c>
      <c r="B124" s="64"/>
      <c r="C124" s="25"/>
      <c r="D124" s="25"/>
      <c r="E124" s="25"/>
      <c r="F124" s="65"/>
      <c r="G124" s="66"/>
      <c r="H124" s="67"/>
      <c r="I124" s="68"/>
      <c r="J124" s="64"/>
      <c r="K124" s="64"/>
      <c r="L124" s="25"/>
    </row>
    <row r="125" ht="29.25" customHeight="1">
      <c r="A125" s="64">
        <v>123.0</v>
      </c>
      <c r="B125" s="64"/>
      <c r="C125" s="25"/>
      <c r="D125" s="25"/>
      <c r="E125" s="25"/>
      <c r="F125" s="65"/>
      <c r="G125" s="66"/>
      <c r="H125" s="67"/>
      <c r="I125" s="68"/>
      <c r="J125" s="64"/>
      <c r="K125" s="64"/>
      <c r="L125" s="25"/>
    </row>
    <row r="126" ht="29.25" customHeight="1">
      <c r="A126" s="64">
        <v>124.0</v>
      </c>
      <c r="B126" s="64"/>
      <c r="C126" s="25"/>
      <c r="D126" s="25"/>
      <c r="E126" s="25"/>
      <c r="F126" s="65"/>
      <c r="G126" s="66"/>
      <c r="H126" s="67"/>
      <c r="I126" s="68"/>
      <c r="J126" s="64"/>
      <c r="K126" s="64"/>
      <c r="L126" s="25"/>
    </row>
    <row r="127" ht="29.25" customHeight="1">
      <c r="A127" s="64">
        <v>125.0</v>
      </c>
      <c r="B127" s="64"/>
      <c r="C127" s="25"/>
      <c r="D127" s="25"/>
      <c r="E127" s="25"/>
      <c r="F127" s="65"/>
      <c r="G127" s="66"/>
      <c r="H127" s="67"/>
      <c r="I127" s="68"/>
      <c r="J127" s="64"/>
      <c r="K127" s="64"/>
      <c r="L127" s="25"/>
    </row>
    <row r="128" ht="29.25" customHeight="1">
      <c r="A128" s="64">
        <v>126.0</v>
      </c>
      <c r="B128" s="64"/>
      <c r="C128" s="25"/>
      <c r="D128" s="25"/>
      <c r="E128" s="25"/>
      <c r="F128" s="65"/>
      <c r="G128" s="66"/>
      <c r="H128" s="67"/>
      <c r="I128" s="68"/>
      <c r="J128" s="64"/>
      <c r="K128" s="64"/>
      <c r="L128" s="25"/>
    </row>
    <row r="129" ht="29.25" customHeight="1">
      <c r="A129" s="64">
        <v>127.0</v>
      </c>
      <c r="B129" s="64"/>
      <c r="C129" s="25"/>
      <c r="D129" s="25"/>
      <c r="E129" s="25"/>
      <c r="F129" s="65"/>
      <c r="G129" s="66"/>
      <c r="H129" s="67"/>
      <c r="I129" s="68"/>
      <c r="J129" s="64"/>
      <c r="K129" s="64"/>
      <c r="L129" s="25"/>
    </row>
    <row r="130" ht="29.25" customHeight="1">
      <c r="A130" s="64">
        <v>128.0</v>
      </c>
      <c r="B130" s="64"/>
      <c r="C130" s="25"/>
      <c r="D130" s="25"/>
      <c r="E130" s="25"/>
      <c r="F130" s="65"/>
      <c r="G130" s="66"/>
      <c r="H130" s="67"/>
      <c r="I130" s="68"/>
      <c r="J130" s="64"/>
      <c r="K130" s="64"/>
      <c r="L130" s="25"/>
    </row>
    <row r="131" ht="29.25" customHeight="1">
      <c r="A131" s="64">
        <v>130.0</v>
      </c>
      <c r="B131" s="64"/>
      <c r="C131" s="25"/>
      <c r="D131" s="25"/>
      <c r="E131" s="25"/>
      <c r="F131" s="65"/>
      <c r="G131" s="66"/>
      <c r="H131" s="67"/>
      <c r="I131" s="68"/>
      <c r="J131" s="64"/>
      <c r="K131" s="64"/>
      <c r="L131" s="25"/>
    </row>
    <row r="132" ht="29.25" customHeight="1">
      <c r="A132" s="64">
        <v>131.0</v>
      </c>
      <c r="B132" s="64"/>
      <c r="C132" s="25"/>
      <c r="D132" s="25"/>
      <c r="E132" s="25"/>
      <c r="F132" s="65"/>
      <c r="G132" s="66"/>
      <c r="H132" s="67"/>
      <c r="I132" s="68"/>
      <c r="J132" s="64"/>
      <c r="K132" s="64"/>
      <c r="L132" s="25"/>
    </row>
    <row r="133" ht="29.25" customHeight="1">
      <c r="A133" s="64">
        <v>132.0</v>
      </c>
      <c r="B133" s="64"/>
      <c r="C133" s="25"/>
      <c r="D133" s="25"/>
      <c r="E133" s="25"/>
      <c r="F133" s="65"/>
      <c r="G133" s="66"/>
      <c r="H133" s="67"/>
      <c r="I133" s="68"/>
      <c r="J133" s="64"/>
      <c r="K133" s="64"/>
      <c r="L133" s="25"/>
    </row>
    <row r="134" ht="29.25" customHeight="1">
      <c r="A134" s="64">
        <v>133.0</v>
      </c>
      <c r="B134" s="64"/>
      <c r="C134" s="25"/>
      <c r="D134" s="25"/>
      <c r="E134" s="25"/>
      <c r="F134" s="65"/>
      <c r="G134" s="66"/>
      <c r="H134" s="67"/>
      <c r="I134" s="68"/>
      <c r="J134" s="64"/>
      <c r="K134" s="64"/>
      <c r="L134" s="25"/>
    </row>
    <row r="135" ht="29.25" customHeight="1">
      <c r="A135" s="64">
        <v>134.0</v>
      </c>
      <c r="B135" s="64"/>
      <c r="C135" s="25"/>
      <c r="D135" s="25"/>
      <c r="E135" s="25"/>
      <c r="F135" s="65"/>
      <c r="G135" s="66"/>
      <c r="H135" s="67"/>
      <c r="I135" s="68"/>
      <c r="J135" s="64"/>
      <c r="K135" s="64"/>
      <c r="L135" s="25"/>
    </row>
    <row r="136" ht="29.25" customHeight="1">
      <c r="A136" s="64">
        <v>135.0</v>
      </c>
      <c r="B136" s="64"/>
      <c r="C136" s="25"/>
      <c r="D136" s="25"/>
      <c r="E136" s="25"/>
      <c r="F136" s="65"/>
      <c r="G136" s="66"/>
      <c r="H136" s="67"/>
      <c r="I136" s="68"/>
      <c r="J136" s="64"/>
      <c r="K136" s="64"/>
      <c r="L136" s="25"/>
    </row>
    <row r="137" ht="29.25" customHeight="1">
      <c r="A137" s="64">
        <v>136.0</v>
      </c>
      <c r="B137" s="64"/>
      <c r="C137" s="25"/>
      <c r="D137" s="25"/>
      <c r="E137" s="25"/>
      <c r="F137" s="65"/>
      <c r="G137" s="66"/>
      <c r="H137" s="67"/>
      <c r="I137" s="68"/>
      <c r="J137" s="64"/>
      <c r="K137" s="64"/>
      <c r="L137" s="25"/>
    </row>
    <row r="138" ht="29.25" customHeight="1">
      <c r="A138" s="64">
        <v>137.0</v>
      </c>
      <c r="B138" s="64"/>
      <c r="C138" s="25"/>
      <c r="D138" s="25"/>
      <c r="E138" s="25"/>
      <c r="F138" s="65"/>
      <c r="G138" s="66"/>
      <c r="H138" s="67"/>
      <c r="I138" s="68"/>
      <c r="J138" s="64"/>
      <c r="K138" s="64"/>
      <c r="L138" s="25"/>
    </row>
    <row r="139" ht="29.25" customHeight="1">
      <c r="A139" s="64">
        <v>138.0</v>
      </c>
      <c r="B139" s="64"/>
      <c r="C139" s="25"/>
      <c r="D139" s="25"/>
      <c r="E139" s="25"/>
      <c r="F139" s="65"/>
      <c r="G139" s="66"/>
      <c r="H139" s="67"/>
      <c r="I139" s="68"/>
      <c r="J139" s="64"/>
      <c r="K139" s="64"/>
      <c r="L139" s="25"/>
    </row>
    <row r="140" ht="29.25" customHeight="1">
      <c r="A140" s="64">
        <v>139.0</v>
      </c>
      <c r="B140" s="64"/>
      <c r="C140" s="25"/>
      <c r="D140" s="25"/>
      <c r="E140" s="25"/>
      <c r="F140" s="65"/>
      <c r="G140" s="66"/>
      <c r="H140" s="67"/>
      <c r="I140" s="68"/>
      <c r="J140" s="64"/>
      <c r="K140" s="64"/>
      <c r="L140" s="25"/>
    </row>
    <row r="141" ht="29.25" customHeight="1">
      <c r="A141" s="64">
        <v>140.0</v>
      </c>
      <c r="B141" s="64">
        <v>93.0</v>
      </c>
      <c r="C141" s="25"/>
      <c r="D141" s="25"/>
      <c r="E141" s="25"/>
      <c r="F141" s="65"/>
      <c r="G141" s="66"/>
      <c r="H141" s="67"/>
      <c r="I141" s="68"/>
      <c r="J141" s="64"/>
      <c r="K141" s="64"/>
      <c r="L141" s="25"/>
    </row>
    <row r="142" ht="29.25" customHeight="1">
      <c r="A142" s="64">
        <v>141.0</v>
      </c>
      <c r="B142" s="64"/>
      <c r="C142" s="25"/>
      <c r="D142" s="25"/>
      <c r="E142" s="25"/>
      <c r="F142" s="65"/>
      <c r="G142" s="66"/>
      <c r="H142" s="67"/>
      <c r="I142" s="68"/>
      <c r="J142" s="64"/>
      <c r="K142" s="64"/>
      <c r="L142" s="25"/>
    </row>
    <row r="143" ht="29.25" customHeight="1">
      <c r="A143" s="64">
        <v>142.0</v>
      </c>
      <c r="B143" s="64"/>
      <c r="C143" s="25"/>
      <c r="D143" s="25"/>
      <c r="E143" s="25"/>
      <c r="F143" s="65"/>
      <c r="G143" s="66"/>
      <c r="H143" s="67"/>
      <c r="I143" s="68"/>
      <c r="J143" s="64"/>
      <c r="K143" s="64"/>
      <c r="L143" s="25"/>
    </row>
    <row r="144" ht="29.25" customHeight="1">
      <c r="A144" s="64">
        <v>143.0</v>
      </c>
      <c r="B144" s="64"/>
      <c r="C144" s="25"/>
      <c r="D144" s="25"/>
      <c r="E144" s="25"/>
      <c r="F144" s="65"/>
      <c r="G144" s="66"/>
      <c r="H144" s="67"/>
      <c r="I144" s="68"/>
      <c r="J144" s="64"/>
      <c r="K144" s="64"/>
      <c r="L144" s="25"/>
    </row>
    <row r="145" ht="29.25" customHeight="1">
      <c r="A145" s="64">
        <v>144.0</v>
      </c>
      <c r="B145" s="64"/>
      <c r="C145" s="25"/>
      <c r="D145" s="25"/>
      <c r="E145" s="25"/>
      <c r="F145" s="65"/>
      <c r="G145" s="66"/>
      <c r="H145" s="67"/>
      <c r="I145" s="68"/>
      <c r="J145" s="64"/>
      <c r="K145" s="64"/>
      <c r="L145" s="25"/>
    </row>
    <row r="146" ht="29.25" customHeight="1">
      <c r="A146" s="64">
        <v>145.0</v>
      </c>
      <c r="B146" s="64"/>
      <c r="C146" s="25"/>
      <c r="D146" s="25"/>
      <c r="E146" s="25"/>
      <c r="F146" s="65"/>
      <c r="G146" s="66"/>
      <c r="H146" s="67"/>
      <c r="I146" s="68"/>
      <c r="J146" s="64"/>
      <c r="K146" s="64"/>
      <c r="L146" s="25"/>
    </row>
    <row r="147" ht="29.25" customHeight="1">
      <c r="A147" s="64">
        <v>146.0</v>
      </c>
      <c r="B147" s="64"/>
      <c r="C147" s="25"/>
      <c r="D147" s="25"/>
      <c r="E147" s="25"/>
      <c r="F147" s="65"/>
      <c r="G147" s="66"/>
      <c r="H147" s="67"/>
      <c r="I147" s="68"/>
      <c r="J147" s="64"/>
      <c r="K147" s="64"/>
      <c r="L147" s="25"/>
    </row>
    <row r="148" ht="29.25" customHeight="1">
      <c r="A148" s="64">
        <v>147.0</v>
      </c>
      <c r="B148" s="64"/>
      <c r="C148" s="25"/>
      <c r="D148" s="25"/>
      <c r="E148" s="25"/>
      <c r="F148" s="65"/>
      <c r="G148" s="66"/>
      <c r="H148" s="67"/>
      <c r="I148" s="68"/>
      <c r="J148" s="64"/>
      <c r="K148" s="64"/>
      <c r="L148" s="25"/>
    </row>
    <row r="149" ht="29.25" customHeight="1">
      <c r="A149" s="64">
        <v>148.0</v>
      </c>
      <c r="B149" s="64"/>
      <c r="C149" s="25"/>
      <c r="D149" s="25"/>
      <c r="E149" s="25"/>
      <c r="F149" s="65"/>
      <c r="G149" s="66"/>
      <c r="H149" s="67"/>
      <c r="I149" s="68"/>
      <c r="J149" s="64"/>
      <c r="K149" s="64"/>
      <c r="L149" s="25"/>
    </row>
    <row r="150" ht="29.25" customHeight="1">
      <c r="A150" s="64">
        <v>149.0</v>
      </c>
      <c r="B150" s="64"/>
      <c r="C150" s="25"/>
      <c r="D150" s="25"/>
      <c r="E150" s="25"/>
      <c r="F150" s="65"/>
      <c r="G150" s="66"/>
      <c r="H150" s="67"/>
      <c r="I150" s="68"/>
      <c r="J150" s="64"/>
      <c r="K150" s="64"/>
      <c r="L150" s="25"/>
    </row>
    <row r="151" ht="29.25" customHeight="1">
      <c r="A151" s="64">
        <v>150.0</v>
      </c>
      <c r="B151" s="64"/>
      <c r="C151" s="25"/>
      <c r="D151" s="25"/>
      <c r="E151" s="25"/>
      <c r="F151" s="65"/>
      <c r="G151" s="66"/>
      <c r="H151" s="67"/>
      <c r="I151" s="68"/>
      <c r="J151" s="64"/>
      <c r="K151" s="64"/>
      <c r="L151" s="25"/>
    </row>
    <row r="152" ht="29.25" customHeight="1">
      <c r="A152" s="64">
        <v>151.0</v>
      </c>
      <c r="B152" s="64"/>
      <c r="C152" s="25"/>
      <c r="D152" s="25"/>
      <c r="E152" s="25"/>
      <c r="F152" s="65"/>
      <c r="G152" s="66"/>
      <c r="H152" s="67"/>
      <c r="I152" s="68"/>
      <c r="J152" s="64"/>
      <c r="K152" s="64"/>
      <c r="L152" s="25"/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L$152"/>
  <mergeCells count="2">
    <mergeCell ref="A1:F1"/>
    <mergeCell ref="I1:L1"/>
  </mergeCells>
  <printOptions/>
  <pageMargins bottom="0.7028927270127554" footer="0.0" header="0.0" left="0.31538539139114696" right="0.29173148703681095" top="0.5125012610106139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12.38"/>
    <col customWidth="1" min="3" max="3" width="36.5"/>
    <col customWidth="1" min="4" max="4" width="21.63"/>
    <col customWidth="1" min="5" max="5" width="16.38"/>
    <col customWidth="1" min="6" max="6" width="2.5"/>
    <col customWidth="1" min="7" max="7" width="3.88"/>
    <col customWidth="1" min="8" max="8" width="2.5"/>
    <col customWidth="1" min="9" max="9" width="12.38"/>
    <col customWidth="1" min="10" max="10" width="38.38"/>
    <col customWidth="1" min="11" max="11" width="21.63"/>
    <col customWidth="1" min="12" max="12" width="16.38"/>
    <col customWidth="1" min="13" max="13" width="2.5"/>
  </cols>
  <sheetData>
    <row r="1" ht="57.0" customHeight="1">
      <c r="A1" s="69"/>
      <c r="B1" s="70" t="str">
        <f>'⚙️ Config'!$H$7</f>
        <v>#REF!</v>
      </c>
      <c r="C1" s="71"/>
      <c r="D1" s="72"/>
      <c r="E1" s="73" t="s">
        <v>331</v>
      </c>
      <c r="F1" s="74"/>
      <c r="G1" s="75"/>
      <c r="H1" s="76"/>
      <c r="I1" s="77" t="str">
        <f>'⚙️ Config'!$H$7</f>
        <v>#REF!</v>
      </c>
      <c r="J1" s="71"/>
      <c r="K1" s="71"/>
      <c r="L1" s="73" t="str">
        <f>E1</f>
        <v>ใบเสร็จรับเงิน / ใบกำกับภาษี        
</v>
      </c>
      <c r="M1" s="78"/>
    </row>
    <row r="2" ht="15.75" customHeight="1">
      <c r="A2" s="79"/>
      <c r="B2" s="80" t="str">
        <f>'⚙️ Config'!$H$2</f>
        <v>#REF!</v>
      </c>
      <c r="C2" s="81"/>
      <c r="E2" s="82" t="s">
        <v>332</v>
      </c>
      <c r="F2" s="83"/>
      <c r="H2" s="79"/>
      <c r="I2" s="80" t="str">
        <f>'⚙️ Config'!$H$2</f>
        <v>#REF!</v>
      </c>
      <c r="J2" s="81"/>
      <c r="L2" s="82" t="s">
        <v>333</v>
      </c>
      <c r="M2" s="84"/>
    </row>
    <row r="3" ht="18.75" customHeight="1">
      <c r="A3" s="85"/>
      <c r="B3" s="86" t="s">
        <v>334</v>
      </c>
      <c r="C3" s="81"/>
      <c r="D3" s="87" t="s">
        <v>335</v>
      </c>
      <c r="E3" s="88" t="s">
        <v>336</v>
      </c>
      <c r="F3" s="89"/>
      <c r="H3" s="85"/>
      <c r="I3" s="86" t="s">
        <v>334</v>
      </c>
      <c r="J3" s="81"/>
      <c r="K3" s="87" t="s">
        <v>335</v>
      </c>
      <c r="L3" s="90" t="str">
        <f>E3</f>
        <v>VP00850</v>
      </c>
      <c r="M3" s="84"/>
    </row>
    <row r="4" ht="15.75" customHeight="1">
      <c r="A4" s="91"/>
      <c r="B4" s="92" t="s">
        <v>337</v>
      </c>
      <c r="C4" s="81"/>
      <c r="D4" s="87" t="s">
        <v>338</v>
      </c>
      <c r="E4" s="93" t="str">
        <f>vlookup(E3,' รายการเข้าพัก'!B:V,17,false)</f>
        <v>#REF!</v>
      </c>
      <c r="F4" s="94"/>
      <c r="H4" s="91"/>
      <c r="I4" s="95" t="str">
        <f>'⚙️ Config'!$H$3</f>
        <v>#REF!</v>
      </c>
      <c r="J4" s="81"/>
      <c r="K4" s="87" t="s">
        <v>338</v>
      </c>
      <c r="L4" s="93" t="str">
        <f>vlookup(E3,' รายการเข้าพัก'!B:V,17,false)</f>
        <v>#REF!</v>
      </c>
      <c r="M4" s="84"/>
    </row>
    <row r="5" ht="15.75" customHeight="1">
      <c r="A5" s="91"/>
      <c r="B5" s="96" t="s">
        <v>339</v>
      </c>
      <c r="C5" s="81"/>
      <c r="D5" s="87" t="s">
        <v>340</v>
      </c>
      <c r="E5" s="97" t="str">
        <f>vlookup(E3,' รายการเข้าพัก'!B:R,16,false)</f>
        <v>#REF!</v>
      </c>
      <c r="F5" s="94"/>
      <c r="G5" s="98"/>
      <c r="H5" s="91"/>
      <c r="I5" s="95" t="str">
        <f>'⚙️ Config'!$H$4</f>
        <v>#REF!</v>
      </c>
      <c r="J5" s="81"/>
      <c r="K5" s="87" t="s">
        <v>340</v>
      </c>
      <c r="L5" s="97" t="str">
        <f>vlookup(L3,' รายการเข้าพัก'!B:V,16,false)</f>
        <v>#REF!</v>
      </c>
      <c r="M5" s="84"/>
    </row>
    <row r="6" ht="15.75" customHeight="1">
      <c r="A6" s="91"/>
      <c r="B6" s="98" t="s">
        <v>341</v>
      </c>
      <c r="C6" s="81"/>
      <c r="D6" s="81"/>
      <c r="E6" s="99"/>
      <c r="F6" s="94"/>
      <c r="G6" s="98"/>
      <c r="H6" s="91"/>
      <c r="I6" s="95" t="str">
        <f>'⚙️ Config'!$H$5</f>
        <v>#REF!</v>
      </c>
      <c r="J6" s="81"/>
      <c r="K6" s="81"/>
      <c r="L6" s="99"/>
      <c r="M6" s="84"/>
    </row>
    <row r="7" ht="15.75" customHeight="1">
      <c r="A7" s="91"/>
      <c r="B7" s="95"/>
      <c r="C7" s="100"/>
      <c r="D7" s="100"/>
      <c r="E7" s="100"/>
      <c r="F7" s="94"/>
      <c r="G7" s="98"/>
      <c r="H7" s="91"/>
      <c r="I7" s="95"/>
      <c r="J7" s="100"/>
      <c r="K7" s="100"/>
      <c r="L7" s="100"/>
      <c r="M7" s="84"/>
    </row>
    <row r="8" ht="15.75" customHeight="1">
      <c r="A8" s="101"/>
      <c r="B8" s="102" t="s">
        <v>342</v>
      </c>
      <c r="C8" s="100"/>
      <c r="D8" s="100"/>
      <c r="E8" s="100"/>
      <c r="F8" s="103"/>
      <c r="G8" s="104"/>
      <c r="H8" s="101"/>
      <c r="I8" s="102" t="s">
        <v>342</v>
      </c>
      <c r="J8" s="100"/>
      <c r="K8" s="100"/>
      <c r="L8" s="100"/>
      <c r="M8" s="84"/>
    </row>
    <row r="9" ht="15.75" customHeight="1">
      <c r="A9" s="105"/>
      <c r="B9" s="100" t="str">
        <f>vlookup(vlookup(E3,' รายการเข้าพัก'!B:F,5,false),'รายชื่อลูกค้า'!A:F,2,false)&amp;"  "&amp;vlookup(vlookup(E3,' รายการเข้าพัก'!B:F,5,false),'รายชื่อลูกค้า'!A:F,3,false)</f>
        <v>#REF!</v>
      </c>
      <c r="C9" s="100"/>
      <c r="D9" s="100"/>
      <c r="F9" s="106"/>
      <c r="G9" s="107"/>
      <c r="H9" s="105"/>
      <c r="I9" s="100" t="str">
        <f>vlookup(vlookup(L3,' รายการเข้าพัก'!B:F,5,false),'รายชื่อลูกค้า'!A:F,2,false)&amp;"  "&amp;vlookup(vlookup(L3,' รายการเข้าพัก'!B:F,5,false),'รายชื่อลูกค้า'!A:F,3,false)</f>
        <v>#REF!</v>
      </c>
      <c r="J9" s="100"/>
      <c r="K9" s="100"/>
      <c r="L9" s="100"/>
      <c r="M9" s="84"/>
    </row>
    <row r="10" ht="15.75" customHeight="1">
      <c r="A10" s="105"/>
      <c r="B10" s="100" t="str">
        <f>vlookup(vlookup(E3,' รายการเข้าพัก'!B:F,5,false),'รายชื่อลูกค้า'!A:F,4,false)</f>
        <v>#REF!</v>
      </c>
      <c r="C10" s="100"/>
      <c r="D10" s="100"/>
      <c r="E10" s="100"/>
      <c r="F10" s="106"/>
      <c r="G10" s="107"/>
      <c r="H10" s="105"/>
      <c r="I10" s="100" t="str">
        <f>vlookup(vlookup(L3,' รายการเข้าพัก'!B:F,5,false),'รายชื่อลูกค้า'!A:F,4,false)</f>
        <v>#REF!</v>
      </c>
      <c r="J10" s="100"/>
      <c r="K10" s="100"/>
      <c r="L10" s="100"/>
      <c r="M10" s="84"/>
    </row>
    <row r="11" ht="15.75" customHeight="1">
      <c r="A11" s="105"/>
      <c r="B11" s="100" t="str">
        <f>vlookup(vlookup(E3,' รายการเข้าพัก'!B:F,5,false),'รายชื่อลูกค้า'!A:F,6,false)</f>
        <v>#REF!</v>
      </c>
      <c r="C11" s="100" t="str">
        <f>"เลขประจำตัวผู้เสียภาษี  "&amp;vlookup(vlookup(E3,' รายการเข้าพัก'!B:F,5,false),'รายชื่อลูกค้า'!A:F,5,false)</f>
        <v>#REF!</v>
      </c>
      <c r="D11" s="100"/>
      <c r="E11" s="100"/>
      <c r="F11" s="106"/>
      <c r="G11" s="107"/>
      <c r="H11" s="105"/>
      <c r="I11" s="100" t="str">
        <f>vlookup(vlookup(L3,' รายการเข้าพัก'!B:F,5,false),'รายชื่อลูกค้า'!A:F,6,false)</f>
        <v>#REF!</v>
      </c>
      <c r="J11" s="100" t="str">
        <f>"เลขประจำตัวผู้เสียภาษี  "&amp;vlookup(vlookup(L3,' รายการเข้าพัก'!B:F,5,false),'รายชื่อลูกค้า'!A:F,5,false)</f>
        <v>#REF!</v>
      </c>
      <c r="K11" s="100"/>
      <c r="L11" s="100"/>
      <c r="M11" s="84"/>
    </row>
    <row r="12" ht="15.75" customHeight="1">
      <c r="A12" s="105"/>
      <c r="B12" s="100"/>
      <c r="C12" s="100"/>
      <c r="D12" s="100"/>
      <c r="E12" s="100"/>
      <c r="F12" s="106"/>
      <c r="G12" s="107"/>
      <c r="H12" s="105"/>
      <c r="I12" s="100"/>
      <c r="J12" s="100"/>
      <c r="K12" s="100"/>
      <c r="L12" s="100"/>
      <c r="M12" s="84"/>
    </row>
    <row r="13" ht="24.75" customHeight="1">
      <c r="A13" s="108"/>
      <c r="B13" s="109" t="s">
        <v>343</v>
      </c>
      <c r="C13" s="109" t="s">
        <v>344</v>
      </c>
      <c r="D13" s="109" t="s">
        <v>345</v>
      </c>
      <c r="E13" s="109" t="s">
        <v>346</v>
      </c>
      <c r="F13" s="110"/>
      <c r="G13" s="111"/>
      <c r="H13" s="108"/>
      <c r="I13" s="109" t="s">
        <v>343</v>
      </c>
      <c r="J13" s="109" t="s">
        <v>344</v>
      </c>
      <c r="K13" s="109" t="s">
        <v>345</v>
      </c>
      <c r="L13" s="109" t="s">
        <v>346</v>
      </c>
      <c r="M13" s="84"/>
    </row>
    <row r="14" ht="19.5" customHeight="1">
      <c r="A14" s="112"/>
      <c r="B14" s="113" t="str">
        <f>IF(C14&lt;&gt;"",1,"")</f>
        <v>#REF!</v>
      </c>
      <c r="C14" s="113" t="str">
        <f>IFERROR(__xludf.DUMMYFUNCTION("FILTER(""ห้อง ""&amp;' รายการเข้าพัก'!C:C&amp;""  (""&amp;TEXT(' รายการเข้าพัก'!I:I,""dd/mmm/yyyy"")&amp;""    -    ""&amp;text(' รายการเข้าพัก'!J:J,""dd/mmm/yyyy"")&amp;"")"" ,' รายการเข้าพัก'!B:B=E3)"),"#REF!")</f>
        <v>#REF!</v>
      </c>
      <c r="D14" s="113" t="str">
        <f>IFERROR(__xludf.DUMMYFUNCTION("FILTER(' รายการเข้าพัก'!K:K&amp;"" คืน"",' รายการเข้าพัก'!B:B=E3)"),"#REF!")</f>
        <v>#REF!</v>
      </c>
      <c r="E14" s="114" t="str">
        <f>IFERROR(__xludf.DUMMYFUNCTION("FILTER(' รายการเข้าพัก'!P:P-' รายการเข้าพัก'!M:M-' รายการเข้าพัก'!O:O-' รายการเข้าพัก'!N:N,' รายการเข้าพัก'!B:B=E3)"),"#REF!")</f>
        <v>#REF!</v>
      </c>
      <c r="F14" s="115"/>
      <c r="G14" s="116"/>
      <c r="H14" s="112"/>
      <c r="I14" s="113" t="str">
        <f>IF(J14&lt;&gt;"",1,"")</f>
        <v>#REF!</v>
      </c>
      <c r="J14" s="113" t="str">
        <f>IFERROR(__xludf.DUMMYFUNCTION("FILTER(""ห้อง ""&amp;' รายการเข้าพัก'!C:C&amp;""  (""&amp;TEXT(' รายการเข้าพัก'!I:I,""dd/mmm/yyyy"")&amp;""   -   ""&amp;text(' รายการเข้าพัก'!J:J,""dd/mmm/yyyy"")&amp;"")"",' รายการเข้าพัก'!B:B=L3)"),"#REF!")</f>
        <v>#REF!</v>
      </c>
      <c r="K14" s="113" t="str">
        <f>IFERROR(__xludf.DUMMYFUNCTION("FILTER(' รายการเข้าพัก'!K:K&amp;"" คืน"",' รายการเข้าพัก'!B:B=L3)"),"#REF!")</f>
        <v>#REF!</v>
      </c>
      <c r="L14" s="114" t="str">
        <f>IFERROR(__xludf.DUMMYFUNCTION("FILTER(' รายการเข้าพัก'!P:P-' รายการเข้าพัก'!M:M-' รายการเข้าพัก'!N:N-' รายการเข้าพัก'!O:O,' รายการเข้าพัก'!B:B=L3)"),"#REF!")</f>
        <v>#REF!</v>
      </c>
      <c r="M14" s="117"/>
    </row>
    <row r="15" ht="19.5" customHeight="1">
      <c r="A15" s="112"/>
      <c r="B15" s="113" t="str">
        <f>IF(C15&lt;&gt;"",2,"")</f>
        <v/>
      </c>
      <c r="C15" s="113"/>
      <c r="D15" s="113"/>
      <c r="E15" s="114"/>
      <c r="F15" s="115"/>
      <c r="G15" s="116"/>
      <c r="H15" s="112"/>
      <c r="I15" s="113" t="str">
        <f>IF(J15&lt;&gt;"",2,"")</f>
        <v/>
      </c>
      <c r="J15" s="113"/>
      <c r="K15" s="113"/>
      <c r="L15" s="114"/>
      <c r="M15" s="84"/>
    </row>
    <row r="16" ht="19.5" customHeight="1">
      <c r="A16" s="112"/>
      <c r="B16" s="113" t="str">
        <f>IF(C16&lt;&gt;"",3,"")</f>
        <v/>
      </c>
      <c r="C16" s="113"/>
      <c r="D16" s="113"/>
      <c r="E16" s="114"/>
      <c r="F16" s="115"/>
      <c r="G16" s="116"/>
      <c r="H16" s="112"/>
      <c r="I16" s="113" t="str">
        <f>IF(J16&lt;&gt;"",3,"")</f>
        <v/>
      </c>
      <c r="J16" s="113"/>
      <c r="K16" s="113"/>
      <c r="L16" s="114"/>
      <c r="M16" s="84"/>
    </row>
    <row r="17" ht="19.5" customHeight="1">
      <c r="A17" s="112"/>
      <c r="B17" s="113" t="str">
        <f>IF(C17&lt;&gt;"",4,"")</f>
        <v/>
      </c>
      <c r="C17" s="113"/>
      <c r="D17" s="113"/>
      <c r="E17" s="114"/>
      <c r="F17" s="115"/>
      <c r="G17" s="116"/>
      <c r="H17" s="112"/>
      <c r="I17" s="113" t="str">
        <f>IF(J17&lt;&gt;"",4,"")</f>
        <v/>
      </c>
      <c r="J17" s="113"/>
      <c r="K17" s="113"/>
      <c r="L17" s="114"/>
      <c r="M17" s="84"/>
    </row>
    <row r="18" ht="19.5" customHeight="1">
      <c r="A18" s="112"/>
      <c r="B18" s="113" t="str">
        <f>IF(C18&lt;&gt;"",5,"")</f>
        <v/>
      </c>
      <c r="C18" s="113"/>
      <c r="D18" s="113"/>
      <c r="E18" s="114"/>
      <c r="F18" s="115"/>
      <c r="G18" s="116"/>
      <c r="H18" s="112"/>
      <c r="I18" s="113" t="str">
        <f>IF(J18&lt;&gt;"",5,"")</f>
        <v/>
      </c>
      <c r="J18" s="113"/>
      <c r="K18" s="113"/>
      <c r="L18" s="114"/>
      <c r="M18" s="84"/>
    </row>
    <row r="19" ht="19.5" customHeight="1">
      <c r="A19" s="112"/>
      <c r="B19" s="113" t="str">
        <f>IF(C19&lt;&gt;"",6,"")</f>
        <v/>
      </c>
      <c r="C19" s="113"/>
      <c r="D19" s="113"/>
      <c r="E19" s="114"/>
      <c r="F19" s="115"/>
      <c r="G19" s="116"/>
      <c r="H19" s="112"/>
      <c r="I19" s="113" t="str">
        <f>IF(J19&lt;&gt;"",6,"")</f>
        <v/>
      </c>
      <c r="J19" s="113"/>
      <c r="K19" s="113"/>
      <c r="L19" s="114"/>
      <c r="M19" s="84"/>
    </row>
    <row r="20" ht="19.5" customHeight="1">
      <c r="A20" s="112"/>
      <c r="B20" s="113" t="str">
        <f>IF(C20&lt;&gt;"",7,"")</f>
        <v/>
      </c>
      <c r="C20" s="113"/>
      <c r="D20" s="113"/>
      <c r="E20" s="114"/>
      <c r="F20" s="115"/>
      <c r="G20" s="116"/>
      <c r="H20" s="112"/>
      <c r="I20" s="113" t="str">
        <f>IF(J20&lt;&gt;"",7,"")</f>
        <v/>
      </c>
      <c r="J20" s="113"/>
      <c r="K20" s="113"/>
      <c r="L20" s="114"/>
      <c r="M20" s="84"/>
    </row>
    <row r="21" ht="19.5" customHeight="1">
      <c r="A21" s="112"/>
      <c r="B21" s="113" t="str">
        <f>IF(C21&lt;&gt;"",8,"")</f>
        <v/>
      </c>
      <c r="C21" s="113"/>
      <c r="D21" s="113"/>
      <c r="E21" s="114"/>
      <c r="F21" s="115"/>
      <c r="G21" s="116"/>
      <c r="H21" s="112"/>
      <c r="I21" s="113" t="str">
        <f>IF(J21&lt;&gt;"",8,"")</f>
        <v/>
      </c>
      <c r="J21" s="113"/>
      <c r="K21" s="113"/>
      <c r="L21" s="114"/>
      <c r="M21" s="84"/>
    </row>
    <row r="22" ht="19.5" customHeight="1">
      <c r="A22" s="112"/>
      <c r="B22" s="113" t="str">
        <f>IF(C22&lt;&gt;"",9,"")</f>
        <v/>
      </c>
      <c r="C22" s="113"/>
      <c r="D22" s="113"/>
      <c r="E22" s="114"/>
      <c r="F22" s="115"/>
      <c r="G22" s="116"/>
      <c r="H22" s="112"/>
      <c r="I22" s="113" t="str">
        <f>IF(J22&lt;&gt;"",9,"")</f>
        <v/>
      </c>
      <c r="J22" s="113"/>
      <c r="K22" s="113"/>
      <c r="L22" s="114"/>
      <c r="M22" s="84"/>
    </row>
    <row r="23" ht="19.5" customHeight="1">
      <c r="A23" s="112"/>
      <c r="B23" s="113" t="str">
        <f>IF(C23&lt;&gt;"",10,"")</f>
        <v/>
      </c>
      <c r="C23" s="113"/>
      <c r="D23" s="113"/>
      <c r="E23" s="114"/>
      <c r="F23" s="115"/>
      <c r="G23" s="116"/>
      <c r="H23" s="112"/>
      <c r="I23" s="113" t="str">
        <f>IF(J23&lt;&gt;"",10,"")</f>
        <v/>
      </c>
      <c r="J23" s="113"/>
      <c r="K23" s="113"/>
      <c r="L23" s="114"/>
      <c r="M23" s="84"/>
    </row>
    <row r="24" ht="19.5" customHeight="1">
      <c r="A24" s="112"/>
      <c r="B24" s="118" t="str">
        <f>IF(C24&lt;&gt;"",11,"")</f>
        <v/>
      </c>
      <c r="C24" s="118"/>
      <c r="D24" s="118"/>
      <c r="E24" s="119"/>
      <c r="F24" s="115"/>
      <c r="G24" s="116"/>
      <c r="H24" s="112"/>
      <c r="I24" s="118" t="str">
        <f>IF(J24&lt;&gt;"",11,"")</f>
        <v/>
      </c>
      <c r="J24" s="118"/>
      <c r="K24" s="118"/>
      <c r="L24" s="119"/>
      <c r="M24" s="84"/>
    </row>
    <row r="25" ht="15.75" customHeight="1">
      <c r="A25" s="120"/>
      <c r="B25" s="121"/>
      <c r="C25" s="121"/>
      <c r="D25" s="121"/>
      <c r="E25" s="121"/>
      <c r="F25" s="122"/>
      <c r="G25" s="123"/>
      <c r="H25" s="120"/>
      <c r="I25" s="121"/>
      <c r="J25" s="121"/>
      <c r="K25" s="121"/>
      <c r="L25" s="121"/>
      <c r="M25" s="84"/>
    </row>
    <row r="26" ht="15.75" customHeight="1">
      <c r="A26" s="120"/>
      <c r="B26" s="121"/>
      <c r="C26" s="113"/>
      <c r="D26" s="124" t="s">
        <v>194</v>
      </c>
      <c r="E26" s="125" t="str">
        <f>SUM(E14:E25)</f>
        <v>#REF!</v>
      </c>
      <c r="F26" s="122"/>
      <c r="G26" s="123"/>
      <c r="H26" s="120"/>
      <c r="I26" s="121"/>
      <c r="J26" s="113"/>
      <c r="K26" s="124" t="s">
        <v>194</v>
      </c>
      <c r="L26" s="126" t="str">
        <f>SUM(L14:L25)</f>
        <v>#REF!</v>
      </c>
      <c r="M26" s="84"/>
    </row>
    <row r="27" ht="25.5" customHeight="1">
      <c r="A27" s="105"/>
      <c r="B27" s="100"/>
      <c r="C27" s="100"/>
      <c r="D27" s="124" t="s">
        <v>347</v>
      </c>
      <c r="E27" s="100" t="str">
        <f>E26-(E26/1.07)</f>
        <v>#REF!</v>
      </c>
      <c r="F27" s="106"/>
      <c r="G27" s="107"/>
      <c r="H27" s="105"/>
      <c r="I27" s="100"/>
      <c r="J27" s="100"/>
      <c r="K27" s="124" t="s">
        <v>347</v>
      </c>
      <c r="L27" s="114" t="str">
        <f>L26-(L26/1.07)</f>
        <v>#REF!</v>
      </c>
      <c r="M27" s="84"/>
    </row>
    <row r="28" ht="15.75" customHeight="1">
      <c r="A28" s="105"/>
      <c r="B28" s="100"/>
      <c r="C28" s="100"/>
      <c r="D28" s="124" t="s">
        <v>348</v>
      </c>
      <c r="E28" s="100" t="str">
        <f>E26-E27</f>
        <v>#REF!</v>
      </c>
      <c r="F28" s="106"/>
      <c r="G28" s="107"/>
      <c r="H28" s="105"/>
      <c r="I28" s="100"/>
      <c r="J28" s="100"/>
      <c r="K28" s="124" t="s">
        <v>348</v>
      </c>
      <c r="L28" s="114" t="str">
        <f>L26-L27</f>
        <v>#REF!</v>
      </c>
      <c r="M28" s="84"/>
    </row>
    <row r="29" ht="21.0" customHeight="1">
      <c r="A29" s="105"/>
      <c r="B29" s="100"/>
      <c r="C29" s="100" t="str">
        <f>"("&amp;BAHTTEXT(E29)&amp;")"</f>
        <v>#REF!</v>
      </c>
      <c r="D29" s="124" t="s">
        <v>349</v>
      </c>
      <c r="E29" s="100" t="str">
        <f>E27+E28</f>
        <v>#REF!</v>
      </c>
      <c r="F29" s="106"/>
      <c r="G29" s="107"/>
      <c r="H29" s="105"/>
      <c r="I29" s="100"/>
      <c r="J29" s="100" t="str">
        <f>"("&amp;BAHTTEXT(L29)&amp;")"</f>
        <v>#REF!</v>
      </c>
      <c r="K29" s="124" t="s">
        <v>349</v>
      </c>
      <c r="L29" s="114" t="str">
        <f>L27+L28</f>
        <v>#REF!</v>
      </c>
      <c r="M29" s="84"/>
    </row>
    <row r="30" ht="15.75" customHeight="1">
      <c r="A30" s="105"/>
      <c r="B30" s="100"/>
      <c r="C30" s="100"/>
      <c r="D30" s="127"/>
      <c r="E30" s="100"/>
      <c r="F30" s="106"/>
      <c r="G30" s="107"/>
      <c r="H30" s="105"/>
      <c r="I30" s="100"/>
      <c r="J30" s="100"/>
      <c r="K30" s="127"/>
      <c r="L30" s="100"/>
      <c r="M30" s="84"/>
    </row>
    <row r="31" ht="15.75" customHeight="1">
      <c r="A31" s="105"/>
      <c r="B31" s="100"/>
      <c r="C31" s="100"/>
      <c r="D31" s="100"/>
      <c r="E31" s="100"/>
      <c r="F31" s="106"/>
      <c r="G31" s="107"/>
      <c r="H31" s="105"/>
      <c r="I31" s="100"/>
      <c r="J31" s="100"/>
      <c r="K31" s="100"/>
      <c r="L31" s="100"/>
      <c r="M31" s="84"/>
    </row>
    <row r="32" ht="15.75" customHeight="1">
      <c r="A32" s="105"/>
      <c r="B32" s="100"/>
      <c r="C32" s="100"/>
      <c r="D32" s="100"/>
      <c r="E32" s="100"/>
      <c r="F32" s="106"/>
      <c r="G32" s="107"/>
      <c r="H32" s="105"/>
      <c r="I32" s="100"/>
      <c r="J32" s="100"/>
      <c r="K32" s="100"/>
      <c r="L32" s="100"/>
      <c r="M32" s="84"/>
    </row>
    <row r="33" ht="15.75" customHeight="1">
      <c r="A33" s="105"/>
      <c r="B33" s="100"/>
      <c r="C33" s="100"/>
      <c r="D33" s="100"/>
      <c r="E33" s="100"/>
      <c r="F33" s="106"/>
      <c r="G33" s="107"/>
      <c r="H33" s="105"/>
      <c r="I33" s="100"/>
      <c r="J33" s="100"/>
      <c r="K33" s="100"/>
      <c r="L33" s="100"/>
      <c r="M33" s="84"/>
    </row>
    <row r="34" ht="15.75" customHeight="1">
      <c r="A34" s="105"/>
      <c r="B34" s="100"/>
      <c r="C34" s="100"/>
      <c r="D34" s="100"/>
      <c r="E34" s="100"/>
      <c r="F34" s="106"/>
      <c r="G34" s="107"/>
      <c r="H34" s="105"/>
      <c r="I34" s="100"/>
      <c r="J34" s="100"/>
      <c r="K34" s="10" t="str">
        <f>D35</f>
        <v/>
      </c>
      <c r="L34" s="100"/>
      <c r="M34" s="84"/>
    </row>
    <row r="35" ht="15.75" customHeight="1">
      <c r="A35" s="85"/>
      <c r="C35" s="128"/>
      <c r="D35" s="100"/>
      <c r="E35" s="100"/>
      <c r="F35" s="89"/>
      <c r="G35" s="129"/>
      <c r="H35" s="85"/>
      <c r="J35" s="100"/>
      <c r="K35" s="100"/>
      <c r="L35" s="100"/>
      <c r="M35" s="84"/>
    </row>
    <row r="36" ht="15.75" customHeight="1">
      <c r="A36" s="105"/>
      <c r="B36" s="100"/>
      <c r="C36" s="100"/>
      <c r="D36" s="100"/>
      <c r="E36" s="100"/>
      <c r="F36" s="106"/>
      <c r="G36" s="107"/>
      <c r="H36" s="105"/>
      <c r="I36" s="100"/>
      <c r="J36" s="100"/>
      <c r="K36" s="100"/>
      <c r="L36" s="100"/>
      <c r="M36" s="84"/>
    </row>
    <row r="37" ht="15.75" customHeight="1">
      <c r="A37" s="105"/>
      <c r="B37" s="100"/>
      <c r="C37" s="100"/>
      <c r="D37" s="100"/>
      <c r="E37" s="100"/>
      <c r="F37" s="106"/>
      <c r="G37" s="107"/>
      <c r="H37" s="105"/>
      <c r="I37" s="100"/>
      <c r="J37" s="100"/>
      <c r="K37" s="100"/>
      <c r="L37" s="100"/>
      <c r="M37" s="84"/>
    </row>
    <row r="38" ht="15.75" customHeight="1">
      <c r="A38" s="130"/>
      <c r="B38" s="131"/>
      <c r="C38" s="132"/>
      <c r="D38" s="131"/>
      <c r="E38" s="131"/>
      <c r="F38" s="133"/>
      <c r="G38" s="134"/>
      <c r="H38" s="130"/>
      <c r="I38" s="131"/>
      <c r="J38" s="131"/>
      <c r="K38" s="131"/>
      <c r="L38" s="131"/>
      <c r="M38" s="135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qref="E3">
      <formula1>' รายการเข้าพัก'!$B$2:$B38</formula1>
    </dataValidation>
  </dataValidations>
  <printOptions horizontalCentered="1" verticalCentered="1"/>
  <pageMargins bottom="0.19295236610275202" footer="0.0" header="0.0" left="0.16400951118733922" right="0.16400951118733922" top="0.19295236610275202"/>
  <pageSetup fitToHeight="0" paperSize="9" orientation="landscape"/>
  <drawing r:id="rId1"/>
</worksheet>
</file>
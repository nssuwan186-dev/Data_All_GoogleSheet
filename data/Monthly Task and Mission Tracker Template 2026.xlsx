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empty template" sheetId="2" r:id="rId6"/>
    <sheet state="visible" name="wax.run" sheetId="3" r:id="rId7"/>
    <sheet state="visible" name="wax.log" sheetId="4" r:id="rId8"/>
  </sheets>
  <definedNames/>
  <calcPr/>
</workbook>
</file>

<file path=xl/sharedStrings.xml><?xml version="1.0" encoding="utf-8"?>
<sst xmlns="http://schemas.openxmlformats.org/spreadsheetml/2006/main" count="89" uniqueCount="84">
  <si>
    <t>วันที่</t>
  </si>
  <si>
    <t>เดือน</t>
  </si>
  <si>
    <t>ปี</t>
  </si>
  <si>
    <t>วันสำคัญประจำปี</t>
  </si>
  <si>
    <t>บ้านเช่า</t>
  </si>
  <si>
    <t>ห้องเช่า</t>
  </si>
  <si>
    <t>รายจ่ายประจำเดือน</t>
  </si>
  <si>
    <t>พนักงาน</t>
  </si>
  <si>
    <t>มกราคม</t>
  </si>
  <si>
    <t>วันขึ้นปีใหม่</t>
  </si>
  <si>
    <t>บ้านคุณแตงโม</t>
  </si>
  <si>
    <t>A204</t>
  </si>
  <si>
    <t>ค่าขยะ (เทศบาล)</t>
  </si>
  <si>
    <t>กุมภาพันธ์</t>
  </si>
  <si>
    <t>วันหยุดทำการเพิ่มเป็นกรณีพิเศษ</t>
  </si>
  <si>
    <t>บ้านแฝดชมพู</t>
  </si>
  <si>
    <t>A205</t>
  </si>
  <si>
    <t>ค่าธรรมเนียม (อ.บ.จ)</t>
  </si>
  <si>
    <t>มีนาคม</t>
  </si>
  <si>
    <t>วันมาฆบูชา</t>
  </si>
  <si>
    <t xml:space="preserve">บ้านแสนสำราญ  2 </t>
  </si>
  <si>
    <t>A206</t>
  </si>
  <si>
    <t>ค่าน้ำ (โรงแรม)</t>
  </si>
  <si>
    <t>เมษายน</t>
  </si>
  <si>
    <t>วันจักรี</t>
  </si>
  <si>
    <t>บ้านแฝด 1</t>
  </si>
  <si>
    <t>A207</t>
  </si>
  <si>
    <t>ค่าไฟ (โรงแรม)</t>
  </si>
  <si>
    <t>พฤษภาคม</t>
  </si>
  <si>
    <t>วันสงกรานต์</t>
  </si>
  <si>
    <t>บ้านแฝด 2</t>
  </si>
  <si>
    <t>A208</t>
  </si>
  <si>
    <t>ค่าไฟป้าย (โรงแรม)</t>
  </si>
  <si>
    <t>มิถุนายน</t>
  </si>
  <si>
    <t>A211</t>
  </si>
  <si>
    <t>ค่าทำบัญชี (ชัยการบัญชี)</t>
  </si>
  <si>
    <t>กรกฎาคม</t>
  </si>
  <si>
    <t>ค่าน้ำส่งประกันสังคม</t>
  </si>
  <si>
    <t>สิงหาคม</t>
  </si>
  <si>
    <t>วันแรงงานแห่งชาติ</t>
  </si>
  <si>
    <t>กันยายน</t>
  </si>
  <si>
    <t>วันฉัตรมงคล</t>
  </si>
  <si>
    <t>ตุลาคม</t>
  </si>
  <si>
    <t>วันวิสาขบูชา</t>
  </si>
  <si>
    <t>พฤศจิกายน</t>
  </si>
  <si>
    <t>วันหยุดชดเชยวันวิสาขบูชา</t>
  </si>
  <si>
    <t>ธันวาคม</t>
  </si>
  <si>
    <t>วันเฉลิมพระชนมพรรษาสมเด็จพระนางเจ้าฯ พระบรมราชินี</t>
  </si>
  <si>
    <t>วันพระบรมราชสมภพ ร.10 (วันพ่อ)</t>
  </si>
  <si>
    <t>วันอาสาฬหบูชา</t>
  </si>
  <si>
    <t>วันเข้าพรรษา</t>
  </si>
  <si>
    <t>วันเฉลิมพระชนมพรรษา สมเด็จพระบรมราชชนนีพันปีหลวง (วันแม่)</t>
  </si>
  <si>
    <t>วันคล้ายวันสวรรคต ร.9</t>
  </si>
  <si>
    <t>วันปิยมหาราช</t>
  </si>
  <si>
    <t>วันคล้ายวันพระบรมราชสมภพ ร.9 (วันพ่อ)</t>
  </si>
  <si>
    <t>วันหยุดชดเชย วันพ่อแห่งชาติ</t>
  </si>
  <si>
    <t>วันรัฐธรรมนูญ</t>
  </si>
  <si>
    <t>วันสิ้นปี</t>
  </si>
  <si>
    <t>Task Progress</t>
  </si>
  <si>
    <t>Monthly Mission Progress</t>
  </si>
  <si>
    <t>งานที่ยังไม่สำเร็จ</t>
  </si>
  <si>
    <t>งานที่สำเร็จ</t>
  </si>
  <si>
    <t>เป้าหมายที่ยังไม่สำเร็จ</t>
  </si>
  <si>
    <t>เป้าหมายที่ทำสำเร็จ</t>
  </si>
  <si>
    <t>จันทร์</t>
  </si>
  <si>
    <t>อังคาร</t>
  </si>
  <si>
    <t>พุธ</t>
  </si>
  <si>
    <t>พฤหัส</t>
  </si>
  <si>
    <t>ศุกร์</t>
  </si>
  <si>
    <t>เสาร์</t>
  </si>
  <si>
    <t>อาทิตย์</t>
  </si>
  <si>
    <t>เป้าหมายประจำเดือน</t>
  </si>
  <si>
    <t>owner</t>
  </si>
  <si>
    <t>nssuwan186@gmail.com</t>
  </si>
  <si>
    <t>valid</t>
  </si>
  <si>
    <t>docs</t>
  </si>
  <si>
    <t>https://waxdotrun.notion.site/Configuration-wax-run-Sheet-07641fda08804f6181252bd267ddc6af</t>
  </si>
  <si>
    <t>{
    "uuid": "c8b401bedb7b48b7b56512e8a91a2d18",
    "spreadsheetId": "18xW0VPqnqpJUvQbcE33oxwqpd6H2gUSIF-TnDSFdw0E",
    "integrationId": null,
    "actions": {},
    "buttons": {},
    "schedule": {}
}</t>
  </si>
  <si>
    <t>email</t>
  </si>
  <si>
    <t>date</t>
  </si>
  <si>
    <t>sheet</t>
  </si>
  <si>
    <t>message</t>
  </si>
  <si>
    <t>wax.run</t>
  </si>
  <si>
    <t>wax.run and wax.log added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</si>
</sst>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&quot;-&quot;mmm&quot;-&quot;yy"/>
    <numFmt numFmtId="165" formatCode="yyyy"/>
    <numFmt numFmtId="166" formatCode="d&quot;/&quot;mmmm&quot;/&quot;yyyy"/>
    <numFmt numFmtId="167" formatCode="d"/>
    <numFmt numFmtId="168" formatCode="[$฿-41E]#,##0.00"/>
  </numFmts>
  <fonts count="25">
    <font>
      <sz val="10.0"/>
      <color rgb="FF000000"/>
      <name val="Arial"/>
      <scheme val="minor"/>
    </font>
    <font>
      <b/>
      <sz val="13.0"/>
      <color theme="1"/>
      <name val="Kanit"/>
    </font>
    <font>
      <b/>
      <sz val="13.0"/>
      <color rgb="FF000000"/>
      <name val="Kanit"/>
    </font>
    <font>
      <color theme="1"/>
      <name val="Arial"/>
      <scheme val="minor"/>
    </font>
    <font>
      <sz val="9.0"/>
      <color theme="1"/>
      <name val="Kanit"/>
    </font>
    <font>
      <sz val="9.0"/>
      <color theme="1"/>
      <name val="Google Sans Mono"/>
    </font>
    <font>
      <color theme="1"/>
      <name val="Kanit"/>
    </font>
    <font>
      <b/>
      <sz val="14.0"/>
      <color theme="1"/>
      <name val="Kanit"/>
    </font>
    <font>
      <b/>
      <sz val="12.0"/>
      <color rgb="FF3674B5"/>
      <name val="Kanit"/>
    </font>
    <font>
      <b/>
      <sz val="19.0"/>
      <color theme="1"/>
      <name val="Kanit"/>
    </font>
    <font/>
    <font>
      <b/>
      <color theme="1"/>
      <name val="Kanit"/>
    </font>
    <font>
      <b/>
      <sz val="15.0"/>
      <color theme="1"/>
      <name val="Kanit"/>
    </font>
    <font>
      <b/>
      <sz val="17.0"/>
      <color theme="1"/>
      <name val="Kanit"/>
    </font>
    <font>
      <sz val="15.0"/>
      <color theme="1"/>
      <name val="Kanit"/>
    </font>
    <font>
      <b/>
      <sz val="15.0"/>
      <color rgb="FFD1F8EF"/>
      <name val="Kanit"/>
    </font>
    <font>
      <b/>
      <sz val="15.0"/>
      <color rgb="FF3674B5"/>
      <name val="Kanit"/>
    </font>
    <font>
      <color rgb="FF3674B5"/>
      <name val="Kanit"/>
    </font>
    <font>
      <sz val="10.0"/>
      <color rgb="FF3674B5"/>
      <name val="Kanit"/>
    </font>
    <font>
      <sz val="8.0"/>
      <color theme="1"/>
      <name val="Kanit"/>
    </font>
    <font>
      <sz val="8.0"/>
      <color rgb="FF3674B5"/>
      <name val="Kanit"/>
    </font>
    <font>
      <sz val="10.0"/>
      <color theme="1"/>
      <name val="Kanit"/>
    </font>
    <font>
      <b/>
      <color rgb="FFFFFFFF"/>
      <name val="Arial"/>
      <scheme val="minor"/>
    </font>
    <font>
      <u/>
      <color rgb="FF0000FF"/>
    </font>
    <font>
      <sz val="11.0"/>
      <color theme="1"/>
      <name val="Roboto Mon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FAF5"/>
        <bgColor rgb="FFE6FAF5"/>
      </patternFill>
    </fill>
    <fill>
      <patternFill patternType="solid">
        <fgColor rgb="FFF4CCCC"/>
        <bgColor rgb="FFF4CCCC"/>
      </patternFill>
    </fill>
    <fill>
      <patternFill patternType="solid">
        <fgColor rgb="FFD1F8EF"/>
        <bgColor rgb="FFD1F8EF"/>
      </patternFill>
    </fill>
    <fill>
      <patternFill patternType="solid">
        <fgColor rgb="FFF4FCFA"/>
        <bgColor rgb="FFF4FCFA"/>
      </patternFill>
    </fill>
    <fill>
      <patternFill patternType="solid">
        <fgColor rgb="FF3674B5"/>
        <bgColor rgb="FF3674B5"/>
      </patternFill>
    </fill>
    <fill>
      <patternFill patternType="solid">
        <fgColor rgb="FFA1E3F9"/>
        <bgColor rgb="FFA1E3F9"/>
      </patternFill>
    </fill>
    <fill>
      <patternFill patternType="solid">
        <fgColor rgb="FF1A202C"/>
        <bgColor rgb="FF1A202C"/>
      </patternFill>
    </fill>
    <fill>
      <patternFill patternType="solid">
        <fgColor rgb="FFD9D9D9"/>
        <bgColor rgb="FFD9D9D9"/>
      </patternFill>
    </fill>
  </fills>
  <borders count="14">
    <border/>
    <border>
      <top style="thin">
        <color rgb="FFA1E3F9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DFFFE"/>
      </left>
      <top style="thin">
        <color rgb="FFFDFFFE"/>
      </top>
      <bottom style="thin">
        <color rgb="FFFDFFFE"/>
      </bottom>
    </border>
    <border>
      <right style="thin">
        <color rgb="FFFDFFFE"/>
      </right>
      <top style="thin">
        <color rgb="FFFDFFFE"/>
      </top>
      <bottom style="thin">
        <color rgb="FFFDFFFE"/>
      </bottom>
    </border>
    <border>
      <left style="thin">
        <color rgb="FFA1E3F9"/>
      </left>
      <top style="thin">
        <color rgb="FFA1E3F9"/>
      </top>
    </border>
    <border>
      <right style="thin">
        <color rgb="FFA1E3F9"/>
      </right>
      <top style="thin">
        <color rgb="FFA1E3F9"/>
      </top>
    </border>
    <border>
      <left style="thin">
        <color rgb="FFA1E3F9"/>
      </left>
    </border>
    <border>
      <right style="thin">
        <color rgb="FFA1E3F9"/>
      </right>
    </border>
    <border>
      <left style="thin">
        <color rgb="FFA1E3F9"/>
      </left>
      <bottom style="thin">
        <color rgb="FFA1E3F9"/>
      </bottom>
    </border>
    <border>
      <right style="thin">
        <color rgb="FFA1E3F9"/>
      </right>
      <bottom style="thin">
        <color rgb="FFA1E3F9"/>
      </bottom>
    </border>
    <border>
      <bottom style="thin">
        <color rgb="FFA1E3F9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2" fontId="2" numFmtId="164" xfId="0" applyAlignment="1" applyBorder="1" applyFont="1" applyNumberFormat="1">
      <alignment horizontal="center" readingOrder="0" vertical="center"/>
    </xf>
    <xf borderId="0" fillId="2" fontId="2" numFmtId="49" xfId="0" applyAlignment="1" applyFont="1" applyNumberFormat="1">
      <alignment horizontal="center" readingOrder="0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 vertical="center"/>
    </xf>
    <xf borderId="0" fillId="0" fontId="5" numFmtId="165" xfId="0" applyAlignment="1" applyFont="1" applyNumberFormat="1">
      <alignment horizontal="center" readingOrder="0"/>
    </xf>
    <xf borderId="0" fillId="2" fontId="4" numFmtId="166" xfId="0" applyAlignment="1" applyFont="1" applyNumberFormat="1">
      <alignment horizontal="center" readingOrder="0" vertical="center"/>
    </xf>
    <xf borderId="0" fillId="2" fontId="4" numFmtId="49" xfId="0" applyAlignment="1" applyFont="1" applyNumberFormat="1">
      <alignment horizontal="center" vertical="center"/>
    </xf>
    <xf borderId="0" fillId="2" fontId="4" numFmtId="49" xfId="0" applyAlignment="1" applyFont="1" applyNumberFormat="1">
      <alignment horizontal="center" readingOrder="0" vertical="center"/>
    </xf>
    <xf borderId="0" fillId="2" fontId="4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3" fontId="9" numFmtId="0" xfId="0" applyAlignment="1" applyFill="1" applyFont="1">
      <alignment horizontal="center" readingOrder="0" shrinkToFit="0" vertical="center" wrapText="1"/>
    </xf>
    <xf borderId="2" fillId="3" fontId="6" numFmtId="0" xfId="0" applyAlignment="1" applyBorder="1" applyFont="1">
      <alignment horizontal="center" readingOrder="0" vertical="center"/>
    </xf>
    <xf borderId="3" fillId="0" fontId="10" numFmtId="0" xfId="0" applyBorder="1" applyFont="1"/>
    <xf borderId="4" fillId="0" fontId="10" numFmtId="0" xfId="0" applyBorder="1" applyFont="1"/>
    <xf borderId="0" fillId="0" fontId="11" numFmtId="9" xfId="0" applyAlignment="1" applyFont="1" applyNumberFormat="1">
      <alignment horizontal="left" shrinkToFit="0" vertical="center" wrapText="0"/>
    </xf>
    <xf borderId="0" fillId="4" fontId="12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5" fontId="12" numFmtId="0" xfId="0" applyAlignment="1" applyFill="1" applyFont="1">
      <alignment horizontal="center" readingOrder="0" shrinkToFit="0" vertical="center" wrapText="1"/>
    </xf>
    <xf borderId="5" fillId="6" fontId="13" numFmtId="0" xfId="0" applyAlignment="1" applyBorder="1" applyFill="1" applyFont="1">
      <alignment horizontal="center" readingOrder="0" vertical="center"/>
    </xf>
    <xf borderId="6" fillId="0" fontId="10" numFmtId="0" xfId="0" applyBorder="1" applyFont="1"/>
    <xf borderId="0" fillId="6" fontId="7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7" fillId="7" fontId="15" numFmtId="0" xfId="0" applyAlignment="1" applyBorder="1" applyFill="1" applyFont="1">
      <alignment horizontal="center" readingOrder="0" vertical="center"/>
    </xf>
    <xf borderId="1" fillId="0" fontId="10" numFmtId="0" xfId="0" applyBorder="1" applyFont="1"/>
    <xf borderId="0" fillId="7" fontId="15" numFmtId="0" xfId="0" applyAlignment="1" applyFont="1">
      <alignment horizontal="center" readingOrder="0" vertical="center"/>
    </xf>
    <xf borderId="0" fillId="0" fontId="14" numFmtId="0" xfId="0" applyAlignment="1" applyFont="1">
      <alignment vertical="center"/>
    </xf>
    <xf borderId="8" fillId="0" fontId="10" numFmtId="0" xfId="0" applyBorder="1" applyFont="1"/>
    <xf borderId="0" fillId="0" fontId="14" numFmtId="167" xfId="0" applyAlignment="1" applyFont="1" applyNumberFormat="1">
      <alignment horizontal="left" vertical="center"/>
    </xf>
    <xf borderId="9" fillId="8" fontId="16" numFmtId="167" xfId="0" applyAlignment="1" applyBorder="1" applyFill="1" applyFont="1" applyNumberFormat="1">
      <alignment horizontal="center" vertical="center"/>
    </xf>
    <xf borderId="0" fillId="8" fontId="16" numFmtId="167" xfId="0" applyAlignment="1" applyFont="1" applyNumberFormat="1">
      <alignment horizontal="center" vertical="center"/>
    </xf>
    <xf borderId="9" fillId="0" fontId="10" numFmtId="0" xfId="0" applyBorder="1" applyFont="1"/>
    <xf borderId="10" fillId="0" fontId="10" numFmtId="0" xfId="0" applyBorder="1" applyFont="1"/>
    <xf borderId="0" fillId="0" fontId="6" numFmtId="167" xfId="0" applyAlignment="1" applyFont="1" applyNumberFormat="1">
      <alignment horizontal="left" vertical="center"/>
    </xf>
    <xf borderId="9" fillId="3" fontId="17" numFmtId="167" xfId="0" applyAlignment="1" applyBorder="1" applyFont="1" applyNumberFormat="1">
      <alignment horizontal="center" vertical="center"/>
    </xf>
    <xf borderId="0" fillId="3" fontId="17" numFmtId="167" xfId="0" applyAlignment="1" applyFont="1" applyNumberFormat="1">
      <alignment horizontal="center" vertical="center"/>
    </xf>
    <xf borderId="9" fillId="6" fontId="6" numFmtId="0" xfId="0" applyAlignment="1" applyBorder="1" applyFont="1">
      <alignment horizontal="center" readingOrder="0" vertical="center"/>
    </xf>
    <xf borderId="10" fillId="6" fontId="18" numFmtId="0" xfId="0" applyAlignment="1" applyBorder="1" applyFont="1">
      <alignment readingOrder="0" vertical="center"/>
    </xf>
    <xf borderId="0" fillId="0" fontId="19" numFmtId="167" xfId="0" applyAlignment="1" applyFont="1" applyNumberFormat="1">
      <alignment horizontal="left" vertical="center"/>
    </xf>
    <xf borderId="9" fillId="6" fontId="19" numFmtId="167" xfId="0" applyAlignment="1" applyBorder="1" applyFont="1" applyNumberFormat="1">
      <alignment horizontal="center" vertical="center"/>
    </xf>
    <xf borderId="0" fillId="6" fontId="20" numFmtId="167" xfId="0" applyAlignment="1" applyFont="1" applyNumberFormat="1">
      <alignment horizontal="left" vertical="center"/>
    </xf>
    <xf borderId="0" fillId="6" fontId="19" numFmtId="0" xfId="0" applyAlignment="1" applyFont="1">
      <alignment horizontal="center" readingOrder="0" vertical="center"/>
    </xf>
    <xf borderId="0" fillId="6" fontId="20" numFmtId="0" xfId="0" applyAlignment="1" applyFont="1">
      <alignment horizontal="left" readingOrder="0" vertical="center"/>
    </xf>
    <xf borderId="0" fillId="6" fontId="21" numFmtId="0" xfId="0" applyAlignment="1" applyFont="1">
      <alignment horizontal="center" readingOrder="0" vertical="center"/>
    </xf>
    <xf borderId="10" fillId="6" fontId="20" numFmtId="0" xfId="0" applyAlignment="1" applyBorder="1" applyFont="1">
      <alignment horizontal="left" readingOrder="0" vertical="center"/>
    </xf>
    <xf borderId="0" fillId="6" fontId="19" numFmtId="167" xfId="0" applyAlignment="1" applyFont="1" applyNumberFormat="1">
      <alignment horizontal="center" vertical="center"/>
    </xf>
    <xf borderId="0" fillId="6" fontId="20" numFmtId="168" xfId="0" applyAlignment="1" applyFont="1" applyNumberFormat="1">
      <alignment horizontal="left" vertical="center"/>
    </xf>
    <xf borderId="10" fillId="6" fontId="20" numFmtId="0" xfId="0" applyAlignment="1" applyBorder="1" applyFont="1">
      <alignment horizontal="left" vertical="center"/>
    </xf>
    <xf borderId="0" fillId="6" fontId="21" numFmtId="167" xfId="0" applyAlignment="1" applyFont="1" applyNumberFormat="1">
      <alignment horizontal="center" vertical="center"/>
    </xf>
    <xf borderId="9" fillId="6" fontId="21" numFmtId="0" xfId="0" applyAlignment="1" applyBorder="1" applyFont="1">
      <alignment horizontal="center" readingOrder="0" vertical="center"/>
    </xf>
    <xf borderId="0" fillId="6" fontId="18" numFmtId="0" xfId="0" applyAlignment="1" applyFont="1">
      <alignment horizontal="left" readingOrder="0" vertical="center"/>
    </xf>
    <xf borderId="10" fillId="6" fontId="18" numFmtId="0" xfId="0" applyAlignment="1" applyBorder="1" applyFont="1">
      <alignment horizontal="left" readingOrder="0" vertical="center"/>
    </xf>
    <xf borderId="0" fillId="6" fontId="18" numFmtId="167" xfId="0" applyAlignment="1" applyFont="1" applyNumberFormat="1">
      <alignment horizontal="left" vertical="center"/>
    </xf>
    <xf borderId="10" fillId="6" fontId="18" numFmtId="0" xfId="0" applyAlignment="1" applyBorder="1" applyFont="1">
      <alignment horizontal="left" vertical="center"/>
    </xf>
    <xf borderId="9" fillId="6" fontId="6" numFmtId="0" xfId="0" applyAlignment="1" applyBorder="1" applyFont="1">
      <alignment horizontal="center" vertical="center"/>
    </xf>
    <xf borderId="10" fillId="6" fontId="18" numFmtId="0" xfId="0" applyAlignment="1" applyBorder="1" applyFont="1">
      <alignment vertical="center"/>
    </xf>
    <xf borderId="9" fillId="6" fontId="21" numFmtId="167" xfId="0" applyAlignment="1" applyBorder="1" applyFont="1" applyNumberFormat="1">
      <alignment horizontal="center" vertical="center"/>
    </xf>
    <xf borderId="0" fillId="0" fontId="21" numFmtId="167" xfId="0" applyAlignment="1" applyFont="1" applyNumberFormat="1">
      <alignment horizontal="left" vertical="center"/>
    </xf>
    <xf borderId="11" fillId="6" fontId="6" numFmtId="0" xfId="0" applyAlignment="1" applyBorder="1" applyFont="1">
      <alignment horizontal="center" vertical="center"/>
    </xf>
    <xf borderId="12" fillId="6" fontId="18" numFmtId="0" xfId="0" applyAlignment="1" applyBorder="1" applyFont="1">
      <alignment vertical="center"/>
    </xf>
    <xf borderId="0" fillId="0" fontId="6" numFmtId="164" xfId="0" applyAlignment="1" applyFont="1" applyNumberFormat="1">
      <alignment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11" fillId="6" fontId="21" numFmtId="167" xfId="0" applyAlignment="1" applyBorder="1" applyFont="1" applyNumberFormat="1">
      <alignment horizontal="center" vertical="center"/>
    </xf>
    <xf borderId="13" fillId="6" fontId="18" numFmtId="167" xfId="0" applyAlignment="1" applyBorder="1" applyFont="1" applyNumberFormat="1">
      <alignment horizontal="left" vertical="center"/>
    </xf>
    <xf borderId="12" fillId="6" fontId="18" numFmtId="0" xfId="0" applyAlignment="1" applyBorder="1" applyFont="1">
      <alignment horizontal="left" vertical="center"/>
    </xf>
    <xf borderId="0" fillId="9" fontId="22" numFmtId="0" xfId="0" applyAlignment="1" applyFill="1" applyFont="1">
      <alignment readingOrder="0"/>
    </xf>
    <xf borderId="0" fillId="0" fontId="3" numFmtId="0" xfId="0" applyFont="1"/>
    <xf borderId="0" fillId="0" fontId="23" numFmtId="0" xfId="0" applyAlignment="1" applyFont="1">
      <alignment readingOrder="0"/>
    </xf>
    <xf borderId="0" fillId="10" fontId="24" numFmtId="0" xfId="0" applyAlignment="1" applyFill="1" applyFont="1">
      <alignment readingOrder="0"/>
    </xf>
    <xf borderId="0" fillId="0" fontId="3" numFmtId="14" xfId="0" applyAlignment="1" applyFont="1" applyNumberFormat="1">
      <alignment readingOrder="0"/>
    </xf>
  </cellXfs>
  <cellStyles count="1">
    <cellStyle xfId="0" name="Normal" builtinId="0"/>
  </cellStyles>
  <dxfs count="3">
    <dxf>
      <font>
        <color rgb="FFA1E3F9"/>
      </font>
      <fill>
        <patternFill patternType="solid">
          <fgColor rgb="FFA1E3F9"/>
          <bgColor rgb="FFA1E3F9"/>
        </patternFill>
      </fill>
      <border/>
    </dxf>
    <dxf>
      <font>
        <color rgb="FFF4FCFA"/>
      </font>
      <fill>
        <patternFill patternType="solid">
          <fgColor rgb="FFF4FCFA"/>
          <bgColor rgb="FFF4FCFA"/>
        </patternFill>
      </fill>
      <border/>
    </dxf>
    <dxf>
      <font>
        <strike/>
        <color rgb="FFABCBE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4CCCC"/>
              </a:solidFill>
            </c:spPr>
          </c:dPt>
          <c:dPt>
            <c:idx val="1"/>
            <c:spPr>
              <a:solidFill>
                <a:srgbClr val="D1F8E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('empty template'!$M$4,'empty template'!$O$4)</c:f>
            </c:strRef>
          </c:cat>
          <c:val>
            <c:numRef>
              <c:f>('empty template'!$M$5,'empty template'!$O$5)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4CCCC"/>
              </a:solidFill>
            </c:spPr>
          </c:dPt>
          <c:dPt>
            <c:idx val="1"/>
            <c:spPr>
              <a:solidFill>
                <a:srgbClr val="D1F8EF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('empty template'!$G$4,'empty template'!$I$4)</c:f>
            </c:strRef>
          </c:cat>
          <c:val>
            <c:numRef>
              <c:f>('empty template'!$G$5,'empty template'!$I$5)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  <c:spPr>
    <a:solidFill>
      <a:srgbClr val="FFFFFF">
        <a:alpha val="0"/>
      </a:srgbClr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476250</xdr:colOff>
      <xdr:row>3</xdr:row>
      <xdr:rowOff>200025</xdr:rowOff>
    </xdr:from>
    <xdr:ext cx="1028700" cy="628650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17</xdr:col>
      <xdr:colOff>381000</xdr:colOff>
      <xdr:row>3</xdr:row>
      <xdr:rowOff>200025</xdr:rowOff>
    </xdr:from>
    <xdr:ext cx="1028700" cy="628650"/>
    <xdr:graphicFrame>
      <xdr:nvGraphicFramePr>
        <xdr:cNvPr id="2" name="Chart 2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733425</xdr:colOff>
      <xdr:row>0</xdr:row>
      <xdr:rowOff>76200</xdr:rowOff>
    </xdr:from>
    <xdr:ext cx="514350" cy="514350"/>
    <xdr:grpSp>
      <xdr:nvGrpSpPr>
        <xdr:cNvPr id="2" name="Shape 2" title="ภาพวาด"/>
        <xdr:cNvGrpSpPr/>
      </xdr:nvGrpSpPr>
      <xdr:grpSpPr>
        <a:xfrm>
          <a:off x="152400" y="152400"/>
          <a:ext cx="681999" cy="681999"/>
          <a:chOff x="152400" y="152400"/>
          <a:chExt cx="681999" cy="681999"/>
        </a:xfrm>
      </xdr:grpSpPr>
      <xdr:pic>
        <xdr:nvPicPr>
          <xdr:cNvPr id="3" name="Shape 3"/>
          <xdr:cNvPicPr preferRelativeResize="0"/>
        </xdr:nvPicPr>
        <xdr:blipFill>
          <a:blip r:embed="rId3">
            <a:alphaModFix/>
          </a:blip>
          <a:stretch>
            <a:fillRect/>
          </a:stretch>
        </xdr:blipFill>
        <xdr:spPr>
          <a:xfrm>
            <a:off x="152400" y="152400"/>
            <a:ext cx="681999" cy="681999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17</xdr:col>
      <xdr:colOff>638175</xdr:colOff>
      <xdr:row>0</xdr:row>
      <xdr:rowOff>76200</xdr:rowOff>
    </xdr:from>
    <xdr:ext cx="514350" cy="514350"/>
    <xdr:grpSp>
      <xdr:nvGrpSpPr>
        <xdr:cNvPr id="2" name="Shape 2" title="ภาพวาด"/>
        <xdr:cNvGrpSpPr/>
      </xdr:nvGrpSpPr>
      <xdr:grpSpPr>
        <a:xfrm>
          <a:off x="152400" y="152400"/>
          <a:ext cx="570350" cy="570350"/>
          <a:chOff x="152400" y="152400"/>
          <a:chExt cx="570350" cy="570350"/>
        </a:xfrm>
      </xdr:grpSpPr>
      <xdr:pic>
        <xdr:nvPicPr>
          <xdr:cNvPr id="4" name="Shape 4"/>
          <xdr:cNvPicPr preferRelativeResize="0"/>
        </xdr:nvPicPr>
        <xdr:blipFill>
          <a:blip r:embed="rId4">
            <a:alphaModFix/>
          </a:blip>
          <a:stretch>
            <a:fillRect/>
          </a:stretch>
        </xdr:blipFill>
        <xdr:spPr>
          <a:xfrm>
            <a:off x="152400" y="152400"/>
            <a:ext cx="570350" cy="5703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axdotrun.notion.site/Configuration-wax-run-Sheet-07641fda08804f6181252bd267ddc6af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25"/>
    <col customWidth="1" min="2" max="2" width="10.63"/>
    <col customWidth="1" min="3" max="3" width="7.88"/>
    <col customWidth="1" min="4" max="4" width="16.88"/>
    <col customWidth="1" min="5" max="5" width="40.38"/>
    <col customWidth="1" min="6" max="6" width="14.88"/>
    <col customWidth="1" min="7" max="7" width="11.88"/>
    <col customWidth="1" min="8" max="8" width="24.88"/>
    <col customWidth="1" min="9" max="9" width="27.25"/>
  </cols>
  <sheetData>
    <row r="1" ht="24.0" customHeight="1">
      <c r="A1" s="1" t="s">
        <v>0</v>
      </c>
      <c r="B1" s="2" t="s">
        <v>1</v>
      </c>
      <c r="C1" s="3" t="s">
        <v>2</v>
      </c>
      <c r="D1" s="4" t="s">
        <v>0</v>
      </c>
      <c r="E1" s="5" t="s">
        <v>3</v>
      </c>
      <c r="F1" s="5" t="s">
        <v>4</v>
      </c>
      <c r="G1" s="5" t="s">
        <v>5</v>
      </c>
      <c r="H1" s="5" t="s">
        <v>6</v>
      </c>
      <c r="I1" s="6" t="s">
        <v>7</v>
      </c>
    </row>
    <row r="2">
      <c r="A2" s="7">
        <v>1.0</v>
      </c>
      <c r="B2" s="8" t="s">
        <v>8</v>
      </c>
      <c r="C2" s="9">
        <v>46029.0</v>
      </c>
      <c r="D2" s="10">
        <v>46023.0</v>
      </c>
      <c r="E2" s="11" t="s">
        <v>9</v>
      </c>
      <c r="F2" s="12" t="s">
        <v>10</v>
      </c>
      <c r="G2" s="12" t="s">
        <v>11</v>
      </c>
      <c r="H2" s="12" t="s">
        <v>12</v>
      </c>
      <c r="I2" s="11"/>
    </row>
    <row r="3">
      <c r="A3" s="7">
        <v>2.0</v>
      </c>
      <c r="B3" s="8" t="s">
        <v>13</v>
      </c>
      <c r="C3" s="10"/>
      <c r="D3" s="10">
        <v>46024.0</v>
      </c>
      <c r="E3" s="8" t="s">
        <v>14</v>
      </c>
      <c r="F3" s="8" t="s">
        <v>15</v>
      </c>
      <c r="G3" s="12" t="s">
        <v>16</v>
      </c>
      <c r="H3" s="8" t="s">
        <v>17</v>
      </c>
      <c r="I3" s="8"/>
    </row>
    <row r="4">
      <c r="A4" s="7">
        <v>3.0</v>
      </c>
      <c r="B4" s="8" t="s">
        <v>18</v>
      </c>
      <c r="C4" s="10"/>
      <c r="D4" s="10">
        <v>46084.0</v>
      </c>
      <c r="E4" s="8" t="s">
        <v>19</v>
      </c>
      <c r="F4" s="8" t="s">
        <v>20</v>
      </c>
      <c r="G4" s="12" t="s">
        <v>21</v>
      </c>
      <c r="H4" s="8" t="s">
        <v>22</v>
      </c>
      <c r="I4" s="8"/>
    </row>
    <row r="5">
      <c r="A5" s="7">
        <v>4.0</v>
      </c>
      <c r="B5" s="8" t="s">
        <v>23</v>
      </c>
      <c r="C5" s="10"/>
      <c r="D5" s="10">
        <v>46118.0</v>
      </c>
      <c r="E5" s="8" t="s">
        <v>24</v>
      </c>
      <c r="F5" s="8" t="s">
        <v>25</v>
      </c>
      <c r="G5" s="12" t="s">
        <v>26</v>
      </c>
      <c r="H5" s="8" t="s">
        <v>27</v>
      </c>
      <c r="I5" s="8"/>
    </row>
    <row r="6">
      <c r="A6" s="7">
        <v>5.0</v>
      </c>
      <c r="B6" s="8" t="s">
        <v>28</v>
      </c>
      <c r="C6" s="10"/>
      <c r="D6" s="10">
        <v>46125.0</v>
      </c>
      <c r="E6" s="8" t="s">
        <v>29</v>
      </c>
      <c r="F6" s="8" t="s">
        <v>30</v>
      </c>
      <c r="G6" s="12" t="s">
        <v>31</v>
      </c>
      <c r="H6" s="8" t="s">
        <v>32</v>
      </c>
      <c r="I6" s="8"/>
    </row>
    <row r="7">
      <c r="A7" s="7">
        <v>6.0</v>
      </c>
      <c r="B7" s="8" t="s">
        <v>33</v>
      </c>
      <c r="C7" s="10"/>
      <c r="D7" s="10">
        <v>46126.0</v>
      </c>
      <c r="E7" s="8" t="s">
        <v>29</v>
      </c>
      <c r="F7" s="8"/>
      <c r="G7" s="12" t="s">
        <v>34</v>
      </c>
      <c r="H7" s="8" t="s">
        <v>35</v>
      </c>
      <c r="I7" s="8"/>
    </row>
    <row r="8">
      <c r="A8" s="7">
        <v>7.0</v>
      </c>
      <c r="B8" s="8" t="s">
        <v>36</v>
      </c>
      <c r="C8" s="10"/>
      <c r="D8" s="10">
        <v>46127.0</v>
      </c>
      <c r="E8" s="8" t="s">
        <v>29</v>
      </c>
      <c r="F8" s="8"/>
      <c r="G8" s="12"/>
      <c r="H8" s="8" t="s">
        <v>37</v>
      </c>
      <c r="I8" s="8"/>
    </row>
    <row r="9">
      <c r="A9" s="7">
        <v>8.0</v>
      </c>
      <c r="B9" s="8" t="s">
        <v>38</v>
      </c>
      <c r="C9" s="10"/>
      <c r="D9" s="10">
        <v>46143.0</v>
      </c>
      <c r="E9" s="8" t="s">
        <v>39</v>
      </c>
      <c r="F9" s="8"/>
      <c r="G9" s="8"/>
      <c r="H9" s="8"/>
      <c r="I9" s="8"/>
    </row>
    <row r="10">
      <c r="A10" s="7">
        <v>9.0</v>
      </c>
      <c r="B10" s="8" t="s">
        <v>40</v>
      </c>
      <c r="C10" s="10"/>
      <c r="D10" s="10">
        <v>46146.0</v>
      </c>
      <c r="E10" s="8" t="s">
        <v>41</v>
      </c>
      <c r="F10" s="8"/>
      <c r="G10" s="8"/>
      <c r="H10" s="8"/>
      <c r="I10" s="8"/>
    </row>
    <row r="11">
      <c r="A11" s="7">
        <v>10.0</v>
      </c>
      <c r="B11" s="8" t="s">
        <v>42</v>
      </c>
      <c r="C11" s="10"/>
      <c r="D11" s="10">
        <v>46173.0</v>
      </c>
      <c r="E11" s="8" t="s">
        <v>43</v>
      </c>
      <c r="F11" s="8"/>
      <c r="G11" s="8"/>
      <c r="H11" s="8"/>
      <c r="I11" s="8"/>
    </row>
    <row r="12">
      <c r="A12" s="7">
        <v>11.0</v>
      </c>
      <c r="B12" s="8" t="s">
        <v>44</v>
      </c>
      <c r="C12" s="10"/>
      <c r="D12" s="10">
        <v>46174.0</v>
      </c>
      <c r="E12" s="8" t="s">
        <v>45</v>
      </c>
      <c r="F12" s="8"/>
      <c r="G12" s="8"/>
      <c r="H12" s="8"/>
      <c r="I12" s="8"/>
    </row>
    <row r="13">
      <c r="A13" s="7">
        <v>12.0</v>
      </c>
      <c r="B13" s="8" t="s">
        <v>46</v>
      </c>
      <c r="C13" s="10"/>
      <c r="D13" s="10">
        <v>46176.0</v>
      </c>
      <c r="E13" s="8" t="s">
        <v>47</v>
      </c>
      <c r="F13" s="8"/>
      <c r="G13" s="8"/>
      <c r="H13" s="8"/>
      <c r="I13" s="8"/>
    </row>
    <row r="14">
      <c r="A14" s="7">
        <v>13.0</v>
      </c>
      <c r="B14" s="13"/>
      <c r="C14" s="10"/>
      <c r="D14" s="10">
        <v>46231.0</v>
      </c>
      <c r="E14" s="8" t="s">
        <v>48</v>
      </c>
      <c r="F14" s="8"/>
      <c r="G14" s="8"/>
      <c r="H14" s="8"/>
      <c r="I14" s="8"/>
    </row>
    <row r="15">
      <c r="A15" s="7">
        <v>14.0</v>
      </c>
      <c r="B15" s="13"/>
      <c r="C15" s="10"/>
      <c r="D15" s="10">
        <v>46232.0</v>
      </c>
      <c r="E15" s="8" t="s">
        <v>49</v>
      </c>
      <c r="F15" s="8"/>
      <c r="G15" s="8"/>
      <c r="H15" s="8"/>
      <c r="I15" s="8"/>
    </row>
    <row r="16">
      <c r="A16" s="7">
        <v>15.0</v>
      </c>
      <c r="B16" s="13"/>
      <c r="C16" s="10"/>
      <c r="D16" s="10">
        <v>46233.0</v>
      </c>
      <c r="E16" s="8" t="s">
        <v>50</v>
      </c>
      <c r="F16" s="8"/>
      <c r="G16" s="8"/>
      <c r="H16" s="8"/>
      <c r="I16" s="8"/>
    </row>
    <row r="17">
      <c r="A17" s="7">
        <v>16.0</v>
      </c>
      <c r="B17" s="13"/>
      <c r="C17" s="10"/>
      <c r="D17" s="10">
        <v>46246.0</v>
      </c>
      <c r="E17" s="8" t="s">
        <v>51</v>
      </c>
      <c r="F17" s="8"/>
      <c r="G17" s="8"/>
      <c r="H17" s="8"/>
      <c r="I17" s="8"/>
    </row>
    <row r="18">
      <c r="A18" s="7">
        <v>17.0</v>
      </c>
      <c r="B18" s="13"/>
      <c r="C18" s="10"/>
      <c r="D18" s="10">
        <v>46278.0</v>
      </c>
      <c r="E18" s="8" t="s">
        <v>52</v>
      </c>
      <c r="F18" s="8"/>
      <c r="G18" s="8"/>
      <c r="H18" s="8"/>
      <c r="I18" s="8"/>
    </row>
    <row r="19">
      <c r="A19" s="7">
        <v>18.0</v>
      </c>
      <c r="B19" s="13"/>
      <c r="C19" s="10"/>
      <c r="D19" s="10">
        <v>46288.0</v>
      </c>
      <c r="E19" s="8" t="s">
        <v>53</v>
      </c>
      <c r="F19" s="8"/>
      <c r="G19" s="8"/>
      <c r="H19" s="8"/>
      <c r="I19" s="8"/>
    </row>
    <row r="20">
      <c r="A20" s="7">
        <v>19.0</v>
      </c>
      <c r="B20" s="13"/>
      <c r="C20" s="10"/>
      <c r="D20" s="10">
        <v>46300.0</v>
      </c>
      <c r="E20" s="8" t="s">
        <v>54</v>
      </c>
      <c r="F20" s="8"/>
      <c r="G20" s="8"/>
      <c r="H20" s="8"/>
      <c r="I20" s="8"/>
    </row>
    <row r="21">
      <c r="A21" s="7">
        <v>20.0</v>
      </c>
      <c r="B21" s="13"/>
      <c r="C21" s="10"/>
      <c r="D21" s="10">
        <v>46363.0</v>
      </c>
      <c r="E21" s="8" t="s">
        <v>55</v>
      </c>
      <c r="F21" s="8"/>
      <c r="G21" s="8"/>
      <c r="H21" s="8"/>
      <c r="I21" s="8"/>
    </row>
    <row r="22">
      <c r="A22" s="7">
        <v>21.0</v>
      </c>
      <c r="B22" s="13"/>
      <c r="C22" s="10"/>
      <c r="D22" s="10">
        <v>46366.0</v>
      </c>
      <c r="E22" s="8" t="s">
        <v>56</v>
      </c>
      <c r="F22" s="8"/>
      <c r="G22" s="8"/>
      <c r="H22" s="8"/>
      <c r="I22" s="8"/>
    </row>
    <row r="23">
      <c r="A23" s="7">
        <v>22.0</v>
      </c>
      <c r="B23" s="13"/>
      <c r="C23" s="10"/>
      <c r="D23" s="10">
        <v>46387.0</v>
      </c>
      <c r="E23" s="8" t="s">
        <v>57</v>
      </c>
      <c r="F23" s="8"/>
      <c r="G23" s="8"/>
      <c r="H23" s="8"/>
      <c r="I23" s="8"/>
    </row>
    <row r="24">
      <c r="A24" s="7">
        <v>23.0</v>
      </c>
      <c r="B24" s="13"/>
      <c r="C24" s="10"/>
      <c r="D24" s="10"/>
      <c r="E24" s="8"/>
      <c r="F24" s="8"/>
      <c r="G24" s="8"/>
      <c r="H24" s="8"/>
      <c r="I24" s="8"/>
    </row>
    <row r="25">
      <c r="A25" s="7">
        <v>24.0</v>
      </c>
      <c r="B25" s="13"/>
      <c r="C25" s="10"/>
      <c r="D25" s="10"/>
      <c r="E25" s="8"/>
      <c r="F25" s="8"/>
      <c r="G25" s="8"/>
      <c r="H25" s="8"/>
      <c r="I25" s="8"/>
    </row>
    <row r="26">
      <c r="A26" s="7">
        <v>25.0</v>
      </c>
      <c r="B26" s="13"/>
      <c r="C26" s="10"/>
      <c r="D26" s="10"/>
      <c r="E26" s="8"/>
      <c r="F26" s="8"/>
      <c r="G26" s="8"/>
      <c r="H26" s="8"/>
      <c r="I26" s="8"/>
    </row>
    <row r="27">
      <c r="A27" s="7">
        <v>26.0</v>
      </c>
      <c r="B27" s="13"/>
      <c r="C27" s="10"/>
      <c r="D27" s="10"/>
      <c r="E27" s="8"/>
      <c r="F27" s="8"/>
      <c r="G27" s="8"/>
      <c r="H27" s="8"/>
      <c r="I27" s="8"/>
    </row>
    <row r="28">
      <c r="A28" s="7">
        <v>27.0</v>
      </c>
      <c r="B28" s="13"/>
      <c r="C28" s="10"/>
      <c r="D28" s="10"/>
      <c r="E28" s="8"/>
      <c r="F28" s="8"/>
      <c r="G28" s="8"/>
      <c r="H28" s="8"/>
      <c r="I28" s="8"/>
    </row>
    <row r="29">
      <c r="A29" s="7">
        <v>28.0</v>
      </c>
      <c r="B29" s="13"/>
      <c r="C29" s="10"/>
      <c r="D29" s="10"/>
      <c r="E29" s="8"/>
      <c r="F29" s="8"/>
      <c r="G29" s="8"/>
      <c r="H29" s="8"/>
      <c r="I29" s="8"/>
    </row>
    <row r="30">
      <c r="A30" s="7">
        <v>29.0</v>
      </c>
      <c r="B30" s="13"/>
      <c r="C30" s="10"/>
      <c r="D30" s="10"/>
      <c r="E30" s="8"/>
      <c r="F30" s="8"/>
      <c r="G30" s="8"/>
      <c r="H30" s="8"/>
      <c r="I30" s="8"/>
    </row>
    <row r="31">
      <c r="A31" s="7">
        <v>30.0</v>
      </c>
      <c r="B31" s="13"/>
      <c r="C31" s="10"/>
      <c r="D31" s="10"/>
      <c r="E31" s="8"/>
      <c r="F31" s="8"/>
      <c r="G31" s="8"/>
      <c r="H31" s="8"/>
      <c r="I31" s="8"/>
    </row>
    <row r="32">
      <c r="A32" s="7">
        <v>31.0</v>
      </c>
      <c r="B32" s="13"/>
      <c r="C32" s="10"/>
      <c r="D32" s="10"/>
      <c r="E32" s="8"/>
      <c r="F32" s="8"/>
      <c r="G32" s="8"/>
      <c r="H32" s="8"/>
      <c r="I32" s="8"/>
    </row>
  </sheetData>
  <dataValidations>
    <dataValidation type="custom" allowBlank="1" showDropDown="1" sqref="C2:D32">
      <formula1>OR(NOT(ISERROR(DATEVALUE(C2))), AND(ISNUMBER(C2), LEFT(CELL("format", C2))="D"))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3.88"/>
    <col customWidth="1" min="3" max="3" width="28.13"/>
    <col customWidth="1" min="4" max="4" width="3.88"/>
    <col customWidth="1" min="5" max="5" width="28.13"/>
    <col customWidth="1" min="6" max="6" width="3.88"/>
    <col customWidth="1" min="7" max="7" width="28.13"/>
    <col customWidth="1" min="8" max="8" width="3.88"/>
    <col customWidth="1" min="9" max="9" width="28.13"/>
    <col customWidth="1" min="10" max="10" width="3.5"/>
    <col customWidth="1" min="11" max="11" width="28.13"/>
    <col customWidth="1" min="12" max="12" width="3.88"/>
    <col customWidth="1" min="13" max="13" width="28.13"/>
    <col customWidth="1" min="14" max="14" width="3.88"/>
    <col customWidth="1" min="15" max="15" width="28.13"/>
    <col customWidth="1" min="16" max="16" width="3.75"/>
    <col customWidth="1" min="17" max="17" width="4.25"/>
    <col customWidth="1" min="18" max="18" width="25.88"/>
    <col customWidth="1" min="19" max="19" width="2.75"/>
  </cols>
  <sheetData>
    <row r="1" ht="12.75" customHeight="1">
      <c r="A1" s="14"/>
      <c r="B1" s="15"/>
      <c r="C1" s="15"/>
      <c r="D1" s="15"/>
      <c r="E1" s="15"/>
      <c r="F1" s="14"/>
      <c r="G1" s="16"/>
      <c r="H1" s="17"/>
      <c r="I1" s="16"/>
      <c r="J1" s="17"/>
      <c r="K1" s="16"/>
      <c r="L1" s="17"/>
      <c r="M1" s="16"/>
      <c r="N1" s="17"/>
      <c r="O1" s="16"/>
      <c r="P1" s="14"/>
      <c r="Q1" s="17"/>
      <c r="R1" s="14"/>
      <c r="S1" s="14"/>
    </row>
    <row r="2" ht="19.5" customHeight="1">
      <c r="A2" s="14"/>
      <c r="B2" s="15"/>
      <c r="C2" s="15"/>
      <c r="D2" s="15"/>
      <c r="E2" s="15"/>
      <c r="F2" s="14"/>
      <c r="H2" s="18" t="s">
        <v>58</v>
      </c>
      <c r="I2" s="18"/>
      <c r="J2" s="17"/>
      <c r="K2" s="16"/>
      <c r="L2" s="17"/>
      <c r="N2" s="18" t="s">
        <v>59</v>
      </c>
      <c r="O2" s="18"/>
      <c r="P2" s="14"/>
      <c r="Q2" s="17"/>
      <c r="R2" s="14"/>
      <c r="S2" s="14"/>
    </row>
    <row r="3" ht="19.5" customHeight="1">
      <c r="A3" s="14"/>
      <c r="B3" s="19" t="str">
        <f>"📅 งานประจำเดือน "&amp;B5&amp;" "&amp;D5</f>
        <v>📅 งานประจำเดือน มกราคม 2026</v>
      </c>
      <c r="F3" s="14"/>
      <c r="G3" s="20" t="str">
        <f>IFERROR(__xludf.DUMMYFUNCTION("IFERROR(SPARKLINE(I5/(G5+I5),{""charttype"",""bar"";""max"",100%;""color1"",""green""}),)"),"")</f>
        <v/>
      </c>
      <c r="H3" s="21"/>
      <c r="I3" s="22"/>
      <c r="J3" s="23">
        <f>IFERROR(I5/(G5+I5),0)</f>
        <v>0</v>
      </c>
      <c r="K3" s="23"/>
      <c r="L3" s="17"/>
      <c r="M3" s="20" t="str">
        <f>IFERROR(__xludf.DUMMYFUNCTION("IFERROR(SPARKLINE(COUNTIF(Q9:Q43,TRUE)/COUNTA(R9:R43),{""charttype"",""bar"";""max"",100%;""color1"",""green""}),)"),"")</f>
        <v/>
      </c>
      <c r="N3" s="21"/>
      <c r="O3" s="22"/>
      <c r="P3" s="23">
        <f>IFERROR(O5/(M5+O5),0)</f>
        <v>0</v>
      </c>
      <c r="Q3" s="23"/>
      <c r="R3" s="14"/>
      <c r="S3" s="14"/>
    </row>
    <row r="4" ht="33.0" customHeight="1">
      <c r="A4" s="14"/>
      <c r="F4" s="14"/>
      <c r="G4" s="24" t="s">
        <v>60</v>
      </c>
      <c r="H4" s="25"/>
      <c r="I4" s="26" t="s">
        <v>61</v>
      </c>
      <c r="J4" s="25"/>
      <c r="K4" s="14"/>
      <c r="L4" s="25"/>
      <c r="M4" s="24" t="s">
        <v>62</v>
      </c>
      <c r="N4" s="25"/>
      <c r="O4" s="26" t="s">
        <v>63</v>
      </c>
      <c r="P4" s="14"/>
      <c r="Q4" s="17"/>
      <c r="R4" s="14"/>
      <c r="S4" s="14"/>
    </row>
    <row r="5" ht="35.25" customHeight="1">
      <c r="A5" s="14"/>
      <c r="B5" s="27" t="s">
        <v>8</v>
      </c>
      <c r="C5" s="28"/>
      <c r="D5" s="29">
        <v>2026.0</v>
      </c>
      <c r="F5" s="14"/>
      <c r="G5" s="30">
        <f>COUNTA(C10:C16,E10:E16,G10:G16,I10:I16,K10:K16,M10:M16,O10:O16,C19:C25,E19:E25,G19:G25,I19:I25,K19:K25,M19:M25,O19:O25,O28:O34,M28:M34,K28:K34,I28:I34,G28:G34,E28:E34,C28:C34,C37:C43,E37:E43,G37:G43,I37:I43,K37:K43,M37:M43,O37:O43,C46:C52,E46:E52,G46:G52,I46:I52,K46:K52,M46:M52,O46:O52)-I5</f>
        <v>0</v>
      </c>
      <c r="H5" s="17"/>
      <c r="I5" s="30">
        <f>COUNTIF(B9:O52,TRUE)</f>
        <v>0</v>
      </c>
      <c r="J5" s="14"/>
      <c r="K5" s="16"/>
      <c r="L5" s="16"/>
      <c r="M5" s="30">
        <f>COUNTA(R9:R43)-O5</f>
        <v>0</v>
      </c>
      <c r="N5" s="16"/>
      <c r="O5" s="30">
        <f>COUNTIF(Q9:Q43,TRUE)</f>
        <v>0</v>
      </c>
      <c r="P5" s="14"/>
      <c r="Q5" s="16"/>
      <c r="S5" s="14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7"/>
      <c r="R6" s="17"/>
      <c r="S6" s="14"/>
    </row>
    <row r="7">
      <c r="A7" s="31"/>
      <c r="B7" s="32" t="s">
        <v>64</v>
      </c>
      <c r="C7" s="33"/>
      <c r="D7" s="34" t="s">
        <v>65</v>
      </c>
      <c r="F7" s="34" t="s">
        <v>66</v>
      </c>
      <c r="H7" s="34" t="s">
        <v>67</v>
      </c>
      <c r="J7" s="34" t="s">
        <v>68</v>
      </c>
      <c r="L7" s="34" t="s">
        <v>69</v>
      </c>
      <c r="N7" s="34" t="s">
        <v>70</v>
      </c>
      <c r="P7" s="35"/>
      <c r="Q7" s="32" t="s">
        <v>71</v>
      </c>
      <c r="R7" s="36"/>
      <c r="S7" s="35"/>
    </row>
    <row r="8" ht="19.5" customHeight="1">
      <c r="A8" s="37"/>
      <c r="B8" s="38">
        <f>DATEVALUE(B5&amp;" 1 "&amp;D5)-WEEKDAY(DATEVALUE(B5&amp;" 1 "&amp;D5),2)+1</f>
        <v>46020</v>
      </c>
      <c r="D8" s="39">
        <f>B8+1</f>
        <v>46021</v>
      </c>
      <c r="F8" s="39">
        <f>D8+1</f>
        <v>46022</v>
      </c>
      <c r="H8" s="39">
        <f>F8+1</f>
        <v>46023</v>
      </c>
      <c r="J8" s="39">
        <f>H8+1</f>
        <v>46024</v>
      </c>
      <c r="L8" s="39">
        <f>J8+1</f>
        <v>46025</v>
      </c>
      <c r="N8" s="39">
        <f>L8+1</f>
        <v>46026</v>
      </c>
      <c r="P8" s="35"/>
      <c r="Q8" s="40"/>
      <c r="R8" s="41"/>
      <c r="S8" s="35"/>
    </row>
    <row r="9" ht="19.5" customHeight="1">
      <c r="A9" s="42"/>
      <c r="B9" s="43" t="str">
        <f>IFERROR(__xludf.DUMMYFUNCTION("IFERROR(JOIN(CHAR(10),FILTER('วันสำคัญประจำปี'!$D2:$D53,'วันสำคัญประจำปี'!$E:$E=B8)),)"),"")</f>
        <v/>
      </c>
      <c r="D9" s="44" t="str">
        <f>IFERROR(__xludf.DUMMYFUNCTION("IFERROR(JOIN(CHAR(10),FILTER('วันสำคัญประจำปี'!$C:$C,'วันสำคัญประจำปี'!$B:$B=D8)),)"),"")</f>
        <v/>
      </c>
      <c r="F9" s="44" t="str">
        <f>IFERROR(__xludf.DUMMYFUNCTION("IFERROR(JOIN(CHAR(10),FILTER('วันสำคัญประจำปี'!$C:$C,'วันสำคัญประจำปี'!$B:$B=F8)),)"),"")</f>
        <v/>
      </c>
      <c r="H9" s="44"/>
      <c r="J9" s="44"/>
      <c r="L9" s="44" t="str">
        <f>IFERROR(__xludf.DUMMYFUNCTION("IFERROR(JOIN(CHAR(10),FILTER('วันสำคัญประจำปี'!$C:$C,'วันสำคัญประจำปี'!$B:$B=L8)),)"),"")</f>
        <v/>
      </c>
      <c r="N9" s="44"/>
      <c r="P9" s="14"/>
      <c r="Q9" s="45" t="b">
        <v>0</v>
      </c>
      <c r="R9" s="46"/>
      <c r="S9" s="14"/>
    </row>
    <row r="10" ht="19.5" customHeight="1">
      <c r="A10" s="47"/>
      <c r="B10" s="48" t="b">
        <v>0</v>
      </c>
      <c r="C10" s="49"/>
      <c r="D10" s="50" t="b">
        <v>0</v>
      </c>
      <c r="E10" s="51"/>
      <c r="F10" s="50" t="b">
        <v>0</v>
      </c>
      <c r="G10" s="51"/>
      <c r="H10" s="50" t="b">
        <v>0</v>
      </c>
      <c r="I10" s="51"/>
      <c r="J10" s="50" t="b">
        <v>0</v>
      </c>
      <c r="K10" s="51"/>
      <c r="L10" s="50" t="b">
        <v>0</v>
      </c>
      <c r="M10" s="51"/>
      <c r="N10" s="52" t="b">
        <v>0</v>
      </c>
      <c r="O10" s="53"/>
      <c r="P10" s="14"/>
      <c r="Q10" s="45" t="b">
        <v>0</v>
      </c>
      <c r="R10" s="46"/>
      <c r="S10" s="14"/>
    </row>
    <row r="11" ht="19.5" customHeight="1">
      <c r="A11" s="47"/>
      <c r="B11" s="48" t="b">
        <v>0</v>
      </c>
      <c r="C11" s="49"/>
      <c r="D11" s="54" t="b">
        <v>0</v>
      </c>
      <c r="E11" s="49"/>
      <c r="F11" s="50" t="b">
        <v>0</v>
      </c>
      <c r="G11" s="49"/>
      <c r="H11" s="50" t="b">
        <v>0</v>
      </c>
      <c r="I11" s="51"/>
      <c r="J11" s="50" t="b">
        <v>0</v>
      </c>
      <c r="K11" s="51"/>
      <c r="L11" s="54" t="b">
        <v>0</v>
      </c>
      <c r="M11" s="51"/>
      <c r="N11" s="52" t="b">
        <v>0</v>
      </c>
      <c r="O11" s="53"/>
      <c r="P11" s="14"/>
      <c r="Q11" s="45" t="b">
        <v>0</v>
      </c>
      <c r="R11" s="46"/>
      <c r="S11" s="14"/>
    </row>
    <row r="12" ht="19.5" customHeight="1">
      <c r="A12" s="47"/>
      <c r="B12" s="48" t="b">
        <v>0</v>
      </c>
      <c r="C12" s="49"/>
      <c r="D12" s="54" t="b">
        <v>0</v>
      </c>
      <c r="E12" s="49"/>
      <c r="F12" s="54" t="b">
        <v>0</v>
      </c>
      <c r="G12" s="49"/>
      <c r="H12" s="54" t="b">
        <v>0</v>
      </c>
      <c r="I12" s="49"/>
      <c r="J12" s="50" t="b">
        <v>0</v>
      </c>
      <c r="K12" s="51"/>
      <c r="L12" s="54" t="b">
        <v>0</v>
      </c>
      <c r="M12" s="49"/>
      <c r="N12" s="52" t="b">
        <v>0</v>
      </c>
      <c r="O12" s="53"/>
      <c r="P12" s="14"/>
      <c r="Q12" s="45" t="b">
        <v>0</v>
      </c>
      <c r="R12" s="46"/>
      <c r="S12" s="14"/>
    </row>
    <row r="13" ht="19.5" customHeight="1">
      <c r="A13" s="47"/>
      <c r="B13" s="48" t="b">
        <v>0</v>
      </c>
      <c r="C13" s="49"/>
      <c r="D13" s="54" t="b">
        <v>0</v>
      </c>
      <c r="E13" s="49"/>
      <c r="F13" s="54" t="b">
        <v>0</v>
      </c>
      <c r="G13" s="49"/>
      <c r="H13" s="54" t="b">
        <v>0</v>
      </c>
      <c r="I13" s="55"/>
      <c r="J13" s="54" t="b">
        <v>0</v>
      </c>
      <c r="K13" s="49"/>
      <c r="L13" s="54" t="b">
        <v>0</v>
      </c>
      <c r="M13" s="49"/>
      <c r="N13" s="52" t="b">
        <v>0</v>
      </c>
      <c r="O13" s="56"/>
      <c r="P13" s="14"/>
      <c r="Q13" s="45" t="b">
        <v>0</v>
      </c>
      <c r="R13" s="46"/>
      <c r="S13" s="14"/>
    </row>
    <row r="14" ht="19.5" customHeight="1">
      <c r="A14" s="47"/>
      <c r="B14" s="48" t="b">
        <v>0</v>
      </c>
      <c r="C14" s="49"/>
      <c r="D14" s="54" t="b">
        <v>0</v>
      </c>
      <c r="E14" s="51"/>
      <c r="F14" s="50" t="b">
        <v>0</v>
      </c>
      <c r="G14" s="49"/>
      <c r="H14" s="54" t="b">
        <v>0</v>
      </c>
      <c r="I14" s="49"/>
      <c r="J14" s="54" t="b">
        <v>0</v>
      </c>
      <c r="K14" s="49"/>
      <c r="L14" s="54" t="b">
        <v>0</v>
      </c>
      <c r="M14" s="49"/>
      <c r="N14" s="57" t="b">
        <v>0</v>
      </c>
      <c r="O14" s="56"/>
      <c r="P14" s="14"/>
      <c r="Q14" s="45" t="b">
        <v>0</v>
      </c>
      <c r="R14" s="46"/>
      <c r="S14" s="14"/>
    </row>
    <row r="15" ht="19.5" customHeight="1">
      <c r="A15" s="47"/>
      <c r="B15" s="48" t="b">
        <v>0</v>
      </c>
      <c r="C15" s="49"/>
      <c r="D15" s="54" t="b">
        <v>0</v>
      </c>
      <c r="E15" s="51"/>
      <c r="F15" s="50" t="b">
        <v>0</v>
      </c>
      <c r="G15" s="49"/>
      <c r="H15" s="54" t="b">
        <v>0</v>
      </c>
      <c r="I15" s="49"/>
      <c r="J15" s="54" t="b">
        <v>0</v>
      </c>
      <c r="K15" s="49"/>
      <c r="L15" s="54" t="b">
        <v>0</v>
      </c>
      <c r="M15" s="49"/>
      <c r="N15" s="57" t="b">
        <v>0</v>
      </c>
      <c r="O15" s="56"/>
      <c r="P15" s="14"/>
      <c r="Q15" s="45" t="b">
        <v>0</v>
      </c>
      <c r="R15" s="46"/>
      <c r="S15" s="14"/>
    </row>
    <row r="16" ht="19.5" customHeight="1">
      <c r="A16" s="47"/>
      <c r="B16" s="48" t="b">
        <v>0</v>
      </c>
      <c r="C16" s="49"/>
      <c r="D16" s="54" t="b">
        <v>0</v>
      </c>
      <c r="E16" s="51"/>
      <c r="F16" s="50" t="b">
        <v>0</v>
      </c>
      <c r="G16" s="49"/>
      <c r="H16" s="54" t="b">
        <v>0</v>
      </c>
      <c r="I16" s="49"/>
      <c r="J16" s="54" t="b">
        <v>0</v>
      </c>
      <c r="K16" s="49"/>
      <c r="L16" s="54" t="b">
        <v>0</v>
      </c>
      <c r="M16" s="49"/>
      <c r="N16" s="52" t="b">
        <v>0</v>
      </c>
      <c r="O16" s="56"/>
      <c r="P16" s="14"/>
      <c r="Q16" s="45" t="b">
        <v>0</v>
      </c>
      <c r="R16" s="46"/>
      <c r="S16" s="14"/>
    </row>
    <row r="17">
      <c r="A17" s="42"/>
      <c r="B17" s="38">
        <f>N8+1</f>
        <v>46027</v>
      </c>
      <c r="D17" s="38">
        <f>B17+1</f>
        <v>46028</v>
      </c>
      <c r="F17" s="39">
        <f>D17+1</f>
        <v>46029</v>
      </c>
      <c r="H17" s="39">
        <f>F17+1</f>
        <v>46030</v>
      </c>
      <c r="J17" s="39">
        <f>H17+1</f>
        <v>46031</v>
      </c>
      <c r="L17" s="39">
        <f>J17+1</f>
        <v>46032</v>
      </c>
      <c r="N17" s="39">
        <f>L17+1</f>
        <v>46033</v>
      </c>
      <c r="P17" s="14"/>
      <c r="Q17" s="45" t="b">
        <v>0</v>
      </c>
      <c r="R17" s="46"/>
      <c r="S17" s="14"/>
    </row>
    <row r="18" ht="19.5" customHeight="1">
      <c r="A18" s="42"/>
      <c r="B18" s="43"/>
      <c r="D18" s="44" t="str">
        <f>IFERROR(__xludf.DUMMYFUNCTION("IFERROR(JOIN(CHAR(10),FILTER('วันสำคัญประจำปี'!$C:$C,'วันสำคัญประจำปี'!$B:$B=D17)),)"),"")</f>
        <v/>
      </c>
      <c r="F18" s="44" t="str">
        <f>IFERROR(__xludf.DUMMYFUNCTION("IFERROR(JOIN(CHAR(10),FILTER('วันสำคัญประจำปี'!$C:$C,'วันสำคัญประจำปี'!$B:$B=F17)),)"),"")</f>
        <v/>
      </c>
      <c r="H18" s="44" t="str">
        <f>IFERROR(__xludf.DUMMYFUNCTION("IFERROR(JOIN(CHAR(10),FILTER('วันสำคัญประจำปี'!$C:$C,'วันสำคัญประจำปี'!$B:$B=H17)),)"),"")</f>
        <v/>
      </c>
      <c r="J18" s="44" t="str">
        <f>IFERROR(__xludf.DUMMYFUNCTION("IFERROR(JOIN(CHAR(10),FILTER('วันสำคัญประจำปี'!$C:$C,'วันสำคัญประจำปี'!$B:$B=J17)),)"),"")</f>
        <v/>
      </c>
      <c r="L18" s="44" t="str">
        <f>IFERROR(__xludf.DUMMYFUNCTION("IFERROR(JOIN(CHAR(10),FILTER('วันสำคัญประจำปี'!$C:$C,'วันสำคัญประจำปี'!$B:$B=L17)),)"),"")</f>
        <v/>
      </c>
      <c r="N18" s="44" t="str">
        <f>IFERROR(__xludf.DUMMYFUNCTION("IFERROR(JOIN(CHAR(10),FILTER('วันสำคัญประจำปี'!$C:$C,'วันสำคัญประจำปี'!$B:$B=N17)),)"),"")</f>
        <v/>
      </c>
      <c r="P18" s="14"/>
      <c r="Q18" s="45" t="b">
        <v>0</v>
      </c>
      <c r="R18" s="46"/>
      <c r="S18" s="14"/>
    </row>
    <row r="19" ht="19.5" customHeight="1">
      <c r="A19" s="47"/>
      <c r="B19" s="58" t="b">
        <v>0</v>
      </c>
      <c r="C19" s="59"/>
      <c r="D19" s="52" t="b">
        <v>0</v>
      </c>
      <c r="E19" s="59"/>
      <c r="F19" s="52" t="b">
        <v>0</v>
      </c>
      <c r="G19" s="59"/>
      <c r="H19" s="52" t="b">
        <v>0</v>
      </c>
      <c r="I19" s="59"/>
      <c r="J19" s="52" t="b">
        <v>0</v>
      </c>
      <c r="K19" s="59"/>
      <c r="L19" s="52" t="b">
        <v>0</v>
      </c>
      <c r="M19" s="59"/>
      <c r="N19" s="52" t="b">
        <v>0</v>
      </c>
      <c r="O19" s="60"/>
      <c r="P19" s="14"/>
      <c r="Q19" s="45" t="b">
        <v>0</v>
      </c>
      <c r="R19" s="46"/>
      <c r="S19" s="14"/>
    </row>
    <row r="20" ht="19.5" customHeight="1">
      <c r="A20" s="47"/>
      <c r="B20" s="58" t="b">
        <v>0</v>
      </c>
      <c r="C20" s="59"/>
      <c r="D20" s="52" t="b">
        <v>0</v>
      </c>
      <c r="E20" s="59"/>
      <c r="F20" s="52" t="b">
        <v>0</v>
      </c>
      <c r="G20" s="59"/>
      <c r="H20" s="57" t="b">
        <v>0</v>
      </c>
      <c r="I20" s="59"/>
      <c r="J20" s="52" t="b">
        <v>0</v>
      </c>
      <c r="K20" s="61"/>
      <c r="L20" s="57" t="b">
        <v>0</v>
      </c>
      <c r="M20" s="61"/>
      <c r="N20" s="52" t="b">
        <v>0</v>
      </c>
      <c r="O20" s="62"/>
      <c r="P20" s="14"/>
      <c r="Q20" s="63" t="b">
        <v>0</v>
      </c>
      <c r="R20" s="64"/>
      <c r="S20" s="14"/>
    </row>
    <row r="21" ht="19.5" customHeight="1">
      <c r="A21" s="47"/>
      <c r="B21" s="65" t="b">
        <v>0</v>
      </c>
      <c r="C21" s="59"/>
      <c r="D21" s="52" t="b">
        <v>0</v>
      </c>
      <c r="E21" s="59"/>
      <c r="F21" s="57" t="b">
        <v>0</v>
      </c>
      <c r="G21" s="61"/>
      <c r="H21" s="57" t="b">
        <v>0</v>
      </c>
      <c r="I21" s="61"/>
      <c r="J21" s="57" t="b">
        <v>0</v>
      </c>
      <c r="K21" s="61"/>
      <c r="L21" s="57" t="b">
        <v>0</v>
      </c>
      <c r="M21" s="61"/>
      <c r="N21" s="57" t="b">
        <v>0</v>
      </c>
      <c r="O21" s="62"/>
      <c r="P21" s="14"/>
      <c r="Q21" s="63" t="b">
        <v>0</v>
      </c>
      <c r="R21" s="64"/>
      <c r="S21" s="14"/>
    </row>
    <row r="22" ht="19.5" customHeight="1">
      <c r="A22" s="47"/>
      <c r="B22" s="65" t="b">
        <v>0</v>
      </c>
      <c r="C22" s="61"/>
      <c r="D22" s="57" t="b">
        <v>0</v>
      </c>
      <c r="E22" s="61"/>
      <c r="F22" s="57" t="b">
        <v>0</v>
      </c>
      <c r="G22" s="61"/>
      <c r="H22" s="57" t="b">
        <v>0</v>
      </c>
      <c r="I22" s="61"/>
      <c r="J22" s="57" t="b">
        <v>0</v>
      </c>
      <c r="K22" s="61"/>
      <c r="L22" s="57" t="b">
        <v>0</v>
      </c>
      <c r="M22" s="61"/>
      <c r="N22" s="57" t="b">
        <v>0</v>
      </c>
      <c r="O22" s="62"/>
      <c r="P22" s="14"/>
      <c r="Q22" s="63" t="b">
        <v>0</v>
      </c>
      <c r="R22" s="64"/>
      <c r="S22" s="14"/>
    </row>
    <row r="23" ht="19.5" customHeight="1">
      <c r="A23" s="47"/>
      <c r="B23" s="65" t="b">
        <v>0</v>
      </c>
      <c r="C23" s="61"/>
      <c r="D23" s="57" t="b">
        <v>0</v>
      </c>
      <c r="E23" s="61"/>
      <c r="F23" s="57" t="b">
        <v>0</v>
      </c>
      <c r="G23" s="61"/>
      <c r="H23" s="57" t="b">
        <v>0</v>
      </c>
      <c r="I23" s="61"/>
      <c r="J23" s="57" t="b">
        <v>0</v>
      </c>
      <c r="K23" s="61"/>
      <c r="L23" s="52" t="b">
        <v>0</v>
      </c>
      <c r="M23" s="61"/>
      <c r="N23" s="57" t="b">
        <v>0</v>
      </c>
      <c r="O23" s="62"/>
      <c r="P23" s="14"/>
      <c r="Q23" s="63" t="b">
        <v>0</v>
      </c>
      <c r="R23" s="64"/>
      <c r="S23" s="14"/>
    </row>
    <row r="24" ht="19.5" customHeight="1">
      <c r="A24" s="47"/>
      <c r="B24" s="65" t="b">
        <v>0</v>
      </c>
      <c r="C24" s="61"/>
      <c r="D24" s="57" t="b">
        <v>0</v>
      </c>
      <c r="E24" s="61"/>
      <c r="F24" s="57" t="b">
        <v>0</v>
      </c>
      <c r="G24" s="61"/>
      <c r="H24" s="57" t="b">
        <v>0</v>
      </c>
      <c r="I24" s="61"/>
      <c r="J24" s="57" t="b">
        <v>0</v>
      </c>
      <c r="K24" s="61"/>
      <c r="L24" s="52" t="b">
        <v>0</v>
      </c>
      <c r="M24" s="61"/>
      <c r="N24" s="57" t="b">
        <v>0</v>
      </c>
      <c r="O24" s="62"/>
      <c r="P24" s="14"/>
      <c r="Q24" s="63" t="b">
        <v>0</v>
      </c>
      <c r="R24" s="64"/>
      <c r="S24" s="14"/>
    </row>
    <row r="25" ht="19.5" customHeight="1">
      <c r="A25" s="47"/>
      <c r="B25" s="65" t="b">
        <v>0</v>
      </c>
      <c r="C25" s="61"/>
      <c r="D25" s="57" t="b">
        <v>0</v>
      </c>
      <c r="E25" s="61"/>
      <c r="F25" s="57" t="b">
        <v>0</v>
      </c>
      <c r="G25" s="61"/>
      <c r="H25" s="57" t="b">
        <v>0</v>
      </c>
      <c r="I25" s="61"/>
      <c r="J25" s="57" t="b">
        <v>0</v>
      </c>
      <c r="K25" s="61"/>
      <c r="L25" s="52" t="b">
        <v>0</v>
      </c>
      <c r="M25" s="61"/>
      <c r="N25" s="57" t="b">
        <v>0</v>
      </c>
      <c r="O25" s="62"/>
      <c r="P25" s="14"/>
      <c r="Q25" s="63" t="b">
        <v>0</v>
      </c>
      <c r="R25" s="64"/>
      <c r="S25" s="14"/>
    </row>
    <row r="26">
      <c r="A26" s="42"/>
      <c r="B26" s="38">
        <f>N17+1</f>
        <v>46034</v>
      </c>
      <c r="D26" s="39">
        <f>B26+1</f>
        <v>46035</v>
      </c>
      <c r="F26" s="39">
        <f>D26+1</f>
        <v>46036</v>
      </c>
      <c r="H26" s="39">
        <f>F26+1</f>
        <v>46037</v>
      </c>
      <c r="J26" s="39">
        <f>H26+1</f>
        <v>46038</v>
      </c>
      <c r="L26" s="39">
        <f>J26+1</f>
        <v>46039</v>
      </c>
      <c r="N26" s="39">
        <f>L26+1</f>
        <v>46040</v>
      </c>
      <c r="P26" s="14"/>
      <c r="Q26" s="63" t="b">
        <v>0</v>
      </c>
      <c r="R26" s="64"/>
      <c r="S26" s="14"/>
    </row>
    <row r="27" ht="19.5" customHeight="1">
      <c r="A27" s="42"/>
      <c r="B27" s="43" t="str">
        <f>IFERROR(__xludf.DUMMYFUNCTION("IFERROR(JOIN(CHAR(10),FILTER('วันสำคัญประจำปี'!$C:$C,'วันสำคัญประจำปี'!$B:$B=B26)),)"),"")</f>
        <v/>
      </c>
      <c r="D27" s="44" t="str">
        <f>IFERROR(__xludf.DUMMYFUNCTION("IFERROR(JOIN(CHAR(10),FILTER('วันสำคัญประจำปี'!$C:$C,'วันสำคัญประจำปี'!$B:$B=D26)),)"),"")</f>
        <v/>
      </c>
      <c r="F27" s="44" t="str">
        <f>IFERROR(__xludf.DUMMYFUNCTION("IFERROR(JOIN(CHAR(10),FILTER('วันสำคัญประจำปี'!$C:$C,'วันสำคัญประจำปี'!$B:$B=F26)),)"),"")</f>
        <v/>
      </c>
      <c r="H27" s="44" t="str">
        <f>IFERROR(__xludf.DUMMYFUNCTION("IFERROR(JOIN(CHAR(10),FILTER('วันสำคัญประจำปี'!$C:$C,'วันสำคัญประจำปี'!$B:$B=H26)),)"),"")</f>
        <v/>
      </c>
      <c r="J27" s="44"/>
      <c r="L27" s="44" t="str">
        <f>IFERROR(__xludf.DUMMYFUNCTION("IFERROR(JOIN(CHAR(10),FILTER('วันสำคัญประจำปี'!$C:$C,'วันสำคัญประจำปี'!$B:$B=L26)),)"),"")</f>
        <v/>
      </c>
      <c r="N27" s="44" t="str">
        <f>IFERROR(__xludf.DUMMYFUNCTION("IFERROR(JOIN(CHAR(10),FILTER('วันสำคัญประจำปี'!$C:$C,'วันสำคัญประจำปี'!$B:$B=N26)),)"),"")</f>
        <v/>
      </c>
      <c r="P27" s="14"/>
      <c r="Q27" s="63" t="b">
        <v>0</v>
      </c>
      <c r="R27" s="64"/>
      <c r="S27" s="14"/>
    </row>
    <row r="28" ht="19.5" customHeight="1">
      <c r="A28" s="66"/>
      <c r="B28" s="58" t="b">
        <v>0</v>
      </c>
      <c r="C28" s="59"/>
      <c r="D28" s="52" t="b">
        <v>0</v>
      </c>
      <c r="E28" s="59"/>
      <c r="F28" s="52" t="b">
        <v>0</v>
      </c>
      <c r="G28" s="59"/>
      <c r="H28" s="52" t="b">
        <v>0</v>
      </c>
      <c r="I28" s="59"/>
      <c r="J28" s="52" t="b">
        <v>0</v>
      </c>
      <c r="K28" s="59"/>
      <c r="L28" s="52" t="b">
        <v>0</v>
      </c>
      <c r="M28" s="59"/>
      <c r="N28" s="52" t="b">
        <v>0</v>
      </c>
      <c r="O28" s="60"/>
      <c r="P28" s="14"/>
      <c r="Q28" s="63" t="b">
        <v>0</v>
      </c>
      <c r="R28" s="64"/>
      <c r="S28" s="14"/>
    </row>
    <row r="29" ht="19.5" customHeight="1">
      <c r="A29" s="66"/>
      <c r="B29" s="65" t="b">
        <v>0</v>
      </c>
      <c r="C29" s="61"/>
      <c r="D29" s="57" t="b">
        <v>0</v>
      </c>
      <c r="E29" s="61"/>
      <c r="F29" s="57" t="b">
        <v>0</v>
      </c>
      <c r="G29" s="61"/>
      <c r="H29" s="57" t="b">
        <v>0</v>
      </c>
      <c r="I29" s="61"/>
      <c r="J29" s="57" t="b">
        <v>0</v>
      </c>
      <c r="K29" s="61"/>
      <c r="L29" s="57" t="b">
        <v>0</v>
      </c>
      <c r="M29" s="61"/>
      <c r="N29" s="57" t="b">
        <v>0</v>
      </c>
      <c r="O29" s="62"/>
      <c r="P29" s="14"/>
      <c r="Q29" s="63" t="b">
        <v>0</v>
      </c>
      <c r="R29" s="64"/>
      <c r="S29" s="14"/>
    </row>
    <row r="30" ht="19.5" customHeight="1">
      <c r="A30" s="66"/>
      <c r="B30" s="65" t="b">
        <v>0</v>
      </c>
      <c r="C30" s="61"/>
      <c r="D30" s="57" t="b">
        <v>0</v>
      </c>
      <c r="E30" s="61"/>
      <c r="F30" s="57" t="b">
        <v>0</v>
      </c>
      <c r="G30" s="61"/>
      <c r="H30" s="57" t="b">
        <v>0</v>
      </c>
      <c r="I30" s="61"/>
      <c r="J30" s="57" t="b">
        <v>0</v>
      </c>
      <c r="K30" s="61"/>
      <c r="L30" s="57" t="b">
        <v>0</v>
      </c>
      <c r="M30" s="61"/>
      <c r="N30" s="57" t="b">
        <v>0</v>
      </c>
      <c r="O30" s="62"/>
      <c r="P30" s="14"/>
      <c r="Q30" s="63" t="b">
        <v>0</v>
      </c>
      <c r="R30" s="64"/>
      <c r="S30" s="14"/>
    </row>
    <row r="31" ht="19.5" customHeight="1">
      <c r="A31" s="66"/>
      <c r="B31" s="65" t="b">
        <v>0</v>
      </c>
      <c r="C31" s="61"/>
      <c r="D31" s="57" t="b">
        <v>0</v>
      </c>
      <c r="E31" s="61"/>
      <c r="F31" s="57" t="b">
        <v>0</v>
      </c>
      <c r="G31" s="61"/>
      <c r="H31" s="57" t="b">
        <v>0</v>
      </c>
      <c r="I31" s="61"/>
      <c r="J31" s="57" t="b">
        <v>0</v>
      </c>
      <c r="K31" s="61"/>
      <c r="L31" s="57" t="b">
        <v>0</v>
      </c>
      <c r="M31" s="61"/>
      <c r="N31" s="57" t="b">
        <v>0</v>
      </c>
      <c r="O31" s="62"/>
      <c r="P31" s="14"/>
      <c r="Q31" s="63" t="b">
        <v>0</v>
      </c>
      <c r="R31" s="64"/>
      <c r="S31" s="14"/>
    </row>
    <row r="32" ht="19.5" customHeight="1">
      <c r="A32" s="66"/>
      <c r="B32" s="65" t="b">
        <v>0</v>
      </c>
      <c r="C32" s="61"/>
      <c r="D32" s="57" t="b">
        <v>0</v>
      </c>
      <c r="E32" s="61"/>
      <c r="F32" s="57" t="b">
        <v>0</v>
      </c>
      <c r="G32" s="61"/>
      <c r="H32" s="57" t="b">
        <v>0</v>
      </c>
      <c r="I32" s="61"/>
      <c r="J32" s="57" t="b">
        <v>0</v>
      </c>
      <c r="K32" s="61"/>
      <c r="L32" s="57" t="b">
        <v>0</v>
      </c>
      <c r="M32" s="61"/>
      <c r="N32" s="57" t="b">
        <v>0</v>
      </c>
      <c r="O32" s="62"/>
      <c r="P32" s="14"/>
      <c r="Q32" s="63" t="b">
        <v>0</v>
      </c>
      <c r="R32" s="64"/>
      <c r="S32" s="14"/>
    </row>
    <row r="33" ht="19.5" customHeight="1">
      <c r="A33" s="66"/>
      <c r="B33" s="65" t="b">
        <v>0</v>
      </c>
      <c r="C33" s="61"/>
      <c r="D33" s="57" t="b">
        <v>0</v>
      </c>
      <c r="E33" s="61"/>
      <c r="F33" s="57" t="b">
        <v>0</v>
      </c>
      <c r="G33" s="61"/>
      <c r="H33" s="57" t="b">
        <v>0</v>
      </c>
      <c r="I33" s="61"/>
      <c r="J33" s="57" t="b">
        <v>0</v>
      </c>
      <c r="K33" s="61"/>
      <c r="L33" s="57" t="b">
        <v>0</v>
      </c>
      <c r="M33" s="61"/>
      <c r="N33" s="57" t="b">
        <v>0</v>
      </c>
      <c r="O33" s="62"/>
      <c r="P33" s="14"/>
      <c r="Q33" s="63" t="b">
        <v>0</v>
      </c>
      <c r="R33" s="64"/>
      <c r="S33" s="14"/>
    </row>
    <row r="34" ht="19.5" customHeight="1">
      <c r="A34" s="66"/>
      <c r="B34" s="58" t="b">
        <v>0</v>
      </c>
      <c r="C34" s="61"/>
      <c r="D34" s="57" t="b">
        <v>0</v>
      </c>
      <c r="E34" s="61"/>
      <c r="F34" s="57" t="b">
        <v>0</v>
      </c>
      <c r="G34" s="61"/>
      <c r="H34" s="57" t="b">
        <v>0</v>
      </c>
      <c r="I34" s="61"/>
      <c r="J34" s="57" t="b">
        <v>0</v>
      </c>
      <c r="K34" s="61"/>
      <c r="L34" s="57" t="b">
        <v>0</v>
      </c>
      <c r="M34" s="61"/>
      <c r="N34" s="57" t="b">
        <v>0</v>
      </c>
      <c r="O34" s="62"/>
      <c r="P34" s="14"/>
      <c r="Q34" s="63" t="b">
        <v>0</v>
      </c>
      <c r="R34" s="64"/>
      <c r="S34" s="14"/>
    </row>
    <row r="35">
      <c r="A35" s="42"/>
      <c r="B35" s="38">
        <f>N26+1</f>
        <v>46041</v>
      </c>
      <c r="D35" s="39">
        <f>B35+1</f>
        <v>46042</v>
      </c>
      <c r="F35" s="39">
        <f>D35+1</f>
        <v>46043</v>
      </c>
      <c r="H35" s="39">
        <f>F35+1</f>
        <v>46044</v>
      </c>
      <c r="J35" s="39">
        <f>H35+1</f>
        <v>46045</v>
      </c>
      <c r="L35" s="39">
        <f>J35+1</f>
        <v>46046</v>
      </c>
      <c r="N35" s="39">
        <f>L35+1</f>
        <v>46047</v>
      </c>
      <c r="P35" s="14"/>
      <c r="Q35" s="63" t="b">
        <v>0</v>
      </c>
      <c r="R35" s="64"/>
      <c r="S35" s="14"/>
    </row>
    <row r="36" ht="19.5" customHeight="1">
      <c r="A36" s="42"/>
      <c r="B36" s="43" t="str">
        <f>IFERROR(__xludf.DUMMYFUNCTION("IFERROR(JOIN(CHAR(10),FILTER('วันสำคัญประจำปี'!$C:$C,'วันสำคัญประจำปี'!$B:$B=B35)),)"),"")</f>
        <v/>
      </c>
      <c r="D36" s="44" t="str">
        <f>IFERROR(__xludf.DUMMYFUNCTION("IFERROR(JOIN(CHAR(10),FILTER('วันสำคัญประจำปี'!$C:$C,'วันสำคัญประจำปี'!$B:$B=D35)),)"),"")</f>
        <v/>
      </c>
      <c r="F36" s="44" t="str">
        <f>IFERROR(__xludf.DUMMYFUNCTION("IFERROR(JOIN(CHAR(10),FILTER('วันสำคัญประจำปี'!$C:$C,'วันสำคัญประจำปี'!$B:$B=F35)),)"),"")</f>
        <v/>
      </c>
      <c r="H36" s="44" t="str">
        <f>IFERROR(__xludf.DUMMYFUNCTION("IFERROR(JOIN(CHAR(10),FILTER('วันสำคัญประจำปี'!$C:$C,'วันสำคัญประจำปี'!$B:$B=H35)),)"),"")</f>
        <v/>
      </c>
      <c r="J36" s="44" t="str">
        <f>IFERROR(__xludf.DUMMYFUNCTION("IFERROR(JOIN(CHAR(10),FILTER('วันสำคัญประจำปี'!$C:$C,'วันสำคัญประจำปี'!$B:$B=J35)),)"),"")</f>
        <v/>
      </c>
      <c r="L36" s="44" t="str">
        <f>IFERROR(__xludf.DUMMYFUNCTION("IFERROR(JOIN(CHAR(10),FILTER('วันสำคัญประจำปี'!$C:$C,'วันสำคัญประจำปี'!$B:$B=L35)),)"),"")</f>
        <v/>
      </c>
      <c r="N36" s="44" t="str">
        <f>IFERROR(__xludf.DUMMYFUNCTION("IFERROR(JOIN(CHAR(10),FILTER('วันสำคัญประจำปี'!$C:$C,'วันสำคัญประจำปี'!$B:$B=N35)),)"),"")</f>
        <v/>
      </c>
      <c r="P36" s="14"/>
      <c r="Q36" s="63" t="b">
        <v>0</v>
      </c>
      <c r="R36" s="64"/>
      <c r="S36" s="14"/>
    </row>
    <row r="37" ht="19.5" customHeight="1">
      <c r="A37" s="66"/>
      <c r="B37" s="58" t="b">
        <v>0</v>
      </c>
      <c r="C37" s="59"/>
      <c r="D37" s="52" t="b">
        <v>0</v>
      </c>
      <c r="E37" s="59"/>
      <c r="F37" s="52" t="b">
        <v>0</v>
      </c>
      <c r="G37" s="59"/>
      <c r="H37" s="52" t="b">
        <v>0</v>
      </c>
      <c r="I37" s="59"/>
      <c r="J37" s="52" t="b">
        <v>0</v>
      </c>
      <c r="K37" s="59"/>
      <c r="L37" s="52" t="b">
        <v>0</v>
      </c>
      <c r="M37" s="59"/>
      <c r="N37" s="52" t="b">
        <v>0</v>
      </c>
      <c r="O37" s="60"/>
      <c r="P37" s="14"/>
      <c r="Q37" s="63" t="b">
        <v>0</v>
      </c>
      <c r="R37" s="64"/>
      <c r="S37" s="14"/>
    </row>
    <row r="38" ht="19.5" customHeight="1">
      <c r="A38" s="66"/>
      <c r="B38" s="65" t="b">
        <v>0</v>
      </c>
      <c r="C38" s="61"/>
      <c r="D38" s="57" t="b">
        <v>0</v>
      </c>
      <c r="E38" s="61"/>
      <c r="F38" s="57" t="b">
        <v>0</v>
      </c>
      <c r="G38" s="61"/>
      <c r="H38" s="57" t="b">
        <v>0</v>
      </c>
      <c r="I38" s="61"/>
      <c r="J38" s="57" t="b">
        <v>0</v>
      </c>
      <c r="K38" s="61"/>
      <c r="L38" s="57" t="b">
        <v>0</v>
      </c>
      <c r="M38" s="61"/>
      <c r="N38" s="57" t="b">
        <v>0</v>
      </c>
      <c r="O38" s="62"/>
      <c r="P38" s="14"/>
      <c r="Q38" s="63" t="b">
        <v>0</v>
      </c>
      <c r="R38" s="64"/>
      <c r="S38" s="14"/>
    </row>
    <row r="39" ht="19.5" customHeight="1">
      <c r="A39" s="66"/>
      <c r="B39" s="65" t="b">
        <v>0</v>
      </c>
      <c r="C39" s="61"/>
      <c r="D39" s="57" t="b">
        <v>0</v>
      </c>
      <c r="E39" s="61"/>
      <c r="F39" s="57" t="b">
        <v>0</v>
      </c>
      <c r="G39" s="61"/>
      <c r="H39" s="57" t="b">
        <v>0</v>
      </c>
      <c r="I39" s="61"/>
      <c r="J39" s="57" t="b">
        <v>0</v>
      </c>
      <c r="K39" s="61"/>
      <c r="L39" s="52" t="b">
        <v>0</v>
      </c>
      <c r="M39" s="61"/>
      <c r="N39" s="57" t="b">
        <v>0</v>
      </c>
      <c r="O39" s="62"/>
      <c r="P39" s="14"/>
      <c r="Q39" s="63" t="b">
        <v>0</v>
      </c>
      <c r="R39" s="64"/>
      <c r="S39" s="14"/>
    </row>
    <row r="40" ht="19.5" customHeight="1">
      <c r="A40" s="66"/>
      <c r="B40" s="65" t="b">
        <v>0</v>
      </c>
      <c r="C40" s="61"/>
      <c r="D40" s="57" t="b">
        <v>0</v>
      </c>
      <c r="E40" s="61"/>
      <c r="F40" s="57" t="b">
        <v>0</v>
      </c>
      <c r="G40" s="61"/>
      <c r="H40" s="57" t="b">
        <v>0</v>
      </c>
      <c r="I40" s="61"/>
      <c r="J40" s="57" t="b">
        <v>0</v>
      </c>
      <c r="K40" s="61"/>
      <c r="L40" s="57" t="b">
        <v>0</v>
      </c>
      <c r="M40" s="61"/>
      <c r="N40" s="57" t="b">
        <v>0</v>
      </c>
      <c r="O40" s="62"/>
      <c r="P40" s="14"/>
      <c r="Q40" s="63" t="b">
        <v>0</v>
      </c>
      <c r="R40" s="64"/>
      <c r="S40" s="14"/>
    </row>
    <row r="41" ht="19.5" customHeight="1">
      <c r="A41" s="66"/>
      <c r="B41" s="65" t="b">
        <v>0</v>
      </c>
      <c r="C41" s="61"/>
      <c r="D41" s="57" t="b">
        <v>0</v>
      </c>
      <c r="E41" s="61"/>
      <c r="F41" s="57" t="b">
        <v>0</v>
      </c>
      <c r="G41" s="61"/>
      <c r="H41" s="57" t="b">
        <v>0</v>
      </c>
      <c r="I41" s="61"/>
      <c r="J41" s="57" t="b">
        <v>0</v>
      </c>
      <c r="K41" s="61"/>
      <c r="L41" s="57" t="b">
        <v>0</v>
      </c>
      <c r="M41" s="61"/>
      <c r="N41" s="57" t="b">
        <v>0</v>
      </c>
      <c r="O41" s="62"/>
      <c r="P41" s="14"/>
      <c r="Q41" s="63" t="b">
        <v>0</v>
      </c>
      <c r="R41" s="64"/>
      <c r="S41" s="14"/>
    </row>
    <row r="42" ht="19.5" customHeight="1">
      <c r="A42" s="66"/>
      <c r="B42" s="65" t="b">
        <v>0</v>
      </c>
      <c r="C42" s="61"/>
      <c r="D42" s="57" t="b">
        <v>0</v>
      </c>
      <c r="E42" s="61"/>
      <c r="F42" s="57" t="b">
        <v>0</v>
      </c>
      <c r="G42" s="61"/>
      <c r="H42" s="57" t="b">
        <v>0</v>
      </c>
      <c r="I42" s="61"/>
      <c r="J42" s="57" t="b">
        <v>0</v>
      </c>
      <c r="K42" s="61"/>
      <c r="L42" s="57" t="b">
        <v>0</v>
      </c>
      <c r="M42" s="61"/>
      <c r="N42" s="57" t="b">
        <v>0</v>
      </c>
      <c r="O42" s="62"/>
      <c r="P42" s="14"/>
      <c r="Q42" s="63" t="b">
        <v>0</v>
      </c>
      <c r="R42" s="64"/>
      <c r="S42" s="14"/>
    </row>
    <row r="43" ht="19.5" customHeight="1">
      <c r="A43" s="66"/>
      <c r="B43" s="65" t="b">
        <v>0</v>
      </c>
      <c r="C43" s="61"/>
      <c r="D43" s="57" t="b">
        <v>0</v>
      </c>
      <c r="E43" s="61"/>
      <c r="F43" s="57" t="b">
        <v>0</v>
      </c>
      <c r="G43" s="61"/>
      <c r="H43" s="57" t="b">
        <v>0</v>
      </c>
      <c r="I43" s="61"/>
      <c r="J43" s="57" t="b">
        <v>0</v>
      </c>
      <c r="K43" s="61"/>
      <c r="L43" s="57" t="b">
        <v>0</v>
      </c>
      <c r="M43" s="61"/>
      <c r="N43" s="57" t="b">
        <v>0</v>
      </c>
      <c r="O43" s="62"/>
      <c r="P43" s="14"/>
      <c r="Q43" s="67" t="b">
        <v>0</v>
      </c>
      <c r="R43" s="68"/>
      <c r="S43" s="14"/>
    </row>
    <row r="44">
      <c r="A44" s="42"/>
      <c r="B44" s="38">
        <f>N35+1</f>
        <v>46048</v>
      </c>
      <c r="D44" s="39">
        <f>B44+1</f>
        <v>46049</v>
      </c>
      <c r="F44" s="39">
        <f>D44+1</f>
        <v>46050</v>
      </c>
      <c r="H44" s="39">
        <f>F44+1</f>
        <v>46051</v>
      </c>
      <c r="J44" s="39">
        <f>H44+1</f>
        <v>46052</v>
      </c>
      <c r="L44" s="39">
        <f>J44+1</f>
        <v>46053</v>
      </c>
      <c r="N44" s="39">
        <f>L44+1</f>
        <v>46054</v>
      </c>
      <c r="P44" s="14"/>
      <c r="S44" s="14"/>
    </row>
    <row r="45" ht="19.5" customHeight="1">
      <c r="A45" s="69"/>
      <c r="B45" s="43" t="str">
        <f>IFERROR(__xludf.DUMMYFUNCTION("IFERROR(JOIN(CHAR(10),FILTER('วันสำคัญประจำปี'!$C:$C,'วันสำคัญประจำปี'!$B:$B=B44)),)"),"")</f>
        <v/>
      </c>
      <c r="D45" s="44" t="str">
        <f>IFERROR(__xludf.DUMMYFUNCTION("IFERROR(JOIN(CHAR(10),FILTER('วันสำคัญประจำปี'!$C:$C,'วันสำคัญประจำปี'!$B:$B=D44)),)"),"")</f>
        <v/>
      </c>
      <c r="F45" s="44" t="str">
        <f>IFERROR(__xludf.DUMMYFUNCTION("IFERROR(JOIN(CHAR(10),FILTER('วันสำคัญประจำปี'!$C:$C,'วันสำคัญประจำปี'!$B:$B=F44)),)"),"")</f>
        <v/>
      </c>
      <c r="H45" s="44" t="str">
        <f>IFERROR(__xludf.DUMMYFUNCTION("IFERROR(JOIN(CHAR(10),FILTER('วันสำคัญประจำปี'!$C:$C,'วันสำคัญประจำปี'!$B:$B=H44)),)"),"")</f>
        <v/>
      </c>
      <c r="J45" s="44" t="str">
        <f>IFERROR(__xludf.DUMMYFUNCTION("IFERROR(JOIN(CHAR(10),FILTER('วันสำคัญประจำปี'!$C:$C,'วันสำคัญประจำปี'!$B:$B=J44)),)"),"")</f>
        <v/>
      </c>
      <c r="L45" s="44" t="str">
        <f>IFERROR(__xludf.DUMMYFUNCTION("IFERROR(JOIN(CHAR(10),FILTER('วันสำคัญประจำปี'!$C:$C,'วันสำคัญประจำปี'!$B:$B=L44)),)"),"")</f>
        <v/>
      </c>
      <c r="N45" s="44" t="str">
        <f>IFERROR(__xludf.DUMMYFUNCTION("IFERROR(JOIN(CHAR(10),FILTER('วันสำคัญประจำปี'!$C:$C,'วันสำคัญประจำปี'!$B:$B=N44)),)"),"")</f>
        <v/>
      </c>
      <c r="P45" s="14"/>
      <c r="Q45" s="17"/>
      <c r="R45" s="14"/>
      <c r="S45" s="14"/>
    </row>
    <row r="46" ht="19.5" customHeight="1">
      <c r="A46" s="70"/>
      <c r="B46" s="58" t="b">
        <v>0</v>
      </c>
      <c r="C46" s="59"/>
      <c r="D46" s="52" t="b">
        <v>0</v>
      </c>
      <c r="E46" s="59"/>
      <c r="F46" s="52" t="b">
        <v>0</v>
      </c>
      <c r="G46" s="59"/>
      <c r="H46" s="52" t="b">
        <v>0</v>
      </c>
      <c r="I46" s="59"/>
      <c r="J46" s="52" t="b">
        <v>0</v>
      </c>
      <c r="K46" s="59"/>
      <c r="L46" s="52" t="b">
        <v>0</v>
      </c>
      <c r="M46" s="59"/>
      <c r="N46" s="57" t="b">
        <v>0</v>
      </c>
      <c r="O46" s="62"/>
      <c r="P46" s="70"/>
      <c r="Q46" s="71"/>
      <c r="R46" s="70"/>
      <c r="S46" s="70"/>
    </row>
    <row r="47" ht="19.5" customHeight="1">
      <c r="A47" s="70"/>
      <c r="B47" s="65" t="b">
        <v>0</v>
      </c>
      <c r="C47" s="61"/>
      <c r="D47" s="57" t="b">
        <v>0</v>
      </c>
      <c r="E47" s="61"/>
      <c r="F47" s="57" t="b">
        <v>0</v>
      </c>
      <c r="G47" s="61"/>
      <c r="H47" s="57" t="b">
        <v>0</v>
      </c>
      <c r="I47" s="61"/>
      <c r="J47" s="57" t="b">
        <v>0</v>
      </c>
      <c r="K47" s="61"/>
      <c r="L47" s="57" t="b">
        <v>0</v>
      </c>
      <c r="M47" s="61"/>
      <c r="N47" s="57" t="b">
        <v>0</v>
      </c>
      <c r="O47" s="62"/>
      <c r="P47" s="70"/>
      <c r="Q47" s="71"/>
      <c r="R47" s="70"/>
      <c r="S47" s="70"/>
    </row>
    <row r="48" ht="19.5" customHeight="1">
      <c r="A48" s="70"/>
      <c r="B48" s="65" t="b">
        <v>0</v>
      </c>
      <c r="C48" s="61"/>
      <c r="D48" s="57" t="b">
        <v>0</v>
      </c>
      <c r="E48" s="61"/>
      <c r="F48" s="57" t="b">
        <v>0</v>
      </c>
      <c r="G48" s="61"/>
      <c r="H48" s="57" t="b">
        <v>0</v>
      </c>
      <c r="I48" s="61"/>
      <c r="J48" s="57" t="b">
        <v>0</v>
      </c>
      <c r="K48" s="61"/>
      <c r="L48" s="57" t="b">
        <v>0</v>
      </c>
      <c r="M48" s="61"/>
      <c r="N48" s="57" t="b">
        <v>0</v>
      </c>
      <c r="O48" s="62"/>
      <c r="P48" s="70"/>
      <c r="Q48" s="71"/>
      <c r="R48" s="70"/>
      <c r="S48" s="70"/>
    </row>
    <row r="49" ht="19.5" customHeight="1">
      <c r="A49" s="70"/>
      <c r="B49" s="65" t="b">
        <v>0</v>
      </c>
      <c r="C49" s="61"/>
      <c r="D49" s="52" t="b">
        <v>0</v>
      </c>
      <c r="E49" s="61"/>
      <c r="F49" s="57" t="b">
        <v>0</v>
      </c>
      <c r="G49" s="61"/>
      <c r="H49" s="57" t="b">
        <v>0</v>
      </c>
      <c r="I49" s="61"/>
      <c r="J49" s="57" t="b">
        <v>0</v>
      </c>
      <c r="K49" s="61"/>
      <c r="L49" s="57" t="b">
        <v>0</v>
      </c>
      <c r="M49" s="61"/>
      <c r="N49" s="57" t="b">
        <v>0</v>
      </c>
      <c r="O49" s="62"/>
      <c r="P49" s="70"/>
      <c r="Q49" s="71"/>
      <c r="R49" s="70"/>
      <c r="S49" s="70"/>
    </row>
    <row r="50" ht="19.5" customHeight="1">
      <c r="A50" s="70"/>
      <c r="B50" s="65" t="b">
        <v>0</v>
      </c>
      <c r="C50" s="61"/>
      <c r="D50" s="52" t="b">
        <v>0</v>
      </c>
      <c r="E50" s="61"/>
      <c r="F50" s="57" t="b">
        <v>0</v>
      </c>
      <c r="G50" s="61"/>
      <c r="H50" s="57" t="b">
        <v>0</v>
      </c>
      <c r="I50" s="61"/>
      <c r="J50" s="57" t="b">
        <v>0</v>
      </c>
      <c r="K50" s="61"/>
      <c r="L50" s="57" t="b">
        <v>0</v>
      </c>
      <c r="M50" s="61"/>
      <c r="N50" s="57" t="b">
        <v>0</v>
      </c>
      <c r="O50" s="62"/>
      <c r="P50" s="70"/>
      <c r="Q50" s="71"/>
      <c r="R50" s="70"/>
      <c r="S50" s="70"/>
    </row>
    <row r="51" ht="19.5" customHeight="1">
      <c r="A51" s="70"/>
      <c r="B51" s="65" t="b">
        <v>0</v>
      </c>
      <c r="C51" s="61"/>
      <c r="D51" s="52" t="b">
        <v>0</v>
      </c>
      <c r="E51" s="61"/>
      <c r="F51" s="57" t="b">
        <v>0</v>
      </c>
      <c r="G51" s="61"/>
      <c r="H51" s="57" t="b">
        <v>0</v>
      </c>
      <c r="I51" s="61"/>
      <c r="J51" s="57" t="b">
        <v>0</v>
      </c>
      <c r="K51" s="61"/>
      <c r="L51" s="57" t="b">
        <v>0</v>
      </c>
      <c r="M51" s="61"/>
      <c r="N51" s="57" t="b">
        <v>0</v>
      </c>
      <c r="O51" s="62"/>
      <c r="P51" s="70"/>
      <c r="Q51" s="71"/>
      <c r="R51" s="70"/>
      <c r="S51" s="70"/>
    </row>
    <row r="52" ht="19.5" customHeight="1">
      <c r="A52" s="70"/>
      <c r="B52" s="72" t="b">
        <v>0</v>
      </c>
      <c r="C52" s="73"/>
      <c r="D52" s="57" t="b">
        <v>0</v>
      </c>
      <c r="E52" s="73"/>
      <c r="F52" s="57" t="b">
        <v>0</v>
      </c>
      <c r="G52" s="73"/>
      <c r="H52" s="57" t="b">
        <v>0</v>
      </c>
      <c r="I52" s="73"/>
      <c r="J52" s="57" t="b">
        <v>0</v>
      </c>
      <c r="K52" s="73"/>
      <c r="L52" s="57" t="b">
        <v>0</v>
      </c>
      <c r="M52" s="73"/>
      <c r="N52" s="57" t="b">
        <v>0</v>
      </c>
      <c r="O52" s="74"/>
      <c r="P52" s="70"/>
      <c r="Q52" s="71"/>
      <c r="R52" s="70"/>
      <c r="S52" s="70"/>
    </row>
    <row r="53" ht="19.5" customHeight="1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7"/>
      <c r="R53" s="14"/>
      <c r="S53" s="14"/>
    </row>
  </sheetData>
  <mergeCells count="84">
    <mergeCell ref="B26:C26"/>
    <mergeCell ref="D26:E26"/>
    <mergeCell ref="F26:G26"/>
    <mergeCell ref="H26:I26"/>
    <mergeCell ref="J26:K26"/>
    <mergeCell ref="L26:M26"/>
    <mergeCell ref="N26:O26"/>
    <mergeCell ref="B27:C27"/>
    <mergeCell ref="D27:E27"/>
    <mergeCell ref="F27:G27"/>
    <mergeCell ref="H27:I27"/>
    <mergeCell ref="J27:K27"/>
    <mergeCell ref="L27:M27"/>
    <mergeCell ref="N27:O27"/>
    <mergeCell ref="B35:C35"/>
    <mergeCell ref="D35:E35"/>
    <mergeCell ref="F35:G35"/>
    <mergeCell ref="H35:I35"/>
    <mergeCell ref="J35:K35"/>
    <mergeCell ref="L35:M35"/>
    <mergeCell ref="N35:O35"/>
    <mergeCell ref="B36:C36"/>
    <mergeCell ref="D36:E36"/>
    <mergeCell ref="F36:G36"/>
    <mergeCell ref="H36:I36"/>
    <mergeCell ref="J36:K36"/>
    <mergeCell ref="L36:M36"/>
    <mergeCell ref="N36:O36"/>
    <mergeCell ref="H7:I7"/>
    <mergeCell ref="J7:K7"/>
    <mergeCell ref="H8:I8"/>
    <mergeCell ref="J8:K8"/>
    <mergeCell ref="H9:I9"/>
    <mergeCell ref="J9:K9"/>
    <mergeCell ref="L9:M9"/>
    <mergeCell ref="N9:O9"/>
    <mergeCell ref="L7:M7"/>
    <mergeCell ref="N7:O7"/>
    <mergeCell ref="Q7:R8"/>
    <mergeCell ref="L8:M8"/>
    <mergeCell ref="N8:O8"/>
    <mergeCell ref="B3:E4"/>
    <mergeCell ref="G3:I3"/>
    <mergeCell ref="M3:O3"/>
    <mergeCell ref="B5:C5"/>
    <mergeCell ref="D5:E5"/>
    <mergeCell ref="Q5:R5"/>
    <mergeCell ref="B7:C7"/>
    <mergeCell ref="B17:C17"/>
    <mergeCell ref="B18:C18"/>
    <mergeCell ref="D18:E18"/>
    <mergeCell ref="F18:G18"/>
    <mergeCell ref="H18:I18"/>
    <mergeCell ref="J18:K18"/>
    <mergeCell ref="L18:M18"/>
    <mergeCell ref="N18:O18"/>
    <mergeCell ref="B9:C9"/>
    <mergeCell ref="D17:E17"/>
    <mergeCell ref="F17:G17"/>
    <mergeCell ref="H17:I17"/>
    <mergeCell ref="J17:K17"/>
    <mergeCell ref="L17:M17"/>
    <mergeCell ref="N17:O17"/>
    <mergeCell ref="D7:E7"/>
    <mergeCell ref="F7:G7"/>
    <mergeCell ref="B8:C8"/>
    <mergeCell ref="D8:E8"/>
    <mergeCell ref="F8:G8"/>
    <mergeCell ref="D9:E9"/>
    <mergeCell ref="F9:G9"/>
    <mergeCell ref="B45:C45"/>
    <mergeCell ref="D45:E45"/>
    <mergeCell ref="F45:G45"/>
    <mergeCell ref="H45:I45"/>
    <mergeCell ref="J45:K45"/>
    <mergeCell ref="L45:M45"/>
    <mergeCell ref="N45:O45"/>
    <mergeCell ref="B44:C44"/>
    <mergeCell ref="D44:E44"/>
    <mergeCell ref="F44:G44"/>
    <mergeCell ref="H44:I44"/>
    <mergeCell ref="J44:K44"/>
    <mergeCell ref="L44:M44"/>
    <mergeCell ref="N44:O44"/>
  </mergeCells>
  <conditionalFormatting sqref="B8:O8 B17:O17 B26:O26 B35:O35 B44:O44">
    <cfRule type="expression" dxfId="0" priority="1">
      <formula>IF(MONTH(B8)=MONTH(DATEVALUE($B$5&amp;" 1 "&amp;$D$5)),0,1)</formula>
    </cfRule>
  </conditionalFormatting>
  <conditionalFormatting sqref="B10:B16 D10:D16 F10:F16 H10:H16 J10:J16 L10:L16 N10:N16">
    <cfRule type="expression" dxfId="1" priority="2">
      <formula>IF(MONTH(B$8)=MONTH(DATEVALUE($B$5&amp;" 1 "&amp;$D$5)),0,1)</formula>
    </cfRule>
  </conditionalFormatting>
  <conditionalFormatting sqref="B19:B25 D19:D25 F19:F25 H19:H25 J19:J25 L19:L25 N19:N25">
    <cfRule type="expression" dxfId="1" priority="3">
      <formula>IF(MONTH(B$17)=MONTH(DATEVALUE($B$5&amp;" 1 "&amp;$D$5)),0,1)</formula>
    </cfRule>
  </conditionalFormatting>
  <conditionalFormatting sqref="B46:B52 D46:D52 F46:F52 H46:H52 J46:J52 L46:L52 N46:N52">
    <cfRule type="expression" dxfId="1" priority="4">
      <formula>IF(MONTH(B$44)=MONTH(DATEVALUE($B$5&amp;" 1 "&amp;$D$5)),0,1)</formula>
    </cfRule>
  </conditionalFormatting>
  <conditionalFormatting sqref="B37:B43 D37:D43 F37:F43 H37:H43 J37:J43 L37:L43 N37:N43">
    <cfRule type="expression" dxfId="1" priority="5">
      <formula>IF(MONTH(B$26)=MONTH(DATEVALUE($B$5&amp;" 1 "&amp;$D$5)),0,1)</formula>
    </cfRule>
  </conditionalFormatting>
  <conditionalFormatting sqref="R9:R44 C10:C16 E10:E16 G10:G16 I10:I16 K10:K16 M10:M16 O10:O16 C19:C25 E19:E25 G19:G25 I19:I25 K19:K25 M19:M25 O19:O25 C28:C34 E28:E34 G28:G34 I28:I34 K28:K34 M28:M34 O28:O34 C37:C43 E37:E43 G37:G43 I37:I43 K37:K43 M37:M43 O37:O43 C46:C52 E46:E52 G46:G52 I46:I52 K46:K52 M46:M52">
    <cfRule type="expression" dxfId="2" priority="6">
      <formula>IF(Q9=TRUE,1,0)</formula>
    </cfRule>
  </conditionalFormatting>
  <dataValidations>
    <dataValidation type="list" allowBlank="1" showDropDown="1" showErrorMessage="1" sqref="B5">
      <formula1>Config!$A$2:$A53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202C"/>
    <outlinePr summaryBelow="0" summaryRight="0"/>
  </sheetPr>
  <sheetViews>
    <sheetView workbookViewId="0"/>
  </sheetViews>
  <sheetFormatPr customHeight="1" defaultColWidth="12.63" defaultRowHeight="15.75"/>
  <cols>
    <col customWidth="1" min="2" max="2" width="72.25"/>
  </cols>
  <sheetData>
    <row r="1">
      <c r="A1" s="75" t="s">
        <v>72</v>
      </c>
      <c r="B1" s="6" t="s">
        <v>73</v>
      </c>
    </row>
    <row r="2">
      <c r="A2" s="75" t="s">
        <v>74</v>
      </c>
      <c r="B2" s="76" t="str">
        <f>validateJson(A6)</f>
        <v>#NAME?</v>
      </c>
    </row>
    <row r="3">
      <c r="A3" s="75" t="s">
        <v>75</v>
      </c>
      <c r="B3" s="77" t="s">
        <v>76</v>
      </c>
    </row>
    <row r="6">
      <c r="A6" s="78" t="s">
        <v>77</v>
      </c>
    </row>
  </sheetData>
  <mergeCells count="1">
    <mergeCell ref="A6:F6"/>
  </mergeCells>
  <hyperlinks>
    <hyperlink r:id="rId1" ref="B3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7.5"/>
    <col customWidth="1" min="3" max="3" width="6.88"/>
    <col customWidth="1" min="4" max="4" width="21.25"/>
  </cols>
  <sheetData>
    <row r="1">
      <c r="A1" s="75" t="s">
        <v>78</v>
      </c>
      <c r="B1" s="75" t="s">
        <v>79</v>
      </c>
      <c r="C1" s="75" t="s">
        <v>80</v>
      </c>
      <c r="D1" s="75" t="s">
        <v>81</v>
      </c>
    </row>
    <row r="2">
      <c r="A2" s="6" t="s">
        <v>73</v>
      </c>
      <c r="B2" s="79">
        <v>46029.343259456014</v>
      </c>
      <c r="C2" s="6" t="s">
        <v>82</v>
      </c>
      <c r="D2" s="6" t="s">
        <v>83</v>
      </c>
    </row>
  </sheetData>
  <drawing r:id="rId1"/>
</worksheet>
</file>
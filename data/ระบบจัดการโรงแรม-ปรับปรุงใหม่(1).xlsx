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-โรงแรม - Sheet1.csv" sheetId="1" r:id="rId5"/>
    <sheet state="visible" name="📊 Dashboard" sheetId="2" r:id="rId6"/>
    <sheet state="visible" name="📋 ฟอร์มการจอง" sheetId="3" r:id="rId7"/>
    <sheet state="visible" name="🏨 ติดตามสถานะห้อง" sheetId="4" r:id="rId8"/>
  </sheets>
  <definedNames/>
  <calcPr/>
</workbook>
</file>

<file path=xl/sharedStrings.xml><?xml version="1.0" encoding="utf-8"?>
<sst xmlns="http://schemas.openxmlformats.org/spreadsheetml/2006/main" count="269" uniqueCount="106">
  <si>
    <t>ห้อง</t>
  </si>
  <si>
    <t>ตึก</t>
  </si>
  <si>
    <t>ชั้น</t>
  </si>
  <si>
    <t>ประเภทห้อง</t>
  </si>
  <si>
    <t>ชื่อลูกค้า</t>
  </si>
  <si>
    <t>calculated_status</t>
  </si>
  <si>
    <t>A101</t>
  </si>
  <si>
    <t>A</t>
  </si>
  <si>
    <t>Standard</t>
  </si>
  <si>
    <t>✅ ว่าง</t>
  </si>
  <si>
    <t>A102</t>
  </si>
  <si>
    <t>A103</t>
  </si>
  <si>
    <t>A104</t>
  </si>
  <si>
    <t>สุจิตรา ธรรมเจริญ</t>
  </si>
  <si>
    <t>🛌 มีแขก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</si>
  <si>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</si>
  <si>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</si>
  <si>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</si>
  <si>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</si>
  <si>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</si>
  <si>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</si>
  <si>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</si>
  <si>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</si>
  <si>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</si>
  <si>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</si>
  <si>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</si>
  <si>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</si>
  <si>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</si>
  <si>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</si>
  <si>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</si>
  <si>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</si>
  <si>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</si>
  <si>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</si>
  <si>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</si>
  <si>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</si>
  <si>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</si>
  <si>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</si>
  <si>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</si>
  <si>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</si>
  <si>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</si>
  <si>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</si>
  <si>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</si>
  <si>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</si>
  <si>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</si>
  <si>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</si>
  <si>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</si>
  <si>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</si>
  <si>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</si>
  <si>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</si>
  <si>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</si>
  <si>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</si>
  <si>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</si>
  <si>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</si>
  <si>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</si>
  <si>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</si>
  <si>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</si>
  <si>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</si>
  <si>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</si>
  <si>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</t>
  </si>
  <si>
    <t>N2</t>
  </si>
  <si>
    <t>N3</t>
  </si>
  <si>
    <t>N4</t>
  </si>
  <si>
    <t>N5</t>
  </si>
  <si>
    <t>N6</t>
  </si>
  <si>
    <t>N7</t>
  </si>
  <si>
    <t>สรุปข้อมูล</t>
  </si>
  <si>
    <t>จำนวนห้อง</t>
  </si>
  <si>
    <t>อัตราการเข้าพัก</t>
  </si>
  <si>
    <t>รายได้รายวัน</t>
  </si>
  <si>
    <t>รายได้รายเดือน</t>
  </si>
  <si>
    <t>สถานะห้องว่าง</t>
  </si>
  <si>
    <t>การจองวันนี้</t>
  </si>
  <si>
    <t>แขกที่เช็คอิน</t>
  </si>
  <si>
    <t>แขกที่เช็คเอาท์</t>
  </si>
  <si>
    <t>สรุปข้อมูลระบบ Nov 23, 2025</t>
  </si>
  <si>
    <t>สถิติระบบ: พร้อมใช้งาน!</t>
  </si>
  <si>
    <t>วันที่จอง</t>
  </si>
  <si>
    <t>เบอร์โทร</t>
  </si>
  <si>
    <t>อีเมล</t>
  </si>
  <si>
    <t>วันเข้าพัก</t>
  </si>
  <si>
    <t>วันออก</t>
  </si>
  <si>
    <t>เลขที่ห้อง</t>
  </si>
  <si>
    <t>จำนวนผู้เข้าพัก</t>
  </si>
  <si>
    <t>ราคารวม</t>
  </si>
  <si>
    <t>สถานะ</t>
  </si>
  <si>
    <t>Nov 23, 2025</t>
  </si>
  <si>
    <t>คุณลูกค้าตัวอย่าง</t>
  </si>
  <si>
    <t>081-234-5678</t>
  </si>
  <si>
    <t>customer@example.com</t>
  </si>
  <si>
    <t>ห้องดีลักซ์</t>
  </si>
  <si>
    <t>ยืนยัน</t>
  </si>
  <si>
    <t>คุณสมชาย ใจดี</t>
  </si>
  <si>
    <t>081-123-4567</t>
  </si>
  <si>
    <t>customer@hotel-example.com</t>
  </si>
  <si>
    <t>ยืนยันแล้ว</t>
  </si>
  <si>
    <t>สถานะปัจจุบัน</t>
  </si>
  <si>
    <t>วันที่เข้าพัก</t>
  </si>
  <si>
    <t>วันที่ออก</t>
  </si>
  <si>
    <t>ชื่อแขก</t>
  </si>
  <si>
    <t>ประวัติการทำความสะอาด</t>
  </si>
  <si>
    <t>การบำรุงรักษา</t>
  </si>
  <si>
    <t>หมายเหตุ</t>
  </si>
  <si>
    <t>ว่าง</t>
  </si>
  <si>
    <t>ทำความสะอาดเสร็จ Nov 23, 2025</t>
  </si>
  <si>
    <t>พร้อมรับแขก</t>
  </si>
  <si>
    <t>ระบบพร้อมใช้งาน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</si>
</sst>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1.0</v>
      </c>
      <c r="D2" s="1" t="s">
        <v>8</v>
      </c>
      <c r="F2" s="1" t="s">
        <v>9</v>
      </c>
    </row>
    <row r="3">
      <c r="A3" s="1" t="s">
        <v>10</v>
      </c>
      <c r="B3" s="1" t="s">
        <v>7</v>
      </c>
      <c r="C3" s="1">
        <v>1.0</v>
      </c>
      <c r="D3" s="1" t="s">
        <v>8</v>
      </c>
      <c r="F3" s="1" t="s">
        <v>9</v>
      </c>
    </row>
    <row r="4">
      <c r="A4" s="1" t="s">
        <v>11</v>
      </c>
      <c r="B4" s="1" t="s">
        <v>7</v>
      </c>
      <c r="C4" s="1">
        <v>1.0</v>
      </c>
      <c r="D4" s="1" t="s">
        <v>8</v>
      </c>
      <c r="F4" s="1" t="s">
        <v>9</v>
      </c>
    </row>
    <row r="5">
      <c r="A5" s="1" t="s">
        <v>12</v>
      </c>
      <c r="B5" s="1" t="s">
        <v>7</v>
      </c>
      <c r="C5" s="1">
        <v>1.0</v>
      </c>
      <c r="D5" s="1" t="s">
        <v>8</v>
      </c>
      <c r="E5" s="1" t="s">
        <v>13</v>
      </c>
      <c r="F5" s="1" t="s">
        <v>14</v>
      </c>
    </row>
    <row r="6">
      <c r="A6" s="1" t="s">
        <v>15</v>
      </c>
      <c r="B6" s="1" t="s">
        <v>7</v>
      </c>
      <c r="C6" s="1">
        <v>1.0</v>
      </c>
      <c r="D6" s="1" t="s">
        <v>8</v>
      </c>
      <c r="F6" s="1" t="s">
        <v>9</v>
      </c>
    </row>
    <row r="7">
      <c r="A7" s="1" t="s">
        <v>16</v>
      </c>
      <c r="B7" s="1" t="s">
        <v>7</v>
      </c>
      <c r="C7" s="1">
        <v>1.0</v>
      </c>
      <c r="D7" s="1" t="s">
        <v>17</v>
      </c>
      <c r="F7" s="1" t="s">
        <v>9</v>
      </c>
    </row>
    <row r="8">
      <c r="A8" s="1" t="s">
        <v>18</v>
      </c>
      <c r="B8" s="1" t="s">
        <v>7</v>
      </c>
      <c r="C8" s="1">
        <v>1.0</v>
      </c>
      <c r="D8" s="1" t="s">
        <v>17</v>
      </c>
      <c r="F8" s="1" t="s">
        <v>9</v>
      </c>
    </row>
    <row r="9">
      <c r="A9" s="1" t="s">
        <v>19</v>
      </c>
      <c r="B9" s="1" t="s">
        <v>7</v>
      </c>
      <c r="C9" s="1">
        <v>1.0</v>
      </c>
      <c r="D9" s="1" t="s">
        <v>17</v>
      </c>
      <c r="F9" s="1" t="s">
        <v>9</v>
      </c>
    </row>
    <row r="10">
      <c r="A10" s="1" t="s">
        <v>20</v>
      </c>
      <c r="B10" s="1" t="s">
        <v>7</v>
      </c>
      <c r="C10" s="1">
        <v>1.0</v>
      </c>
      <c r="D10" s="1" t="s">
        <v>17</v>
      </c>
      <c r="F10" s="1" t="s">
        <v>9</v>
      </c>
    </row>
    <row r="11">
      <c r="A11" s="1" t="s">
        <v>21</v>
      </c>
      <c r="B11" s="1" t="s">
        <v>7</v>
      </c>
      <c r="C11" s="1">
        <v>1.0</v>
      </c>
      <c r="D11" s="1" t="s">
        <v>17</v>
      </c>
      <c r="F11" s="1" t="s">
        <v>9</v>
      </c>
    </row>
    <row r="12">
      <c r="A12" s="1" t="s">
        <v>22</v>
      </c>
      <c r="B12" s="1" t="s">
        <v>7</v>
      </c>
      <c r="C12" s="1">
        <v>1.0</v>
      </c>
      <c r="D12" s="1" t="s">
        <v>8</v>
      </c>
      <c r="F12" s="1" t="s">
        <v>9</v>
      </c>
    </row>
    <row r="13">
      <c r="A13" s="1" t="s">
        <v>23</v>
      </c>
      <c r="B13" s="1" t="s">
        <v>7</v>
      </c>
      <c r="C13" s="1">
        <v>2.0</v>
      </c>
      <c r="D13" s="1" t="s">
        <v>8</v>
      </c>
      <c r="F13" s="1" t="s">
        <v>9</v>
      </c>
    </row>
    <row r="14">
      <c r="A14" s="1" t="s">
        <v>24</v>
      </c>
      <c r="B14" s="1" t="s">
        <v>7</v>
      </c>
      <c r="C14" s="1">
        <v>2.0</v>
      </c>
      <c r="D14" s="1" t="s">
        <v>8</v>
      </c>
      <c r="F14" s="1" t="s">
        <v>9</v>
      </c>
    </row>
    <row r="15">
      <c r="A15" s="1" t="s">
        <v>25</v>
      </c>
      <c r="B15" s="1" t="s">
        <v>7</v>
      </c>
      <c r="C15" s="1">
        <v>2.0</v>
      </c>
      <c r="D15" s="1" t="s">
        <v>8</v>
      </c>
      <c r="F15" s="1" t="s">
        <v>9</v>
      </c>
    </row>
    <row r="16">
      <c r="A16" s="1" t="s">
        <v>26</v>
      </c>
      <c r="B16" s="1" t="s">
        <v>7</v>
      </c>
      <c r="C16" s="1">
        <v>2.0</v>
      </c>
      <c r="D16" s="1" t="s">
        <v>8</v>
      </c>
      <c r="F16" s="1" t="s">
        <v>9</v>
      </c>
    </row>
    <row r="17">
      <c r="A17" s="1" t="s">
        <v>27</v>
      </c>
      <c r="B17" s="1" t="s">
        <v>7</v>
      </c>
      <c r="C17" s="1">
        <v>2.0</v>
      </c>
      <c r="D17" s="1" t="s">
        <v>8</v>
      </c>
      <c r="F17" s="1" t="s">
        <v>9</v>
      </c>
    </row>
    <row r="18">
      <c r="A18" s="1" t="s">
        <v>28</v>
      </c>
      <c r="B18" s="1" t="s">
        <v>7</v>
      </c>
      <c r="C18" s="1">
        <v>2.0</v>
      </c>
      <c r="D18" s="1" t="s">
        <v>8</v>
      </c>
      <c r="F18" s="1" t="s">
        <v>9</v>
      </c>
    </row>
    <row r="19">
      <c r="A19" s="1" t="s">
        <v>29</v>
      </c>
      <c r="B19" s="1" t="s">
        <v>7</v>
      </c>
      <c r="C19" s="1">
        <v>2.0</v>
      </c>
      <c r="D19" s="1" t="s">
        <v>8</v>
      </c>
      <c r="F19" s="1" t="s">
        <v>9</v>
      </c>
    </row>
    <row r="20">
      <c r="A20" s="1" t="s">
        <v>30</v>
      </c>
      <c r="B20" s="1" t="s">
        <v>7</v>
      </c>
      <c r="C20" s="1">
        <v>2.0</v>
      </c>
      <c r="D20" s="1" t="s">
        <v>8</v>
      </c>
      <c r="F20" s="1" t="s">
        <v>9</v>
      </c>
    </row>
    <row r="21">
      <c r="A21" s="1" t="s">
        <v>31</v>
      </c>
      <c r="B21" s="1" t="s">
        <v>7</v>
      </c>
      <c r="C21" s="1">
        <v>2.0</v>
      </c>
      <c r="D21" s="1" t="s">
        <v>8</v>
      </c>
      <c r="F21" s="1" t="s">
        <v>9</v>
      </c>
    </row>
    <row r="22">
      <c r="A22" s="1" t="s">
        <v>32</v>
      </c>
      <c r="B22" s="1" t="s">
        <v>7</v>
      </c>
      <c r="C22" s="1">
        <v>2.0</v>
      </c>
      <c r="D22" s="1" t="s">
        <v>8</v>
      </c>
      <c r="F22" s="1" t="s">
        <v>9</v>
      </c>
    </row>
    <row r="23">
      <c r="A23" s="1" t="s">
        <v>33</v>
      </c>
      <c r="B23" s="1" t="s">
        <v>7</v>
      </c>
      <c r="C23" s="1">
        <v>2.0</v>
      </c>
      <c r="D23" s="1" t="s">
        <v>8</v>
      </c>
      <c r="F23" s="1" t="s">
        <v>9</v>
      </c>
    </row>
    <row r="24">
      <c r="A24" s="1" t="s">
        <v>34</v>
      </c>
      <c r="B24" s="1" t="s">
        <v>35</v>
      </c>
      <c r="C24" s="1">
        <v>1.0</v>
      </c>
      <c r="D24" s="1" t="s">
        <v>8</v>
      </c>
      <c r="F24" s="1" t="s">
        <v>9</v>
      </c>
    </row>
    <row r="25">
      <c r="A25" s="1" t="s">
        <v>36</v>
      </c>
      <c r="B25" s="1" t="s">
        <v>35</v>
      </c>
      <c r="C25" s="1">
        <v>1.0</v>
      </c>
      <c r="D25" s="1" t="s">
        <v>8</v>
      </c>
      <c r="F25" s="1" t="s">
        <v>9</v>
      </c>
    </row>
    <row r="26">
      <c r="A26" s="1" t="s">
        <v>37</v>
      </c>
      <c r="B26" s="1" t="s">
        <v>35</v>
      </c>
      <c r="C26" s="1">
        <v>1.0</v>
      </c>
      <c r="D26" s="1" t="s">
        <v>8</v>
      </c>
      <c r="F26" s="1" t="s">
        <v>9</v>
      </c>
    </row>
    <row r="27">
      <c r="A27" s="1" t="s">
        <v>38</v>
      </c>
      <c r="B27" s="1" t="s">
        <v>35</v>
      </c>
      <c r="C27" s="1">
        <v>1.0</v>
      </c>
      <c r="D27" s="1" t="s">
        <v>8</v>
      </c>
      <c r="F27" s="1" t="s">
        <v>9</v>
      </c>
    </row>
    <row r="28">
      <c r="A28" s="1" t="s">
        <v>39</v>
      </c>
      <c r="B28" s="1" t="s">
        <v>35</v>
      </c>
      <c r="C28" s="1">
        <v>1.0</v>
      </c>
      <c r="D28" s="1" t="s">
        <v>8</v>
      </c>
      <c r="F28" s="1" t="s">
        <v>9</v>
      </c>
    </row>
    <row r="29">
      <c r="A29" s="1" t="s">
        <v>40</v>
      </c>
      <c r="B29" s="1" t="s">
        <v>35</v>
      </c>
      <c r="C29" s="1">
        <v>1.0</v>
      </c>
      <c r="D29" s="1" t="s">
        <v>8</v>
      </c>
      <c r="F29" s="1" t="s">
        <v>9</v>
      </c>
    </row>
    <row r="30">
      <c r="A30" s="1" t="s">
        <v>41</v>
      </c>
      <c r="B30" s="1" t="s">
        <v>35</v>
      </c>
      <c r="C30" s="1">
        <v>1.0</v>
      </c>
      <c r="D30" s="1" t="s">
        <v>8</v>
      </c>
      <c r="F30" s="1" t="s">
        <v>9</v>
      </c>
    </row>
    <row r="31">
      <c r="A31" s="1" t="s">
        <v>42</v>
      </c>
      <c r="B31" s="1" t="s">
        <v>35</v>
      </c>
      <c r="C31" s="1">
        <v>1.0</v>
      </c>
      <c r="D31" s="1" t="s">
        <v>8</v>
      </c>
      <c r="F31" s="1" t="s">
        <v>9</v>
      </c>
    </row>
    <row r="32">
      <c r="A32" s="1" t="s">
        <v>43</v>
      </c>
      <c r="B32" s="1" t="s">
        <v>35</v>
      </c>
      <c r="C32" s="1">
        <v>1.0</v>
      </c>
      <c r="D32" s="1" t="s">
        <v>8</v>
      </c>
      <c r="F32" s="1" t="s">
        <v>9</v>
      </c>
    </row>
    <row r="33">
      <c r="A33" s="1" t="s">
        <v>44</v>
      </c>
      <c r="B33" s="1" t="s">
        <v>35</v>
      </c>
      <c r="C33" s="1">
        <v>1.0</v>
      </c>
      <c r="D33" s="1" t="s">
        <v>8</v>
      </c>
      <c r="F33" s="1" t="s">
        <v>9</v>
      </c>
    </row>
    <row r="34">
      <c r="A34" s="1" t="s">
        <v>45</v>
      </c>
      <c r="B34" s="1" t="s">
        <v>35</v>
      </c>
      <c r="C34" s="1">
        <v>1.0</v>
      </c>
      <c r="D34" s="1" t="s">
        <v>17</v>
      </c>
      <c r="F34" s="1" t="s">
        <v>9</v>
      </c>
    </row>
    <row r="35">
      <c r="A35" s="1" t="s">
        <v>46</v>
      </c>
      <c r="B35" s="1" t="s">
        <v>35</v>
      </c>
      <c r="C35" s="1">
        <v>2.0</v>
      </c>
      <c r="D35" s="1" t="s">
        <v>8</v>
      </c>
      <c r="F35" s="1" t="s">
        <v>9</v>
      </c>
    </row>
    <row r="36">
      <c r="A36" s="1" t="s">
        <v>47</v>
      </c>
      <c r="B36" s="1" t="s">
        <v>35</v>
      </c>
      <c r="C36" s="1">
        <v>2.0</v>
      </c>
      <c r="D36" s="1" t="s">
        <v>8</v>
      </c>
      <c r="F36" s="1" t="s">
        <v>9</v>
      </c>
    </row>
    <row r="37">
      <c r="A37" s="1" t="s">
        <v>48</v>
      </c>
      <c r="B37" s="1" t="s">
        <v>35</v>
      </c>
      <c r="C37" s="1">
        <v>2.0</v>
      </c>
      <c r="D37" s="1" t="s">
        <v>8</v>
      </c>
      <c r="F37" s="1" t="s">
        <v>9</v>
      </c>
    </row>
    <row r="38">
      <c r="A38" s="1" t="s">
        <v>49</v>
      </c>
      <c r="B38" s="1" t="s">
        <v>35</v>
      </c>
      <c r="C38" s="1">
        <v>2.0</v>
      </c>
      <c r="D38" s="1" t="s">
        <v>8</v>
      </c>
      <c r="F38" s="1" t="s">
        <v>9</v>
      </c>
    </row>
    <row r="39">
      <c r="A39" s="1" t="s">
        <v>50</v>
      </c>
      <c r="B39" s="1" t="s">
        <v>35</v>
      </c>
      <c r="C39" s="1">
        <v>2.0</v>
      </c>
      <c r="D39" s="1" t="s">
        <v>8</v>
      </c>
      <c r="F39" s="1" t="s">
        <v>9</v>
      </c>
    </row>
    <row r="40">
      <c r="A40" s="1" t="s">
        <v>51</v>
      </c>
      <c r="B40" s="1" t="s">
        <v>35</v>
      </c>
      <c r="C40" s="1">
        <v>2.0</v>
      </c>
      <c r="D40" s="1" t="s">
        <v>8</v>
      </c>
      <c r="F40" s="1" t="s">
        <v>9</v>
      </c>
    </row>
    <row r="41">
      <c r="A41" s="1" t="s">
        <v>52</v>
      </c>
      <c r="B41" s="1" t="s">
        <v>35</v>
      </c>
      <c r="C41" s="1">
        <v>2.0</v>
      </c>
      <c r="D41" s="1" t="s">
        <v>8</v>
      </c>
      <c r="F41" s="1" t="s">
        <v>9</v>
      </c>
    </row>
    <row r="42">
      <c r="A42" s="1" t="s">
        <v>53</v>
      </c>
      <c r="B42" s="1" t="s">
        <v>35</v>
      </c>
      <c r="C42" s="1">
        <v>2.0</v>
      </c>
      <c r="D42" s="1" t="s">
        <v>8</v>
      </c>
      <c r="F42" s="1" t="s">
        <v>9</v>
      </c>
    </row>
    <row r="43">
      <c r="A43" s="1" t="s">
        <v>54</v>
      </c>
      <c r="B43" s="1" t="s">
        <v>35</v>
      </c>
      <c r="C43" s="1">
        <v>2.0</v>
      </c>
      <c r="D43" s="1" t="s">
        <v>8</v>
      </c>
      <c r="F43" s="1" t="s">
        <v>9</v>
      </c>
    </row>
    <row r="44">
      <c r="A44" s="1" t="s">
        <v>55</v>
      </c>
      <c r="B44" s="1" t="s">
        <v>35</v>
      </c>
      <c r="C44" s="1">
        <v>2.0</v>
      </c>
      <c r="D44" s="1" t="s">
        <v>8</v>
      </c>
      <c r="F44" s="1" t="s">
        <v>9</v>
      </c>
    </row>
    <row r="45">
      <c r="A45" s="1" t="s">
        <v>56</v>
      </c>
      <c r="B45" s="1" t="s">
        <v>35</v>
      </c>
      <c r="C45" s="1">
        <v>2.0</v>
      </c>
      <c r="D45" s="1" t="s">
        <v>8</v>
      </c>
      <c r="F45" s="1" t="s">
        <v>9</v>
      </c>
    </row>
    <row r="46">
      <c r="A46" s="1" t="s">
        <v>57</v>
      </c>
      <c r="B46" s="1" t="s">
        <v>58</v>
      </c>
      <c r="C46" s="1">
        <v>1.0</v>
      </c>
      <c r="D46" s="1" t="s">
        <v>17</v>
      </c>
      <c r="F46" s="1" t="s">
        <v>9</v>
      </c>
    </row>
    <row r="47">
      <c r="A47" s="1" t="s">
        <v>59</v>
      </c>
      <c r="B47" s="1" t="s">
        <v>58</v>
      </c>
      <c r="C47" s="1">
        <v>1.0</v>
      </c>
      <c r="D47" s="1" t="s">
        <v>8</v>
      </c>
      <c r="F47" s="1" t="s">
        <v>9</v>
      </c>
    </row>
    <row r="48">
      <c r="A48" s="1" t="s">
        <v>60</v>
      </c>
      <c r="B48" s="1" t="s">
        <v>58</v>
      </c>
      <c r="C48" s="1">
        <v>1.0</v>
      </c>
      <c r="D48" s="1" t="s">
        <v>8</v>
      </c>
      <c r="F48" s="1" t="s">
        <v>9</v>
      </c>
    </row>
    <row r="49">
      <c r="A49" s="1" t="s">
        <v>61</v>
      </c>
      <c r="B49" s="1" t="s">
        <v>58</v>
      </c>
      <c r="C49" s="1">
        <v>1.0</v>
      </c>
      <c r="D49" s="1" t="s">
        <v>17</v>
      </c>
      <c r="F49" s="1" t="s">
        <v>9</v>
      </c>
    </row>
    <row r="50">
      <c r="A50" s="1" t="s">
        <v>62</v>
      </c>
      <c r="B50" s="1" t="s">
        <v>58</v>
      </c>
      <c r="C50" s="1">
        <v>1.0</v>
      </c>
      <c r="D50" s="1" t="s">
        <v>17</v>
      </c>
      <c r="F50" s="1" t="s">
        <v>9</v>
      </c>
    </row>
    <row r="51">
      <c r="A51" s="1" t="s">
        <v>63</v>
      </c>
      <c r="B51" s="1" t="s">
        <v>58</v>
      </c>
      <c r="C51" s="1">
        <v>1.0</v>
      </c>
      <c r="D51" s="1" t="s">
        <v>17</v>
      </c>
      <c r="F51" s="1" t="s">
        <v>9</v>
      </c>
    </row>
    <row r="52">
      <c r="A52" s="1" t="s">
        <v>64</v>
      </c>
      <c r="B52" s="1" t="s">
        <v>58</v>
      </c>
      <c r="C52" s="1">
        <v>1.0</v>
      </c>
      <c r="D52" s="1" t="s">
        <v>8</v>
      </c>
      <c r="F52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</row>
    <row r="2">
      <c r="A2" s="1" t="s">
        <v>74</v>
      </c>
      <c r="B2" s="1">
        <v>50.0</v>
      </c>
      <c r="C2" s="2">
        <v>0.85</v>
      </c>
      <c r="D2" s="1">
        <f>SUMIF('📋 ฟอร์มการจอง'!A:A,TODAY(),'📋 ฟอร์มการจอง'!J:J)</f>
        <v>0</v>
      </c>
      <c r="E2" s="1">
        <f>SUMIF('📋 ฟอร์มการจอง'!A:A,"&gt;="&amp;EOMONTH(TODAY(),-1)+1,'📋 ฟอร์มการจอง'!J:J)</f>
        <v>0</v>
      </c>
      <c r="F2" s="1">
        <f>COUNTIF('🏨 ติดตามสถานะห้อง'!C:C,"ว่าง")</f>
        <v>1</v>
      </c>
      <c r="G2" s="1">
        <f>COUNTIF('📋 ฟอร์มการจอง'!E:E,TODAY())</f>
        <v>0</v>
      </c>
      <c r="H2" s="1">
        <f>COUNTIF('🏨 ติดตามสถานะห้อง'!D:D,TODAY())</f>
        <v>0</v>
      </c>
      <c r="I2" s="1">
        <f>COUNTIF('🏨 ติดตามสถานะห้อง'!E:E,TODAY())</f>
        <v>0</v>
      </c>
    </row>
    <row r="3">
      <c r="A3" s="1" t="s">
        <v>75</v>
      </c>
      <c r="B3" s="1">
        <f>COUNTA('🏨 ติดตามสถานะห้อง'!A2:A100)</f>
        <v>1</v>
      </c>
      <c r="C3" s="2" t="str">
        <f>ROUND((COUNTIF('🏨 ติดตามสถานะห้อง'!C2:C100,"มีแขก")/COUNTA('🏨 ติดตามสถานะห้อง'!A2:A100))*100,1)&amp;"%"</f>
        <v>0%</v>
      </c>
      <c r="D3" s="1">
        <f>SUM('📋 ฟอร์มการจอง'!J2:J101)</f>
        <v>7500</v>
      </c>
      <c r="E3" s="1">
        <f>AVERAGE('📋 ฟอร์มการจอง'!J2:J101)</f>
        <v>2500</v>
      </c>
      <c r="F3" s="1">
        <f>COUNTIFS('🏨 ติดตามสถานะห้อง'!C2:C100,"ว่าง")</f>
        <v>1</v>
      </c>
      <c r="G3" s="1">
        <f>COUNTIFS('📋 ฟอร์มการจอง'!E2:E101,TODAY())</f>
        <v>0</v>
      </c>
      <c r="H3" s="1">
        <f>COUNTIFS('🏨 ติดตามสถานะห้อง'!D2:D100,TODAY())</f>
        <v>0</v>
      </c>
      <c r="I3" s="1">
        <f>COUNTIFS('🏨 ติดตามสถานะห้อง'!E2:E100,TODAY())</f>
        <v>0</v>
      </c>
    </row>
    <row r="4">
      <c r="A4" s="1" t="s">
        <v>75</v>
      </c>
      <c r="B4" s="1">
        <f>COUNTA('🏨 ติดตามสถานะห้อง'!A2:A100)</f>
        <v>1</v>
      </c>
      <c r="C4" s="2" t="str">
        <f>ROUND((COUNTIF('🏨 ติดตามสถานะห้อง'!C2:C100,"มีแขก")/COUNTA('🏨 ติดตามสถานะห้อง'!A2:A100))*100,1)&amp;"%"</f>
        <v>0%</v>
      </c>
      <c r="D4" s="1">
        <f>SUM('📋 ฟอร์มการจอง'!J2:J101)</f>
        <v>7500</v>
      </c>
      <c r="E4" s="1">
        <f>AVERAGE('📋 ฟอร์มการจอง'!J2:J101)</f>
        <v>2500</v>
      </c>
      <c r="F4" s="1">
        <f>COUNTIFS('🏨 ติดตามสถานะห้อง'!C2:C100,"ว่าง")</f>
        <v>1</v>
      </c>
      <c r="G4" s="1">
        <f>COUNTIFS('📋 ฟอร์มการจอง'!E2:E101,TODAY())</f>
        <v>0</v>
      </c>
      <c r="H4" s="1">
        <f>COUNTIFS('🏨 ติดตามสถานะห้อง'!D2:D100,TODAY())</f>
        <v>0</v>
      </c>
      <c r="I4" s="1">
        <f>COUNTIFS('🏨 ติดตามสถานะห้อง'!E2:E100,TODAY())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  <col customWidth="1" min="5" max="5" width="17.63"/>
    <col customWidth="1" min="6" max="6" width="22.25"/>
  </cols>
  <sheetData>
    <row r="1">
      <c r="A1" s="1" t="s">
        <v>76</v>
      </c>
      <c r="B1" s="1" t="s">
        <v>4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3</v>
      </c>
      <c r="H1" s="1" t="s">
        <v>81</v>
      </c>
      <c r="I1" s="1" t="s">
        <v>82</v>
      </c>
      <c r="J1" s="1" t="s">
        <v>83</v>
      </c>
      <c r="K1" s="1" t="s">
        <v>84</v>
      </c>
    </row>
    <row r="2">
      <c r="A2" s="1" t="s">
        <v>85</v>
      </c>
      <c r="B2" s="1" t="s">
        <v>86</v>
      </c>
      <c r="C2" s="1" t="s">
        <v>87</v>
      </c>
      <c r="D2" s="1" t="s">
        <v>88</v>
      </c>
      <c r="E2" s="1" t="s">
        <v>85</v>
      </c>
      <c r="F2" s="1"/>
      <c r="G2" s="1" t="s">
        <v>89</v>
      </c>
      <c r="H2" s="1">
        <v>101.0</v>
      </c>
      <c r="I2" s="1">
        <v>2.0</v>
      </c>
      <c r="J2" s="1">
        <v>2500.0</v>
      </c>
      <c r="K2" s="1" t="s">
        <v>90</v>
      </c>
    </row>
    <row r="3">
      <c r="A3" s="1" t="s">
        <v>85</v>
      </c>
      <c r="B3" s="1" t="s">
        <v>91</v>
      </c>
      <c r="C3" s="1" t="s">
        <v>92</v>
      </c>
      <c r="D3" s="1" t="s">
        <v>93</v>
      </c>
      <c r="E3" s="1" t="s">
        <v>85</v>
      </c>
      <c r="F3" s="3">
        <f t="shared" ref="F3:F4" si="1">DATE(2025,11,23)+3</f>
        <v>45987</v>
      </c>
      <c r="G3" s="1" t="s">
        <v>89</v>
      </c>
      <c r="H3" s="1">
        <v>101.0</v>
      </c>
      <c r="I3" s="1">
        <v>2.0</v>
      </c>
      <c r="J3" s="1">
        <f>IF(G2="ห้องดีลักซ์",2500,IF(G2="ห้องสแตนดาร์ด",1800,2000))</f>
        <v>2500</v>
      </c>
      <c r="K3" s="1" t="s">
        <v>94</v>
      </c>
    </row>
    <row r="4">
      <c r="A4" s="1" t="s">
        <v>85</v>
      </c>
      <c r="B4" s="1" t="s">
        <v>91</v>
      </c>
      <c r="C4" s="1" t="s">
        <v>92</v>
      </c>
      <c r="D4" s="1" t="s">
        <v>93</v>
      </c>
      <c r="E4" s="1" t="s">
        <v>85</v>
      </c>
      <c r="F4" s="3">
        <f t="shared" si="1"/>
        <v>45987</v>
      </c>
      <c r="G4" s="1" t="s">
        <v>89</v>
      </c>
      <c r="H4" s="1">
        <v>101.0</v>
      </c>
      <c r="I4" s="1">
        <v>2.0</v>
      </c>
      <c r="J4" s="1">
        <f>IF(G2="ห้องดีลักซ์",2500,IF(G2="ห้องสแตนดาร์ด",1800,2000))</f>
        <v>2500</v>
      </c>
      <c r="K4" s="1" t="s">
        <v>94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4.75"/>
    <col customWidth="1" min="8" max="8" width="10.63"/>
  </cols>
  <sheetData>
    <row r="1">
      <c r="A1" s="1" t="s">
        <v>81</v>
      </c>
      <c r="B1" s="1" t="s">
        <v>3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</row>
    <row r="2">
      <c r="A2" s="1">
        <v>101.0</v>
      </c>
      <c r="B2" s="1" t="s">
        <v>89</v>
      </c>
      <c r="C2" s="1" t="s">
        <v>102</v>
      </c>
      <c r="D2" s="1"/>
      <c r="E2" s="1"/>
      <c r="F2" s="1"/>
      <c r="G2" s="1" t="s">
        <v>103</v>
      </c>
      <c r="H2" s="1" t="s">
        <v>104</v>
      </c>
      <c r="I2" s="1" t="s">
        <v>105</v>
      </c>
    </row>
  </sheetData>
  <drawing r:id="rId1"/>
</worksheet>
</file>
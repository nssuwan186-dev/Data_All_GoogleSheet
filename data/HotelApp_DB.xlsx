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Rooms" sheetId="2" r:id="rId6"/>
    <sheet state="visible" name="Bookings" sheetId="3" r:id="rId7"/>
    <sheet state="visible" name="Customers" sheetId="4" r:id="rId8"/>
    <sheet state="visible" name="MonthlyRentals" sheetId="5" r:id="rId9"/>
    <sheet state="visible" name="Meters" sheetId="6" r:id="rId10"/>
    <sheet state="visible" name="Invoices" sheetId="7" r:id="rId11"/>
    <sheet state="visible" name="Payments" sheetId="8" r:id="rId12"/>
    <sheet state="visible" name="Expenses" sheetId="9" r:id="rId13"/>
    <sheet state="visible" name="Staff" sheetId="10" r:id="rId14"/>
    <sheet state="visible" name="Payroll" sheetId="11" r:id="rId15"/>
    <sheet state="visible" name="DailyReports" sheetId="12" r:id="rId16"/>
  </sheets>
  <definedNames/>
  <calcPr/>
</workbook>
</file>

<file path=xl/sharedStrings.xml><?xml version="1.0" encoding="utf-8"?>
<sst xmlns="http://schemas.openxmlformats.org/spreadsheetml/2006/main" count="307" uniqueCount="177">
  <si>
    <t>Room_ID</t>
  </si>
  <si>
    <t>Room_Number</t>
  </si>
  <si>
    <t>Room_Type</t>
  </si>
  <si>
    <t>Price</t>
  </si>
  <si>
    <t>Status</t>
  </si>
  <si>
    <t>Notes</t>
  </si>
  <si>
    <t>ROOM-A101</t>
  </si>
  <si>
    <t>A101</t>
  </si>
  <si>
    <t>Standard</t>
  </si>
  <si>
    <t>ว่าง</t>
  </si>
  <si>
    <t>ROOM-A102</t>
  </si>
  <si>
    <t>A102</t>
  </si>
  <si>
    <t>ROOM-A103</t>
  </si>
  <si>
    <t>A103</t>
  </si>
  <si>
    <t>ROOM-A104</t>
  </si>
  <si>
    <t>A104</t>
  </si>
  <si>
    <t>ROOM-A105</t>
  </si>
  <si>
    <t>A105</t>
  </si>
  <si>
    <t>ROOM-A106</t>
  </si>
  <si>
    <t>A106</t>
  </si>
  <si>
    <t>Standard Twin</t>
  </si>
  <si>
    <t>ROOM-A107</t>
  </si>
  <si>
    <t>A107</t>
  </si>
  <si>
    <t>ROOM-A108</t>
  </si>
  <si>
    <t>A108</t>
  </si>
  <si>
    <t>ROOM-A109</t>
  </si>
  <si>
    <t>A109</t>
  </si>
  <si>
    <t>ROOM-A110</t>
  </si>
  <si>
    <t>A110</t>
  </si>
  <si>
    <t>ROOM-A111</t>
  </si>
  <si>
    <t>A111</t>
  </si>
  <si>
    <t>ROOM-A201</t>
  </si>
  <si>
    <t>A201</t>
  </si>
  <si>
    <t>ROOM-A202</t>
  </si>
  <si>
    <t>A202</t>
  </si>
  <si>
    <t>ROOM-A203</t>
  </si>
  <si>
    <t>A203</t>
  </si>
  <si>
    <t>ROOM-A204</t>
  </si>
  <si>
    <t>A204</t>
  </si>
  <si>
    <t>ROOM-A205</t>
  </si>
  <si>
    <t>A205</t>
  </si>
  <si>
    <t>ROOM-A206</t>
  </si>
  <si>
    <t>A206</t>
  </si>
  <si>
    <t>ROOM-A207</t>
  </si>
  <si>
    <t>A207</t>
  </si>
  <si>
    <t>ROOM-A208</t>
  </si>
  <si>
    <t>A208</t>
  </si>
  <si>
    <t>ROOM-A209</t>
  </si>
  <si>
    <t>A209</t>
  </si>
  <si>
    <t>ROOM-A210</t>
  </si>
  <si>
    <t>A210</t>
  </si>
  <si>
    <t>ROOM-A211</t>
  </si>
  <si>
    <t>A211</t>
  </si>
  <si>
    <t>ROOM-B101</t>
  </si>
  <si>
    <t>B101</t>
  </si>
  <si>
    <t>ROOM-B102</t>
  </si>
  <si>
    <t>B102</t>
  </si>
  <si>
    <t>ROOM-B103</t>
  </si>
  <si>
    <t>B103</t>
  </si>
  <si>
    <t>ROOM-B104</t>
  </si>
  <si>
    <t>B104</t>
  </si>
  <si>
    <t>ROOM-B105</t>
  </si>
  <si>
    <t>B105</t>
  </si>
  <si>
    <t>ROOM-B106</t>
  </si>
  <si>
    <t>B106</t>
  </si>
  <si>
    <t>ROOM-B107</t>
  </si>
  <si>
    <t>B107</t>
  </si>
  <si>
    <t>ROOM-B108</t>
  </si>
  <si>
    <t>B108</t>
  </si>
  <si>
    <t>ROOM-B109</t>
  </si>
  <si>
    <t>B109</t>
  </si>
  <si>
    <t>ROOM-B110</t>
  </si>
  <si>
    <t>B110</t>
  </si>
  <si>
    <t>ROOM-B111</t>
  </si>
  <si>
    <t>B111</t>
  </si>
  <si>
    <t>ROOM-B201</t>
  </si>
  <si>
    <t>B201</t>
  </si>
  <si>
    <t>ROOM-B202</t>
  </si>
  <si>
    <t>B202</t>
  </si>
  <si>
    <t>ROOM-B203</t>
  </si>
  <si>
    <t>B203</t>
  </si>
  <si>
    <t>ROOM-B204</t>
  </si>
  <si>
    <t>B204</t>
  </si>
  <si>
    <t>ROOM-B205</t>
  </si>
  <si>
    <t>B205</t>
  </si>
  <si>
    <t>ROOM-B206</t>
  </si>
  <si>
    <t>B206</t>
  </si>
  <si>
    <t>ROOM-B207</t>
  </si>
  <si>
    <t>B207</t>
  </si>
  <si>
    <t>ROOM-B208</t>
  </si>
  <si>
    <t>B208</t>
  </si>
  <si>
    <t>ROOM-B209</t>
  </si>
  <si>
    <t>B209</t>
  </si>
  <si>
    <t>ROOM-B210</t>
  </si>
  <si>
    <t>B210</t>
  </si>
  <si>
    <t>ROOM-B211</t>
  </si>
  <si>
    <t>B211</t>
  </si>
  <si>
    <t>ROOM-N1</t>
  </si>
  <si>
    <t>N1</t>
  </si>
  <si>
    <t>ROOM-N2</t>
  </si>
  <si>
    <t>N2</t>
  </si>
  <si>
    <t>ROOM-N3</t>
  </si>
  <si>
    <t>N3</t>
  </si>
  <si>
    <t>ROOM-N4</t>
  </si>
  <si>
    <t>N4</t>
  </si>
  <si>
    <t>ROOM-N5</t>
  </si>
  <si>
    <t>N5</t>
  </si>
  <si>
    <t>ROOM-N6</t>
  </si>
  <si>
    <t>N6</t>
  </si>
  <si>
    <t>ROOM-N7</t>
  </si>
  <si>
    <t>N7</t>
  </si>
  <si>
    <t>Booking_ID</t>
  </si>
  <si>
    <t>Customer_ID</t>
  </si>
  <si>
    <t>Customer_Name</t>
  </si>
  <si>
    <t>Phone</t>
  </si>
  <si>
    <t>CheckIn_Date</t>
  </si>
  <si>
    <t>CheckOut_Date</t>
  </si>
  <si>
    <t>Nights</t>
  </si>
  <si>
    <t>Rate</t>
  </si>
  <si>
    <t>Total</t>
  </si>
  <si>
    <t>CreatedAt</t>
  </si>
  <si>
    <t>Note</t>
  </si>
  <si>
    <t>Name</t>
  </si>
  <si>
    <t>Email</t>
  </si>
  <si>
    <t>ID_Card</t>
  </si>
  <si>
    <t>Address</t>
  </si>
  <si>
    <t>Photo_URL</t>
  </si>
  <si>
    <t>Rental_ID</t>
  </si>
  <si>
    <t>Start_Date</t>
  </si>
  <si>
    <t>End_Date</t>
  </si>
  <si>
    <t>Monthly_Rent</t>
  </si>
  <si>
    <t>Meter_Start_Water</t>
  </si>
  <si>
    <t>Meter_End_Water</t>
  </si>
  <si>
    <t>Meter_Start_Elec</t>
  </si>
  <si>
    <t>Meter_End_Elec</t>
  </si>
  <si>
    <t>Water_Charge</t>
  </si>
  <si>
    <t>Elec_Charge</t>
  </si>
  <si>
    <t>Other_Charge</t>
  </si>
  <si>
    <t>Invoice_ID</t>
  </si>
  <si>
    <t>Meter_ID</t>
  </si>
  <si>
    <t>Date</t>
  </si>
  <si>
    <t>Water_Reading</t>
  </si>
  <si>
    <t>Elec_Reading</t>
  </si>
  <si>
    <t>Related_ID</t>
  </si>
  <si>
    <t>Type</t>
  </si>
  <si>
    <t>Issue_Date</t>
  </si>
  <si>
    <t>Due_Date</t>
  </si>
  <si>
    <t>Amount</t>
  </si>
  <si>
    <t>Paid_Amount</t>
  </si>
  <si>
    <t>Balance</t>
  </si>
  <si>
    <t>PDF_URL</t>
  </si>
  <si>
    <t>Payment_ID</t>
  </si>
  <si>
    <t>Method</t>
  </si>
  <si>
    <t>Slip_Drive_URL</t>
  </si>
  <si>
    <t>Received_By</t>
  </si>
  <si>
    <t>Expense_ID</t>
  </si>
  <si>
    <t>Category</t>
  </si>
  <si>
    <t>Receipt_URL</t>
  </si>
  <si>
    <t>Staff_ID</t>
  </si>
  <si>
    <t>Role</t>
  </si>
  <si>
    <t>Salary_Base</t>
  </si>
  <si>
    <t>Bank_Name</t>
  </si>
  <si>
    <t>Bank_Account</t>
  </si>
  <si>
    <t>Contact</t>
  </si>
  <si>
    <t>Pay_ID</t>
  </si>
  <si>
    <t>Period_Start</t>
  </si>
  <si>
    <t>Period_End</t>
  </si>
  <si>
    <t>Base_Salary</t>
  </si>
  <si>
    <t>Allowance</t>
  </si>
  <si>
    <t>Deductions</t>
  </si>
  <si>
    <t>Net_Pay</t>
  </si>
  <si>
    <t>Paid_Date</t>
  </si>
  <si>
    <t>Report_ID</t>
  </si>
  <si>
    <t>Total_Checkins</t>
  </si>
  <si>
    <t>Total_Checkouts</t>
  </si>
  <si>
    <t>Revenue</t>
  </si>
  <si>
    <t>RPT-20251013120118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</si>
</sst>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400.0</v>
      </c>
      <c r="E2" s="1" t="s">
        <v>9</v>
      </c>
    </row>
    <row r="3">
      <c r="A3" s="1" t="s">
        <v>10</v>
      </c>
      <c r="B3" s="1" t="s">
        <v>11</v>
      </c>
      <c r="C3" s="1" t="s">
        <v>8</v>
      </c>
      <c r="D3" s="2">
        <v>400.0</v>
      </c>
      <c r="E3" s="1" t="s">
        <v>9</v>
      </c>
    </row>
    <row r="4">
      <c r="A4" s="1" t="s">
        <v>12</v>
      </c>
      <c r="B4" s="1" t="s">
        <v>13</v>
      </c>
      <c r="C4" s="1" t="s">
        <v>8</v>
      </c>
      <c r="D4" s="2">
        <v>400.0</v>
      </c>
      <c r="E4" s="1" t="s">
        <v>9</v>
      </c>
    </row>
    <row r="5">
      <c r="A5" s="1" t="s">
        <v>14</v>
      </c>
      <c r="B5" s="1" t="s">
        <v>15</v>
      </c>
      <c r="C5" s="1" t="s">
        <v>8</v>
      </c>
      <c r="D5" s="2">
        <v>400.0</v>
      </c>
      <c r="E5" s="1" t="s">
        <v>9</v>
      </c>
    </row>
    <row r="6">
      <c r="A6" s="1" t="s">
        <v>16</v>
      </c>
      <c r="B6" s="1" t="s">
        <v>17</v>
      </c>
      <c r="C6" s="1" t="s">
        <v>8</v>
      </c>
      <c r="D6" s="2">
        <v>400.0</v>
      </c>
      <c r="E6" s="1" t="s">
        <v>9</v>
      </c>
    </row>
    <row r="7">
      <c r="A7" s="1" t="s">
        <v>18</v>
      </c>
      <c r="B7" s="1" t="s">
        <v>19</v>
      </c>
      <c r="C7" s="1" t="s">
        <v>20</v>
      </c>
      <c r="D7" s="2">
        <v>500.0</v>
      </c>
      <c r="E7" s="1" t="s">
        <v>9</v>
      </c>
    </row>
    <row r="8">
      <c r="A8" s="1" t="s">
        <v>21</v>
      </c>
      <c r="B8" s="1" t="s">
        <v>22</v>
      </c>
      <c r="C8" s="1" t="s">
        <v>20</v>
      </c>
      <c r="D8" s="2">
        <v>500.0</v>
      </c>
      <c r="E8" s="1" t="s">
        <v>9</v>
      </c>
    </row>
    <row r="9">
      <c r="A9" s="1" t="s">
        <v>23</v>
      </c>
      <c r="B9" s="1" t="s">
        <v>24</v>
      </c>
      <c r="C9" s="1" t="s">
        <v>20</v>
      </c>
      <c r="D9" s="2">
        <v>500.0</v>
      </c>
      <c r="E9" s="1" t="s">
        <v>9</v>
      </c>
    </row>
    <row r="10">
      <c r="A10" s="1" t="s">
        <v>25</v>
      </c>
      <c r="B10" s="1" t="s">
        <v>26</v>
      </c>
      <c r="C10" s="1" t="s">
        <v>20</v>
      </c>
      <c r="D10" s="2">
        <v>500.0</v>
      </c>
      <c r="E10" s="1" t="s">
        <v>9</v>
      </c>
    </row>
    <row r="11">
      <c r="A11" s="1" t="s">
        <v>27</v>
      </c>
      <c r="B11" s="1" t="s">
        <v>28</v>
      </c>
      <c r="C11" s="1" t="s">
        <v>20</v>
      </c>
      <c r="D11" s="2">
        <v>500.0</v>
      </c>
      <c r="E11" s="1" t="s">
        <v>9</v>
      </c>
    </row>
    <row r="12">
      <c r="A12" s="1" t="s">
        <v>29</v>
      </c>
      <c r="B12" s="1" t="s">
        <v>30</v>
      </c>
      <c r="C12" s="1" t="s">
        <v>8</v>
      </c>
      <c r="D12" s="2">
        <v>400.0</v>
      </c>
      <c r="E12" s="1" t="s">
        <v>9</v>
      </c>
    </row>
    <row r="13">
      <c r="A13" s="1" t="s">
        <v>31</v>
      </c>
      <c r="B13" s="1" t="s">
        <v>32</v>
      </c>
      <c r="C13" s="1" t="s">
        <v>8</v>
      </c>
      <c r="D13" s="2">
        <v>400.0</v>
      </c>
      <c r="E13" s="1" t="s">
        <v>9</v>
      </c>
    </row>
    <row r="14">
      <c r="A14" s="1" t="s">
        <v>33</v>
      </c>
      <c r="B14" s="1" t="s">
        <v>34</v>
      </c>
      <c r="C14" s="1" t="s">
        <v>8</v>
      </c>
      <c r="D14" s="2">
        <v>400.0</v>
      </c>
      <c r="E14" s="1" t="s">
        <v>9</v>
      </c>
    </row>
    <row r="15">
      <c r="A15" s="1" t="s">
        <v>35</v>
      </c>
      <c r="B15" s="1" t="s">
        <v>36</v>
      </c>
      <c r="C15" s="1" t="s">
        <v>8</v>
      </c>
      <c r="D15" s="2">
        <v>400.0</v>
      </c>
      <c r="E15" s="1" t="s">
        <v>9</v>
      </c>
    </row>
    <row r="16">
      <c r="A16" s="1" t="s">
        <v>37</v>
      </c>
      <c r="B16" s="1" t="s">
        <v>38</v>
      </c>
      <c r="C16" s="1" t="s">
        <v>8</v>
      </c>
      <c r="D16" s="2">
        <v>400.0</v>
      </c>
      <c r="E16" s="1" t="s">
        <v>9</v>
      </c>
    </row>
    <row r="17">
      <c r="A17" s="1" t="s">
        <v>39</v>
      </c>
      <c r="B17" s="1" t="s">
        <v>40</v>
      </c>
      <c r="C17" s="1" t="s">
        <v>8</v>
      </c>
      <c r="D17" s="2">
        <v>400.0</v>
      </c>
      <c r="E17" s="1" t="s">
        <v>9</v>
      </c>
    </row>
    <row r="18">
      <c r="A18" s="1" t="s">
        <v>41</v>
      </c>
      <c r="B18" s="1" t="s">
        <v>42</v>
      </c>
      <c r="C18" s="1" t="s">
        <v>8</v>
      </c>
      <c r="D18" s="2">
        <v>400.0</v>
      </c>
      <c r="E18" s="1" t="s">
        <v>9</v>
      </c>
    </row>
    <row r="19">
      <c r="A19" s="1" t="s">
        <v>43</v>
      </c>
      <c r="B19" s="1" t="s">
        <v>44</v>
      </c>
      <c r="C19" s="1" t="s">
        <v>8</v>
      </c>
      <c r="D19" s="2">
        <v>400.0</v>
      </c>
      <c r="E19" s="1" t="s">
        <v>9</v>
      </c>
    </row>
    <row r="20">
      <c r="A20" s="1" t="s">
        <v>45</v>
      </c>
      <c r="B20" s="1" t="s">
        <v>46</v>
      </c>
      <c r="C20" s="1" t="s">
        <v>8</v>
      </c>
      <c r="D20" s="2">
        <v>400.0</v>
      </c>
      <c r="E20" s="1" t="s">
        <v>9</v>
      </c>
    </row>
    <row r="21">
      <c r="A21" s="1" t="s">
        <v>47</v>
      </c>
      <c r="B21" s="1" t="s">
        <v>48</v>
      </c>
      <c r="C21" s="1" t="s">
        <v>8</v>
      </c>
      <c r="D21" s="2">
        <v>400.0</v>
      </c>
      <c r="E21" s="1" t="s">
        <v>9</v>
      </c>
    </row>
    <row r="22">
      <c r="A22" s="1" t="s">
        <v>49</v>
      </c>
      <c r="B22" s="1" t="s">
        <v>50</v>
      </c>
      <c r="C22" s="1" t="s">
        <v>8</v>
      </c>
      <c r="D22" s="2">
        <v>400.0</v>
      </c>
      <c r="E22" s="1" t="s">
        <v>9</v>
      </c>
    </row>
    <row r="23">
      <c r="A23" s="1" t="s">
        <v>51</v>
      </c>
      <c r="B23" s="1" t="s">
        <v>52</v>
      </c>
      <c r="C23" s="1" t="s">
        <v>8</v>
      </c>
      <c r="D23" s="2">
        <v>400.0</v>
      </c>
      <c r="E23" s="1" t="s">
        <v>9</v>
      </c>
    </row>
    <row r="24">
      <c r="A24" s="1" t="s">
        <v>53</v>
      </c>
      <c r="B24" s="1" t="s">
        <v>54</v>
      </c>
      <c r="C24" s="1" t="s">
        <v>8</v>
      </c>
      <c r="D24" s="2">
        <v>400.0</v>
      </c>
      <c r="E24" s="1" t="s">
        <v>9</v>
      </c>
    </row>
    <row r="25">
      <c r="A25" s="1" t="s">
        <v>55</v>
      </c>
      <c r="B25" s="1" t="s">
        <v>56</v>
      </c>
      <c r="C25" s="1" t="s">
        <v>8</v>
      </c>
      <c r="D25" s="2">
        <v>400.0</v>
      </c>
      <c r="E25" s="1" t="s">
        <v>9</v>
      </c>
    </row>
    <row r="26">
      <c r="A26" s="1" t="s">
        <v>57</v>
      </c>
      <c r="B26" s="1" t="s">
        <v>58</v>
      </c>
      <c r="C26" s="1" t="s">
        <v>8</v>
      </c>
      <c r="D26" s="2">
        <v>400.0</v>
      </c>
      <c r="E26" s="1" t="s">
        <v>9</v>
      </c>
    </row>
    <row r="27">
      <c r="A27" s="1" t="s">
        <v>59</v>
      </c>
      <c r="B27" s="1" t="s">
        <v>60</v>
      </c>
      <c r="C27" s="1" t="s">
        <v>8</v>
      </c>
      <c r="D27" s="2">
        <v>400.0</v>
      </c>
      <c r="E27" s="1" t="s">
        <v>9</v>
      </c>
    </row>
    <row r="28">
      <c r="A28" s="1" t="s">
        <v>61</v>
      </c>
      <c r="B28" s="1" t="s">
        <v>62</v>
      </c>
      <c r="C28" s="1" t="s">
        <v>8</v>
      </c>
      <c r="D28" s="2">
        <v>400.0</v>
      </c>
      <c r="E28" s="1" t="s">
        <v>9</v>
      </c>
    </row>
    <row r="29">
      <c r="A29" s="1" t="s">
        <v>63</v>
      </c>
      <c r="B29" s="1" t="s">
        <v>64</v>
      </c>
      <c r="C29" s="1" t="s">
        <v>8</v>
      </c>
      <c r="D29" s="2">
        <v>400.0</v>
      </c>
      <c r="E29" s="1" t="s">
        <v>9</v>
      </c>
    </row>
    <row r="30">
      <c r="A30" s="1" t="s">
        <v>65</v>
      </c>
      <c r="B30" s="1" t="s">
        <v>66</v>
      </c>
      <c r="C30" s="1" t="s">
        <v>8</v>
      </c>
      <c r="D30" s="2">
        <v>400.0</v>
      </c>
      <c r="E30" s="1" t="s">
        <v>9</v>
      </c>
    </row>
    <row r="31">
      <c r="A31" s="1" t="s">
        <v>67</v>
      </c>
      <c r="B31" s="1" t="s">
        <v>68</v>
      </c>
      <c r="C31" s="1" t="s">
        <v>8</v>
      </c>
      <c r="D31" s="2">
        <v>400.0</v>
      </c>
      <c r="E31" s="1" t="s">
        <v>9</v>
      </c>
    </row>
    <row r="32">
      <c r="A32" s="1" t="s">
        <v>69</v>
      </c>
      <c r="B32" s="1" t="s">
        <v>70</v>
      </c>
      <c r="C32" s="1" t="s">
        <v>8</v>
      </c>
      <c r="D32" s="2">
        <v>400.0</v>
      </c>
      <c r="E32" s="1" t="s">
        <v>9</v>
      </c>
    </row>
    <row r="33">
      <c r="A33" s="1" t="s">
        <v>71</v>
      </c>
      <c r="B33" s="1" t="s">
        <v>72</v>
      </c>
      <c r="C33" s="1" t="s">
        <v>8</v>
      </c>
      <c r="D33" s="2">
        <v>400.0</v>
      </c>
      <c r="E33" s="1" t="s">
        <v>9</v>
      </c>
    </row>
    <row r="34">
      <c r="A34" s="1" t="s">
        <v>73</v>
      </c>
      <c r="B34" s="1" t="s">
        <v>74</v>
      </c>
      <c r="C34" s="1" t="s">
        <v>20</v>
      </c>
      <c r="D34" s="2">
        <v>500.0</v>
      </c>
      <c r="E34" s="1" t="s">
        <v>9</v>
      </c>
    </row>
    <row r="35">
      <c r="A35" s="1" t="s">
        <v>75</v>
      </c>
      <c r="B35" s="1" t="s">
        <v>76</v>
      </c>
      <c r="C35" s="1" t="s">
        <v>8</v>
      </c>
      <c r="D35" s="2">
        <v>400.0</v>
      </c>
      <c r="E35" s="1" t="s">
        <v>9</v>
      </c>
    </row>
    <row r="36">
      <c r="A36" s="1" t="s">
        <v>77</v>
      </c>
      <c r="B36" s="1" t="s">
        <v>78</v>
      </c>
      <c r="C36" s="1" t="s">
        <v>8</v>
      </c>
      <c r="D36" s="2">
        <v>400.0</v>
      </c>
      <c r="E36" s="1" t="s">
        <v>9</v>
      </c>
    </row>
    <row r="37">
      <c r="A37" s="1" t="s">
        <v>79</v>
      </c>
      <c r="B37" s="1" t="s">
        <v>80</v>
      </c>
      <c r="C37" s="1" t="s">
        <v>8</v>
      </c>
      <c r="D37" s="2">
        <v>400.0</v>
      </c>
      <c r="E37" s="1" t="s">
        <v>9</v>
      </c>
    </row>
    <row r="38">
      <c r="A38" s="1" t="s">
        <v>81</v>
      </c>
      <c r="B38" s="1" t="s">
        <v>82</v>
      </c>
      <c r="C38" s="1" t="s">
        <v>8</v>
      </c>
      <c r="D38" s="2">
        <v>400.0</v>
      </c>
      <c r="E38" s="1" t="s">
        <v>9</v>
      </c>
    </row>
    <row r="39">
      <c r="A39" s="1" t="s">
        <v>83</v>
      </c>
      <c r="B39" s="1" t="s">
        <v>84</v>
      </c>
      <c r="C39" s="1" t="s">
        <v>8</v>
      </c>
      <c r="D39" s="2">
        <v>400.0</v>
      </c>
      <c r="E39" s="1" t="s">
        <v>9</v>
      </c>
    </row>
    <row r="40">
      <c r="A40" s="1" t="s">
        <v>85</v>
      </c>
      <c r="B40" s="1" t="s">
        <v>86</v>
      </c>
      <c r="C40" s="1" t="s">
        <v>8</v>
      </c>
      <c r="D40" s="2">
        <v>400.0</v>
      </c>
      <c r="E40" s="1" t="s">
        <v>9</v>
      </c>
    </row>
    <row r="41">
      <c r="A41" s="1" t="s">
        <v>87</v>
      </c>
      <c r="B41" s="1" t="s">
        <v>88</v>
      </c>
      <c r="C41" s="1" t="s">
        <v>8</v>
      </c>
      <c r="D41" s="2">
        <v>400.0</v>
      </c>
      <c r="E41" s="1" t="s">
        <v>9</v>
      </c>
    </row>
    <row r="42">
      <c r="A42" s="1" t="s">
        <v>89</v>
      </c>
      <c r="B42" s="1" t="s">
        <v>90</v>
      </c>
      <c r="C42" s="1" t="s">
        <v>8</v>
      </c>
      <c r="D42" s="2">
        <v>400.0</v>
      </c>
      <c r="E42" s="1" t="s">
        <v>9</v>
      </c>
    </row>
    <row r="43">
      <c r="A43" s="1" t="s">
        <v>91</v>
      </c>
      <c r="B43" s="1" t="s">
        <v>92</v>
      </c>
      <c r="C43" s="1" t="s">
        <v>8</v>
      </c>
      <c r="D43" s="2">
        <v>400.0</v>
      </c>
      <c r="E43" s="1" t="s">
        <v>9</v>
      </c>
    </row>
    <row r="44">
      <c r="A44" s="1" t="s">
        <v>93</v>
      </c>
      <c r="B44" s="1" t="s">
        <v>94</v>
      </c>
      <c r="C44" s="1" t="s">
        <v>8</v>
      </c>
      <c r="D44" s="2">
        <v>400.0</v>
      </c>
      <c r="E44" s="1" t="s">
        <v>9</v>
      </c>
    </row>
    <row r="45">
      <c r="A45" s="1" t="s">
        <v>95</v>
      </c>
      <c r="B45" s="1" t="s">
        <v>96</v>
      </c>
      <c r="C45" s="1" t="s">
        <v>8</v>
      </c>
      <c r="D45" s="2">
        <v>400.0</v>
      </c>
      <c r="E45" s="1" t="s">
        <v>9</v>
      </c>
    </row>
    <row r="46">
      <c r="A46" s="1" t="s">
        <v>97</v>
      </c>
      <c r="B46" s="1" t="s">
        <v>98</v>
      </c>
      <c r="C46" s="1" t="s">
        <v>20</v>
      </c>
      <c r="D46" s="2">
        <v>600.0</v>
      </c>
      <c r="E46" s="1" t="s">
        <v>9</v>
      </c>
    </row>
    <row r="47">
      <c r="A47" s="1" t="s">
        <v>99</v>
      </c>
      <c r="B47" s="1" t="s">
        <v>100</v>
      </c>
      <c r="C47" s="1" t="s">
        <v>8</v>
      </c>
      <c r="D47" s="2">
        <v>500.0</v>
      </c>
      <c r="E47" s="1" t="s">
        <v>9</v>
      </c>
    </row>
    <row r="48">
      <c r="A48" s="1" t="s">
        <v>101</v>
      </c>
      <c r="B48" s="1" t="s">
        <v>102</v>
      </c>
      <c r="C48" s="1" t="s">
        <v>8</v>
      </c>
      <c r="D48" s="2">
        <v>500.0</v>
      </c>
      <c r="E48" s="1" t="s">
        <v>9</v>
      </c>
    </row>
    <row r="49">
      <c r="A49" s="1" t="s">
        <v>103</v>
      </c>
      <c r="B49" s="1" t="s">
        <v>104</v>
      </c>
      <c r="C49" s="1" t="s">
        <v>20</v>
      </c>
      <c r="D49" s="2">
        <v>600.0</v>
      </c>
      <c r="E49" s="1" t="s">
        <v>9</v>
      </c>
    </row>
    <row r="50">
      <c r="A50" s="1" t="s">
        <v>105</v>
      </c>
      <c r="B50" s="1" t="s">
        <v>106</v>
      </c>
      <c r="C50" s="1" t="s">
        <v>20</v>
      </c>
      <c r="D50" s="2">
        <v>600.0</v>
      </c>
      <c r="E50" s="1" t="s">
        <v>9</v>
      </c>
    </row>
    <row r="51">
      <c r="A51" s="1" t="s">
        <v>107</v>
      </c>
      <c r="B51" s="1" t="s">
        <v>108</v>
      </c>
      <c r="C51" s="1" t="s">
        <v>20</v>
      </c>
      <c r="D51" s="2">
        <v>600.0</v>
      </c>
      <c r="E51" s="1" t="s">
        <v>9</v>
      </c>
    </row>
    <row r="52">
      <c r="A52" s="1" t="s">
        <v>109</v>
      </c>
      <c r="B52" s="1" t="s">
        <v>110</v>
      </c>
      <c r="C52" s="1" t="s">
        <v>8</v>
      </c>
      <c r="D52" s="2">
        <v>500.0</v>
      </c>
      <c r="E52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111</v>
      </c>
      <c r="B1" s="1" t="s">
        <v>0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4</v>
      </c>
      <c r="L1" s="1" t="s">
        <v>120</v>
      </c>
      <c r="M1" s="1" t="s">
        <v>121</v>
      </c>
    </row>
    <row r="2">
      <c r="H2" s="3" t="str">
        <f>IFERROR(__xludf.DUMMYFUNCTION("IF(AND(ISDATE(F2),ISDATE(G2)),DATEDIF(F2,G2,""D""),"""")"),"")</f>
        <v/>
      </c>
      <c r="J2" s="3" t="str">
        <f>IF(AND(ISNUMBER(H2),ISNUMBER(I2)),H2*I2,"")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112</v>
      </c>
      <c r="B1" s="1" t="s">
        <v>122</v>
      </c>
      <c r="C1" s="1" t="s">
        <v>114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120</v>
      </c>
      <c r="I1" s="1" t="s">
        <v>121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127</v>
      </c>
      <c r="B1" s="1" t="s">
        <v>0</v>
      </c>
      <c r="C1" s="1" t="s">
        <v>112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119</v>
      </c>
      <c r="O1" s="1" t="s">
        <v>138</v>
      </c>
      <c r="P1" s="1" t="s">
        <v>4</v>
      </c>
      <c r="Q1" s="1" t="s">
        <v>121</v>
      </c>
    </row>
    <row r="2">
      <c r="F2" s="4"/>
      <c r="K2" s="3" t="str">
        <f>IF(AND(ISNUMBER(H2),ISNUMBER(G2)),MAX(0,H2 - G2) * 10,"")</f>
        <v/>
      </c>
      <c r="L2" s="3" t="str">
        <f>IF(AND(ISNUMBER(J2),ISNUMBER(I2)),MAX(0,J2 - I2) * 5,"")</f>
        <v/>
      </c>
      <c r="N2" s="3" t="str">
        <f>IF(OR(F2="",F2=0),"", F2 + IF(ISNUMBER(K2),K2,0) + IF(ISNUMBER(L2),L2,0) + IF(ISNUMBER(M2),M2,0))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139</v>
      </c>
      <c r="B1" s="1" t="s">
        <v>0</v>
      </c>
      <c r="C1" s="1" t="s">
        <v>127</v>
      </c>
      <c r="D1" s="1" t="s">
        <v>140</v>
      </c>
      <c r="E1" s="1" t="s">
        <v>141</v>
      </c>
      <c r="F1" s="1" t="s">
        <v>142</v>
      </c>
      <c r="G1" s="1" t="s">
        <v>121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138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4</v>
      </c>
      <c r="K1" s="1" t="s">
        <v>121</v>
      </c>
    </row>
    <row r="2">
      <c r="F2" s="4"/>
      <c r="G2" s="4"/>
      <c r="H2" s="3" t="str">
        <f>IF(OR(F2="",F2=0),"",F2 - IF(ISNUMBER(G2),G2,0))</f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151</v>
      </c>
      <c r="B1" s="1" t="s">
        <v>138</v>
      </c>
      <c r="C1" s="1" t="s">
        <v>140</v>
      </c>
      <c r="D1" s="1" t="s">
        <v>147</v>
      </c>
      <c r="E1" s="1" t="s">
        <v>152</v>
      </c>
      <c r="F1" s="1" t="s">
        <v>153</v>
      </c>
      <c r="G1" s="1" t="s">
        <v>154</v>
      </c>
      <c r="H1" s="1" t="s">
        <v>121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155</v>
      </c>
      <c r="B1" s="1" t="s">
        <v>140</v>
      </c>
      <c r="C1" s="1" t="s">
        <v>156</v>
      </c>
      <c r="D1" s="1" t="s">
        <v>147</v>
      </c>
      <c r="E1" s="1" t="s">
        <v>157</v>
      </c>
      <c r="F1" s="1" t="s">
        <v>121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158</v>
      </c>
      <c r="B1" s="1" t="s">
        <v>122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128</v>
      </c>
      <c r="H1" s="1" t="s">
        <v>163</v>
      </c>
      <c r="I1" s="1" t="s">
        <v>121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164</v>
      </c>
      <c r="B1" s="1" t="s">
        <v>158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121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172</v>
      </c>
      <c r="B1" s="1" t="s">
        <v>140</v>
      </c>
      <c r="C1" s="1" t="s">
        <v>173</v>
      </c>
      <c r="D1" s="1" t="s">
        <v>174</v>
      </c>
      <c r="E1" s="1" t="s">
        <v>175</v>
      </c>
      <c r="F1" s="1" t="s">
        <v>121</v>
      </c>
    </row>
    <row r="2">
      <c r="A2" s="1" t="s">
        <v>176</v>
      </c>
      <c r="C2" s="5">
        <v>0.0</v>
      </c>
      <c r="D2" s="5">
        <v>0.0</v>
      </c>
      <c r="E2" s="5">
        <v>0.0</v>
      </c>
      <c r="F2" s="6">
        <v>45943.50090277778</v>
      </c>
    </row>
  </sheetData>
  <drawing r:id="rId1"/>
</worksheet>
</file>